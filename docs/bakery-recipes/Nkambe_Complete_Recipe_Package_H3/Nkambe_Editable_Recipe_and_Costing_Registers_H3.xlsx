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ices" sheetId="2" state="visible" r:id="rId2"/>
    <sheet xmlns:r="http://schemas.openxmlformats.org/officeDocument/2006/relationships" name="Ingredients" sheetId="3" state="visible" r:id="rId3"/>
    <sheet xmlns:r="http://schemas.openxmlformats.org/officeDocument/2006/relationships" name="Summary" sheetId="4" state="visible" r:id="rId4"/>
    <sheet xmlns:r="http://schemas.openxmlformats.org/officeDocument/2006/relationships" name="Coverage" sheetId="5" state="visible" r:id="rId5"/>
    <sheet xmlns:r="http://schemas.openxmlformats.org/officeDocument/2006/relationships" name="Original formulas" sheetId="6" state="visible" r:id="rId6"/>
    <sheet xmlns:r="http://schemas.openxmlformats.org/officeDocument/2006/relationships" name="Issues" sheetId="7" state="visible" r:id="rId7"/>
    <sheet xmlns:r="http://schemas.openxmlformats.org/officeDocument/2006/relationships" name="Sources" sheetId="8" state="visible" r:id="rId8"/>
    <sheet xmlns:r="http://schemas.openxmlformats.org/officeDocument/2006/relationships" name="EDC correction" sheetId="9" state="visible" r:id="rId9"/>
  </sheets>
  <definedNames>
    <definedName name="_xlnm._FilterDatabase" localSheetId="0" hidden="1">'Read me'!$A$1:$A$9</definedName>
    <definedName name="_xlnm._FilterDatabase" localSheetId="1" hidden="1">'Prices'!$A$1:$C$145</definedName>
    <definedName name="_xlnm._FilterDatabase" localSheetId="2" hidden="1">'Ingredients'!$A$1:$J$919</definedName>
    <definedName name="_xlnm._FilterDatabase" localSheetId="3" hidden="1">'Summary'!$A$1:$L$139</definedName>
    <definedName name="_xlnm._FilterDatabase" localSheetId="4" hidden="1">'Coverage'!$A$1:$G$797</definedName>
    <definedName name="_xlnm._FilterDatabase" localSheetId="5" hidden="1">'Original formulas'!$A$1:$H$2411</definedName>
    <definedName name="_xlnm._FilterDatabase" localSheetId="6" hidden="1">'Issues'!$A$1:$D$721</definedName>
    <definedName name="_xlnm._FilterDatabase" localSheetId="7" hidden="1">'Sources'!$A$1:$M$592</definedName>
  </definedNames>
  <calcPr calcId="191029"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name val="Calibri"/>
      <sz val="10"/>
    </font>
  </fonts>
  <fills count="3">
    <fill>
      <patternFill/>
    </fill>
    <fill>
      <patternFill patternType="gray125"/>
    </fill>
    <fill>
      <patternFill patternType="solid">
        <fgColor rgb="00234C5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4"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pane ySplit="1" topLeftCell="A2" activePane="bottomLeft" state="frozen"/>
      <selection pane="bottomLeft" activeCell="A1" sqref="A1"/>
    </sheetView>
  </sheetViews>
  <sheetFormatPr baseColWidth="8" defaultRowHeight="15"/>
  <cols>
    <col width="18" customWidth="1" min="1" max="1"/>
  </cols>
  <sheetData>
    <row r="1" ht="32" customHeight="1">
      <c r="A1" s="1" t="inlineStr">
        <is>
          <t>Nkambe recipe and costing registers H3</t>
        </is>
      </c>
    </row>
    <row r="2">
      <c r="A2" s="2" t="inlineStr">
        <is>
          <t>8 October 2026 — all formulas require production validation</t>
        </is>
      </c>
    </row>
    <row r="3">
      <c r="A3" s="2" t="inlineStr">
        <is>
          <t>Prices holds editable FCFA/kg. Empty cells mean unknown, not zero.</t>
        </is>
      </c>
    </row>
    <row r="4">
      <c r="A4" s="2" t="inlineStr">
        <is>
          <t>Ingredients recalculates direct prices and prepared-component subtotals. Component rates use the usable mass on Summary; update that mass after measured yield changes.</t>
        </is>
      </c>
    </row>
    <row r="5">
      <c r="A5" s="2" t="inlineStr">
        <is>
          <t>Summary shows known ingredient subtotals only; full variable cost and selling price must be entered separately before contribution is computed.</t>
        </is>
      </c>
    </row>
    <row r="6">
      <c r="A6" s="2" t="inlineStr">
        <is>
          <t>Missing-price counts cover direct lines; review each prepared-component recipe too. Original missing-input notes are the export snapshot.</t>
        </is>
      </c>
    </row>
    <row r="7">
      <c r="A7" s="2" t="inlineStr">
        <is>
          <t>Oil price/kg uses provisional 0.92 kg/L. Do not apply Top Milk to unspecified condensed milk.</t>
        </is>
      </c>
    </row>
    <row r="8">
      <c r="A8" s="2" t="inlineStr">
        <is>
          <t>Source IDs and exact cell references are preserved in the comparison and source sheets.</t>
        </is>
      </c>
    </row>
    <row r="9">
      <c r="A9" t="inlineStr">
        <is>
          <t>BAG-H2-01 uses a 40-piece pilot and 80-piece load. Its checked H2 model is carried unchanged in the H3 planner.</t>
        </is>
      </c>
    </row>
    <row r="10">
      <c r="A10" t="inlineStr">
        <is>
          <t>H3: EDC is separate and unpriced. T01 and H05 are held, with usable yield and unit-cost calculation withdrawn. See EDC correction.</t>
        </is>
      </c>
    </row>
  </sheetData>
  <autoFilter ref="A1:A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6"/>
  <sheetViews>
    <sheetView showGridLines="0" workbookViewId="0">
      <pane ySplit="1" topLeftCell="A2" activePane="bottomLeft" state="frozen"/>
      <selection pane="bottomLeft" activeCell="A1" sqref="A1"/>
    </sheetView>
  </sheetViews>
  <sheetFormatPr baseColWidth="8" defaultRowHeight="15"/>
  <cols>
    <col width="18" customWidth="1" min="1" max="1"/>
    <col width="36" customWidth="1" min="2" max="2"/>
    <col width="36" customWidth="1" min="3" max="3"/>
  </cols>
  <sheetData>
    <row r="1" ht="32" customHeight="1">
      <c r="A1" s="1" t="inlineStr">
        <is>
          <t>Ingredient</t>
        </is>
      </c>
      <c r="B1" s="1" t="inlineStr">
        <is>
          <t>FCFA per kg editable</t>
        </is>
      </c>
      <c r="C1" s="1" t="inlineStr">
        <is>
          <t>Basis / specification</t>
        </is>
      </c>
    </row>
    <row r="2">
      <c r="A2" s="2" t="inlineStr">
        <is>
          <t>Bread flour</t>
        </is>
      </c>
      <c r="B2" s="3" t="n">
        <v>420</v>
      </c>
      <c r="C2" s="2" t="inlineStr">
        <is>
          <t>Owner flour price; flour performance requires trial</t>
        </is>
      </c>
    </row>
    <row r="3">
      <c r="A3" s="2" t="inlineStr">
        <is>
          <t>Water</t>
        </is>
      </c>
      <c r="B3" s="3" t="n"/>
      <c r="C3" s="2" t="inlineStr">
        <is>
          <t>Purchase quote/specification required</t>
        </is>
      </c>
    </row>
    <row r="4">
      <c r="A4" s="2" t="inlineStr">
        <is>
          <t>Sugar</t>
        </is>
      </c>
      <c r="B4" s="3" t="n">
        <v>640</v>
      </c>
      <c r="C4" s="2" t="inlineStr">
        <is>
          <t>Owner granulated sugar price; grind specification must match</t>
        </is>
      </c>
    </row>
    <row r="5">
      <c r="A5" s="2" t="inlineStr">
        <is>
          <t>Margarine</t>
        </is>
      </c>
      <c r="B5" s="3" t="n">
        <v>1333.333333333333</v>
      </c>
      <c r="C5" s="2" t="inlineStr">
        <is>
          <t>Roma; fat, salt and application suitability unconfirmed</t>
        </is>
      </c>
    </row>
    <row r="6">
      <c r="A6" s="2" t="inlineStr">
        <is>
          <t>Salt</t>
        </is>
      </c>
      <c r="B6" s="3" t="n">
        <v>194.4444444444445</v>
      </c>
      <c r="C6" s="2" t="inlineStr">
        <is>
          <t>Owner price</t>
        </is>
      </c>
    </row>
    <row r="7">
      <c r="A7" s="2" t="inlineStr">
        <is>
          <t>Yeast</t>
        </is>
      </c>
      <c r="B7" s="3" t="n">
        <v>1666.666666666667</v>
      </c>
      <c r="C7" s="2" t="inlineStr">
        <is>
          <t>Nevada instant dry; sweet-dough suitability requires trial</t>
        </is>
      </c>
    </row>
    <row r="8">
      <c r="A8" s="2" t="inlineStr">
        <is>
          <t>Condensed milk</t>
        </is>
      </c>
      <c r="B8" s="3" t="n"/>
      <c r="C8" s="2" t="inlineStr">
        <is>
          <t>Purchase quote/specification required</t>
        </is>
      </c>
    </row>
    <row r="9">
      <c r="A9" s="2" t="inlineStr">
        <is>
          <t>Egg</t>
        </is>
      </c>
      <c r="B9" s="3" t="n"/>
      <c r="C9" s="2" t="inlineStr">
        <is>
          <t>Purchase quote/specification required</t>
        </is>
      </c>
    </row>
    <row r="10">
      <c r="A10" s="2" t="inlineStr">
        <is>
          <t>Whole milk powder</t>
        </is>
      </c>
      <c r="B10" s="3" t="n"/>
      <c r="C10" s="2" t="inlineStr">
        <is>
          <t>Purchase quote/specification required</t>
        </is>
      </c>
    </row>
    <row r="11">
      <c r="A11" s="2" t="inlineStr">
        <is>
          <t>Vanilla</t>
        </is>
      </c>
      <c r="B11" s="3" t="n"/>
      <c r="C11" s="2" t="inlineStr">
        <is>
          <t>Purchase quote/specification required</t>
        </is>
      </c>
    </row>
    <row r="12">
      <c r="A12" s="2" t="inlineStr">
        <is>
          <t>Sweet potato flour</t>
        </is>
      </c>
      <c r="B12" s="3" t="n"/>
      <c r="C12" s="2" t="inlineStr">
        <is>
          <t>Purchase quote/specification required</t>
        </is>
      </c>
    </row>
    <row r="13">
      <c r="A13" s="2" t="inlineStr">
        <is>
          <t>Nutmeg</t>
        </is>
      </c>
      <c r="B13" s="3" t="n"/>
      <c r="C13" s="2" t="inlineStr">
        <is>
          <t>Purchase quote/specification required</t>
        </is>
      </c>
    </row>
    <row r="14">
      <c r="A14" s="2" t="inlineStr">
        <is>
          <t>Plain flour</t>
        </is>
      </c>
      <c r="B14" s="3" t="n"/>
      <c r="C14" s="2" t="inlineStr">
        <is>
          <t>Purchase quote/specification required</t>
        </is>
      </c>
    </row>
    <row r="15">
      <c r="A15" s="2" t="inlineStr">
        <is>
          <t>Baking powder</t>
        </is>
      </c>
      <c r="B15" s="3" t="n"/>
      <c r="C15" s="2" t="inlineStr">
        <is>
          <t>Purchase quote/specification required</t>
        </is>
      </c>
    </row>
    <row r="16">
      <c r="A16" s="2" t="inlineStr">
        <is>
          <t>Canned fish drained</t>
        </is>
      </c>
      <c r="B16" s="3" t="n"/>
      <c r="C16" s="2" t="inlineStr">
        <is>
          <t>Purchase quote/specification required</t>
        </is>
      </c>
    </row>
    <row r="17">
      <c r="A17" s="2" t="inlineStr">
        <is>
          <t>Onion trimmed</t>
        </is>
      </c>
      <c r="B17" s="3" t="n"/>
      <c r="C17" s="2" t="inlineStr">
        <is>
          <t>Purchase quote/specification required</t>
        </is>
      </c>
    </row>
    <row r="18">
      <c r="A18" s="2" t="inlineStr">
        <is>
          <t>Carrot trimmed</t>
        </is>
      </c>
      <c r="B18" s="3" t="n"/>
      <c r="C18" s="2" t="inlineStr">
        <is>
          <t>Purchase quote/specification required</t>
        </is>
      </c>
    </row>
    <row r="19">
      <c r="A19" s="2" t="inlineStr">
        <is>
          <t>Oil</t>
        </is>
      </c>
      <c r="B19" s="3" t="n">
        <v>1413.04347826087</v>
      </c>
      <c r="C19" s="2" t="inlineStr">
        <is>
          <t>PROVISIONAL 0.92 kg/L; correct after weighing</t>
        </is>
      </c>
    </row>
    <row r="20">
      <c r="A20" s="2" t="inlineStr">
        <is>
          <t>Garlic peeled</t>
        </is>
      </c>
      <c r="B20" s="3" t="n"/>
      <c r="C20" s="2" t="inlineStr">
        <is>
          <t>Purchase quote/specification required</t>
        </is>
      </c>
    </row>
    <row r="21">
      <c r="A21" s="2" t="inlineStr">
        <is>
          <t>Ginger peeled</t>
        </is>
      </c>
      <c r="B21" s="3" t="n"/>
      <c r="C21" s="2" t="inlineStr">
        <is>
          <t>Purchase quote/specification required</t>
        </is>
      </c>
    </row>
    <row r="22">
      <c r="A22" s="2" t="inlineStr">
        <is>
          <t>Black pepper</t>
        </is>
      </c>
      <c r="B22" s="3" t="n"/>
      <c r="C22" s="2" t="inlineStr">
        <is>
          <t>Purchase quote/specification required</t>
        </is>
      </c>
    </row>
    <row r="23">
      <c r="A23" s="2" t="inlineStr">
        <is>
          <t>Paprika</t>
        </is>
      </c>
      <c r="B23" s="3" t="n"/>
      <c r="C23" s="2" t="inlineStr">
        <is>
          <t>Purchase quote/specification required</t>
        </is>
      </c>
    </row>
    <row r="24">
      <c r="A24" s="2" t="inlineStr">
        <is>
          <t>Beef mince</t>
        </is>
      </c>
      <c r="B24" s="3" t="n"/>
      <c r="C24" s="2" t="inlineStr">
        <is>
          <t>Purchase quote/specification required</t>
        </is>
      </c>
    </row>
    <row r="25">
      <c r="A25" s="2" t="inlineStr">
        <is>
          <t>Potato peeled</t>
        </is>
      </c>
      <c r="B25" s="3" t="n"/>
      <c r="C25" s="2" t="inlineStr">
        <is>
          <t>Purchase quote/specification required</t>
        </is>
      </c>
    </row>
    <row r="26">
      <c r="A26" s="2" t="inlineStr">
        <is>
          <t>Thyme</t>
        </is>
      </c>
      <c r="B26" s="3" t="n"/>
      <c r="C26" s="2" t="inlineStr">
        <is>
          <t>Purchase quote/specification required</t>
        </is>
      </c>
    </row>
    <row r="27">
      <c r="A27" s="2" t="inlineStr">
        <is>
          <t>Curry powder</t>
        </is>
      </c>
      <c r="B27" s="3" t="n"/>
      <c r="C27" s="2" t="inlineStr">
        <is>
          <t>Purchase quote/specification required</t>
        </is>
      </c>
    </row>
    <row r="28">
      <c r="A28" s="2" t="inlineStr">
        <is>
          <t>Sausage meat</t>
        </is>
      </c>
      <c r="B28" s="3" t="n"/>
      <c r="C28" s="2" t="inlineStr">
        <is>
          <t>Purchase quote/specification required</t>
        </is>
      </c>
    </row>
    <row r="29">
      <c r="A29" s="2" t="inlineStr">
        <is>
          <t>Breadcrumbs</t>
        </is>
      </c>
      <c r="B29" s="3" t="n"/>
      <c r="C29" s="2" t="inlineStr">
        <is>
          <t>Purchase quote/specification required</t>
        </is>
      </c>
    </row>
    <row r="30">
      <c r="A30" s="2" t="inlineStr">
        <is>
          <t>Chicken boneless</t>
        </is>
      </c>
      <c r="B30" s="3" t="n"/>
      <c r="C30" s="2" t="inlineStr">
        <is>
          <t>Purchase quote/specification required</t>
        </is>
      </c>
    </row>
    <row r="31">
      <c r="A31" s="2" t="inlineStr">
        <is>
          <t>Pepper trimmed</t>
        </is>
      </c>
      <c r="B31" s="3" t="n"/>
      <c r="C31" s="2" t="inlineStr">
        <is>
          <t>Purchase quote/specification required</t>
        </is>
      </c>
    </row>
    <row r="32">
      <c r="A32" s="2" t="inlineStr">
        <is>
          <t>UHT milk</t>
        </is>
      </c>
      <c r="B32" s="3" t="n"/>
      <c r="C32" s="2" t="inlineStr">
        <is>
          <t>Purchase quote/specification required</t>
        </is>
      </c>
    </row>
    <row r="33">
      <c r="A33" s="2" t="inlineStr">
        <is>
          <t>Banana peeled</t>
        </is>
      </c>
      <c r="B33" s="3" t="n"/>
      <c r="C33" s="2" t="inlineStr">
        <is>
          <t>Purchase quote/specification required</t>
        </is>
      </c>
    </row>
    <row r="34">
      <c r="A34" s="2" t="inlineStr">
        <is>
          <t>Baking soda</t>
        </is>
      </c>
      <c r="B34" s="3" t="n"/>
      <c r="C34" s="2" t="inlineStr">
        <is>
          <t>Purchase quote/specification required</t>
        </is>
      </c>
    </row>
    <row r="35">
      <c r="A35" s="2" t="inlineStr">
        <is>
          <t>Cinnamon</t>
        </is>
      </c>
      <c r="B35" s="3" t="n"/>
      <c r="C35" s="2" t="inlineStr">
        <is>
          <t>Purchase quote/specification required</t>
        </is>
      </c>
    </row>
    <row r="36">
      <c r="A36" s="2" t="inlineStr">
        <is>
          <t>Tomato trimmed</t>
        </is>
      </c>
      <c r="B36" s="3" t="n"/>
      <c r="C36" s="2" t="inlineStr">
        <is>
          <t>Purchase quote/specification required</t>
        </is>
      </c>
    </row>
    <row r="37">
      <c r="A37" s="2" t="inlineStr">
        <is>
          <t>Oregano</t>
        </is>
      </c>
      <c r="B37" s="3" t="n"/>
      <c r="C37" s="2" t="inlineStr">
        <is>
          <t>Purchase quote/specification required</t>
        </is>
      </c>
    </row>
    <row r="38">
      <c r="A38" s="2" t="inlineStr">
        <is>
          <t>Yogurt plain</t>
        </is>
      </c>
      <c r="B38" s="3" t="n"/>
      <c r="C38" s="2" t="inlineStr">
        <is>
          <t>Purchase quote/specification required</t>
        </is>
      </c>
    </row>
    <row r="39">
      <c r="A39" s="2" t="inlineStr">
        <is>
          <t>Corn starch</t>
        </is>
      </c>
      <c r="B39" s="3" t="n"/>
      <c r="C39" s="2" t="inlineStr">
        <is>
          <t>Purchase quote/specification required</t>
        </is>
      </c>
    </row>
    <row r="40">
      <c r="A40" s="2" t="inlineStr">
        <is>
          <t>Mayonnaise pasteurized</t>
        </is>
      </c>
      <c r="B40" s="3" t="n"/>
      <c r="C40" s="2" t="inlineStr">
        <is>
          <t>Purchase quote/specification required</t>
        </is>
      </c>
    </row>
    <row r="41">
      <c r="A41" s="2" t="inlineStr">
        <is>
          <t>Ketchup</t>
        </is>
      </c>
      <c r="B41" s="3" t="n"/>
      <c r="C41" s="2" t="inlineStr">
        <is>
          <t>Purchase quote/specification required</t>
        </is>
      </c>
    </row>
    <row r="42">
      <c r="A42" s="2" t="inlineStr">
        <is>
          <t>Mustard</t>
        </is>
      </c>
      <c r="B42" s="3" t="n"/>
      <c r="C42" s="2" t="inlineStr">
        <is>
          <t>Purchase quote/specification required</t>
        </is>
      </c>
    </row>
    <row r="43">
      <c r="A43" s="2" t="inlineStr">
        <is>
          <t>Cumin</t>
        </is>
      </c>
      <c r="B43" s="3" t="n"/>
      <c r="C43" s="2" t="inlineStr">
        <is>
          <t>Purchase quote/specification required</t>
        </is>
      </c>
    </row>
    <row r="44">
      <c r="A44" s="2" t="inlineStr">
        <is>
          <t>Cream 35%</t>
        </is>
      </c>
      <c r="B44" s="3" t="n"/>
      <c r="C44" s="2" t="inlineStr">
        <is>
          <t>Purchase quote/specification required</t>
        </is>
      </c>
    </row>
    <row r="45">
      <c r="A45" s="2" t="inlineStr">
        <is>
          <t>Icing sugar</t>
        </is>
      </c>
      <c r="B45" s="3" t="n"/>
      <c r="C45" s="2" t="inlineStr">
        <is>
          <t>Purchase quote/specification required</t>
        </is>
      </c>
    </row>
    <row r="46">
      <c r="A46" s="2" t="inlineStr">
        <is>
          <t>Butter</t>
        </is>
      </c>
      <c r="B46" s="3" t="n"/>
      <c r="C46" s="2" t="inlineStr">
        <is>
          <t>Purchase quote/specification required</t>
        </is>
      </c>
    </row>
    <row r="47">
      <c r="A47" s="2" t="inlineStr">
        <is>
          <t>Lemon juice</t>
        </is>
      </c>
      <c r="B47" s="3" t="n"/>
      <c r="C47" s="2" t="inlineStr">
        <is>
          <t>Purchase quote/specification required</t>
        </is>
      </c>
    </row>
    <row r="48">
      <c r="A48" s="2" t="inlineStr">
        <is>
          <t>Vinegar 5%</t>
        </is>
      </c>
      <c r="B48" s="3" t="n"/>
      <c r="C48" s="2" t="inlineStr">
        <is>
          <t>Purchase quote/specification required</t>
        </is>
      </c>
    </row>
    <row r="49">
      <c r="A49" s="2" t="inlineStr">
        <is>
          <t>Coriander</t>
        </is>
      </c>
      <c r="B49" s="3" t="n"/>
      <c r="C49" s="2" t="inlineStr">
        <is>
          <t>Purchase quote/specification required</t>
        </is>
      </c>
    </row>
    <row r="50">
      <c r="A50" s="2" t="inlineStr">
        <is>
          <t>Chili trimmed</t>
        </is>
      </c>
      <c r="B50" s="3" t="n"/>
      <c r="C50" s="2" t="inlineStr">
        <is>
          <t>Purchase quote/specification required</t>
        </is>
      </c>
    </row>
    <row r="51">
      <c r="A51" s="2" t="inlineStr">
        <is>
          <t>Beef boneless</t>
        </is>
      </c>
      <c r="B51" s="3" t="n"/>
      <c r="C51" s="2" t="inlineStr">
        <is>
          <t>Purchase quote/specification required</t>
        </is>
      </c>
    </row>
    <row r="52">
      <c r="A52" s="2" t="inlineStr">
        <is>
          <t>Cabbage trimmed</t>
        </is>
      </c>
      <c r="B52" s="3" t="n"/>
      <c r="C52" s="2" t="inlineStr">
        <is>
          <t>Purchase quote/specification required</t>
        </is>
      </c>
    </row>
    <row r="53">
      <c r="A53" s="2" t="inlineStr">
        <is>
          <t>Cucumber trimmed</t>
        </is>
      </c>
      <c r="B53" s="3" t="n"/>
      <c r="C53" s="2" t="inlineStr">
        <is>
          <t>Purchase quote/specification required</t>
        </is>
      </c>
    </row>
    <row r="54">
      <c r="A54" s="2" t="inlineStr">
        <is>
          <t>Tahini</t>
        </is>
      </c>
      <c r="B54" s="3" t="n"/>
      <c r="C54" s="2" t="inlineStr">
        <is>
          <t>Purchase quote/specification required</t>
        </is>
      </c>
    </row>
    <row r="55">
      <c r="A55" s="2" t="inlineStr">
        <is>
          <t>Boneless trimmed white fish</t>
        </is>
      </c>
      <c r="B55" s="3" t="n"/>
      <c r="C55" s="2" t="inlineStr">
        <is>
          <t>Purchase quote/specification required</t>
        </is>
      </c>
    </row>
    <row r="56">
      <c r="A56" s="2" t="inlineStr">
        <is>
          <t>Garlic, finely crushed</t>
        </is>
      </c>
      <c r="B56" s="3" t="n"/>
      <c r="C56" s="2" t="inlineStr">
        <is>
          <t>Purchase quote/specification required</t>
        </is>
      </c>
    </row>
    <row r="57">
      <c r="A57" s="2" t="inlineStr">
        <is>
          <t>Mozzarella</t>
        </is>
      </c>
      <c r="B57" s="3" t="n"/>
      <c r="C57" s="2" t="inlineStr">
        <is>
          <t>Purchase quote/specification required</t>
        </is>
      </c>
    </row>
    <row r="58">
      <c r="A58" s="2" t="inlineStr">
        <is>
          <t>Lettuce trimmed</t>
        </is>
      </c>
      <c r="B58" s="3" t="n"/>
      <c r="C58" s="2" t="inlineStr">
        <is>
          <t>Purchase quote/specification required</t>
        </is>
      </c>
    </row>
    <row r="59">
      <c r="A59" s="2" t="inlineStr">
        <is>
          <t>Cheese slices</t>
        </is>
      </c>
      <c r="B59" s="3" t="n"/>
      <c r="C59" s="2" t="inlineStr">
        <is>
          <t>Purchase quote/specification required</t>
        </is>
      </c>
    </row>
    <row r="60">
      <c r="A60" s="2" t="inlineStr">
        <is>
          <t>Lettuce</t>
        </is>
      </c>
      <c r="B60" s="3" t="n"/>
      <c r="C60" s="2" t="inlineStr">
        <is>
          <t>Purchase quote/specification required</t>
        </is>
      </c>
    </row>
    <row r="61">
      <c r="A61" s="2" t="inlineStr">
        <is>
          <t>Tomato</t>
        </is>
      </c>
      <c r="B61" s="3" t="n"/>
      <c r="C61" s="2" t="inlineStr">
        <is>
          <t>Purchase quote/specification required</t>
        </is>
      </c>
    </row>
    <row r="62">
      <c r="A62" s="2" t="inlineStr">
        <is>
          <t>Onion</t>
        </is>
      </c>
      <c r="B62" s="3" t="n"/>
      <c r="C62" s="2" t="inlineStr">
        <is>
          <t>Purchase quote/specification required</t>
        </is>
      </c>
    </row>
    <row r="63">
      <c r="A63" s="2" t="inlineStr">
        <is>
          <t>Sweet pepper</t>
        </is>
      </c>
      <c r="B63" s="3" t="n"/>
      <c r="C63" s="2" t="inlineStr">
        <is>
          <t>Purchase quote/specification required</t>
        </is>
      </c>
    </row>
    <row r="64">
      <c r="A64" s="2" t="inlineStr">
        <is>
          <t>Skim milk powder</t>
        </is>
      </c>
      <c r="B64" s="3" t="n"/>
      <c r="C64" s="2" t="inlineStr">
        <is>
          <t>Purchase quote/specification required</t>
        </is>
      </c>
    </row>
    <row r="65">
      <c r="A65" s="2" t="inlineStr">
        <is>
          <t>Glucose powder</t>
        </is>
      </c>
      <c r="B65" s="3" t="n"/>
      <c r="C65" s="2" t="inlineStr">
        <is>
          <t>Purchase quote/specification required</t>
        </is>
      </c>
    </row>
    <row r="66">
      <c r="A66" s="2" t="inlineStr">
        <is>
          <t>Ice cream stabilizer blend</t>
        </is>
      </c>
      <c r="B66" s="3" t="n"/>
      <c r="C66" s="2" t="inlineStr">
        <is>
          <t>Purchase quote/specification required</t>
        </is>
      </c>
    </row>
    <row r="67">
      <c r="A67" s="2" t="inlineStr">
        <is>
          <t>Pineapple puree pasteurized</t>
        </is>
      </c>
      <c r="B67" s="3" t="n"/>
      <c r="C67" s="2" t="inlineStr">
        <is>
          <t>Purchase quote/specification required</t>
        </is>
      </c>
    </row>
    <row r="68">
      <c r="A68" s="2" t="inlineStr">
        <is>
          <t>Mango puree pasteurized</t>
        </is>
      </c>
      <c r="B68" s="3" t="n"/>
      <c r="C68" s="2" t="inlineStr">
        <is>
          <t>Purchase quote/specification required</t>
        </is>
      </c>
    </row>
    <row r="69">
      <c r="A69" s="2" t="inlineStr">
        <is>
          <t>Cocoa</t>
        </is>
      </c>
      <c r="B69" s="3" t="n"/>
      <c r="C69" s="2" t="inlineStr">
        <is>
          <t>Purchase quote/specification required</t>
        </is>
      </c>
    </row>
    <row r="70">
      <c r="A70" s="2" t="inlineStr">
        <is>
          <t>Compound chocolate coating</t>
        </is>
      </c>
      <c r="B70" s="3" t="n"/>
      <c r="C70" s="2" t="inlineStr">
        <is>
          <t>Purchase quote/specification required</t>
        </is>
      </c>
    </row>
    <row r="71">
      <c r="A71" s="2" t="inlineStr">
        <is>
          <t>Peanut roasted</t>
        </is>
      </c>
      <c r="B71" s="3" t="n"/>
      <c r="C71" s="2" t="inlineStr">
        <is>
          <t>Purchase quote/specification required</t>
        </is>
      </c>
    </row>
    <row r="72">
      <c r="A72" s="2" t="inlineStr">
        <is>
          <t>Nevada instant dry yeast</t>
        </is>
      </c>
      <c r="B72" s="3" t="n">
        <v>1666.666666666667</v>
      </c>
      <c r="C72" s="2" t="inlineStr">
        <is>
          <t>Nevada instant dry; sweet-dough suitability requires trial</t>
        </is>
      </c>
    </row>
    <row r="73">
      <c r="A73" s="2" t="inlineStr">
        <is>
          <t>Margarine 80%</t>
        </is>
      </c>
      <c r="B73" s="3" t="n"/>
      <c r="C73" s="2" t="inlineStr">
        <is>
          <t>Purchase quote/specification required</t>
        </is>
      </c>
    </row>
    <row r="74">
      <c r="A74" s="2" t="inlineStr">
        <is>
          <t>Butter 82%</t>
        </is>
      </c>
      <c r="B74" s="3" t="n"/>
      <c r="C74" s="2" t="inlineStr">
        <is>
          <t>Purchase quote/specification required</t>
        </is>
      </c>
    </row>
    <row r="75">
      <c r="A75" s="2" t="inlineStr">
        <is>
          <t>Whole egg</t>
        </is>
      </c>
      <c r="B75" s="3" t="n"/>
      <c r="C75" s="2" t="inlineStr">
        <is>
          <t>Purchase quote/specification required</t>
        </is>
      </c>
    </row>
    <row r="76">
      <c r="A76" s="2" t="inlineStr">
        <is>
          <t>Whole milk 3.5%</t>
        </is>
      </c>
      <c r="B76" s="3" t="n"/>
      <c r="C76" s="2" t="inlineStr">
        <is>
          <t>Purchase quote/specification required</t>
        </is>
      </c>
    </row>
    <row r="77">
      <c r="A77" s="2" t="inlineStr">
        <is>
          <t>Desiccated coconut</t>
        </is>
      </c>
      <c r="B77" s="3" t="n"/>
      <c r="C77" s="2" t="inlineStr">
        <is>
          <t>Purchase quote/specification required</t>
        </is>
      </c>
    </row>
    <row r="78">
      <c r="A78" s="2" t="inlineStr">
        <is>
          <t>Banana pulp</t>
        </is>
      </c>
      <c r="B78" s="3" t="n"/>
      <c r="C78" s="2" t="inlineStr">
        <is>
          <t>Purchase quote/specification required</t>
        </is>
      </c>
    </row>
    <row r="79">
      <c r="A79" s="2" t="inlineStr">
        <is>
          <t>Raw beef mince</t>
        </is>
      </c>
      <c r="B79" s="3" t="n"/>
      <c r="C79" s="2" t="inlineStr">
        <is>
          <t>Purchase quote/specification required</t>
        </is>
      </c>
    </row>
    <row r="80">
      <c r="A80" s="2" t="inlineStr">
        <is>
          <t>Pasteurized-egg mayonnaise</t>
        </is>
      </c>
      <c r="B80" s="3" t="n"/>
      <c r="C80" s="2" t="inlineStr">
        <is>
          <t>Purchase quote/specification required</t>
        </is>
      </c>
    </row>
    <row r="81">
      <c r="A81" s="2" t="inlineStr">
        <is>
          <t>Drained pickle</t>
        </is>
      </c>
      <c r="B81" s="3" t="n"/>
      <c r="C81" s="2" t="inlineStr">
        <is>
          <t>Purchase quote/specification required</t>
        </is>
      </c>
    </row>
    <row r="82">
      <c r="A82" s="2" t="inlineStr">
        <is>
          <t>Drained sardines</t>
        </is>
      </c>
      <c r="B82" s="3" t="n"/>
      <c r="C82" s="2" t="inlineStr">
        <is>
          <t>Purchase quote/specification required</t>
        </is>
      </c>
    </row>
    <row r="83">
      <c r="A83" s="2" t="inlineStr">
        <is>
          <t>Carrot</t>
        </is>
      </c>
      <c r="B83" s="3" t="n"/>
      <c r="C83" s="2" t="inlineStr">
        <is>
          <t>Purchase quote/specification required</t>
        </is>
      </c>
    </row>
    <row r="84">
      <c r="A84" s="2" t="inlineStr">
        <is>
          <t>Tomato paste</t>
        </is>
      </c>
      <c r="B84" s="3" t="n"/>
      <c r="C84" s="2" t="inlineStr">
        <is>
          <t>Purchase quote/specification required</t>
        </is>
      </c>
    </row>
    <row r="85">
      <c r="A85" s="2" t="inlineStr">
        <is>
          <t>Garlic</t>
        </is>
      </c>
      <c r="B85" s="3" t="n"/>
      <c r="C85" s="2" t="inlineStr">
        <is>
          <t>Purchase quote/specification required</t>
        </is>
      </c>
    </row>
    <row r="86">
      <c r="A86" s="2" t="inlineStr">
        <is>
          <t>Low-moisture cheese</t>
        </is>
      </c>
      <c r="B86" s="3" t="n"/>
      <c r="C86" s="2" t="inlineStr">
        <is>
          <t>Purchase quote/specification required</t>
        </is>
      </c>
    </row>
    <row r="87">
      <c r="A87" s="2" t="inlineStr">
        <is>
          <t>Raw chicken thigh</t>
        </is>
      </c>
      <c r="B87" s="3" t="n"/>
      <c r="C87" s="2" t="inlineStr">
        <is>
          <t>Purchase quote/specification required</t>
        </is>
      </c>
    </row>
    <row r="88">
      <c r="A88" s="2" t="inlineStr">
        <is>
          <t>Plain pasteurized yogurt</t>
        </is>
      </c>
      <c r="B88" s="3" t="n"/>
      <c r="C88" s="2" t="inlineStr">
        <is>
          <t>Purchase quote/specification required</t>
        </is>
      </c>
    </row>
    <row r="89">
      <c r="A89" s="2" t="inlineStr">
        <is>
          <t>Lime juice</t>
        </is>
      </c>
      <c r="B89" s="3" t="n"/>
      <c r="C89" s="2" t="inlineStr">
        <is>
          <t>Purchase quote/specification required</t>
        </is>
      </c>
    </row>
    <row r="90">
      <c r="A90" s="2" t="inlineStr">
        <is>
          <t>Ginger</t>
        </is>
      </c>
      <c r="B90" s="3" t="n"/>
      <c r="C90" s="2" t="inlineStr">
        <is>
          <t>Purchase quote/specification required</t>
        </is>
      </c>
    </row>
    <row r="91">
      <c r="A91" s="2" t="inlineStr">
        <is>
          <t>Cooked garlic puree</t>
        </is>
      </c>
      <c r="B91" s="3" t="n"/>
      <c r="C91" s="2" t="inlineStr">
        <is>
          <t>Purchase quote/specification required</t>
        </is>
      </c>
    </row>
    <row r="92">
      <c r="A92" s="2" t="inlineStr">
        <is>
          <t>Cabbage</t>
        </is>
      </c>
      <c r="B92" s="3" t="n"/>
      <c r="C92" s="2" t="inlineStr">
        <is>
          <t>Purchase quote/specification required</t>
        </is>
      </c>
    </row>
    <row r="93">
      <c r="A93" s="2" t="inlineStr">
        <is>
          <t>Peeled potato</t>
        </is>
      </c>
      <c r="B93" s="3" t="n"/>
      <c r="C93" s="2" t="inlineStr">
        <is>
          <t>Purchase quote/specification required</t>
        </is>
      </c>
    </row>
    <row r="94">
      <c r="A94" s="2" t="inlineStr">
        <is>
          <t>Peas</t>
        </is>
      </c>
      <c r="B94" s="3" t="n"/>
      <c r="C94" s="2" t="inlineStr">
        <is>
          <t>Purchase quote/specification required</t>
        </is>
      </c>
    </row>
    <row r="95">
      <c r="A95" s="2" t="inlineStr">
        <is>
          <t>Dextrose anhydrous</t>
        </is>
      </c>
      <c r="B95" s="3" t="n"/>
      <c r="C95" s="2" t="inlineStr">
        <is>
          <t>Purchase quote/specification required</t>
        </is>
      </c>
    </row>
    <row r="96">
      <c r="A96" s="2" t="inlineStr">
        <is>
          <t>STAB 2000</t>
        </is>
      </c>
      <c r="B96" s="3" t="n"/>
      <c r="C96" s="2" t="inlineStr">
        <is>
          <t>Purchase quote/specification required</t>
        </is>
      </c>
    </row>
    <row r="97">
      <c r="A97" s="2" t="inlineStr">
        <is>
          <t>Pasteurized pineapple juice 12 Brix</t>
        </is>
      </c>
      <c r="B97" s="3" t="n"/>
      <c r="C97" s="2" t="inlineStr">
        <is>
          <t>Purchase quote/specification required</t>
        </is>
      </c>
    </row>
    <row r="98">
      <c r="A98" s="2" t="inlineStr">
        <is>
          <t>Treated ginger juice</t>
        </is>
      </c>
      <c r="B98" s="3" t="n"/>
      <c r="C98" s="2" t="inlineStr">
        <is>
          <t>Purchase quote/specification required</t>
        </is>
      </c>
    </row>
    <row r="99">
      <c r="A99" s="2" t="inlineStr">
        <is>
          <t>Pasteurized lime juice</t>
        </is>
      </c>
      <c r="B99" s="3" t="n"/>
      <c r="C99" s="2" t="inlineStr">
        <is>
          <t>Purchase quote/specification required</t>
        </is>
      </c>
    </row>
    <row r="100">
      <c r="A100" s="2" t="inlineStr">
        <is>
          <t>Super Neutrose</t>
        </is>
      </c>
      <c r="B100" s="3" t="n"/>
      <c r="C100" s="2" t="inlineStr">
        <is>
          <t>Purchase quote/specification required</t>
        </is>
      </c>
    </row>
    <row r="101">
      <c r="A101" s="2" t="inlineStr">
        <is>
          <t>Validated hibiscus infusion</t>
        </is>
      </c>
      <c r="B101" s="3" t="n"/>
      <c r="C101" s="2" t="inlineStr">
        <is>
          <t>Purchase quote/specification required</t>
        </is>
      </c>
    </row>
    <row r="102">
      <c r="A102" s="2" t="inlineStr">
        <is>
          <t>Cocoa powder</t>
        </is>
      </c>
      <c r="B102" s="3" t="n"/>
      <c r="C102" s="2" t="inlineStr">
        <is>
          <t>Purchase quote/specification required</t>
        </is>
      </c>
    </row>
    <row r="103">
      <c r="A103" s="2" t="inlineStr">
        <is>
          <t>Callebaut Ice Chocolate White</t>
        </is>
      </c>
      <c r="B103" s="3" t="n"/>
      <c r="C103" s="2" t="inlineStr">
        <is>
          <t>Purchase quote/specification required</t>
        </is>
      </c>
    </row>
    <row r="104">
      <c r="A104" s="2" t="inlineStr">
        <is>
          <t>Yogourmet Original 3g sachet</t>
        </is>
      </c>
      <c r="B104" s="3" t="n"/>
      <c r="C104" s="2" t="inlineStr">
        <is>
          <t>Purchase quote/specification required</t>
        </is>
      </c>
    </row>
    <row r="105">
      <c r="A105" s="2" t="inlineStr">
        <is>
          <t>Pasteurized mango puree 15 Brix</t>
        </is>
      </c>
      <c r="B105" s="3" t="n"/>
      <c r="C105" s="2" t="inlineStr">
        <is>
          <t>Purchase quote/specification required</t>
        </is>
      </c>
    </row>
    <row r="106">
      <c r="A106" s="2" t="inlineStr">
        <is>
          <t>Le Choix du Boulanger flour</t>
        </is>
      </c>
      <c r="B106" s="3" t="n">
        <v>420</v>
      </c>
      <c r="C106" s="2" t="inlineStr">
        <is>
          <t>Owner flour price; flour performance requires trial</t>
        </is>
      </c>
    </row>
    <row r="107">
      <c r="A107" s="2" t="inlineStr">
        <is>
          <t>Potable water</t>
        </is>
      </c>
      <c r="B107" s="3" t="n"/>
      <c r="C107" s="2" t="inlineStr">
        <is>
          <t>Purchase quote/specification required</t>
        </is>
      </c>
    </row>
    <row r="108">
      <c r="A108" s="2" t="inlineStr">
        <is>
          <t>White granulated sugar</t>
        </is>
      </c>
      <c r="B108" s="3" t="n">
        <v>640</v>
      </c>
      <c r="C108" s="2" t="inlineStr">
        <is>
          <t>Owner granulated sugar price; grind specification must match</t>
        </is>
      </c>
    </row>
    <row r="109">
      <c r="A109" s="2" t="inlineStr">
        <is>
          <t>Millac Premium powder</t>
        </is>
      </c>
      <c r="B109" s="3" t="n">
        <v>3200</v>
      </c>
      <c r="C109" s="2" t="inlineStr">
        <is>
          <t>Millac fat-filled powder trial; not skim or whole milk powder</t>
        </is>
      </c>
    </row>
    <row r="110">
      <c r="A110" s="2" t="inlineStr">
        <is>
          <t>Roma margarine</t>
        </is>
      </c>
      <c r="B110" s="3" t="n">
        <v>1333.333333333333</v>
      </c>
      <c r="C110" s="2" t="inlineStr">
        <is>
          <t>Roma; fat, salt and application suitability unconfirmed</t>
        </is>
      </c>
    </row>
    <row r="111">
      <c r="A111" s="2" t="inlineStr">
        <is>
          <t>Fine food-grade salt</t>
        </is>
      </c>
      <c r="B111" s="3" t="n">
        <v>194.4444444444445</v>
      </c>
      <c r="C111" s="2" t="inlineStr">
        <is>
          <t>Owner price</t>
        </is>
      </c>
    </row>
    <row r="112">
      <c r="A112" s="2" t="inlineStr">
        <is>
          <t>Unsweetened fine desiccated coconut</t>
        </is>
      </c>
      <c r="B112" s="3" t="n"/>
      <c r="C112" s="2" t="inlineStr">
        <is>
          <t>Purchase quote/specification required</t>
        </is>
      </c>
    </row>
    <row r="113">
      <c r="A113" s="2" t="inlineStr">
        <is>
          <t>Ready-to-use seedless raisins</t>
        </is>
      </c>
      <c r="B113" s="3" t="n"/>
      <c r="C113" s="2" t="inlineStr">
        <is>
          <t>Purchase quote/specification required</t>
        </is>
      </c>
    </row>
    <row r="114">
      <c r="A114" s="2" t="inlineStr">
        <is>
          <t>Ground cinnamon</t>
        </is>
      </c>
      <c r="B114" s="3" t="n"/>
      <c r="C114" s="2" t="inlineStr">
        <is>
          <t>Purchase quote/specification required</t>
        </is>
      </c>
    </row>
    <row r="115">
      <c r="A115" s="2" t="inlineStr">
        <is>
          <t>Neutral food-grade oil</t>
        </is>
      </c>
      <c r="B115" s="3" t="n">
        <v>1413.04347826087</v>
      </c>
      <c r="C115" s="2" t="inlineStr">
        <is>
          <t>PROVISIONAL 0.92 kg/L; correct after weighing</t>
        </is>
      </c>
    </row>
    <row r="116">
      <c r="A116" s="2" t="inlineStr">
        <is>
          <t>Food-grade garlic powder</t>
        </is>
      </c>
      <c r="B116" s="3" t="n"/>
      <c r="C116" s="2" t="inlineStr">
        <is>
          <t>Purchase quote/specification required</t>
        </is>
      </c>
    </row>
    <row r="117">
      <c r="A117" s="2" t="inlineStr">
        <is>
          <t>Dried mixed herbs</t>
        </is>
      </c>
      <c r="B117" s="3" t="n"/>
      <c r="C117" s="2" t="inlineStr">
        <is>
          <t>Purchase quote/specification required</t>
        </is>
      </c>
    </row>
    <row r="118">
      <c r="A118" s="2" t="inlineStr">
        <is>
          <t>Baking powder double acting</t>
        </is>
      </c>
      <c r="B118" s="3" t="n"/>
      <c r="C118" s="2" t="inlineStr">
        <is>
          <t>Purchase quote/specification required</t>
        </is>
      </c>
    </row>
    <row r="119">
      <c r="A119" s="2" t="inlineStr">
        <is>
          <t>Egg edible mass</t>
        </is>
      </c>
      <c r="B119" s="3" t="n"/>
      <c r="C119" s="2" t="inlineStr">
        <is>
          <t>Purchase quote/specification required</t>
        </is>
      </c>
    </row>
    <row r="120">
      <c r="A120" s="2" t="inlineStr">
        <is>
          <t>Whole wheat flour</t>
        </is>
      </c>
      <c r="B120" s="3" t="n"/>
      <c r="C120" s="2" t="inlineStr">
        <is>
          <t>Purchase quote/specification required</t>
        </is>
      </c>
    </row>
    <row r="121">
      <c r="A121" s="2" t="inlineStr">
        <is>
          <t>Honey</t>
        </is>
      </c>
      <c r="B121" s="3" t="n"/>
      <c r="C121" s="2" t="inlineStr">
        <is>
          <t>Purchase quote/specification required</t>
        </is>
      </c>
    </row>
    <row r="122">
      <c r="A122" s="2" t="inlineStr">
        <is>
          <t>Vanilla extract</t>
        </is>
      </c>
      <c r="B122" s="3" t="n"/>
      <c r="C122" s="2" t="inlineStr">
        <is>
          <t>Purchase quote/specification required</t>
        </is>
      </c>
    </row>
    <row r="123">
      <c r="A123" s="2" t="inlineStr">
        <is>
          <t>Unsweetened cocoa</t>
        </is>
      </c>
      <c r="B123" s="3" t="n"/>
      <c r="C123" s="2" t="inlineStr">
        <is>
          <t>Purchase quote/specification required</t>
        </is>
      </c>
    </row>
    <row r="124">
      <c r="A124" s="2" t="inlineStr">
        <is>
          <t>Ground nutmeg</t>
        </is>
      </c>
      <c r="B124" s="3" t="n"/>
      <c r="C124" s="2" t="inlineStr">
        <is>
          <t>Purchase quote/specification required</t>
        </is>
      </c>
    </row>
    <row r="125">
      <c r="A125" s="2" t="inlineStr">
        <is>
          <t>Pasteurized whole milk</t>
        </is>
      </c>
      <c r="B125" s="3" t="n"/>
      <c r="C125" s="2" t="inlineStr">
        <is>
          <t>Purchase quote/specification required</t>
        </is>
      </c>
    </row>
    <row r="126">
      <c r="A126" s="2" t="inlineStr">
        <is>
          <t>Vanilla sugar</t>
        </is>
      </c>
      <c r="B126" s="3" t="n"/>
      <c r="C126" s="2" t="inlineStr">
        <is>
          <t>Purchase quote/specification required</t>
        </is>
      </c>
    </row>
    <row r="127">
      <c r="A127" s="2" t="inlineStr">
        <is>
          <t>Fresh lime zest</t>
        </is>
      </c>
      <c r="B127" s="3" t="n"/>
      <c r="C127" s="2" t="inlineStr">
        <is>
          <t>Purchase quote/specification required</t>
        </is>
      </c>
    </row>
    <row r="128">
      <c r="A128" s="2" t="inlineStr">
        <is>
          <t>Qualified roll-in pastry fat</t>
        </is>
      </c>
      <c r="B128" s="3" t="n"/>
      <c r="C128" s="2" t="inlineStr">
        <is>
          <t>Purchase quote/specification required</t>
        </is>
      </c>
    </row>
    <row r="129">
      <c r="A129" s="2" t="inlineStr">
        <is>
          <t>Bake stable chocolate batons</t>
        </is>
      </c>
      <c r="B129" s="3" t="n"/>
      <c r="C129" s="2" t="inlineStr">
        <is>
          <t>Purchase quote/specification required</t>
        </is>
      </c>
    </row>
    <row r="130">
      <c r="A130" s="2" t="inlineStr">
        <is>
          <t>Bake stable chocolate</t>
        </is>
      </c>
      <c r="B130" s="3" t="n"/>
      <c r="C130" s="2" t="inlineStr">
        <is>
          <t>Purchase quote/specification required</t>
        </is>
      </c>
    </row>
    <row r="131">
      <c r="A131" s="2" t="inlineStr">
        <is>
          <t>Dried rosemary</t>
        </is>
      </c>
      <c r="B131" s="3" t="n"/>
      <c r="C131" s="2" t="inlineStr">
        <is>
          <t>Purchase quote/specification required</t>
        </is>
      </c>
    </row>
    <row r="132">
      <c r="A132" s="2" t="inlineStr">
        <is>
          <t>Peeled firm unripe plantain</t>
        </is>
      </c>
      <c r="B132" s="3" t="n"/>
      <c r="C132" s="2" t="inlineStr">
        <is>
          <t>Purchase quote/specification required</t>
        </is>
      </c>
    </row>
    <row r="133">
      <c r="A133" s="2" t="inlineStr">
        <is>
          <t>Peeled onions</t>
        </is>
      </c>
      <c r="B133" s="3" t="n"/>
      <c r="C133" s="2" t="inlineStr">
        <is>
          <t>Purchase quote/specification required</t>
        </is>
      </c>
    </row>
    <row r="134">
      <c r="A134" s="2" t="inlineStr">
        <is>
          <t>Balsamic vinegar</t>
        </is>
      </c>
      <c r="B134" s="3" t="n"/>
      <c r="C134" s="2" t="inlineStr">
        <is>
          <t>Purchase quote/specification required</t>
        </is>
      </c>
    </row>
    <row r="135">
      <c r="A135" s="2" t="inlineStr">
        <is>
          <t>Gruyere cheese</t>
        </is>
      </c>
      <c r="B135" s="3" t="n"/>
      <c r="C135" s="2" t="inlineStr">
        <is>
          <t>Purchase quote/specification required</t>
        </is>
      </c>
    </row>
    <row r="136">
      <c r="A136" s="2" t="inlineStr">
        <is>
          <t>Pasteurized egg yolk</t>
        </is>
      </c>
      <c r="B136" s="3" t="n"/>
      <c r="C136" s="2" t="inlineStr">
        <is>
          <t>Purchase quote/specification required</t>
        </is>
      </c>
    </row>
    <row r="137">
      <c r="A137" s="2" t="inlineStr">
        <is>
          <t>Cornstarch</t>
        </is>
      </c>
      <c r="B137" s="3" t="n"/>
      <c r="C137" s="2" t="inlineStr">
        <is>
          <t>Purchase quote/specification required</t>
        </is>
      </c>
    </row>
    <row r="138">
      <c r="A138" s="2" t="inlineStr">
        <is>
          <t>Unsalted dairy butter</t>
        </is>
      </c>
      <c r="B138" s="3" t="n"/>
      <c r="C138" s="2" t="inlineStr">
        <is>
          <t>Purchase quote/specification required</t>
        </is>
      </c>
    </row>
    <row r="139">
      <c r="A139" s="2" t="inlineStr">
        <is>
          <t>Rolled oats</t>
        </is>
      </c>
      <c r="B139" s="3" t="n"/>
      <c r="C139" s="2" t="inlineStr">
        <is>
          <t>Purchase quote/specification required</t>
        </is>
      </c>
    </row>
    <row r="140">
      <c r="A140" s="2" t="inlineStr">
        <is>
          <t>Ready-to-eat roasted groundnuts</t>
        </is>
      </c>
      <c r="B140" s="3" t="n"/>
      <c r="C140" s="2" t="inlineStr">
        <is>
          <t>Purchase quote/specification required</t>
        </is>
      </c>
    </row>
    <row r="141">
      <c r="A141" s="2" t="inlineStr">
        <is>
          <t>Top Milk concentrated milk</t>
        </is>
      </c>
      <c r="B141" s="3" t="n">
        <v>1000</v>
      </c>
      <c r="C141" s="2" t="inlineStr">
        <is>
          <t>Owner price; composition/type unresolved; not mapped to sweetened condensed milk</t>
        </is>
      </c>
    </row>
    <row r="142">
      <c r="A142" t="inlineStr">
        <is>
          <t>H2 flour</t>
        </is>
      </c>
      <c r="B142" t="n">
        <v>420</v>
      </c>
      <c r="C142" t="inlineStr">
        <is>
          <t>Owner quote / water unresolved</t>
        </is>
      </c>
    </row>
    <row r="143">
      <c r="A143" t="inlineStr">
        <is>
          <t>H2 potable water</t>
        </is>
      </c>
      <c r="C143" t="inlineStr">
        <is>
          <t>Owner quote / water unresolved</t>
        </is>
      </c>
    </row>
    <row r="144">
      <c r="A144" t="inlineStr">
        <is>
          <t>H2 salt</t>
        </is>
      </c>
      <c r="B144" t="n">
        <v>194.4444444444445</v>
      </c>
      <c r="C144" t="inlineStr">
        <is>
          <t>Owner quote / water unresolved</t>
        </is>
      </c>
    </row>
    <row r="145">
      <c r="A145" t="inlineStr">
        <is>
          <t>H2 Nevada</t>
        </is>
      </c>
      <c r="B145" t="n">
        <v>1666.666666666667</v>
      </c>
      <c r="C145" t="inlineStr">
        <is>
          <t>Owner quote / water unresolved</t>
        </is>
      </c>
    </row>
    <row r="146">
      <c r="A146" t="inlineStr">
        <is>
          <t>EDC unidentified HOLD</t>
        </is>
      </c>
      <c r="C146" t="inlineStr">
        <is>
          <t>Identity and purchase price unresolved; not margarine</t>
        </is>
      </c>
    </row>
  </sheetData>
  <autoFilter ref="A1:C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21"/>
  <sheetViews>
    <sheetView showGridLines="0" workbookViewId="0">
      <pane ySplit="1" topLeftCell="A2" activePane="bottomLeft" state="frozen"/>
      <selection pane="bottomLeft" activeCell="A1" sqref="A1"/>
    </sheetView>
  </sheetViews>
  <sheetFormatPr baseColWidth="8" defaultRowHeight="15"/>
  <cols>
    <col width="1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s>
  <sheetData>
    <row r="1" ht="32" customHeight="1">
      <c r="A1" s="1" t="inlineStr">
        <is>
          <t>Recipe ID</t>
        </is>
      </c>
      <c r="B1" s="1" t="inlineStr">
        <is>
          <t>Recipe</t>
        </is>
      </c>
      <c r="C1" s="1" t="inlineStr">
        <is>
          <t>Component</t>
        </is>
      </c>
      <c r="D1" s="1" t="inlineStr">
        <is>
          <t>Ingredient</t>
        </is>
      </c>
      <c r="E1" s="1" t="inlineStr">
        <is>
          <t>Pilot grams</t>
        </is>
      </c>
      <c r="F1" s="1" t="inlineStr">
        <is>
          <t>Commercial grams</t>
        </is>
      </c>
      <c r="G1" s="1" t="inlineStr">
        <is>
          <t>FCFA per kg</t>
        </is>
      </c>
      <c r="H1" s="1" t="inlineStr">
        <is>
          <t>Known extended FCFA</t>
        </is>
      </c>
      <c r="I1" s="1" t="inlineStr">
        <is>
          <t>Status / price basis</t>
        </is>
      </c>
      <c r="J1" s="1" t="inlineStr">
        <is>
          <t>Component reference</t>
        </is>
      </c>
    </row>
    <row r="2">
      <c r="A2" s="2" t="inlineStr">
        <is>
          <t>O-B01</t>
        </is>
      </c>
      <c r="B2" s="2" t="inlineStr">
        <is>
          <t>Family bread dough</t>
        </is>
      </c>
      <c r="C2" s="2" t="inlineStr">
        <is>
          <t>Main formula</t>
        </is>
      </c>
      <c r="D2" s="2" t="inlineStr">
        <is>
          <t>Bread flour</t>
        </is>
      </c>
      <c r="E2" s="3" t="n">
        <v>1000</v>
      </c>
      <c r="F2" s="3" t="n">
        <v>5000</v>
      </c>
      <c r="G2" s="2">
        <f>IF(Prices!B2="","",Prices!B2)</f>
        <v/>
      </c>
      <c r="H2" s="2">
        <f>IF(G2="","",E2/1000*G2)</f>
        <v/>
      </c>
      <c r="I2" s="2" t="inlineStr">
        <is>
          <t>Owner flour price; flour performance requires trial</t>
        </is>
      </c>
      <c r="J2" s="2" t="inlineStr"/>
    </row>
    <row r="3">
      <c r="A3" s="2" t="inlineStr">
        <is>
          <t>O-B01</t>
        </is>
      </c>
      <c r="B3" s="2" t="inlineStr">
        <is>
          <t>Family bread dough</t>
        </is>
      </c>
      <c r="C3" s="2" t="inlineStr">
        <is>
          <t>Main formula</t>
        </is>
      </c>
      <c r="D3" s="2" t="inlineStr">
        <is>
          <t>Water</t>
        </is>
      </c>
      <c r="E3" s="3" t="n">
        <v>600</v>
      </c>
      <c r="F3" s="3" t="n">
        <v>3000</v>
      </c>
      <c r="G3" s="2">
        <f>IF(Prices!B3="","",Prices!B3)</f>
        <v/>
      </c>
      <c r="H3" s="2">
        <f>IF(G3="","",E3/1000*G3)</f>
        <v/>
      </c>
      <c r="I3" s="2" t="inlineStr">
        <is>
          <t>Purchase quote/specification required</t>
        </is>
      </c>
      <c r="J3" s="2" t="inlineStr"/>
    </row>
    <row r="4">
      <c r="A4" s="2" t="inlineStr">
        <is>
          <t>O-B01</t>
        </is>
      </c>
      <c r="B4" s="2" t="inlineStr">
        <is>
          <t>Family bread dough</t>
        </is>
      </c>
      <c r="C4" s="2" t="inlineStr">
        <is>
          <t>Main formula</t>
        </is>
      </c>
      <c r="D4" s="2" t="inlineStr">
        <is>
          <t>Sugar</t>
        </is>
      </c>
      <c r="E4" s="3" t="n">
        <v>50</v>
      </c>
      <c r="F4" s="3" t="n">
        <v>250</v>
      </c>
      <c r="G4" s="2">
        <f>IF(Prices!B4="","",Prices!B4)</f>
        <v/>
      </c>
      <c r="H4" s="2">
        <f>IF(G4="","",E4/1000*G4)</f>
        <v/>
      </c>
      <c r="I4" s="2" t="inlineStr">
        <is>
          <t>Owner granulated sugar price; grind specification must match</t>
        </is>
      </c>
      <c r="J4" s="2" t="inlineStr"/>
    </row>
    <row r="5">
      <c r="A5" s="2" t="inlineStr">
        <is>
          <t>O-B01</t>
        </is>
      </c>
      <c r="B5" s="2" t="inlineStr">
        <is>
          <t>Family bread dough</t>
        </is>
      </c>
      <c r="C5" s="2" t="inlineStr">
        <is>
          <t>Main formula</t>
        </is>
      </c>
      <c r="D5" s="2" t="inlineStr">
        <is>
          <t>Margarine</t>
        </is>
      </c>
      <c r="E5" s="3" t="n">
        <v>35</v>
      </c>
      <c r="F5" s="3" t="n">
        <v>175</v>
      </c>
      <c r="G5" s="2">
        <f>IF(Prices!B5="","",Prices!B5)</f>
        <v/>
      </c>
      <c r="H5" s="2">
        <f>IF(G5="","",E5/1000*G5)</f>
        <v/>
      </c>
      <c r="I5" s="2" t="inlineStr">
        <is>
          <t>Roma; fat, salt and application suitability unconfirmed</t>
        </is>
      </c>
      <c r="J5" s="2" t="inlineStr"/>
    </row>
    <row r="6">
      <c r="A6" s="2" t="inlineStr">
        <is>
          <t>O-B01</t>
        </is>
      </c>
      <c r="B6" s="2" t="inlineStr">
        <is>
          <t>Family bread dough</t>
        </is>
      </c>
      <c r="C6" s="2" t="inlineStr">
        <is>
          <t>Main formula</t>
        </is>
      </c>
      <c r="D6" s="2" t="inlineStr">
        <is>
          <t>Salt</t>
        </is>
      </c>
      <c r="E6" s="3" t="n">
        <v>18</v>
      </c>
      <c r="F6" s="3" t="n">
        <v>90</v>
      </c>
      <c r="G6" s="2">
        <f>IF(Prices!B6="","",Prices!B6)</f>
        <v/>
      </c>
      <c r="H6" s="2">
        <f>IF(G6="","",E6/1000*G6)</f>
        <v/>
      </c>
      <c r="I6" s="2" t="inlineStr">
        <is>
          <t>Owner price</t>
        </is>
      </c>
      <c r="J6" s="2" t="inlineStr"/>
    </row>
    <row r="7">
      <c r="A7" s="2" t="inlineStr">
        <is>
          <t>O-B01</t>
        </is>
      </c>
      <c r="B7" s="2" t="inlineStr">
        <is>
          <t>Family bread dough</t>
        </is>
      </c>
      <c r="C7" s="2" t="inlineStr">
        <is>
          <t>Main formula</t>
        </is>
      </c>
      <c r="D7" s="2" t="inlineStr">
        <is>
          <t>Yeast</t>
        </is>
      </c>
      <c r="E7" s="3" t="n">
        <v>12</v>
      </c>
      <c r="F7" s="3" t="n">
        <v>60</v>
      </c>
      <c r="G7" s="2">
        <f>IF(Prices!B7="","",Prices!B7)</f>
        <v/>
      </c>
      <c r="H7" s="2">
        <f>IF(G7="","",E7/1000*G7)</f>
        <v/>
      </c>
      <c r="I7" s="2" t="inlineStr">
        <is>
          <t>Nevada instant dry; sweet-dough suitability requires trial</t>
        </is>
      </c>
      <c r="J7" s="2" t="inlineStr"/>
    </row>
    <row r="8">
      <c r="A8" s="2" t="inlineStr">
        <is>
          <t>O-B02</t>
        </is>
      </c>
      <c r="B8" s="2" t="inlineStr">
        <is>
          <t>Condensed milk bun dough</t>
        </is>
      </c>
      <c r="C8" s="2" t="inlineStr">
        <is>
          <t>Main formula</t>
        </is>
      </c>
      <c r="D8" s="2" t="inlineStr">
        <is>
          <t>Bread flour</t>
        </is>
      </c>
      <c r="E8" s="3" t="n">
        <v>1000</v>
      </c>
      <c r="F8" s="3" t="n">
        <v>5000</v>
      </c>
      <c r="G8" s="2">
        <f>IF(Prices!B2="","",Prices!B2)</f>
        <v/>
      </c>
      <c r="H8" s="2">
        <f>IF(G8="","",E8/1000*G8)</f>
        <v/>
      </c>
      <c r="I8" s="2" t="inlineStr">
        <is>
          <t>Owner flour price; flour performance requires trial</t>
        </is>
      </c>
      <c r="J8" s="2" t="inlineStr"/>
    </row>
    <row r="9">
      <c r="A9" s="2" t="inlineStr">
        <is>
          <t>O-B02</t>
        </is>
      </c>
      <c r="B9" s="2" t="inlineStr">
        <is>
          <t>Condensed milk bun dough</t>
        </is>
      </c>
      <c r="C9" s="2" t="inlineStr">
        <is>
          <t>Main formula</t>
        </is>
      </c>
      <c r="D9" s="2" t="inlineStr">
        <is>
          <t>Water</t>
        </is>
      </c>
      <c r="E9" s="3" t="n">
        <v>430</v>
      </c>
      <c r="F9" s="3" t="n">
        <v>2150</v>
      </c>
      <c r="G9" s="2">
        <f>IF(Prices!B3="","",Prices!B3)</f>
        <v/>
      </c>
      <c r="H9" s="2">
        <f>IF(G9="","",E9/1000*G9)</f>
        <v/>
      </c>
      <c r="I9" s="2" t="inlineStr">
        <is>
          <t>Purchase quote/specification required</t>
        </is>
      </c>
      <c r="J9" s="2" t="inlineStr"/>
    </row>
    <row r="10">
      <c r="A10" s="2" t="inlineStr">
        <is>
          <t>O-B02</t>
        </is>
      </c>
      <c r="B10" s="2" t="inlineStr">
        <is>
          <t>Condensed milk bun dough</t>
        </is>
      </c>
      <c r="C10" s="2" t="inlineStr">
        <is>
          <t>Main formula</t>
        </is>
      </c>
      <c r="D10" s="2" t="inlineStr">
        <is>
          <t>Condensed milk</t>
        </is>
      </c>
      <c r="E10" s="3" t="n">
        <v>150</v>
      </c>
      <c r="F10" s="3" t="n">
        <v>750</v>
      </c>
      <c r="G10" s="2">
        <f>IF(Prices!B8="","",Prices!B8)</f>
        <v/>
      </c>
      <c r="H10" s="2">
        <f>IF(G10="","",E10/1000*G10)</f>
        <v/>
      </c>
      <c r="I10" s="2" t="inlineStr">
        <is>
          <t>Purchase quote/specification required</t>
        </is>
      </c>
      <c r="J10" s="2" t="inlineStr"/>
    </row>
    <row r="11">
      <c r="A11" s="2" t="inlineStr">
        <is>
          <t>O-B02</t>
        </is>
      </c>
      <c r="B11" s="2" t="inlineStr">
        <is>
          <t>Condensed milk bun dough</t>
        </is>
      </c>
      <c r="C11" s="2" t="inlineStr">
        <is>
          <t>Main formula</t>
        </is>
      </c>
      <c r="D11" s="2" t="inlineStr">
        <is>
          <t>Sugar</t>
        </is>
      </c>
      <c r="E11" s="3" t="n">
        <v>80</v>
      </c>
      <c r="F11" s="3" t="n">
        <v>400</v>
      </c>
      <c r="G11" s="2">
        <f>IF(Prices!B4="","",Prices!B4)</f>
        <v/>
      </c>
      <c r="H11" s="2">
        <f>IF(G11="","",E11/1000*G11)</f>
        <v/>
      </c>
      <c r="I11" s="2" t="inlineStr">
        <is>
          <t>Owner granulated sugar price; grind specification must match</t>
        </is>
      </c>
      <c r="J11" s="2" t="inlineStr"/>
    </row>
    <row r="12">
      <c r="A12" s="2" t="inlineStr">
        <is>
          <t>O-B02</t>
        </is>
      </c>
      <c r="B12" s="2" t="inlineStr">
        <is>
          <t>Condensed milk bun dough</t>
        </is>
      </c>
      <c r="C12" s="2" t="inlineStr">
        <is>
          <t>Main formula</t>
        </is>
      </c>
      <c r="D12" s="2" t="inlineStr">
        <is>
          <t>Egg</t>
        </is>
      </c>
      <c r="E12" s="3" t="n">
        <v>100</v>
      </c>
      <c r="F12" s="3" t="n">
        <v>500</v>
      </c>
      <c r="G12" s="2">
        <f>IF(Prices!B9="","",Prices!B9)</f>
        <v/>
      </c>
      <c r="H12" s="2">
        <f>IF(G12="","",E12/1000*G12)</f>
        <v/>
      </c>
      <c r="I12" s="2" t="inlineStr">
        <is>
          <t>Purchase quote/specification required</t>
        </is>
      </c>
      <c r="J12" s="2" t="inlineStr"/>
    </row>
    <row r="13">
      <c r="A13" s="2" t="inlineStr">
        <is>
          <t>O-B02</t>
        </is>
      </c>
      <c r="B13" s="2" t="inlineStr">
        <is>
          <t>Condensed milk bun dough</t>
        </is>
      </c>
      <c r="C13" s="2" t="inlineStr">
        <is>
          <t>Main formula</t>
        </is>
      </c>
      <c r="D13" s="2" t="inlineStr">
        <is>
          <t>Margarine</t>
        </is>
      </c>
      <c r="E13" s="3" t="n">
        <v>80</v>
      </c>
      <c r="F13" s="3" t="n">
        <v>400</v>
      </c>
      <c r="G13" s="2">
        <f>IF(Prices!B5="","",Prices!B5)</f>
        <v/>
      </c>
      <c r="H13" s="2">
        <f>IF(G13="","",E13/1000*G13)</f>
        <v/>
      </c>
      <c r="I13" s="2" t="inlineStr">
        <is>
          <t>Roma; fat, salt and application suitability unconfirmed</t>
        </is>
      </c>
      <c r="J13" s="2" t="inlineStr"/>
    </row>
    <row r="14">
      <c r="A14" s="2" t="inlineStr">
        <is>
          <t>O-B02</t>
        </is>
      </c>
      <c r="B14" s="2" t="inlineStr">
        <is>
          <t>Condensed milk bun dough</t>
        </is>
      </c>
      <c r="C14" s="2" t="inlineStr">
        <is>
          <t>Main formula</t>
        </is>
      </c>
      <c r="D14" s="2" t="inlineStr">
        <is>
          <t>Whole milk powder</t>
        </is>
      </c>
      <c r="E14" s="3" t="n">
        <v>20</v>
      </c>
      <c r="F14" s="3" t="n">
        <v>100</v>
      </c>
      <c r="G14" s="2">
        <f>IF(Prices!B10="","",Prices!B10)</f>
        <v/>
      </c>
      <c r="H14" s="2">
        <f>IF(G14="","",E14/1000*G14)</f>
        <v/>
      </c>
      <c r="I14" s="2" t="inlineStr">
        <is>
          <t>Purchase quote/specification required</t>
        </is>
      </c>
      <c r="J14" s="2" t="inlineStr"/>
    </row>
    <row r="15">
      <c r="A15" s="2" t="inlineStr">
        <is>
          <t>O-B02</t>
        </is>
      </c>
      <c r="B15" s="2" t="inlineStr">
        <is>
          <t>Condensed milk bun dough</t>
        </is>
      </c>
      <c r="C15" s="2" t="inlineStr">
        <is>
          <t>Main formula</t>
        </is>
      </c>
      <c r="D15" s="2" t="inlineStr">
        <is>
          <t>Salt</t>
        </is>
      </c>
      <c r="E15" s="3" t="n">
        <v>16</v>
      </c>
      <c r="F15" s="3" t="n">
        <v>80</v>
      </c>
      <c r="G15" s="2">
        <f>IF(Prices!B6="","",Prices!B6)</f>
        <v/>
      </c>
      <c r="H15" s="2">
        <f>IF(G15="","",E15/1000*G15)</f>
        <v/>
      </c>
      <c r="I15" s="2" t="inlineStr">
        <is>
          <t>Owner price</t>
        </is>
      </c>
      <c r="J15" s="2" t="inlineStr"/>
    </row>
    <row r="16">
      <c r="A16" s="2" t="inlineStr">
        <is>
          <t>O-B02</t>
        </is>
      </c>
      <c r="B16" s="2" t="inlineStr">
        <is>
          <t>Condensed milk bun dough</t>
        </is>
      </c>
      <c r="C16" s="2" t="inlineStr">
        <is>
          <t>Main formula</t>
        </is>
      </c>
      <c r="D16" s="2" t="inlineStr">
        <is>
          <t>Yeast</t>
        </is>
      </c>
      <c r="E16" s="3" t="n">
        <v>15</v>
      </c>
      <c r="F16" s="3" t="n">
        <v>75</v>
      </c>
      <c r="G16" s="2">
        <f>IF(Prices!B7="","",Prices!B7)</f>
        <v/>
      </c>
      <c r="H16" s="2">
        <f>IF(G16="","",E16/1000*G16)</f>
        <v/>
      </c>
      <c r="I16" s="2" t="inlineStr">
        <is>
          <t>Nevada instant dry; sweet-dough suitability requires trial</t>
        </is>
      </c>
      <c r="J16" s="2" t="inlineStr"/>
    </row>
    <row r="17">
      <c r="A17" s="2" t="inlineStr">
        <is>
          <t>O-B02</t>
        </is>
      </c>
      <c r="B17" s="2" t="inlineStr">
        <is>
          <t>Condensed milk bun dough</t>
        </is>
      </c>
      <c r="C17" s="2" t="inlineStr">
        <is>
          <t>Main formula</t>
        </is>
      </c>
      <c r="D17" s="2" t="inlineStr">
        <is>
          <t>Vanilla</t>
        </is>
      </c>
      <c r="E17" s="3" t="n">
        <v>4</v>
      </c>
      <c r="F17" s="3" t="n">
        <v>20</v>
      </c>
      <c r="G17" s="2">
        <f>IF(Prices!B11="","",Prices!B11)</f>
        <v/>
      </c>
      <c r="H17" s="2">
        <f>IF(G17="","",E17/1000*G17)</f>
        <v/>
      </c>
      <c r="I17" s="2" t="inlineStr">
        <is>
          <t>Purchase quote/specification required</t>
        </is>
      </c>
      <c r="J17" s="2" t="inlineStr"/>
    </row>
    <row r="18">
      <c r="A18" s="2" t="inlineStr">
        <is>
          <t>O-B03</t>
        </is>
      </c>
      <c r="B18" s="2" t="inlineStr">
        <is>
          <t>Sweet potato milk bread dough</t>
        </is>
      </c>
      <c r="C18" s="2" t="inlineStr">
        <is>
          <t>Main formula</t>
        </is>
      </c>
      <c r="D18" s="2" t="inlineStr">
        <is>
          <t>Bread flour</t>
        </is>
      </c>
      <c r="E18" s="3" t="n">
        <v>850</v>
      </c>
      <c r="F18" s="3" t="n">
        <v>4250</v>
      </c>
      <c r="G18" s="2">
        <f>IF(Prices!B2="","",Prices!B2)</f>
        <v/>
      </c>
      <c r="H18" s="2">
        <f>IF(G18="","",E18/1000*G18)</f>
        <v/>
      </c>
      <c r="I18" s="2" t="inlineStr">
        <is>
          <t>Owner flour price; flour performance requires trial</t>
        </is>
      </c>
      <c r="J18" s="2" t="inlineStr"/>
    </row>
    <row r="19">
      <c r="A19" s="2" t="inlineStr">
        <is>
          <t>O-B03</t>
        </is>
      </c>
      <c r="B19" s="2" t="inlineStr">
        <is>
          <t>Sweet potato milk bread dough</t>
        </is>
      </c>
      <c r="C19" s="2" t="inlineStr">
        <is>
          <t>Main formula</t>
        </is>
      </c>
      <c r="D19" s="2" t="inlineStr">
        <is>
          <t>Sweet potato flour</t>
        </is>
      </c>
      <c r="E19" s="3" t="n">
        <v>150</v>
      </c>
      <c r="F19" s="3" t="n">
        <v>750</v>
      </c>
      <c r="G19" s="2">
        <f>IF(Prices!B12="","",Prices!B12)</f>
        <v/>
      </c>
      <c r="H19" s="2">
        <f>IF(G19="","",E19/1000*G19)</f>
        <v/>
      </c>
      <c r="I19" s="2" t="inlineStr">
        <is>
          <t>Purchase quote/specification required</t>
        </is>
      </c>
      <c r="J19" s="2" t="inlineStr"/>
    </row>
    <row r="20">
      <c r="A20" s="2" t="inlineStr">
        <is>
          <t>O-B03</t>
        </is>
      </c>
      <c r="B20" s="2" t="inlineStr">
        <is>
          <t>Sweet potato milk bread dough</t>
        </is>
      </c>
      <c r="C20" s="2" t="inlineStr">
        <is>
          <t>Main formula</t>
        </is>
      </c>
      <c r="D20" s="2" t="inlineStr">
        <is>
          <t>Water</t>
        </is>
      </c>
      <c r="E20" s="3" t="n">
        <v>570</v>
      </c>
      <c r="F20" s="3" t="n">
        <v>2850</v>
      </c>
      <c r="G20" s="2">
        <f>IF(Prices!B3="","",Prices!B3)</f>
        <v/>
      </c>
      <c r="H20" s="2">
        <f>IF(G20="","",E20/1000*G20)</f>
        <v/>
      </c>
      <c r="I20" s="2" t="inlineStr">
        <is>
          <t>Purchase quote/specification required</t>
        </is>
      </c>
      <c r="J20" s="2" t="inlineStr"/>
    </row>
    <row r="21">
      <c r="A21" s="2" t="inlineStr">
        <is>
          <t>O-B03</t>
        </is>
      </c>
      <c r="B21" s="2" t="inlineStr">
        <is>
          <t>Sweet potato milk bread dough</t>
        </is>
      </c>
      <c r="C21" s="2" t="inlineStr">
        <is>
          <t>Main formula</t>
        </is>
      </c>
      <c r="D21" s="2" t="inlineStr">
        <is>
          <t>Condensed milk</t>
        </is>
      </c>
      <c r="E21" s="3" t="n">
        <v>100</v>
      </c>
      <c r="F21" s="3" t="n">
        <v>500</v>
      </c>
      <c r="G21" s="2">
        <f>IF(Prices!B8="","",Prices!B8)</f>
        <v/>
      </c>
      <c r="H21" s="2">
        <f>IF(G21="","",E21/1000*G21)</f>
        <v/>
      </c>
      <c r="I21" s="2" t="inlineStr">
        <is>
          <t>Purchase quote/specification required</t>
        </is>
      </c>
      <c r="J21" s="2" t="inlineStr"/>
    </row>
    <row r="22">
      <c r="A22" s="2" t="inlineStr">
        <is>
          <t>O-B03</t>
        </is>
      </c>
      <c r="B22" s="2" t="inlineStr">
        <is>
          <t>Sweet potato milk bread dough</t>
        </is>
      </c>
      <c r="C22" s="2" t="inlineStr">
        <is>
          <t>Main formula</t>
        </is>
      </c>
      <c r="D22" s="2" t="inlineStr">
        <is>
          <t>Sugar</t>
        </is>
      </c>
      <c r="E22" s="3" t="n">
        <v>40</v>
      </c>
      <c r="F22" s="3" t="n">
        <v>200</v>
      </c>
      <c r="G22" s="2">
        <f>IF(Prices!B4="","",Prices!B4)</f>
        <v/>
      </c>
      <c r="H22" s="2">
        <f>IF(G22="","",E22/1000*G22)</f>
        <v/>
      </c>
      <c r="I22" s="2" t="inlineStr">
        <is>
          <t>Owner granulated sugar price; grind specification must match</t>
        </is>
      </c>
      <c r="J22" s="2" t="inlineStr"/>
    </row>
    <row r="23">
      <c r="A23" s="2" t="inlineStr">
        <is>
          <t>O-B03</t>
        </is>
      </c>
      <c r="B23" s="2" t="inlineStr">
        <is>
          <t>Sweet potato milk bread dough</t>
        </is>
      </c>
      <c r="C23" s="2" t="inlineStr">
        <is>
          <t>Main formula</t>
        </is>
      </c>
      <c r="D23" s="2" t="inlineStr">
        <is>
          <t>Margarine</t>
        </is>
      </c>
      <c r="E23" s="3" t="n">
        <v>50</v>
      </c>
      <c r="F23" s="3" t="n">
        <v>250</v>
      </c>
      <c r="G23" s="2">
        <f>IF(Prices!B5="","",Prices!B5)</f>
        <v/>
      </c>
      <c r="H23" s="2">
        <f>IF(G23="","",E23/1000*G23)</f>
        <v/>
      </c>
      <c r="I23" s="2" t="inlineStr">
        <is>
          <t>Roma; fat, salt and application suitability unconfirmed</t>
        </is>
      </c>
      <c r="J23" s="2" t="inlineStr"/>
    </row>
    <row r="24">
      <c r="A24" s="2" t="inlineStr">
        <is>
          <t>O-B03</t>
        </is>
      </c>
      <c r="B24" s="2" t="inlineStr">
        <is>
          <t>Sweet potato milk bread dough</t>
        </is>
      </c>
      <c r="C24" s="2" t="inlineStr">
        <is>
          <t>Main formula</t>
        </is>
      </c>
      <c r="D24" s="2" t="inlineStr">
        <is>
          <t>Whole milk powder</t>
        </is>
      </c>
      <c r="E24" s="3" t="n">
        <v>20</v>
      </c>
      <c r="F24" s="3" t="n">
        <v>100</v>
      </c>
      <c r="G24" s="2">
        <f>IF(Prices!B10="","",Prices!B10)</f>
        <v/>
      </c>
      <c r="H24" s="2">
        <f>IF(G24="","",E24/1000*G24)</f>
        <v/>
      </c>
      <c r="I24" s="2" t="inlineStr">
        <is>
          <t>Purchase quote/specification required</t>
        </is>
      </c>
      <c r="J24" s="2" t="inlineStr"/>
    </row>
    <row r="25">
      <c r="A25" s="2" t="inlineStr">
        <is>
          <t>O-B03</t>
        </is>
      </c>
      <c r="B25" s="2" t="inlineStr">
        <is>
          <t>Sweet potato milk bread dough</t>
        </is>
      </c>
      <c r="C25" s="2" t="inlineStr">
        <is>
          <t>Main formula</t>
        </is>
      </c>
      <c r="D25" s="2" t="inlineStr">
        <is>
          <t>Salt</t>
        </is>
      </c>
      <c r="E25" s="3" t="n">
        <v>18</v>
      </c>
      <c r="F25" s="3" t="n">
        <v>90</v>
      </c>
      <c r="G25" s="2">
        <f>IF(Prices!B6="","",Prices!B6)</f>
        <v/>
      </c>
      <c r="H25" s="2">
        <f>IF(G25="","",E25/1000*G25)</f>
        <v/>
      </c>
      <c r="I25" s="2" t="inlineStr">
        <is>
          <t>Owner price</t>
        </is>
      </c>
      <c r="J25" s="2" t="inlineStr"/>
    </row>
    <row r="26">
      <c r="A26" s="2" t="inlineStr">
        <is>
          <t>O-B03</t>
        </is>
      </c>
      <c r="B26" s="2" t="inlineStr">
        <is>
          <t>Sweet potato milk bread dough</t>
        </is>
      </c>
      <c r="C26" s="2" t="inlineStr">
        <is>
          <t>Main formula</t>
        </is>
      </c>
      <c r="D26" s="2" t="inlineStr">
        <is>
          <t>Yeast</t>
        </is>
      </c>
      <c r="E26" s="3" t="n">
        <v>14</v>
      </c>
      <c r="F26" s="3" t="n">
        <v>70</v>
      </c>
      <c r="G26" s="2">
        <f>IF(Prices!B7="","",Prices!B7)</f>
        <v/>
      </c>
      <c r="H26" s="2">
        <f>IF(G26="","",E26/1000*G26)</f>
        <v/>
      </c>
      <c r="I26" s="2" t="inlineStr">
        <is>
          <t>Nevada instant dry; sweet-dough suitability requires trial</t>
        </is>
      </c>
      <c r="J26" s="2" t="inlineStr"/>
    </row>
    <row r="27">
      <c r="A27" s="2" t="inlineStr">
        <is>
          <t>O-B04</t>
        </is>
      </c>
      <c r="B27" s="2" t="inlineStr">
        <is>
          <t>Yeast doughnut dough</t>
        </is>
      </c>
      <c r="C27" s="2" t="inlineStr">
        <is>
          <t>Main formula</t>
        </is>
      </c>
      <c r="D27" s="2" t="inlineStr">
        <is>
          <t>Bread flour</t>
        </is>
      </c>
      <c r="E27" s="3" t="n">
        <v>1000</v>
      </c>
      <c r="F27" s="3" t="n">
        <v>5000</v>
      </c>
      <c r="G27" s="2">
        <f>IF(Prices!B2="","",Prices!B2)</f>
        <v/>
      </c>
      <c r="H27" s="2">
        <f>IF(G27="","",E27/1000*G27)</f>
        <v/>
      </c>
      <c r="I27" s="2" t="inlineStr">
        <is>
          <t>Owner flour price; flour performance requires trial</t>
        </is>
      </c>
      <c r="J27" s="2" t="inlineStr"/>
    </row>
    <row r="28">
      <c r="A28" s="2" t="inlineStr">
        <is>
          <t>O-B04</t>
        </is>
      </c>
      <c r="B28" s="2" t="inlineStr">
        <is>
          <t>Yeast doughnut dough</t>
        </is>
      </c>
      <c r="C28" s="2" t="inlineStr">
        <is>
          <t>Main formula</t>
        </is>
      </c>
      <c r="D28" s="2" t="inlineStr">
        <is>
          <t>Water</t>
        </is>
      </c>
      <c r="E28" s="3" t="n">
        <v>440</v>
      </c>
      <c r="F28" s="3" t="n">
        <v>2200</v>
      </c>
      <c r="G28" s="2">
        <f>IF(Prices!B3="","",Prices!B3)</f>
        <v/>
      </c>
      <c r="H28" s="2">
        <f>IF(G28="","",E28/1000*G28)</f>
        <v/>
      </c>
      <c r="I28" s="2" t="inlineStr">
        <is>
          <t>Purchase quote/specification required</t>
        </is>
      </c>
      <c r="J28" s="2" t="inlineStr"/>
    </row>
    <row r="29">
      <c r="A29" s="2" t="inlineStr">
        <is>
          <t>O-B04</t>
        </is>
      </c>
      <c r="B29" s="2" t="inlineStr">
        <is>
          <t>Yeast doughnut dough</t>
        </is>
      </c>
      <c r="C29" s="2" t="inlineStr">
        <is>
          <t>Main formula</t>
        </is>
      </c>
      <c r="D29" s="2" t="inlineStr">
        <is>
          <t>Egg</t>
        </is>
      </c>
      <c r="E29" s="3" t="n">
        <v>100</v>
      </c>
      <c r="F29" s="3" t="n">
        <v>500</v>
      </c>
      <c r="G29" s="2">
        <f>IF(Prices!B9="","",Prices!B9)</f>
        <v/>
      </c>
      <c r="H29" s="2">
        <f>IF(G29="","",E29/1000*G29)</f>
        <v/>
      </c>
      <c r="I29" s="2" t="inlineStr">
        <is>
          <t>Purchase quote/specification required</t>
        </is>
      </c>
      <c r="J29" s="2" t="inlineStr"/>
    </row>
    <row r="30">
      <c r="A30" s="2" t="inlineStr">
        <is>
          <t>O-B04</t>
        </is>
      </c>
      <c r="B30" s="2" t="inlineStr">
        <is>
          <t>Yeast doughnut dough</t>
        </is>
      </c>
      <c r="C30" s="2" t="inlineStr">
        <is>
          <t>Main formula</t>
        </is>
      </c>
      <c r="D30" s="2" t="inlineStr">
        <is>
          <t>Sugar</t>
        </is>
      </c>
      <c r="E30" s="3" t="n">
        <v>120</v>
      </c>
      <c r="F30" s="3" t="n">
        <v>600</v>
      </c>
      <c r="G30" s="2">
        <f>IF(Prices!B4="","",Prices!B4)</f>
        <v/>
      </c>
      <c r="H30" s="2">
        <f>IF(G30="","",E30/1000*G30)</f>
        <v/>
      </c>
      <c r="I30" s="2" t="inlineStr">
        <is>
          <t>Owner granulated sugar price; grind specification must match</t>
        </is>
      </c>
      <c r="J30" s="2" t="inlineStr"/>
    </row>
    <row r="31">
      <c r="A31" s="2" t="inlineStr">
        <is>
          <t>O-B04</t>
        </is>
      </c>
      <c r="B31" s="2" t="inlineStr">
        <is>
          <t>Yeast doughnut dough</t>
        </is>
      </c>
      <c r="C31" s="2" t="inlineStr">
        <is>
          <t>Main formula</t>
        </is>
      </c>
      <c r="D31" s="2" t="inlineStr">
        <is>
          <t>Margarine</t>
        </is>
      </c>
      <c r="E31" s="3" t="n">
        <v>80</v>
      </c>
      <c r="F31" s="3" t="n">
        <v>400</v>
      </c>
      <c r="G31" s="2">
        <f>IF(Prices!B5="","",Prices!B5)</f>
        <v/>
      </c>
      <c r="H31" s="2">
        <f>IF(G31="","",E31/1000*G31)</f>
        <v/>
      </c>
      <c r="I31" s="2" t="inlineStr">
        <is>
          <t>Roma; fat, salt and application suitability unconfirmed</t>
        </is>
      </c>
      <c r="J31" s="2" t="inlineStr"/>
    </row>
    <row r="32">
      <c r="A32" s="2" t="inlineStr">
        <is>
          <t>O-B04</t>
        </is>
      </c>
      <c r="B32" s="2" t="inlineStr">
        <is>
          <t>Yeast doughnut dough</t>
        </is>
      </c>
      <c r="C32" s="2" t="inlineStr">
        <is>
          <t>Main formula</t>
        </is>
      </c>
      <c r="D32" s="2" t="inlineStr">
        <is>
          <t>Whole milk powder</t>
        </is>
      </c>
      <c r="E32" s="3" t="n">
        <v>30</v>
      </c>
      <c r="F32" s="3" t="n">
        <v>150</v>
      </c>
      <c r="G32" s="2">
        <f>IF(Prices!B10="","",Prices!B10)</f>
        <v/>
      </c>
      <c r="H32" s="2">
        <f>IF(G32="","",E32/1000*G32)</f>
        <v/>
      </c>
      <c r="I32" s="2" t="inlineStr">
        <is>
          <t>Purchase quote/specification required</t>
        </is>
      </c>
      <c r="J32" s="2" t="inlineStr"/>
    </row>
    <row r="33">
      <c r="A33" s="2" t="inlineStr">
        <is>
          <t>O-B04</t>
        </is>
      </c>
      <c r="B33" s="2" t="inlineStr">
        <is>
          <t>Yeast doughnut dough</t>
        </is>
      </c>
      <c r="C33" s="2" t="inlineStr">
        <is>
          <t>Main formula</t>
        </is>
      </c>
      <c r="D33" s="2" t="inlineStr">
        <is>
          <t>Salt</t>
        </is>
      </c>
      <c r="E33" s="3" t="n">
        <v>15</v>
      </c>
      <c r="F33" s="3" t="n">
        <v>75</v>
      </c>
      <c r="G33" s="2">
        <f>IF(Prices!B6="","",Prices!B6)</f>
        <v/>
      </c>
      <c r="H33" s="2">
        <f>IF(G33="","",E33/1000*G33)</f>
        <v/>
      </c>
      <c r="I33" s="2" t="inlineStr">
        <is>
          <t>Owner price</t>
        </is>
      </c>
      <c r="J33" s="2" t="inlineStr"/>
    </row>
    <row r="34">
      <c r="A34" s="2" t="inlineStr">
        <is>
          <t>O-B04</t>
        </is>
      </c>
      <c r="B34" s="2" t="inlineStr">
        <is>
          <t>Yeast doughnut dough</t>
        </is>
      </c>
      <c r="C34" s="2" t="inlineStr">
        <is>
          <t>Main formula</t>
        </is>
      </c>
      <c r="D34" s="2" t="inlineStr">
        <is>
          <t>Yeast</t>
        </is>
      </c>
      <c r="E34" s="3" t="n">
        <v>18</v>
      </c>
      <c r="F34" s="3" t="n">
        <v>90</v>
      </c>
      <c r="G34" s="2">
        <f>IF(Prices!B7="","",Prices!B7)</f>
        <v/>
      </c>
      <c r="H34" s="2">
        <f>IF(G34="","",E34/1000*G34)</f>
        <v/>
      </c>
      <c r="I34" s="2" t="inlineStr">
        <is>
          <t>Nevada instant dry; sweet-dough suitability requires trial</t>
        </is>
      </c>
      <c r="J34" s="2" t="inlineStr"/>
    </row>
    <row r="35">
      <c r="A35" s="2" t="inlineStr">
        <is>
          <t>O-B04</t>
        </is>
      </c>
      <c r="B35" s="2" t="inlineStr">
        <is>
          <t>Yeast doughnut dough</t>
        </is>
      </c>
      <c r="C35" s="2" t="inlineStr">
        <is>
          <t>Main formula</t>
        </is>
      </c>
      <c r="D35" s="2" t="inlineStr">
        <is>
          <t>Nutmeg</t>
        </is>
      </c>
      <c r="E35" s="3" t="n">
        <v>2</v>
      </c>
      <c r="F35" s="3" t="n">
        <v>10</v>
      </c>
      <c r="G35" s="2">
        <f>IF(Prices!B13="","",Prices!B13)</f>
        <v/>
      </c>
      <c r="H35" s="2">
        <f>IF(G35="","",E35/1000*G35)</f>
        <v/>
      </c>
      <c r="I35" s="2" t="inlineStr">
        <is>
          <t>Purchase quote/specification required</t>
        </is>
      </c>
      <c r="J35" s="2" t="inlineStr"/>
    </row>
    <row r="36">
      <c r="A36" s="2" t="inlineStr">
        <is>
          <t>O-B04</t>
        </is>
      </c>
      <c r="B36" s="2" t="inlineStr">
        <is>
          <t>Yeast doughnut dough</t>
        </is>
      </c>
      <c r="C36" s="2" t="inlineStr">
        <is>
          <t>Main formula</t>
        </is>
      </c>
      <c r="D36" s="2" t="inlineStr">
        <is>
          <t>Vanilla</t>
        </is>
      </c>
      <c r="E36" s="3" t="n">
        <v>3</v>
      </c>
      <c r="F36" s="3" t="n">
        <v>15</v>
      </c>
      <c r="G36" s="2">
        <f>IF(Prices!B11="","",Prices!B11)</f>
        <v/>
      </c>
      <c r="H36" s="2">
        <f>IF(G36="","",E36/1000*G36)</f>
        <v/>
      </c>
      <c r="I36" s="2" t="inlineStr">
        <is>
          <t>Purchase quote/specification required</t>
        </is>
      </c>
      <c r="J36" s="2" t="inlineStr"/>
    </row>
    <row r="37">
      <c r="A37" s="2" t="inlineStr">
        <is>
          <t>O-B05</t>
        </is>
      </c>
      <c r="B37" s="2" t="inlineStr">
        <is>
          <t>Puff puff batter</t>
        </is>
      </c>
      <c r="C37" s="2" t="inlineStr">
        <is>
          <t>Main formula</t>
        </is>
      </c>
      <c r="D37" s="2" t="inlineStr">
        <is>
          <t>Plain flour</t>
        </is>
      </c>
      <c r="E37" s="3" t="n">
        <v>1000</v>
      </c>
      <c r="F37" s="3" t="n">
        <v>5000</v>
      </c>
      <c r="G37" s="2">
        <f>IF(Prices!B14="","",Prices!B14)</f>
        <v/>
      </c>
      <c r="H37" s="2">
        <f>IF(G37="","",E37/1000*G37)</f>
        <v/>
      </c>
      <c r="I37" s="2" t="inlineStr">
        <is>
          <t>Purchase quote/specification required</t>
        </is>
      </c>
      <c r="J37" s="2" t="inlineStr"/>
    </row>
    <row r="38">
      <c r="A38" s="2" t="inlineStr">
        <is>
          <t>O-B05</t>
        </is>
      </c>
      <c r="B38" s="2" t="inlineStr">
        <is>
          <t>Puff puff batter</t>
        </is>
      </c>
      <c r="C38" s="2" t="inlineStr">
        <is>
          <t>Main formula</t>
        </is>
      </c>
      <c r="D38" s="2" t="inlineStr">
        <is>
          <t>Water</t>
        </is>
      </c>
      <c r="E38" s="3" t="n">
        <v>700</v>
      </c>
      <c r="F38" s="3" t="n">
        <v>3500</v>
      </c>
      <c r="G38" s="2">
        <f>IF(Prices!B3="","",Prices!B3)</f>
        <v/>
      </c>
      <c r="H38" s="2">
        <f>IF(G38="","",E38/1000*G38)</f>
        <v/>
      </c>
      <c r="I38" s="2" t="inlineStr">
        <is>
          <t>Purchase quote/specification required</t>
        </is>
      </c>
      <c r="J38" s="2" t="inlineStr"/>
    </row>
    <row r="39">
      <c r="A39" s="2" t="inlineStr">
        <is>
          <t>O-B05</t>
        </is>
      </c>
      <c r="B39" s="2" t="inlineStr">
        <is>
          <t>Puff puff batter</t>
        </is>
      </c>
      <c r="C39" s="2" t="inlineStr">
        <is>
          <t>Main formula</t>
        </is>
      </c>
      <c r="D39" s="2" t="inlineStr">
        <is>
          <t>Sugar</t>
        </is>
      </c>
      <c r="E39" s="3" t="n">
        <v>120</v>
      </c>
      <c r="F39" s="3" t="n">
        <v>600</v>
      </c>
      <c r="G39" s="2">
        <f>IF(Prices!B4="","",Prices!B4)</f>
        <v/>
      </c>
      <c r="H39" s="2">
        <f>IF(G39="","",E39/1000*G39)</f>
        <v/>
      </c>
      <c r="I39" s="2" t="inlineStr">
        <is>
          <t>Owner granulated sugar price; grind specification must match</t>
        </is>
      </c>
      <c r="J39" s="2" t="inlineStr"/>
    </row>
    <row r="40">
      <c r="A40" s="2" t="inlineStr">
        <is>
          <t>O-B05</t>
        </is>
      </c>
      <c r="B40" s="2" t="inlineStr">
        <is>
          <t>Puff puff batter</t>
        </is>
      </c>
      <c r="C40" s="2" t="inlineStr">
        <is>
          <t>Main formula</t>
        </is>
      </c>
      <c r="D40" s="2" t="inlineStr">
        <is>
          <t>Salt</t>
        </is>
      </c>
      <c r="E40" s="3" t="n">
        <v>12</v>
      </c>
      <c r="F40" s="3" t="n">
        <v>60</v>
      </c>
      <c r="G40" s="2">
        <f>IF(Prices!B6="","",Prices!B6)</f>
        <v/>
      </c>
      <c r="H40" s="2">
        <f>IF(G40="","",E40/1000*G40)</f>
        <v/>
      </c>
      <c r="I40" s="2" t="inlineStr">
        <is>
          <t>Owner price</t>
        </is>
      </c>
      <c r="J40" s="2" t="inlineStr"/>
    </row>
    <row r="41">
      <c r="A41" s="2" t="inlineStr">
        <is>
          <t>O-B05</t>
        </is>
      </c>
      <c r="B41" s="2" t="inlineStr">
        <is>
          <t>Puff puff batter</t>
        </is>
      </c>
      <c r="C41" s="2" t="inlineStr">
        <is>
          <t>Main formula</t>
        </is>
      </c>
      <c r="D41" s="2" t="inlineStr">
        <is>
          <t>Yeast</t>
        </is>
      </c>
      <c r="E41" s="3" t="n">
        <v>12</v>
      </c>
      <c r="F41" s="3" t="n">
        <v>60</v>
      </c>
      <c r="G41" s="2">
        <f>IF(Prices!B7="","",Prices!B7)</f>
        <v/>
      </c>
      <c r="H41" s="2">
        <f>IF(G41="","",E41/1000*G41)</f>
        <v/>
      </c>
      <c r="I41" s="2" t="inlineStr">
        <is>
          <t>Nevada instant dry; sweet-dough suitability requires trial</t>
        </is>
      </c>
      <c r="J41" s="2" t="inlineStr"/>
    </row>
    <row r="42">
      <c r="A42" s="2" t="inlineStr">
        <is>
          <t>O-B05</t>
        </is>
      </c>
      <c r="B42" s="2" t="inlineStr">
        <is>
          <t>Puff puff batter</t>
        </is>
      </c>
      <c r="C42" s="2" t="inlineStr">
        <is>
          <t>Main formula</t>
        </is>
      </c>
      <c r="D42" s="2" t="inlineStr">
        <is>
          <t>Nutmeg</t>
        </is>
      </c>
      <c r="E42" s="3" t="n">
        <v>2</v>
      </c>
      <c r="F42" s="3" t="n">
        <v>10</v>
      </c>
      <c r="G42" s="2">
        <f>IF(Prices!B13="","",Prices!B13)</f>
        <v/>
      </c>
      <c r="H42" s="2">
        <f>IF(G42="","",E42/1000*G42)</f>
        <v/>
      </c>
      <c r="I42" s="2" t="inlineStr">
        <is>
          <t>Purchase quote/specification required</t>
        </is>
      </c>
      <c r="J42" s="2" t="inlineStr"/>
    </row>
    <row r="43">
      <c r="A43" s="2" t="inlineStr">
        <is>
          <t>O-B06</t>
        </is>
      </c>
      <c r="B43" s="2" t="inlineStr">
        <is>
          <t>Fish roll dough</t>
        </is>
      </c>
      <c r="C43" s="2" t="inlineStr">
        <is>
          <t>Main formula</t>
        </is>
      </c>
      <c r="D43" s="2" t="inlineStr">
        <is>
          <t>Plain flour</t>
        </is>
      </c>
      <c r="E43" s="3" t="n">
        <v>1000</v>
      </c>
      <c r="F43" s="3" t="n">
        <v>5000</v>
      </c>
      <c r="G43" s="2">
        <f>IF(Prices!B14="","",Prices!B14)</f>
        <v/>
      </c>
      <c r="H43" s="2">
        <f>IF(G43="","",E43/1000*G43)</f>
        <v/>
      </c>
      <c r="I43" s="2" t="inlineStr">
        <is>
          <t>Purchase quote/specification required</t>
        </is>
      </c>
      <c r="J43" s="2" t="inlineStr"/>
    </row>
    <row r="44">
      <c r="A44" s="2" t="inlineStr">
        <is>
          <t>O-B06</t>
        </is>
      </c>
      <c r="B44" s="2" t="inlineStr">
        <is>
          <t>Fish roll dough</t>
        </is>
      </c>
      <c r="C44" s="2" t="inlineStr">
        <is>
          <t>Main formula</t>
        </is>
      </c>
      <c r="D44" s="2" t="inlineStr">
        <is>
          <t>Water</t>
        </is>
      </c>
      <c r="E44" s="3" t="n">
        <v>470</v>
      </c>
      <c r="F44" s="3" t="n">
        <v>2350</v>
      </c>
      <c r="G44" s="2">
        <f>IF(Prices!B3="","",Prices!B3)</f>
        <v/>
      </c>
      <c r="H44" s="2">
        <f>IF(G44="","",E44/1000*G44)</f>
        <v/>
      </c>
      <c r="I44" s="2" t="inlineStr">
        <is>
          <t>Purchase quote/specification required</t>
        </is>
      </c>
      <c r="J44" s="2" t="inlineStr"/>
    </row>
    <row r="45">
      <c r="A45" s="2" t="inlineStr">
        <is>
          <t>O-B06</t>
        </is>
      </c>
      <c r="B45" s="2" t="inlineStr">
        <is>
          <t>Fish roll dough</t>
        </is>
      </c>
      <c r="C45" s="2" t="inlineStr">
        <is>
          <t>Main formula</t>
        </is>
      </c>
      <c r="D45" s="2" t="inlineStr">
        <is>
          <t>Margarine</t>
        </is>
      </c>
      <c r="E45" s="3" t="n">
        <v>100</v>
      </c>
      <c r="F45" s="3" t="n">
        <v>500</v>
      </c>
      <c r="G45" s="2">
        <f>IF(Prices!B5="","",Prices!B5)</f>
        <v/>
      </c>
      <c r="H45" s="2">
        <f>IF(G45="","",E45/1000*G45)</f>
        <v/>
      </c>
      <c r="I45" s="2" t="inlineStr">
        <is>
          <t>Roma; fat, salt and application suitability unconfirmed</t>
        </is>
      </c>
      <c r="J45" s="2" t="inlineStr"/>
    </row>
    <row r="46">
      <c r="A46" s="2" t="inlineStr">
        <is>
          <t>O-B06</t>
        </is>
      </c>
      <c r="B46" s="2" t="inlineStr">
        <is>
          <t>Fish roll dough</t>
        </is>
      </c>
      <c r="C46" s="2" t="inlineStr">
        <is>
          <t>Main formula</t>
        </is>
      </c>
      <c r="D46" s="2" t="inlineStr">
        <is>
          <t>Sugar</t>
        </is>
      </c>
      <c r="E46" s="3" t="n">
        <v>60</v>
      </c>
      <c r="F46" s="3" t="n">
        <v>300</v>
      </c>
      <c r="G46" s="2">
        <f>IF(Prices!B4="","",Prices!B4)</f>
        <v/>
      </c>
      <c r="H46" s="2">
        <f>IF(G46="","",E46/1000*G46)</f>
        <v/>
      </c>
      <c r="I46" s="2" t="inlineStr">
        <is>
          <t>Owner granulated sugar price; grind specification must match</t>
        </is>
      </c>
      <c r="J46" s="2" t="inlineStr"/>
    </row>
    <row r="47">
      <c r="A47" s="2" t="inlineStr">
        <is>
          <t>O-B06</t>
        </is>
      </c>
      <c r="B47" s="2" t="inlineStr">
        <is>
          <t>Fish roll dough</t>
        </is>
      </c>
      <c r="C47" s="2" t="inlineStr">
        <is>
          <t>Main formula</t>
        </is>
      </c>
      <c r="D47" s="2" t="inlineStr">
        <is>
          <t>Whole milk powder</t>
        </is>
      </c>
      <c r="E47" s="3" t="n">
        <v>20</v>
      </c>
      <c r="F47" s="3" t="n">
        <v>100</v>
      </c>
      <c r="G47" s="2">
        <f>IF(Prices!B10="","",Prices!B10)</f>
        <v/>
      </c>
      <c r="H47" s="2">
        <f>IF(G47="","",E47/1000*G47)</f>
        <v/>
      </c>
      <c r="I47" s="2" t="inlineStr">
        <is>
          <t>Purchase quote/specification required</t>
        </is>
      </c>
      <c r="J47" s="2" t="inlineStr"/>
    </row>
    <row r="48">
      <c r="A48" s="2" t="inlineStr">
        <is>
          <t>O-B06</t>
        </is>
      </c>
      <c r="B48" s="2" t="inlineStr">
        <is>
          <t>Fish roll dough</t>
        </is>
      </c>
      <c r="C48" s="2" t="inlineStr">
        <is>
          <t>Main formula</t>
        </is>
      </c>
      <c r="D48" s="2" t="inlineStr">
        <is>
          <t>Salt</t>
        </is>
      </c>
      <c r="E48" s="3" t="n">
        <v>15</v>
      </c>
      <c r="F48" s="3" t="n">
        <v>75</v>
      </c>
      <c r="G48" s="2">
        <f>IF(Prices!B6="","",Prices!B6)</f>
        <v/>
      </c>
      <c r="H48" s="2">
        <f>IF(G48="","",E48/1000*G48)</f>
        <v/>
      </c>
      <c r="I48" s="2" t="inlineStr">
        <is>
          <t>Owner price</t>
        </is>
      </c>
      <c r="J48" s="2" t="inlineStr"/>
    </row>
    <row r="49">
      <c r="A49" s="2" t="inlineStr">
        <is>
          <t>O-B06</t>
        </is>
      </c>
      <c r="B49" s="2" t="inlineStr">
        <is>
          <t>Fish roll dough</t>
        </is>
      </c>
      <c r="C49" s="2" t="inlineStr">
        <is>
          <t>Main formula</t>
        </is>
      </c>
      <c r="D49" s="2" t="inlineStr">
        <is>
          <t>Yeast</t>
        </is>
      </c>
      <c r="E49" s="3" t="n">
        <v>12</v>
      </c>
      <c r="F49" s="3" t="n">
        <v>60</v>
      </c>
      <c r="G49" s="2">
        <f>IF(Prices!B7="","",Prices!B7)</f>
        <v/>
      </c>
      <c r="H49" s="2">
        <f>IF(G49="","",E49/1000*G49)</f>
        <v/>
      </c>
      <c r="I49" s="2" t="inlineStr">
        <is>
          <t>Nevada instant dry; sweet-dough suitability requires trial</t>
        </is>
      </c>
      <c r="J49" s="2" t="inlineStr"/>
    </row>
    <row r="50">
      <c r="A50" s="2" t="inlineStr">
        <is>
          <t>O-B06</t>
        </is>
      </c>
      <c r="B50" s="2" t="inlineStr">
        <is>
          <t>Fish roll dough</t>
        </is>
      </c>
      <c r="C50" s="2" t="inlineStr">
        <is>
          <t>Main formula</t>
        </is>
      </c>
      <c r="D50" s="2" t="inlineStr">
        <is>
          <t>Nutmeg</t>
        </is>
      </c>
      <c r="E50" s="3" t="n">
        <v>2</v>
      </c>
      <c r="F50" s="3" t="n">
        <v>10</v>
      </c>
      <c r="G50" s="2">
        <f>IF(Prices!B13="","",Prices!B13)</f>
        <v/>
      </c>
      <c r="H50" s="2">
        <f>IF(G50="","",E50/1000*G50)</f>
        <v/>
      </c>
      <c r="I50" s="2" t="inlineStr">
        <is>
          <t>Purchase quote/specification required</t>
        </is>
      </c>
      <c r="J50" s="2" t="inlineStr"/>
    </row>
    <row r="51">
      <c r="A51" s="2" t="inlineStr">
        <is>
          <t>O-B07</t>
        </is>
      </c>
      <c r="B51" s="2" t="inlineStr">
        <is>
          <t>Shortcrust pie pastry</t>
        </is>
      </c>
      <c r="C51" s="2" t="inlineStr">
        <is>
          <t>Main formula</t>
        </is>
      </c>
      <c r="D51" s="2" t="inlineStr">
        <is>
          <t>Plain flour</t>
        </is>
      </c>
      <c r="E51" s="3" t="n">
        <v>1000</v>
      </c>
      <c r="F51" s="3" t="n">
        <v>5000</v>
      </c>
      <c r="G51" s="2">
        <f>IF(Prices!B14="","",Prices!B14)</f>
        <v/>
      </c>
      <c r="H51" s="2">
        <f>IF(G51="","",E51/1000*G51)</f>
        <v/>
      </c>
      <c r="I51" s="2" t="inlineStr">
        <is>
          <t>Purchase quote/specification required</t>
        </is>
      </c>
      <c r="J51" s="2" t="inlineStr"/>
    </row>
    <row r="52">
      <c r="A52" s="2" t="inlineStr">
        <is>
          <t>O-B07</t>
        </is>
      </c>
      <c r="B52" s="2" t="inlineStr">
        <is>
          <t>Shortcrust pie pastry</t>
        </is>
      </c>
      <c r="C52" s="2" t="inlineStr">
        <is>
          <t>Main formula</t>
        </is>
      </c>
      <c r="D52" s="2" t="inlineStr">
        <is>
          <t>Margarine</t>
        </is>
      </c>
      <c r="E52" s="3" t="n">
        <v>400</v>
      </c>
      <c r="F52" s="3" t="n">
        <v>2000</v>
      </c>
      <c r="G52" s="2">
        <f>IF(Prices!B5="","",Prices!B5)</f>
        <v/>
      </c>
      <c r="H52" s="2">
        <f>IF(G52="","",E52/1000*G52)</f>
        <v/>
      </c>
      <c r="I52" s="2" t="inlineStr">
        <is>
          <t>Roma; fat, salt and application suitability unconfirmed</t>
        </is>
      </c>
      <c r="J52" s="2" t="inlineStr"/>
    </row>
    <row r="53">
      <c r="A53" s="2" t="inlineStr">
        <is>
          <t>O-B07</t>
        </is>
      </c>
      <c r="B53" s="2" t="inlineStr">
        <is>
          <t>Shortcrust pie pastry</t>
        </is>
      </c>
      <c r="C53" s="2" t="inlineStr">
        <is>
          <t>Main formula</t>
        </is>
      </c>
      <c r="D53" s="2" t="inlineStr">
        <is>
          <t>Water</t>
        </is>
      </c>
      <c r="E53" s="3" t="n">
        <v>290</v>
      </c>
      <c r="F53" s="3" t="n">
        <v>1450</v>
      </c>
      <c r="G53" s="2">
        <f>IF(Prices!B3="","",Prices!B3)</f>
        <v/>
      </c>
      <c r="H53" s="2">
        <f>IF(G53="","",E53/1000*G53)</f>
        <v/>
      </c>
      <c r="I53" s="2" t="inlineStr">
        <is>
          <t>Purchase quote/specification required</t>
        </is>
      </c>
      <c r="J53" s="2" t="inlineStr"/>
    </row>
    <row r="54">
      <c r="A54" s="2" t="inlineStr">
        <is>
          <t>O-B07</t>
        </is>
      </c>
      <c r="B54" s="2" t="inlineStr">
        <is>
          <t>Shortcrust pie pastry</t>
        </is>
      </c>
      <c r="C54" s="2" t="inlineStr">
        <is>
          <t>Main formula</t>
        </is>
      </c>
      <c r="D54" s="2" t="inlineStr">
        <is>
          <t>Egg</t>
        </is>
      </c>
      <c r="E54" s="3" t="n">
        <v>60</v>
      </c>
      <c r="F54" s="3" t="n">
        <v>300</v>
      </c>
      <c r="G54" s="2">
        <f>IF(Prices!B9="","",Prices!B9)</f>
        <v/>
      </c>
      <c r="H54" s="2">
        <f>IF(G54="","",E54/1000*G54)</f>
        <v/>
      </c>
      <c r="I54" s="2" t="inlineStr">
        <is>
          <t>Purchase quote/specification required</t>
        </is>
      </c>
      <c r="J54" s="2" t="inlineStr"/>
    </row>
    <row r="55">
      <c r="A55" s="2" t="inlineStr">
        <is>
          <t>O-B07</t>
        </is>
      </c>
      <c r="B55" s="2" t="inlineStr">
        <is>
          <t>Shortcrust pie pastry</t>
        </is>
      </c>
      <c r="C55" s="2" t="inlineStr">
        <is>
          <t>Main formula</t>
        </is>
      </c>
      <c r="D55" s="2" t="inlineStr">
        <is>
          <t>Salt</t>
        </is>
      </c>
      <c r="E55" s="3" t="n">
        <v>15</v>
      </c>
      <c r="F55" s="3" t="n">
        <v>75</v>
      </c>
      <c r="G55" s="2">
        <f>IF(Prices!B6="","",Prices!B6)</f>
        <v/>
      </c>
      <c r="H55" s="2">
        <f>IF(G55="","",E55/1000*G55)</f>
        <v/>
      </c>
      <c r="I55" s="2" t="inlineStr">
        <is>
          <t>Owner price</t>
        </is>
      </c>
      <c r="J55" s="2" t="inlineStr"/>
    </row>
    <row r="56">
      <c r="A56" s="2" t="inlineStr">
        <is>
          <t>O-B07</t>
        </is>
      </c>
      <c r="B56" s="2" t="inlineStr">
        <is>
          <t>Shortcrust pie pastry</t>
        </is>
      </c>
      <c r="C56" s="2" t="inlineStr">
        <is>
          <t>Main formula</t>
        </is>
      </c>
      <c r="D56" s="2" t="inlineStr">
        <is>
          <t>Baking powder</t>
        </is>
      </c>
      <c r="E56" s="3" t="n">
        <v>8</v>
      </c>
      <c r="F56" s="3" t="n">
        <v>40</v>
      </c>
      <c r="G56" s="2">
        <f>IF(Prices!B15="","",Prices!B15)</f>
        <v/>
      </c>
      <c r="H56" s="2">
        <f>IF(G56="","",E56/1000*G56)</f>
        <v/>
      </c>
      <c r="I56" s="2" t="inlineStr">
        <is>
          <t>Purchase quote/specification required</t>
        </is>
      </c>
      <c r="J56" s="2" t="inlineStr"/>
    </row>
    <row r="57">
      <c r="A57" s="2" t="inlineStr">
        <is>
          <t>O-B08</t>
        </is>
      </c>
      <c r="B57" s="2" t="inlineStr">
        <is>
          <t>Fish filling</t>
        </is>
      </c>
      <c r="C57" s="2" t="inlineStr">
        <is>
          <t>Main formula</t>
        </is>
      </c>
      <c r="D57" s="2" t="inlineStr">
        <is>
          <t>Canned fish drained</t>
        </is>
      </c>
      <c r="E57" s="3" t="n">
        <v>500</v>
      </c>
      <c r="F57" s="3" t="n">
        <v>2500</v>
      </c>
      <c r="G57" s="2">
        <f>IF(Prices!B16="","",Prices!B16)</f>
        <v/>
      </c>
      <c r="H57" s="2">
        <f>IF(G57="","",E57/1000*G57)</f>
        <v/>
      </c>
      <c r="I57" s="2" t="inlineStr">
        <is>
          <t>Purchase quote/specification required</t>
        </is>
      </c>
      <c r="J57" s="2" t="inlineStr"/>
    </row>
    <row r="58">
      <c r="A58" s="2" t="inlineStr">
        <is>
          <t>O-B08</t>
        </is>
      </c>
      <c r="B58" s="2" t="inlineStr">
        <is>
          <t>Fish filling</t>
        </is>
      </c>
      <c r="C58" s="2" t="inlineStr">
        <is>
          <t>Main formula</t>
        </is>
      </c>
      <c r="D58" s="2" t="inlineStr">
        <is>
          <t>Onion trimmed</t>
        </is>
      </c>
      <c r="E58" s="3" t="n">
        <v>150</v>
      </c>
      <c r="F58" s="3" t="n">
        <v>750</v>
      </c>
      <c r="G58" s="2">
        <f>IF(Prices!B17="","",Prices!B17)</f>
        <v/>
      </c>
      <c r="H58" s="2">
        <f>IF(G58="","",E58/1000*G58)</f>
        <v/>
      </c>
      <c r="I58" s="2" t="inlineStr">
        <is>
          <t>Purchase quote/specification required</t>
        </is>
      </c>
      <c r="J58" s="2" t="inlineStr"/>
    </row>
    <row r="59">
      <c r="A59" s="2" t="inlineStr">
        <is>
          <t>O-B08</t>
        </is>
      </c>
      <c r="B59" s="2" t="inlineStr">
        <is>
          <t>Fish filling</t>
        </is>
      </c>
      <c r="C59" s="2" t="inlineStr">
        <is>
          <t>Main formula</t>
        </is>
      </c>
      <c r="D59" s="2" t="inlineStr">
        <is>
          <t>Carrot trimmed</t>
        </is>
      </c>
      <c r="E59" s="3" t="n">
        <v>80</v>
      </c>
      <c r="F59" s="3" t="n">
        <v>400</v>
      </c>
      <c r="G59" s="2">
        <f>IF(Prices!B18="","",Prices!B18)</f>
        <v/>
      </c>
      <c r="H59" s="2">
        <f>IF(G59="","",E59/1000*G59)</f>
        <v/>
      </c>
      <c r="I59" s="2" t="inlineStr">
        <is>
          <t>Purchase quote/specification required</t>
        </is>
      </c>
      <c r="J59" s="2" t="inlineStr"/>
    </row>
    <row r="60">
      <c r="A60" s="2" t="inlineStr">
        <is>
          <t>O-B08</t>
        </is>
      </c>
      <c r="B60" s="2" t="inlineStr">
        <is>
          <t>Fish filling</t>
        </is>
      </c>
      <c r="C60" s="2" t="inlineStr">
        <is>
          <t>Main formula</t>
        </is>
      </c>
      <c r="D60" s="2" t="inlineStr">
        <is>
          <t>Oil</t>
        </is>
      </c>
      <c r="E60" s="3" t="n">
        <v>25</v>
      </c>
      <c r="F60" s="3" t="n">
        <v>125</v>
      </c>
      <c r="G60" s="2">
        <f>IF(Prices!B19="","",Prices!B19)</f>
        <v/>
      </c>
      <c r="H60" s="2">
        <f>IF(G60="","",E60/1000*G60)</f>
        <v/>
      </c>
      <c r="I60" s="2" t="inlineStr">
        <is>
          <t>PROVISIONAL 0.92 kg/L; correct after weighing</t>
        </is>
      </c>
      <c r="J60" s="2" t="inlineStr"/>
    </row>
    <row r="61">
      <c r="A61" s="2" t="inlineStr">
        <is>
          <t>O-B08</t>
        </is>
      </c>
      <c r="B61" s="2" t="inlineStr">
        <is>
          <t>Fish filling</t>
        </is>
      </c>
      <c r="C61" s="2" t="inlineStr">
        <is>
          <t>Main formula</t>
        </is>
      </c>
      <c r="D61" s="2" t="inlineStr">
        <is>
          <t>Garlic peeled</t>
        </is>
      </c>
      <c r="E61" s="3" t="n">
        <v>10</v>
      </c>
      <c r="F61" s="3" t="n">
        <v>50</v>
      </c>
      <c r="G61" s="2">
        <f>IF(Prices!B20="","",Prices!B20)</f>
        <v/>
      </c>
      <c r="H61" s="2">
        <f>IF(G61="","",E61/1000*G61)</f>
        <v/>
      </c>
      <c r="I61" s="2" t="inlineStr">
        <is>
          <t>Purchase quote/specification required</t>
        </is>
      </c>
      <c r="J61" s="2" t="inlineStr"/>
    </row>
    <row r="62">
      <c r="A62" s="2" t="inlineStr">
        <is>
          <t>O-B08</t>
        </is>
      </c>
      <c r="B62" s="2" t="inlineStr">
        <is>
          <t>Fish filling</t>
        </is>
      </c>
      <c r="C62" s="2" t="inlineStr">
        <is>
          <t>Main formula</t>
        </is>
      </c>
      <c r="D62" s="2" t="inlineStr">
        <is>
          <t>Ginger peeled</t>
        </is>
      </c>
      <c r="E62" s="3" t="n">
        <v>8</v>
      </c>
      <c r="F62" s="3" t="n">
        <v>40</v>
      </c>
      <c r="G62" s="2">
        <f>IF(Prices!B21="","",Prices!B21)</f>
        <v/>
      </c>
      <c r="H62" s="2">
        <f>IF(G62="","",E62/1000*G62)</f>
        <v/>
      </c>
      <c r="I62" s="2" t="inlineStr">
        <is>
          <t>Purchase quote/specification required</t>
        </is>
      </c>
      <c r="J62" s="2" t="inlineStr"/>
    </row>
    <row r="63">
      <c r="A63" s="2" t="inlineStr">
        <is>
          <t>O-B08</t>
        </is>
      </c>
      <c r="B63" s="2" t="inlineStr">
        <is>
          <t>Fish filling</t>
        </is>
      </c>
      <c r="C63" s="2" t="inlineStr">
        <is>
          <t>Main formula</t>
        </is>
      </c>
      <c r="D63" s="2" t="inlineStr">
        <is>
          <t>Salt</t>
        </is>
      </c>
      <c r="E63" s="3" t="n">
        <v>5</v>
      </c>
      <c r="F63" s="3" t="n">
        <v>25</v>
      </c>
      <c r="G63" s="2">
        <f>IF(Prices!B6="","",Prices!B6)</f>
        <v/>
      </c>
      <c r="H63" s="2">
        <f>IF(G63="","",E63/1000*G63)</f>
        <v/>
      </c>
      <c r="I63" s="2" t="inlineStr">
        <is>
          <t>Owner price</t>
        </is>
      </c>
      <c r="J63" s="2" t="inlineStr"/>
    </row>
    <row r="64">
      <c r="A64" s="2" t="inlineStr">
        <is>
          <t>O-B08</t>
        </is>
      </c>
      <c r="B64" s="2" t="inlineStr">
        <is>
          <t>Fish filling</t>
        </is>
      </c>
      <c r="C64" s="2" t="inlineStr">
        <is>
          <t>Main formula</t>
        </is>
      </c>
      <c r="D64" s="2" t="inlineStr">
        <is>
          <t>Black pepper</t>
        </is>
      </c>
      <c r="E64" s="3" t="n">
        <v>2</v>
      </c>
      <c r="F64" s="3" t="n">
        <v>10</v>
      </c>
      <c r="G64" s="2">
        <f>IF(Prices!B22="","",Prices!B22)</f>
        <v/>
      </c>
      <c r="H64" s="2">
        <f>IF(G64="","",E64/1000*G64)</f>
        <v/>
      </c>
      <c r="I64" s="2" t="inlineStr">
        <is>
          <t>Purchase quote/specification required</t>
        </is>
      </c>
      <c r="J64" s="2" t="inlineStr"/>
    </row>
    <row r="65">
      <c r="A65" s="2" t="inlineStr">
        <is>
          <t>O-B08</t>
        </is>
      </c>
      <c r="B65" s="2" t="inlineStr">
        <is>
          <t>Fish filling</t>
        </is>
      </c>
      <c r="C65" s="2" t="inlineStr">
        <is>
          <t>Main formula</t>
        </is>
      </c>
      <c r="D65" s="2" t="inlineStr">
        <is>
          <t>Paprika</t>
        </is>
      </c>
      <c r="E65" s="3" t="n">
        <v>3</v>
      </c>
      <c r="F65" s="3" t="n">
        <v>15</v>
      </c>
      <c r="G65" s="2">
        <f>IF(Prices!B23="","",Prices!B23)</f>
        <v/>
      </c>
      <c r="H65" s="2">
        <f>IF(G65="","",E65/1000*G65)</f>
        <v/>
      </c>
      <c r="I65" s="2" t="inlineStr">
        <is>
          <t>Purchase quote/specification required</t>
        </is>
      </c>
      <c r="J65" s="2" t="inlineStr"/>
    </row>
    <row r="66">
      <c r="A66" s="2" t="inlineStr">
        <is>
          <t>O-B09</t>
        </is>
      </c>
      <c r="B66" s="2" t="inlineStr">
        <is>
          <t>Beef pie filling</t>
        </is>
      </c>
      <c r="C66" s="2" t="inlineStr">
        <is>
          <t>Main formula</t>
        </is>
      </c>
      <c r="D66" s="2" t="inlineStr">
        <is>
          <t>Beef mince</t>
        </is>
      </c>
      <c r="E66" s="3" t="n">
        <v>500</v>
      </c>
      <c r="F66" s="3" t="n">
        <v>2500</v>
      </c>
      <c r="G66" s="2">
        <f>IF(Prices!B24="","",Prices!B24)</f>
        <v/>
      </c>
      <c r="H66" s="2">
        <f>IF(G66="","",E66/1000*G66)</f>
        <v/>
      </c>
      <c r="I66" s="2" t="inlineStr">
        <is>
          <t>Purchase quote/specification required</t>
        </is>
      </c>
      <c r="J66" s="2" t="inlineStr"/>
    </row>
    <row r="67">
      <c r="A67" s="2" t="inlineStr">
        <is>
          <t>O-B09</t>
        </is>
      </c>
      <c r="B67" s="2" t="inlineStr">
        <is>
          <t>Beef pie filling</t>
        </is>
      </c>
      <c r="C67" s="2" t="inlineStr">
        <is>
          <t>Main formula</t>
        </is>
      </c>
      <c r="D67" s="2" t="inlineStr">
        <is>
          <t>Potato peeled</t>
        </is>
      </c>
      <c r="E67" s="3" t="n">
        <v>300</v>
      </c>
      <c r="F67" s="3" t="n">
        <v>1500</v>
      </c>
      <c r="G67" s="2">
        <f>IF(Prices!B25="","",Prices!B25)</f>
        <v/>
      </c>
      <c r="H67" s="2">
        <f>IF(G67="","",E67/1000*G67)</f>
        <v/>
      </c>
      <c r="I67" s="2" t="inlineStr">
        <is>
          <t>Purchase quote/specification required</t>
        </is>
      </c>
      <c r="J67" s="2" t="inlineStr"/>
    </row>
    <row r="68">
      <c r="A68" s="2" t="inlineStr">
        <is>
          <t>O-B09</t>
        </is>
      </c>
      <c r="B68" s="2" t="inlineStr">
        <is>
          <t>Beef pie filling</t>
        </is>
      </c>
      <c r="C68" s="2" t="inlineStr">
        <is>
          <t>Main formula</t>
        </is>
      </c>
      <c r="D68" s="2" t="inlineStr">
        <is>
          <t>Carrot trimmed</t>
        </is>
      </c>
      <c r="E68" s="3" t="n">
        <v>150</v>
      </c>
      <c r="F68" s="3" t="n">
        <v>750</v>
      </c>
      <c r="G68" s="2">
        <f>IF(Prices!B18="","",Prices!B18)</f>
        <v/>
      </c>
      <c r="H68" s="2">
        <f>IF(G68="","",E68/1000*G68)</f>
        <v/>
      </c>
      <c r="I68" s="2" t="inlineStr">
        <is>
          <t>Purchase quote/specification required</t>
        </is>
      </c>
      <c r="J68" s="2" t="inlineStr"/>
    </row>
    <row r="69">
      <c r="A69" s="2" t="inlineStr">
        <is>
          <t>O-B09</t>
        </is>
      </c>
      <c r="B69" s="2" t="inlineStr">
        <is>
          <t>Beef pie filling</t>
        </is>
      </c>
      <c r="C69" s="2" t="inlineStr">
        <is>
          <t>Main formula</t>
        </is>
      </c>
      <c r="D69" s="2" t="inlineStr">
        <is>
          <t>Onion trimmed</t>
        </is>
      </c>
      <c r="E69" s="3" t="n">
        <v>200</v>
      </c>
      <c r="F69" s="3" t="n">
        <v>1000</v>
      </c>
      <c r="G69" s="2">
        <f>IF(Prices!B17="","",Prices!B17)</f>
        <v/>
      </c>
      <c r="H69" s="2">
        <f>IF(G69="","",E69/1000*G69)</f>
        <v/>
      </c>
      <c r="I69" s="2" t="inlineStr">
        <is>
          <t>Purchase quote/specification required</t>
        </is>
      </c>
      <c r="J69" s="2" t="inlineStr"/>
    </row>
    <row r="70">
      <c r="A70" s="2" t="inlineStr">
        <is>
          <t>O-B09</t>
        </is>
      </c>
      <c r="B70" s="2" t="inlineStr">
        <is>
          <t>Beef pie filling</t>
        </is>
      </c>
      <c r="C70" s="2" t="inlineStr">
        <is>
          <t>Main formula</t>
        </is>
      </c>
      <c r="D70" s="2" t="inlineStr">
        <is>
          <t>Oil</t>
        </is>
      </c>
      <c r="E70" s="3" t="n">
        <v>30</v>
      </c>
      <c r="F70" s="3" t="n">
        <v>150</v>
      </c>
      <c r="G70" s="2">
        <f>IF(Prices!B19="","",Prices!B19)</f>
        <v/>
      </c>
      <c r="H70" s="2">
        <f>IF(G70="","",E70/1000*G70)</f>
        <v/>
      </c>
      <c r="I70" s="2" t="inlineStr">
        <is>
          <t>PROVISIONAL 0.92 kg/L; correct after weighing</t>
        </is>
      </c>
      <c r="J70" s="2" t="inlineStr"/>
    </row>
    <row r="71">
      <c r="A71" s="2" t="inlineStr">
        <is>
          <t>O-B09</t>
        </is>
      </c>
      <c r="B71" s="2" t="inlineStr">
        <is>
          <t>Beef pie filling</t>
        </is>
      </c>
      <c r="C71" s="2" t="inlineStr">
        <is>
          <t>Main formula</t>
        </is>
      </c>
      <c r="D71" s="2" t="inlineStr">
        <is>
          <t>Plain flour</t>
        </is>
      </c>
      <c r="E71" s="3" t="n">
        <v>35</v>
      </c>
      <c r="F71" s="3" t="n">
        <v>175</v>
      </c>
      <c r="G71" s="2">
        <f>IF(Prices!B14="","",Prices!B14)</f>
        <v/>
      </c>
      <c r="H71" s="2">
        <f>IF(G71="","",E71/1000*G71)</f>
        <v/>
      </c>
      <c r="I71" s="2" t="inlineStr">
        <is>
          <t>Purchase quote/specification required</t>
        </is>
      </c>
      <c r="J71" s="2" t="inlineStr"/>
    </row>
    <row r="72">
      <c r="A72" s="2" t="inlineStr">
        <is>
          <t>O-B09</t>
        </is>
      </c>
      <c r="B72" s="2" t="inlineStr">
        <is>
          <t>Beef pie filling</t>
        </is>
      </c>
      <c r="C72" s="2" t="inlineStr">
        <is>
          <t>Main formula</t>
        </is>
      </c>
      <c r="D72" s="2" t="inlineStr">
        <is>
          <t>Water</t>
        </is>
      </c>
      <c r="E72" s="3" t="n">
        <v>250</v>
      </c>
      <c r="F72" s="3" t="n">
        <v>1250</v>
      </c>
      <c r="G72" s="2">
        <f>IF(Prices!B3="","",Prices!B3)</f>
        <v/>
      </c>
      <c r="H72" s="2">
        <f>IF(G72="","",E72/1000*G72)</f>
        <v/>
      </c>
      <c r="I72" s="2" t="inlineStr">
        <is>
          <t>Purchase quote/specification required</t>
        </is>
      </c>
      <c r="J72" s="2" t="inlineStr"/>
    </row>
    <row r="73">
      <c r="A73" s="2" t="inlineStr">
        <is>
          <t>O-B09</t>
        </is>
      </c>
      <c r="B73" s="2" t="inlineStr">
        <is>
          <t>Beef pie filling</t>
        </is>
      </c>
      <c r="C73" s="2" t="inlineStr">
        <is>
          <t>Main formula</t>
        </is>
      </c>
      <c r="D73" s="2" t="inlineStr">
        <is>
          <t>Garlic peeled</t>
        </is>
      </c>
      <c r="E73" s="3" t="n">
        <v>12</v>
      </c>
      <c r="F73" s="3" t="n">
        <v>60</v>
      </c>
      <c r="G73" s="2">
        <f>IF(Prices!B20="","",Prices!B20)</f>
        <v/>
      </c>
      <c r="H73" s="2">
        <f>IF(G73="","",E73/1000*G73)</f>
        <v/>
      </c>
      <c r="I73" s="2" t="inlineStr">
        <is>
          <t>Purchase quote/specification required</t>
        </is>
      </c>
      <c r="J73" s="2" t="inlineStr"/>
    </row>
    <row r="74">
      <c r="A74" s="2" t="inlineStr">
        <is>
          <t>O-B09</t>
        </is>
      </c>
      <c r="B74" s="2" t="inlineStr">
        <is>
          <t>Beef pie filling</t>
        </is>
      </c>
      <c r="C74" s="2" t="inlineStr">
        <is>
          <t>Main formula</t>
        </is>
      </c>
      <c r="D74" s="2" t="inlineStr">
        <is>
          <t>Ginger peeled</t>
        </is>
      </c>
      <c r="E74" s="3" t="n">
        <v>8</v>
      </c>
      <c r="F74" s="3" t="n">
        <v>40</v>
      </c>
      <c r="G74" s="2">
        <f>IF(Prices!B21="","",Prices!B21)</f>
        <v/>
      </c>
      <c r="H74" s="2">
        <f>IF(G74="","",E74/1000*G74)</f>
        <v/>
      </c>
      <c r="I74" s="2" t="inlineStr">
        <is>
          <t>Purchase quote/specification required</t>
        </is>
      </c>
      <c r="J74" s="2" t="inlineStr"/>
    </row>
    <row r="75">
      <c r="A75" s="2" t="inlineStr">
        <is>
          <t>O-B09</t>
        </is>
      </c>
      <c r="B75" s="2" t="inlineStr">
        <is>
          <t>Beef pie filling</t>
        </is>
      </c>
      <c r="C75" s="2" t="inlineStr">
        <is>
          <t>Main formula</t>
        </is>
      </c>
      <c r="D75" s="2" t="inlineStr">
        <is>
          <t>Salt</t>
        </is>
      </c>
      <c r="E75" s="3" t="n">
        <v>12</v>
      </c>
      <c r="F75" s="3" t="n">
        <v>60</v>
      </c>
      <c r="G75" s="2">
        <f>IF(Prices!B6="","",Prices!B6)</f>
        <v/>
      </c>
      <c r="H75" s="2">
        <f>IF(G75="","",E75/1000*G75)</f>
        <v/>
      </c>
      <c r="I75" s="2" t="inlineStr">
        <is>
          <t>Owner price</t>
        </is>
      </c>
      <c r="J75" s="2" t="inlineStr"/>
    </row>
    <row r="76">
      <c r="A76" s="2" t="inlineStr">
        <is>
          <t>O-B09</t>
        </is>
      </c>
      <c r="B76" s="2" t="inlineStr">
        <is>
          <t>Beef pie filling</t>
        </is>
      </c>
      <c r="C76" s="2" t="inlineStr">
        <is>
          <t>Main formula</t>
        </is>
      </c>
      <c r="D76" s="2" t="inlineStr">
        <is>
          <t>Black pepper</t>
        </is>
      </c>
      <c r="E76" s="3" t="n">
        <v>3</v>
      </c>
      <c r="F76" s="3" t="n">
        <v>15</v>
      </c>
      <c r="G76" s="2">
        <f>IF(Prices!B22="","",Prices!B22)</f>
        <v/>
      </c>
      <c r="H76" s="2">
        <f>IF(G76="","",E76/1000*G76)</f>
        <v/>
      </c>
      <c r="I76" s="2" t="inlineStr">
        <is>
          <t>Purchase quote/specification required</t>
        </is>
      </c>
      <c r="J76" s="2" t="inlineStr"/>
    </row>
    <row r="77">
      <c r="A77" s="2" t="inlineStr">
        <is>
          <t>O-B09</t>
        </is>
      </c>
      <c r="B77" s="2" t="inlineStr">
        <is>
          <t>Beef pie filling</t>
        </is>
      </c>
      <c r="C77" s="2" t="inlineStr">
        <is>
          <t>Main formula</t>
        </is>
      </c>
      <c r="D77" s="2" t="inlineStr">
        <is>
          <t>Thyme</t>
        </is>
      </c>
      <c r="E77" s="3" t="n">
        <v>2</v>
      </c>
      <c r="F77" s="3" t="n">
        <v>10</v>
      </c>
      <c r="G77" s="2">
        <f>IF(Prices!B26="","",Prices!B26)</f>
        <v/>
      </c>
      <c r="H77" s="2">
        <f>IF(G77="","",E77/1000*G77)</f>
        <v/>
      </c>
      <c r="I77" s="2" t="inlineStr">
        <is>
          <t>Purchase quote/specification required</t>
        </is>
      </c>
      <c r="J77" s="2" t="inlineStr"/>
    </row>
    <row r="78">
      <c r="A78" s="2" t="inlineStr">
        <is>
          <t>O-B09</t>
        </is>
      </c>
      <c r="B78" s="2" t="inlineStr">
        <is>
          <t>Beef pie filling</t>
        </is>
      </c>
      <c r="C78" s="2" t="inlineStr">
        <is>
          <t>Main formula</t>
        </is>
      </c>
      <c r="D78" s="2" t="inlineStr">
        <is>
          <t>Curry powder</t>
        </is>
      </c>
      <c r="E78" s="3" t="n">
        <v>4</v>
      </c>
      <c r="F78" s="3" t="n">
        <v>20</v>
      </c>
      <c r="G78" s="2">
        <f>IF(Prices!B27="","",Prices!B27)</f>
        <v/>
      </c>
      <c r="H78" s="2">
        <f>IF(G78="","",E78/1000*G78)</f>
        <v/>
      </c>
      <c r="I78" s="2" t="inlineStr">
        <is>
          <t>Purchase quote/specification required</t>
        </is>
      </c>
      <c r="J78" s="2" t="inlineStr"/>
    </row>
    <row r="79">
      <c r="A79" s="2" t="inlineStr">
        <is>
          <t>O-B10</t>
        </is>
      </c>
      <c r="B79" s="2" t="inlineStr">
        <is>
          <t>Sausage roll filling</t>
        </is>
      </c>
      <c r="C79" s="2" t="inlineStr">
        <is>
          <t>Main formula</t>
        </is>
      </c>
      <c r="D79" s="2" t="inlineStr">
        <is>
          <t>Sausage meat</t>
        </is>
      </c>
      <c r="E79" s="3" t="n">
        <v>750</v>
      </c>
      <c r="F79" s="3" t="n">
        <v>3750</v>
      </c>
      <c r="G79" s="2">
        <f>IF(Prices!B28="","",Prices!B28)</f>
        <v/>
      </c>
      <c r="H79" s="2">
        <f>IF(G79="","",E79/1000*G79)</f>
        <v/>
      </c>
      <c r="I79" s="2" t="inlineStr">
        <is>
          <t>Purchase quote/specification required</t>
        </is>
      </c>
      <c r="J79" s="2" t="inlineStr"/>
    </row>
    <row r="80">
      <c r="A80" s="2" t="inlineStr">
        <is>
          <t>O-B10</t>
        </is>
      </c>
      <c r="B80" s="2" t="inlineStr">
        <is>
          <t>Sausage roll filling</t>
        </is>
      </c>
      <c r="C80" s="2" t="inlineStr">
        <is>
          <t>Main formula</t>
        </is>
      </c>
      <c r="D80" s="2" t="inlineStr">
        <is>
          <t>Onion trimmed</t>
        </is>
      </c>
      <c r="E80" s="3" t="n">
        <v>100</v>
      </c>
      <c r="F80" s="3" t="n">
        <v>500</v>
      </c>
      <c r="G80" s="2">
        <f>IF(Prices!B17="","",Prices!B17)</f>
        <v/>
      </c>
      <c r="H80" s="2">
        <f>IF(G80="","",E80/1000*G80)</f>
        <v/>
      </c>
      <c r="I80" s="2" t="inlineStr">
        <is>
          <t>Purchase quote/specification required</t>
        </is>
      </c>
      <c r="J80" s="2" t="inlineStr"/>
    </row>
    <row r="81">
      <c r="A81" s="2" t="inlineStr">
        <is>
          <t>O-B10</t>
        </is>
      </c>
      <c r="B81" s="2" t="inlineStr">
        <is>
          <t>Sausage roll filling</t>
        </is>
      </c>
      <c r="C81" s="2" t="inlineStr">
        <is>
          <t>Main formula</t>
        </is>
      </c>
      <c r="D81" s="2" t="inlineStr">
        <is>
          <t>Breadcrumbs</t>
        </is>
      </c>
      <c r="E81" s="3" t="n">
        <v>70</v>
      </c>
      <c r="F81" s="3" t="n">
        <v>350</v>
      </c>
      <c r="G81" s="2">
        <f>IF(Prices!B29="","",Prices!B29)</f>
        <v/>
      </c>
      <c r="H81" s="2">
        <f>IF(G81="","",E81/1000*G81)</f>
        <v/>
      </c>
      <c r="I81" s="2" t="inlineStr">
        <is>
          <t>Purchase quote/specification required</t>
        </is>
      </c>
      <c r="J81" s="2" t="inlineStr"/>
    </row>
    <row r="82">
      <c r="A82" s="2" t="inlineStr">
        <is>
          <t>O-B10</t>
        </is>
      </c>
      <c r="B82" s="2" t="inlineStr">
        <is>
          <t>Sausage roll filling</t>
        </is>
      </c>
      <c r="C82" s="2" t="inlineStr">
        <is>
          <t>Main formula</t>
        </is>
      </c>
      <c r="D82" s="2" t="inlineStr">
        <is>
          <t>Egg</t>
        </is>
      </c>
      <c r="E82" s="3" t="n">
        <v>60</v>
      </c>
      <c r="F82" s="3" t="n">
        <v>300</v>
      </c>
      <c r="G82" s="2">
        <f>IF(Prices!B9="","",Prices!B9)</f>
        <v/>
      </c>
      <c r="H82" s="2">
        <f>IF(G82="","",E82/1000*G82)</f>
        <v/>
      </c>
      <c r="I82" s="2" t="inlineStr">
        <is>
          <t>Purchase quote/specification required</t>
        </is>
      </c>
      <c r="J82" s="2" t="inlineStr"/>
    </row>
    <row r="83">
      <c r="A83" s="2" t="inlineStr">
        <is>
          <t>O-B10</t>
        </is>
      </c>
      <c r="B83" s="2" t="inlineStr">
        <is>
          <t>Sausage roll filling</t>
        </is>
      </c>
      <c r="C83" s="2" t="inlineStr">
        <is>
          <t>Main formula</t>
        </is>
      </c>
      <c r="D83" s="2" t="inlineStr">
        <is>
          <t>Garlic peeled</t>
        </is>
      </c>
      <c r="E83" s="3" t="n">
        <v>10</v>
      </c>
      <c r="F83" s="3" t="n">
        <v>50</v>
      </c>
      <c r="G83" s="2">
        <f>IF(Prices!B20="","",Prices!B20)</f>
        <v/>
      </c>
      <c r="H83" s="2">
        <f>IF(G83="","",E83/1000*G83)</f>
        <v/>
      </c>
      <c r="I83" s="2" t="inlineStr">
        <is>
          <t>Purchase quote/specification required</t>
        </is>
      </c>
      <c r="J83" s="2" t="inlineStr"/>
    </row>
    <row r="84">
      <c r="A84" s="2" t="inlineStr">
        <is>
          <t>O-B10</t>
        </is>
      </c>
      <c r="B84" s="2" t="inlineStr">
        <is>
          <t>Sausage roll filling</t>
        </is>
      </c>
      <c r="C84" s="2" t="inlineStr">
        <is>
          <t>Main formula</t>
        </is>
      </c>
      <c r="D84" s="2" t="inlineStr">
        <is>
          <t>Black pepper</t>
        </is>
      </c>
      <c r="E84" s="3" t="n">
        <v>2</v>
      </c>
      <c r="F84" s="3" t="n">
        <v>10</v>
      </c>
      <c r="G84" s="2">
        <f>IF(Prices!B22="","",Prices!B22)</f>
        <v/>
      </c>
      <c r="H84" s="2">
        <f>IF(G84="","",E84/1000*G84)</f>
        <v/>
      </c>
      <c r="I84" s="2" t="inlineStr">
        <is>
          <t>Purchase quote/specification required</t>
        </is>
      </c>
      <c r="J84" s="2" t="inlineStr"/>
    </row>
    <row r="85">
      <c r="A85" s="2" t="inlineStr">
        <is>
          <t>O-B10</t>
        </is>
      </c>
      <c r="B85" s="2" t="inlineStr">
        <is>
          <t>Sausage roll filling</t>
        </is>
      </c>
      <c r="C85" s="2" t="inlineStr">
        <is>
          <t>Main formula</t>
        </is>
      </c>
      <c r="D85" s="2" t="inlineStr">
        <is>
          <t>Paprika</t>
        </is>
      </c>
      <c r="E85" s="3" t="n">
        <v>3</v>
      </c>
      <c r="F85" s="3" t="n">
        <v>15</v>
      </c>
      <c r="G85" s="2">
        <f>IF(Prices!B23="","",Prices!B23)</f>
        <v/>
      </c>
      <c r="H85" s="2">
        <f>IF(G85="","",E85/1000*G85)</f>
        <v/>
      </c>
      <c r="I85" s="2" t="inlineStr">
        <is>
          <t>Purchase quote/specification required</t>
        </is>
      </c>
      <c r="J85" s="2" t="inlineStr"/>
    </row>
    <row r="86">
      <c r="A86" s="2" t="inlineStr">
        <is>
          <t>O-B10</t>
        </is>
      </c>
      <c r="B86" s="2" t="inlineStr">
        <is>
          <t>Sausage roll filling</t>
        </is>
      </c>
      <c r="C86" s="2" t="inlineStr">
        <is>
          <t>Main formula</t>
        </is>
      </c>
      <c r="D86" s="2" t="inlineStr">
        <is>
          <t>Salt</t>
        </is>
      </c>
      <c r="E86" s="3" t="n">
        <v>5</v>
      </c>
      <c r="F86" s="3" t="n">
        <v>25</v>
      </c>
      <c r="G86" s="2">
        <f>IF(Prices!B6="","",Prices!B6)</f>
        <v/>
      </c>
      <c r="H86" s="2">
        <f>IF(G86="","",E86/1000*G86)</f>
        <v/>
      </c>
      <c r="I86" s="2" t="inlineStr">
        <is>
          <t>Owner price</t>
        </is>
      </c>
      <c r="J86" s="2" t="inlineStr"/>
    </row>
    <row r="87">
      <c r="A87" s="2" t="inlineStr">
        <is>
          <t>O-B11</t>
        </is>
      </c>
      <c r="B87" s="2" t="inlineStr">
        <is>
          <t>Creamy chicken filling</t>
        </is>
      </c>
      <c r="C87" s="2" t="inlineStr">
        <is>
          <t>Main formula</t>
        </is>
      </c>
      <c r="D87" s="2" t="inlineStr">
        <is>
          <t>Chicken boneless</t>
        </is>
      </c>
      <c r="E87" s="3" t="n">
        <v>600</v>
      </c>
      <c r="F87" s="3" t="n">
        <v>3000</v>
      </c>
      <c r="G87" s="2">
        <f>IF(Prices!B30="","",Prices!B30)</f>
        <v/>
      </c>
      <c r="H87" s="2">
        <f>IF(G87="","",E87/1000*G87)</f>
        <v/>
      </c>
      <c r="I87" s="2" t="inlineStr">
        <is>
          <t>Purchase quote/specification required</t>
        </is>
      </c>
      <c r="J87" s="2" t="inlineStr"/>
    </row>
    <row r="88">
      <c r="A88" s="2" t="inlineStr">
        <is>
          <t>O-B11</t>
        </is>
      </c>
      <c r="B88" s="2" t="inlineStr">
        <is>
          <t>Creamy chicken filling</t>
        </is>
      </c>
      <c r="C88" s="2" t="inlineStr">
        <is>
          <t>Main formula</t>
        </is>
      </c>
      <c r="D88" s="2" t="inlineStr">
        <is>
          <t>Potato peeled</t>
        </is>
      </c>
      <c r="E88" s="3" t="n">
        <v>150</v>
      </c>
      <c r="F88" s="3" t="n">
        <v>750</v>
      </c>
      <c r="G88" s="2">
        <f>IF(Prices!B25="","",Prices!B25)</f>
        <v/>
      </c>
      <c r="H88" s="2">
        <f>IF(G88="","",E88/1000*G88)</f>
        <v/>
      </c>
      <c r="I88" s="2" t="inlineStr">
        <is>
          <t>Purchase quote/specification required</t>
        </is>
      </c>
      <c r="J88" s="2" t="inlineStr"/>
    </row>
    <row r="89">
      <c r="A89" s="2" t="inlineStr">
        <is>
          <t>O-B11</t>
        </is>
      </c>
      <c r="B89" s="2" t="inlineStr">
        <is>
          <t>Creamy chicken filling</t>
        </is>
      </c>
      <c r="C89" s="2" t="inlineStr">
        <is>
          <t>Main formula</t>
        </is>
      </c>
      <c r="D89" s="2" t="inlineStr">
        <is>
          <t>Carrot trimmed</t>
        </is>
      </c>
      <c r="E89" s="3" t="n">
        <v>100</v>
      </c>
      <c r="F89" s="3" t="n">
        <v>500</v>
      </c>
      <c r="G89" s="2">
        <f>IF(Prices!B18="","",Prices!B18)</f>
        <v/>
      </c>
      <c r="H89" s="2">
        <f>IF(G89="","",E89/1000*G89)</f>
        <v/>
      </c>
      <c r="I89" s="2" t="inlineStr">
        <is>
          <t>Purchase quote/specification required</t>
        </is>
      </c>
      <c r="J89" s="2" t="inlineStr"/>
    </row>
    <row r="90">
      <c r="A90" s="2" t="inlineStr">
        <is>
          <t>O-B11</t>
        </is>
      </c>
      <c r="B90" s="2" t="inlineStr">
        <is>
          <t>Creamy chicken filling</t>
        </is>
      </c>
      <c r="C90" s="2" t="inlineStr">
        <is>
          <t>Main formula</t>
        </is>
      </c>
      <c r="D90" s="2" t="inlineStr">
        <is>
          <t>Onion trimmed</t>
        </is>
      </c>
      <c r="E90" s="3" t="n">
        <v>120</v>
      </c>
      <c r="F90" s="3" t="n">
        <v>600</v>
      </c>
      <c r="G90" s="2">
        <f>IF(Prices!B17="","",Prices!B17)</f>
        <v/>
      </c>
      <c r="H90" s="2">
        <f>IF(G90="","",E90/1000*G90)</f>
        <v/>
      </c>
      <c r="I90" s="2" t="inlineStr">
        <is>
          <t>Purchase quote/specification required</t>
        </is>
      </c>
      <c r="J90" s="2" t="inlineStr"/>
    </row>
    <row r="91">
      <c r="A91" s="2" t="inlineStr">
        <is>
          <t>O-B11</t>
        </is>
      </c>
      <c r="B91" s="2" t="inlineStr">
        <is>
          <t>Creamy chicken filling</t>
        </is>
      </c>
      <c r="C91" s="2" t="inlineStr">
        <is>
          <t>Main formula</t>
        </is>
      </c>
      <c r="D91" s="2" t="inlineStr">
        <is>
          <t>Pepper trimmed</t>
        </is>
      </c>
      <c r="E91" s="3" t="n">
        <v>80</v>
      </c>
      <c r="F91" s="3" t="n">
        <v>400</v>
      </c>
      <c r="G91" s="2">
        <f>IF(Prices!B31="","",Prices!B31)</f>
        <v/>
      </c>
      <c r="H91" s="2">
        <f>IF(G91="","",E91/1000*G91)</f>
        <v/>
      </c>
      <c r="I91" s="2" t="inlineStr">
        <is>
          <t>Purchase quote/specification required</t>
        </is>
      </c>
      <c r="J91" s="2" t="inlineStr"/>
    </row>
    <row r="92">
      <c r="A92" s="2" t="inlineStr">
        <is>
          <t>O-B11</t>
        </is>
      </c>
      <c r="B92" s="2" t="inlineStr">
        <is>
          <t>Creamy chicken filling</t>
        </is>
      </c>
      <c r="C92" s="2" t="inlineStr">
        <is>
          <t>Main formula</t>
        </is>
      </c>
      <c r="D92" s="2" t="inlineStr">
        <is>
          <t>Margarine</t>
        </is>
      </c>
      <c r="E92" s="3" t="n">
        <v>30</v>
      </c>
      <c r="F92" s="3" t="n">
        <v>150</v>
      </c>
      <c r="G92" s="2">
        <f>IF(Prices!B5="","",Prices!B5)</f>
        <v/>
      </c>
      <c r="H92" s="2">
        <f>IF(G92="","",E92/1000*G92)</f>
        <v/>
      </c>
      <c r="I92" s="2" t="inlineStr">
        <is>
          <t>Roma; fat, salt and application suitability unconfirmed</t>
        </is>
      </c>
      <c r="J92" s="2" t="inlineStr"/>
    </row>
    <row r="93">
      <c r="A93" s="2" t="inlineStr">
        <is>
          <t>O-B11</t>
        </is>
      </c>
      <c r="B93" s="2" t="inlineStr">
        <is>
          <t>Creamy chicken filling</t>
        </is>
      </c>
      <c r="C93" s="2" t="inlineStr">
        <is>
          <t>Main formula</t>
        </is>
      </c>
      <c r="D93" s="2" t="inlineStr">
        <is>
          <t>Plain flour</t>
        </is>
      </c>
      <c r="E93" s="3" t="n">
        <v>45</v>
      </c>
      <c r="F93" s="3" t="n">
        <v>225</v>
      </c>
      <c r="G93" s="2">
        <f>IF(Prices!B14="","",Prices!B14)</f>
        <v/>
      </c>
      <c r="H93" s="2">
        <f>IF(G93="","",E93/1000*G93)</f>
        <v/>
      </c>
      <c r="I93" s="2" t="inlineStr">
        <is>
          <t>Purchase quote/specification required</t>
        </is>
      </c>
      <c r="J93" s="2" t="inlineStr"/>
    </row>
    <row r="94">
      <c r="A94" s="2" t="inlineStr">
        <is>
          <t>O-B11</t>
        </is>
      </c>
      <c r="B94" s="2" t="inlineStr">
        <is>
          <t>Creamy chicken filling</t>
        </is>
      </c>
      <c r="C94" s="2" t="inlineStr">
        <is>
          <t>Main formula</t>
        </is>
      </c>
      <c r="D94" s="2" t="inlineStr">
        <is>
          <t>UHT milk</t>
        </is>
      </c>
      <c r="E94" s="3" t="n">
        <v>250</v>
      </c>
      <c r="F94" s="3" t="n">
        <v>1250</v>
      </c>
      <c r="G94" s="2">
        <f>IF(Prices!B32="","",Prices!B32)</f>
        <v/>
      </c>
      <c r="H94" s="2">
        <f>IF(G94="","",E94/1000*G94)</f>
        <v/>
      </c>
      <c r="I94" s="2" t="inlineStr">
        <is>
          <t>Purchase quote/specification required</t>
        </is>
      </c>
      <c r="J94" s="2" t="inlineStr"/>
    </row>
    <row r="95">
      <c r="A95" s="2" t="inlineStr">
        <is>
          <t>O-B11</t>
        </is>
      </c>
      <c r="B95" s="2" t="inlineStr">
        <is>
          <t>Creamy chicken filling</t>
        </is>
      </c>
      <c r="C95" s="2" t="inlineStr">
        <is>
          <t>Main formula</t>
        </is>
      </c>
      <c r="D95" s="2" t="inlineStr">
        <is>
          <t>Water</t>
        </is>
      </c>
      <c r="E95" s="3" t="n">
        <v>100</v>
      </c>
      <c r="F95" s="3" t="n">
        <v>500</v>
      </c>
      <c r="G95" s="2">
        <f>IF(Prices!B3="","",Prices!B3)</f>
        <v/>
      </c>
      <c r="H95" s="2">
        <f>IF(G95="","",E95/1000*G95)</f>
        <v/>
      </c>
      <c r="I95" s="2" t="inlineStr">
        <is>
          <t>Purchase quote/specification required</t>
        </is>
      </c>
      <c r="J95" s="2" t="inlineStr"/>
    </row>
    <row r="96">
      <c r="A96" s="2" t="inlineStr">
        <is>
          <t>O-B11</t>
        </is>
      </c>
      <c r="B96" s="2" t="inlineStr">
        <is>
          <t>Creamy chicken filling</t>
        </is>
      </c>
      <c r="C96" s="2" t="inlineStr">
        <is>
          <t>Main formula</t>
        </is>
      </c>
      <c r="D96" s="2" t="inlineStr">
        <is>
          <t>Garlic peeled</t>
        </is>
      </c>
      <c r="E96" s="3" t="n">
        <v>10</v>
      </c>
      <c r="F96" s="3" t="n">
        <v>50</v>
      </c>
      <c r="G96" s="2">
        <f>IF(Prices!B20="","",Prices!B20)</f>
        <v/>
      </c>
      <c r="H96" s="2">
        <f>IF(G96="","",E96/1000*G96)</f>
        <v/>
      </c>
      <c r="I96" s="2" t="inlineStr">
        <is>
          <t>Purchase quote/specification required</t>
        </is>
      </c>
      <c r="J96" s="2" t="inlineStr"/>
    </row>
    <row r="97">
      <c r="A97" s="2" t="inlineStr">
        <is>
          <t>O-B11</t>
        </is>
      </c>
      <c r="B97" s="2" t="inlineStr">
        <is>
          <t>Creamy chicken filling</t>
        </is>
      </c>
      <c r="C97" s="2" t="inlineStr">
        <is>
          <t>Main formula</t>
        </is>
      </c>
      <c r="D97" s="2" t="inlineStr">
        <is>
          <t>Salt</t>
        </is>
      </c>
      <c r="E97" s="3" t="n">
        <v>12</v>
      </c>
      <c r="F97" s="3" t="n">
        <v>60</v>
      </c>
      <c r="G97" s="2">
        <f>IF(Prices!B6="","",Prices!B6)</f>
        <v/>
      </c>
      <c r="H97" s="2">
        <f>IF(G97="","",E97/1000*G97)</f>
        <v/>
      </c>
      <c r="I97" s="2" t="inlineStr">
        <is>
          <t>Owner price</t>
        </is>
      </c>
      <c r="J97" s="2" t="inlineStr"/>
    </row>
    <row r="98">
      <c r="A98" s="2" t="inlineStr">
        <is>
          <t>O-B11</t>
        </is>
      </c>
      <c r="B98" s="2" t="inlineStr">
        <is>
          <t>Creamy chicken filling</t>
        </is>
      </c>
      <c r="C98" s="2" t="inlineStr">
        <is>
          <t>Main formula</t>
        </is>
      </c>
      <c r="D98" s="2" t="inlineStr">
        <is>
          <t>Black pepper</t>
        </is>
      </c>
      <c r="E98" s="3" t="n">
        <v>3</v>
      </c>
      <c r="F98" s="3" t="n">
        <v>15</v>
      </c>
      <c r="G98" s="2">
        <f>IF(Prices!B22="","",Prices!B22)</f>
        <v/>
      </c>
      <c r="H98" s="2">
        <f>IF(G98="","",E98/1000*G98)</f>
        <v/>
      </c>
      <c r="I98" s="2" t="inlineStr">
        <is>
          <t>Purchase quote/specification required</t>
        </is>
      </c>
      <c r="J98" s="2" t="inlineStr"/>
    </row>
    <row r="99">
      <c r="A99" s="2" t="inlineStr">
        <is>
          <t>O-B11</t>
        </is>
      </c>
      <c r="B99" s="2" t="inlineStr">
        <is>
          <t>Creamy chicken filling</t>
        </is>
      </c>
      <c r="C99" s="2" t="inlineStr">
        <is>
          <t>Main formula</t>
        </is>
      </c>
      <c r="D99" s="2" t="inlineStr">
        <is>
          <t>Thyme</t>
        </is>
      </c>
      <c r="E99" s="3" t="n">
        <v>2</v>
      </c>
      <c r="F99" s="3" t="n">
        <v>10</v>
      </c>
      <c r="G99" s="2">
        <f>IF(Prices!B26="","",Prices!B26)</f>
        <v/>
      </c>
      <c r="H99" s="2">
        <f>IF(G99="","",E99/1000*G99)</f>
        <v/>
      </c>
      <c r="I99" s="2" t="inlineStr">
        <is>
          <t>Purchase quote/specification required</t>
        </is>
      </c>
      <c r="J99" s="2" t="inlineStr"/>
    </row>
    <row r="100">
      <c r="A100" s="2" t="inlineStr">
        <is>
          <t>O-B12</t>
        </is>
      </c>
      <c r="B100" s="2" t="inlineStr">
        <is>
          <t>Egg roll dough</t>
        </is>
      </c>
      <c r="C100" s="2" t="inlineStr">
        <is>
          <t>Main formula</t>
        </is>
      </c>
      <c r="D100" s="2" t="inlineStr">
        <is>
          <t>Plain flour</t>
        </is>
      </c>
      <c r="E100" s="3" t="n">
        <v>1000</v>
      </c>
      <c r="F100" s="3" t="n">
        <v>5000</v>
      </c>
      <c r="G100" s="2">
        <f>IF(Prices!B14="","",Prices!B14)</f>
        <v/>
      </c>
      <c r="H100" s="2">
        <f>IF(G100="","",E100/1000*G100)</f>
        <v/>
      </c>
      <c r="I100" s="2" t="inlineStr">
        <is>
          <t>Purchase quote/specification required</t>
        </is>
      </c>
      <c r="J100" s="2" t="inlineStr"/>
    </row>
    <row r="101">
      <c r="A101" s="2" t="inlineStr">
        <is>
          <t>O-B12</t>
        </is>
      </c>
      <c r="B101" s="2" t="inlineStr">
        <is>
          <t>Egg roll dough</t>
        </is>
      </c>
      <c r="C101" s="2" t="inlineStr">
        <is>
          <t>Main formula</t>
        </is>
      </c>
      <c r="D101" s="2" t="inlineStr">
        <is>
          <t>Water</t>
        </is>
      </c>
      <c r="E101" s="3" t="n">
        <v>470</v>
      </c>
      <c r="F101" s="3" t="n">
        <v>2350</v>
      </c>
      <c r="G101" s="2">
        <f>IF(Prices!B3="","",Prices!B3)</f>
        <v/>
      </c>
      <c r="H101" s="2">
        <f>IF(G101="","",E101/1000*G101)</f>
        <v/>
      </c>
      <c r="I101" s="2" t="inlineStr">
        <is>
          <t>Purchase quote/specification required</t>
        </is>
      </c>
      <c r="J101" s="2" t="inlineStr"/>
    </row>
    <row r="102">
      <c r="A102" s="2" t="inlineStr">
        <is>
          <t>O-B12</t>
        </is>
      </c>
      <c r="B102" s="2" t="inlineStr">
        <is>
          <t>Egg roll dough</t>
        </is>
      </c>
      <c r="C102" s="2" t="inlineStr">
        <is>
          <t>Main formula</t>
        </is>
      </c>
      <c r="D102" s="2" t="inlineStr">
        <is>
          <t>Sugar</t>
        </is>
      </c>
      <c r="E102" s="3" t="n">
        <v>80</v>
      </c>
      <c r="F102" s="3" t="n">
        <v>400</v>
      </c>
      <c r="G102" s="2">
        <f>IF(Prices!B4="","",Prices!B4)</f>
        <v/>
      </c>
      <c r="H102" s="2">
        <f>IF(G102="","",E102/1000*G102)</f>
        <v/>
      </c>
      <c r="I102" s="2" t="inlineStr">
        <is>
          <t>Owner granulated sugar price; grind specification must match</t>
        </is>
      </c>
      <c r="J102" s="2" t="inlineStr"/>
    </row>
    <row r="103">
      <c r="A103" s="2" t="inlineStr">
        <is>
          <t>O-B12</t>
        </is>
      </c>
      <c r="B103" s="2" t="inlineStr">
        <is>
          <t>Egg roll dough</t>
        </is>
      </c>
      <c r="C103" s="2" t="inlineStr">
        <is>
          <t>Main formula</t>
        </is>
      </c>
      <c r="D103" s="2" t="inlineStr">
        <is>
          <t>Margarine</t>
        </is>
      </c>
      <c r="E103" s="3" t="n">
        <v>70</v>
      </c>
      <c r="F103" s="3" t="n">
        <v>350</v>
      </c>
      <c r="G103" s="2">
        <f>IF(Prices!B5="","",Prices!B5)</f>
        <v/>
      </c>
      <c r="H103" s="2">
        <f>IF(G103="","",E103/1000*G103)</f>
        <v/>
      </c>
      <c r="I103" s="2" t="inlineStr">
        <is>
          <t>Roma; fat, salt and application suitability unconfirmed</t>
        </is>
      </c>
      <c r="J103" s="2" t="inlineStr"/>
    </row>
    <row r="104">
      <c r="A104" s="2" t="inlineStr">
        <is>
          <t>O-B12</t>
        </is>
      </c>
      <c r="B104" s="2" t="inlineStr">
        <is>
          <t>Egg roll dough</t>
        </is>
      </c>
      <c r="C104" s="2" t="inlineStr">
        <is>
          <t>Main formula</t>
        </is>
      </c>
      <c r="D104" s="2" t="inlineStr">
        <is>
          <t>Whole milk powder</t>
        </is>
      </c>
      <c r="E104" s="3" t="n">
        <v>25</v>
      </c>
      <c r="F104" s="3" t="n">
        <v>125</v>
      </c>
      <c r="G104" s="2">
        <f>IF(Prices!B10="","",Prices!B10)</f>
        <v/>
      </c>
      <c r="H104" s="2">
        <f>IF(G104="","",E104/1000*G104)</f>
        <v/>
      </c>
      <c r="I104" s="2" t="inlineStr">
        <is>
          <t>Purchase quote/specification required</t>
        </is>
      </c>
      <c r="J104" s="2" t="inlineStr"/>
    </row>
    <row r="105">
      <c r="A105" s="2" t="inlineStr">
        <is>
          <t>O-B12</t>
        </is>
      </c>
      <c r="B105" s="2" t="inlineStr">
        <is>
          <t>Egg roll dough</t>
        </is>
      </c>
      <c r="C105" s="2" t="inlineStr">
        <is>
          <t>Main formula</t>
        </is>
      </c>
      <c r="D105" s="2" t="inlineStr">
        <is>
          <t>Salt</t>
        </is>
      </c>
      <c r="E105" s="3" t="n">
        <v>15</v>
      </c>
      <c r="F105" s="3" t="n">
        <v>75</v>
      </c>
      <c r="G105" s="2">
        <f>IF(Prices!B6="","",Prices!B6)</f>
        <v/>
      </c>
      <c r="H105" s="2">
        <f>IF(G105="","",E105/1000*G105)</f>
        <v/>
      </c>
      <c r="I105" s="2" t="inlineStr">
        <is>
          <t>Owner price</t>
        </is>
      </c>
      <c r="J105" s="2" t="inlineStr"/>
    </row>
    <row r="106">
      <c r="A106" s="2" t="inlineStr">
        <is>
          <t>O-B12</t>
        </is>
      </c>
      <c r="B106" s="2" t="inlineStr">
        <is>
          <t>Egg roll dough</t>
        </is>
      </c>
      <c r="C106" s="2" t="inlineStr">
        <is>
          <t>Main formula</t>
        </is>
      </c>
      <c r="D106" s="2" t="inlineStr">
        <is>
          <t>Yeast</t>
        </is>
      </c>
      <c r="E106" s="3" t="n">
        <v>12</v>
      </c>
      <c r="F106" s="3" t="n">
        <v>60</v>
      </c>
      <c r="G106" s="2">
        <f>IF(Prices!B7="","",Prices!B7)</f>
        <v/>
      </c>
      <c r="H106" s="2">
        <f>IF(G106="","",E106/1000*G106)</f>
        <v/>
      </c>
      <c r="I106" s="2" t="inlineStr">
        <is>
          <t>Nevada instant dry; sweet-dough suitability requires trial</t>
        </is>
      </c>
      <c r="J106" s="2" t="inlineStr"/>
    </row>
    <row r="107">
      <c r="A107" s="2" t="inlineStr">
        <is>
          <t>O-B12</t>
        </is>
      </c>
      <c r="B107" s="2" t="inlineStr">
        <is>
          <t>Egg roll dough</t>
        </is>
      </c>
      <c r="C107" s="2" t="inlineStr">
        <is>
          <t>Main formula</t>
        </is>
      </c>
      <c r="D107" s="2" t="inlineStr">
        <is>
          <t>Nutmeg</t>
        </is>
      </c>
      <c r="E107" s="3" t="n">
        <v>2</v>
      </c>
      <c r="F107" s="3" t="n">
        <v>10</v>
      </c>
      <c r="G107" s="2">
        <f>IF(Prices!B13="","",Prices!B13)</f>
        <v/>
      </c>
      <c r="H107" s="2">
        <f>IF(G107="","",E107/1000*G107)</f>
        <v/>
      </c>
      <c r="I107" s="2" t="inlineStr">
        <is>
          <t>Purchase quote/specification required</t>
        </is>
      </c>
      <c r="J107" s="2" t="inlineStr"/>
    </row>
    <row r="108">
      <c r="A108" s="2" t="inlineStr">
        <is>
          <t>O-B13</t>
        </is>
      </c>
      <c r="B108" s="2" t="inlineStr">
        <is>
          <t>Hard boiled peeled eggs</t>
        </is>
      </c>
      <c r="C108" s="2" t="inlineStr">
        <is>
          <t>Main formula</t>
        </is>
      </c>
      <c r="D108" s="2" t="inlineStr">
        <is>
          <t>Egg</t>
        </is>
      </c>
      <c r="E108" s="3" t="n">
        <v>1000</v>
      </c>
      <c r="F108" s="3" t="n">
        <v>5000</v>
      </c>
      <c r="G108" s="2">
        <f>IF(Prices!B9="","",Prices!B9)</f>
        <v/>
      </c>
      <c r="H108" s="2">
        <f>IF(G108="","",E108/1000*G108)</f>
        <v/>
      </c>
      <c r="I108" s="2" t="inlineStr">
        <is>
          <t>Purchase quote/specification required</t>
        </is>
      </c>
      <c r="J108" s="2" t="inlineStr"/>
    </row>
    <row r="109">
      <c r="A109" s="2" t="inlineStr">
        <is>
          <t>O-B14</t>
        </is>
      </c>
      <c r="B109" s="2" t="inlineStr">
        <is>
          <t>Banana condensed milk cake batter</t>
        </is>
      </c>
      <c r="C109" s="2" t="inlineStr">
        <is>
          <t>Main formula</t>
        </is>
      </c>
      <c r="D109" s="2" t="inlineStr">
        <is>
          <t>Plain flour</t>
        </is>
      </c>
      <c r="E109" s="3" t="n">
        <v>1000</v>
      </c>
      <c r="F109" s="3" t="n">
        <v>5000</v>
      </c>
      <c r="G109" s="2">
        <f>IF(Prices!B14="","",Prices!B14)</f>
        <v/>
      </c>
      <c r="H109" s="2">
        <f>IF(G109="","",E109/1000*G109)</f>
        <v/>
      </c>
      <c r="I109" s="2" t="inlineStr">
        <is>
          <t>Purchase quote/specification required</t>
        </is>
      </c>
      <c r="J109" s="2" t="inlineStr"/>
    </row>
    <row r="110">
      <c r="A110" s="2" t="inlineStr">
        <is>
          <t>O-B14</t>
        </is>
      </c>
      <c r="B110" s="2" t="inlineStr">
        <is>
          <t>Banana condensed milk cake batter</t>
        </is>
      </c>
      <c r="C110" s="2" t="inlineStr">
        <is>
          <t>Main formula</t>
        </is>
      </c>
      <c r="D110" s="2" t="inlineStr">
        <is>
          <t>Banana peeled</t>
        </is>
      </c>
      <c r="E110" s="3" t="n">
        <v>900</v>
      </c>
      <c r="F110" s="3" t="n">
        <v>4500</v>
      </c>
      <c r="G110" s="2">
        <f>IF(Prices!B33="","",Prices!B33)</f>
        <v/>
      </c>
      <c r="H110" s="2">
        <f>IF(G110="","",E110/1000*G110)</f>
        <v/>
      </c>
      <c r="I110" s="2" t="inlineStr">
        <is>
          <t>Purchase quote/specification required</t>
        </is>
      </c>
      <c r="J110" s="2" t="inlineStr"/>
    </row>
    <row r="111">
      <c r="A111" s="2" t="inlineStr">
        <is>
          <t>O-B14</t>
        </is>
      </c>
      <c r="B111" s="2" t="inlineStr">
        <is>
          <t>Banana condensed milk cake batter</t>
        </is>
      </c>
      <c r="C111" s="2" t="inlineStr">
        <is>
          <t>Main formula</t>
        </is>
      </c>
      <c r="D111" s="2" t="inlineStr">
        <is>
          <t>Egg</t>
        </is>
      </c>
      <c r="E111" s="3" t="n">
        <v>400</v>
      </c>
      <c r="F111" s="3" t="n">
        <v>2000</v>
      </c>
      <c r="G111" s="2">
        <f>IF(Prices!B9="","",Prices!B9)</f>
        <v/>
      </c>
      <c r="H111" s="2">
        <f>IF(G111="","",E111/1000*G111)</f>
        <v/>
      </c>
      <c r="I111" s="2" t="inlineStr">
        <is>
          <t>Purchase quote/specification required</t>
        </is>
      </c>
      <c r="J111" s="2" t="inlineStr"/>
    </row>
    <row r="112">
      <c r="A112" s="2" t="inlineStr">
        <is>
          <t>O-B14</t>
        </is>
      </c>
      <c r="B112" s="2" t="inlineStr">
        <is>
          <t>Banana condensed milk cake batter</t>
        </is>
      </c>
      <c r="C112" s="2" t="inlineStr">
        <is>
          <t>Main formula</t>
        </is>
      </c>
      <c r="D112" s="2" t="inlineStr">
        <is>
          <t>Oil</t>
        </is>
      </c>
      <c r="E112" s="3" t="n">
        <v>300</v>
      </c>
      <c r="F112" s="3" t="n">
        <v>1500</v>
      </c>
      <c r="G112" s="2">
        <f>IF(Prices!B19="","",Prices!B19)</f>
        <v/>
      </c>
      <c r="H112" s="2">
        <f>IF(G112="","",E112/1000*G112)</f>
        <v/>
      </c>
      <c r="I112" s="2" t="inlineStr">
        <is>
          <t>PROVISIONAL 0.92 kg/L; correct after weighing</t>
        </is>
      </c>
      <c r="J112" s="2" t="inlineStr"/>
    </row>
    <row r="113">
      <c r="A113" s="2" t="inlineStr">
        <is>
          <t>O-B14</t>
        </is>
      </c>
      <c r="B113" s="2" t="inlineStr">
        <is>
          <t>Banana condensed milk cake batter</t>
        </is>
      </c>
      <c r="C113" s="2" t="inlineStr">
        <is>
          <t>Main formula</t>
        </is>
      </c>
      <c r="D113" s="2" t="inlineStr">
        <is>
          <t>Sugar</t>
        </is>
      </c>
      <c r="E113" s="3" t="n">
        <v>220</v>
      </c>
      <c r="F113" s="3" t="n">
        <v>1100</v>
      </c>
      <c r="G113" s="2">
        <f>IF(Prices!B4="","",Prices!B4)</f>
        <v/>
      </c>
      <c r="H113" s="2">
        <f>IF(G113="","",E113/1000*G113)</f>
        <v/>
      </c>
      <c r="I113" s="2" t="inlineStr">
        <is>
          <t>Owner granulated sugar price; grind specification must match</t>
        </is>
      </c>
      <c r="J113" s="2" t="inlineStr"/>
    </row>
    <row r="114">
      <c r="A114" s="2" t="inlineStr">
        <is>
          <t>O-B14</t>
        </is>
      </c>
      <c r="B114" s="2" t="inlineStr">
        <is>
          <t>Banana condensed milk cake batter</t>
        </is>
      </c>
      <c r="C114" s="2" t="inlineStr">
        <is>
          <t>Main formula</t>
        </is>
      </c>
      <c r="D114" s="2" t="inlineStr">
        <is>
          <t>Condensed milk</t>
        </is>
      </c>
      <c r="E114" s="3" t="n">
        <v>200</v>
      </c>
      <c r="F114" s="3" t="n">
        <v>1000</v>
      </c>
      <c r="G114" s="2">
        <f>IF(Prices!B8="","",Prices!B8)</f>
        <v/>
      </c>
      <c r="H114" s="2">
        <f>IF(G114="","",E114/1000*G114)</f>
        <v/>
      </c>
      <c r="I114" s="2" t="inlineStr">
        <is>
          <t>Purchase quote/specification required</t>
        </is>
      </c>
      <c r="J114" s="2" t="inlineStr"/>
    </row>
    <row r="115">
      <c r="A115" s="2" t="inlineStr">
        <is>
          <t>O-B14</t>
        </is>
      </c>
      <c r="B115" s="2" t="inlineStr">
        <is>
          <t>Banana condensed milk cake batter</t>
        </is>
      </c>
      <c r="C115" s="2" t="inlineStr">
        <is>
          <t>Main formula</t>
        </is>
      </c>
      <c r="D115" s="2" t="inlineStr">
        <is>
          <t>Baking powder</t>
        </is>
      </c>
      <c r="E115" s="3" t="n">
        <v>20</v>
      </c>
      <c r="F115" s="3" t="n">
        <v>100</v>
      </c>
      <c r="G115" s="2">
        <f>IF(Prices!B15="","",Prices!B15)</f>
        <v/>
      </c>
      <c r="H115" s="2">
        <f>IF(G115="","",E115/1000*G115)</f>
        <v/>
      </c>
      <c r="I115" s="2" t="inlineStr">
        <is>
          <t>Purchase quote/specification required</t>
        </is>
      </c>
      <c r="J115" s="2" t="inlineStr"/>
    </row>
    <row r="116">
      <c r="A116" s="2" t="inlineStr">
        <is>
          <t>O-B14</t>
        </is>
      </c>
      <c r="B116" s="2" t="inlineStr">
        <is>
          <t>Banana condensed milk cake batter</t>
        </is>
      </c>
      <c r="C116" s="2" t="inlineStr">
        <is>
          <t>Main formula</t>
        </is>
      </c>
      <c r="D116" s="2" t="inlineStr">
        <is>
          <t>Baking soda</t>
        </is>
      </c>
      <c r="E116" s="3" t="n">
        <v>5</v>
      </c>
      <c r="F116" s="3" t="n">
        <v>25</v>
      </c>
      <c r="G116" s="2">
        <f>IF(Prices!B34="","",Prices!B34)</f>
        <v/>
      </c>
      <c r="H116" s="2">
        <f>IF(G116="","",E116/1000*G116)</f>
        <v/>
      </c>
      <c r="I116" s="2" t="inlineStr">
        <is>
          <t>Purchase quote/specification required</t>
        </is>
      </c>
      <c r="J116" s="2" t="inlineStr"/>
    </row>
    <row r="117">
      <c r="A117" s="2" t="inlineStr">
        <is>
          <t>O-B14</t>
        </is>
      </c>
      <c r="B117" s="2" t="inlineStr">
        <is>
          <t>Banana condensed milk cake batter</t>
        </is>
      </c>
      <c r="C117" s="2" t="inlineStr">
        <is>
          <t>Main formula</t>
        </is>
      </c>
      <c r="D117" s="2" t="inlineStr">
        <is>
          <t>Salt</t>
        </is>
      </c>
      <c r="E117" s="3" t="n">
        <v>8</v>
      </c>
      <c r="F117" s="3" t="n">
        <v>40</v>
      </c>
      <c r="G117" s="2">
        <f>IF(Prices!B6="","",Prices!B6)</f>
        <v/>
      </c>
      <c r="H117" s="2">
        <f>IF(G117="","",E117/1000*G117)</f>
        <v/>
      </c>
      <c r="I117" s="2" t="inlineStr">
        <is>
          <t>Owner price</t>
        </is>
      </c>
      <c r="J117" s="2" t="inlineStr"/>
    </row>
    <row r="118">
      <c r="A118" s="2" t="inlineStr">
        <is>
          <t>O-B14</t>
        </is>
      </c>
      <c r="B118" s="2" t="inlineStr">
        <is>
          <t>Banana condensed milk cake batter</t>
        </is>
      </c>
      <c r="C118" s="2" t="inlineStr">
        <is>
          <t>Main formula</t>
        </is>
      </c>
      <c r="D118" s="2" t="inlineStr">
        <is>
          <t>Vanilla</t>
        </is>
      </c>
      <c r="E118" s="3" t="n">
        <v>5</v>
      </c>
      <c r="F118" s="3" t="n">
        <v>25</v>
      </c>
      <c r="G118" s="2">
        <f>IF(Prices!B11="","",Prices!B11)</f>
        <v/>
      </c>
      <c r="H118" s="2">
        <f>IF(G118="","",E118/1000*G118)</f>
        <v/>
      </c>
      <c r="I118" s="2" t="inlineStr">
        <is>
          <t>Purchase quote/specification required</t>
        </is>
      </c>
      <c r="J118" s="2" t="inlineStr"/>
    </row>
    <row r="119">
      <c r="A119" s="2" t="inlineStr">
        <is>
          <t>O-B14</t>
        </is>
      </c>
      <c r="B119" s="2" t="inlineStr">
        <is>
          <t>Banana condensed milk cake batter</t>
        </is>
      </c>
      <c r="C119" s="2" t="inlineStr">
        <is>
          <t>Main formula</t>
        </is>
      </c>
      <c r="D119" s="2" t="inlineStr">
        <is>
          <t>Cinnamon</t>
        </is>
      </c>
      <c r="E119" s="3" t="n">
        <v>3</v>
      </c>
      <c r="F119" s="3" t="n">
        <v>15</v>
      </c>
      <c r="G119" s="2">
        <f>IF(Prices!B35="","",Prices!B35)</f>
        <v/>
      </c>
      <c r="H119" s="2">
        <f>IF(G119="","",E119/1000*G119)</f>
        <v/>
      </c>
      <c r="I119" s="2" t="inlineStr">
        <is>
          <t>Purchase quote/specification required</t>
        </is>
      </c>
      <c r="J119" s="2" t="inlineStr"/>
    </row>
    <row r="120">
      <c r="A120" s="2" t="inlineStr">
        <is>
          <t>O-B15</t>
        </is>
      </c>
      <c r="B120" s="2" t="inlineStr">
        <is>
          <t>Pizza dough</t>
        </is>
      </c>
      <c r="C120" s="2" t="inlineStr">
        <is>
          <t>Main formula</t>
        </is>
      </c>
      <c r="D120" s="2" t="inlineStr">
        <is>
          <t>Bread flour</t>
        </is>
      </c>
      <c r="E120" s="3" t="n">
        <v>1000</v>
      </c>
      <c r="F120" s="3" t="n">
        <v>5000</v>
      </c>
      <c r="G120" s="2">
        <f>IF(Prices!B2="","",Prices!B2)</f>
        <v/>
      </c>
      <c r="H120" s="2">
        <f>IF(G120="","",E120/1000*G120)</f>
        <v/>
      </c>
      <c r="I120" s="2" t="inlineStr">
        <is>
          <t>Owner flour price; flour performance requires trial</t>
        </is>
      </c>
      <c r="J120" s="2" t="inlineStr"/>
    </row>
    <row r="121">
      <c r="A121" s="2" t="inlineStr">
        <is>
          <t>O-B15</t>
        </is>
      </c>
      <c r="B121" s="2" t="inlineStr">
        <is>
          <t>Pizza dough</t>
        </is>
      </c>
      <c r="C121" s="2" t="inlineStr">
        <is>
          <t>Main formula</t>
        </is>
      </c>
      <c r="D121" s="2" t="inlineStr">
        <is>
          <t>Water</t>
        </is>
      </c>
      <c r="E121" s="3" t="n">
        <v>620</v>
      </c>
      <c r="F121" s="3" t="n">
        <v>3100</v>
      </c>
      <c r="G121" s="2">
        <f>IF(Prices!B3="","",Prices!B3)</f>
        <v/>
      </c>
      <c r="H121" s="2">
        <f>IF(G121="","",E121/1000*G121)</f>
        <v/>
      </c>
      <c r="I121" s="2" t="inlineStr">
        <is>
          <t>Purchase quote/specification required</t>
        </is>
      </c>
      <c r="J121" s="2" t="inlineStr"/>
    </row>
    <row r="122">
      <c r="A122" s="2" t="inlineStr">
        <is>
          <t>O-B15</t>
        </is>
      </c>
      <c r="B122" s="2" t="inlineStr">
        <is>
          <t>Pizza dough</t>
        </is>
      </c>
      <c r="C122" s="2" t="inlineStr">
        <is>
          <t>Main formula</t>
        </is>
      </c>
      <c r="D122" s="2" t="inlineStr">
        <is>
          <t>Salt</t>
        </is>
      </c>
      <c r="E122" s="3" t="n">
        <v>20</v>
      </c>
      <c r="F122" s="3" t="n">
        <v>100</v>
      </c>
      <c r="G122" s="2">
        <f>IF(Prices!B6="","",Prices!B6)</f>
        <v/>
      </c>
      <c r="H122" s="2">
        <f>IF(G122="","",E122/1000*G122)</f>
        <v/>
      </c>
      <c r="I122" s="2" t="inlineStr">
        <is>
          <t>Owner price</t>
        </is>
      </c>
      <c r="J122" s="2" t="inlineStr"/>
    </row>
    <row r="123">
      <c r="A123" s="2" t="inlineStr">
        <is>
          <t>O-B15</t>
        </is>
      </c>
      <c r="B123" s="2" t="inlineStr">
        <is>
          <t>Pizza dough</t>
        </is>
      </c>
      <c r="C123" s="2" t="inlineStr">
        <is>
          <t>Main formula</t>
        </is>
      </c>
      <c r="D123" s="2" t="inlineStr">
        <is>
          <t>Sugar</t>
        </is>
      </c>
      <c r="E123" s="3" t="n">
        <v>20</v>
      </c>
      <c r="F123" s="3" t="n">
        <v>100</v>
      </c>
      <c r="G123" s="2">
        <f>IF(Prices!B4="","",Prices!B4)</f>
        <v/>
      </c>
      <c r="H123" s="2">
        <f>IF(G123="","",E123/1000*G123)</f>
        <v/>
      </c>
      <c r="I123" s="2" t="inlineStr">
        <is>
          <t>Owner granulated sugar price; grind specification must match</t>
        </is>
      </c>
      <c r="J123" s="2" t="inlineStr"/>
    </row>
    <row r="124">
      <c r="A124" s="2" t="inlineStr">
        <is>
          <t>O-B15</t>
        </is>
      </c>
      <c r="B124" s="2" t="inlineStr">
        <is>
          <t>Pizza dough</t>
        </is>
      </c>
      <c r="C124" s="2" t="inlineStr">
        <is>
          <t>Main formula</t>
        </is>
      </c>
      <c r="D124" s="2" t="inlineStr">
        <is>
          <t>Yeast</t>
        </is>
      </c>
      <c r="E124" s="3" t="n">
        <v>8</v>
      </c>
      <c r="F124" s="3" t="n">
        <v>40</v>
      </c>
      <c r="G124" s="2">
        <f>IF(Prices!B7="","",Prices!B7)</f>
        <v/>
      </c>
      <c r="H124" s="2">
        <f>IF(G124="","",E124/1000*G124)</f>
        <v/>
      </c>
      <c r="I124" s="2" t="inlineStr">
        <is>
          <t>Nevada instant dry; sweet-dough suitability requires trial</t>
        </is>
      </c>
      <c r="J124" s="2" t="inlineStr"/>
    </row>
    <row r="125">
      <c r="A125" s="2" t="inlineStr">
        <is>
          <t>O-B15</t>
        </is>
      </c>
      <c r="B125" s="2" t="inlineStr">
        <is>
          <t>Pizza dough</t>
        </is>
      </c>
      <c r="C125" s="2" t="inlineStr">
        <is>
          <t>Main formula</t>
        </is>
      </c>
      <c r="D125" s="2" t="inlineStr">
        <is>
          <t>Oil</t>
        </is>
      </c>
      <c r="E125" s="3" t="n">
        <v>40</v>
      </c>
      <c r="F125" s="3" t="n">
        <v>200</v>
      </c>
      <c r="G125" s="2">
        <f>IF(Prices!B19="","",Prices!B19)</f>
        <v/>
      </c>
      <c r="H125" s="2">
        <f>IF(G125="","",E125/1000*G125)</f>
        <v/>
      </c>
      <c r="I125" s="2" t="inlineStr">
        <is>
          <t>PROVISIONAL 0.92 kg/L; correct after weighing</t>
        </is>
      </c>
      <c r="J125" s="2" t="inlineStr"/>
    </row>
    <row r="126">
      <c r="A126" s="2" t="inlineStr">
        <is>
          <t>O-B16</t>
        </is>
      </c>
      <c r="B126" s="2" t="inlineStr">
        <is>
          <t>Pizza tomato sauce</t>
        </is>
      </c>
      <c r="C126" s="2" t="inlineStr">
        <is>
          <t>Main formula</t>
        </is>
      </c>
      <c r="D126" s="2" t="inlineStr">
        <is>
          <t>Tomato trimmed</t>
        </is>
      </c>
      <c r="E126" s="3" t="n">
        <v>800</v>
      </c>
      <c r="F126" s="3" t="n">
        <v>4000</v>
      </c>
      <c r="G126" s="2">
        <f>IF(Prices!B36="","",Prices!B36)</f>
        <v/>
      </c>
      <c r="H126" s="2">
        <f>IF(G126="","",E126/1000*G126)</f>
        <v/>
      </c>
      <c r="I126" s="2" t="inlineStr">
        <is>
          <t>Purchase quote/specification required</t>
        </is>
      </c>
      <c r="J126" s="2" t="inlineStr"/>
    </row>
    <row r="127">
      <c r="A127" s="2" t="inlineStr">
        <is>
          <t>O-B16</t>
        </is>
      </c>
      <c r="B127" s="2" t="inlineStr">
        <is>
          <t>Pizza tomato sauce</t>
        </is>
      </c>
      <c r="C127" s="2" t="inlineStr">
        <is>
          <t>Main formula</t>
        </is>
      </c>
      <c r="D127" s="2" t="inlineStr">
        <is>
          <t>Onion trimmed</t>
        </is>
      </c>
      <c r="E127" s="3" t="n">
        <v>100</v>
      </c>
      <c r="F127" s="3" t="n">
        <v>500</v>
      </c>
      <c r="G127" s="2">
        <f>IF(Prices!B17="","",Prices!B17)</f>
        <v/>
      </c>
      <c r="H127" s="2">
        <f>IF(G127="","",E127/1000*G127)</f>
        <v/>
      </c>
      <c r="I127" s="2" t="inlineStr">
        <is>
          <t>Purchase quote/specification required</t>
        </is>
      </c>
      <c r="J127" s="2" t="inlineStr"/>
    </row>
    <row r="128">
      <c r="A128" s="2" t="inlineStr">
        <is>
          <t>O-B16</t>
        </is>
      </c>
      <c r="B128" s="2" t="inlineStr">
        <is>
          <t>Pizza tomato sauce</t>
        </is>
      </c>
      <c r="C128" s="2" t="inlineStr">
        <is>
          <t>Main formula</t>
        </is>
      </c>
      <c r="D128" s="2" t="inlineStr">
        <is>
          <t>Oil</t>
        </is>
      </c>
      <c r="E128" s="3" t="n">
        <v>30</v>
      </c>
      <c r="F128" s="3" t="n">
        <v>150</v>
      </c>
      <c r="G128" s="2">
        <f>IF(Prices!B19="","",Prices!B19)</f>
        <v/>
      </c>
      <c r="H128" s="2">
        <f>IF(G128="","",E128/1000*G128)</f>
        <v/>
      </c>
      <c r="I128" s="2" t="inlineStr">
        <is>
          <t>PROVISIONAL 0.92 kg/L; correct after weighing</t>
        </is>
      </c>
      <c r="J128" s="2" t="inlineStr"/>
    </row>
    <row r="129">
      <c r="A129" s="2" t="inlineStr">
        <is>
          <t>O-B16</t>
        </is>
      </c>
      <c r="B129" s="2" t="inlineStr">
        <is>
          <t>Pizza tomato sauce</t>
        </is>
      </c>
      <c r="C129" s="2" t="inlineStr">
        <is>
          <t>Main formula</t>
        </is>
      </c>
      <c r="D129" s="2" t="inlineStr">
        <is>
          <t>Garlic peeled</t>
        </is>
      </c>
      <c r="E129" s="3" t="n">
        <v>15</v>
      </c>
      <c r="F129" s="3" t="n">
        <v>75</v>
      </c>
      <c r="G129" s="2">
        <f>IF(Prices!B20="","",Prices!B20)</f>
        <v/>
      </c>
      <c r="H129" s="2">
        <f>IF(G129="","",E129/1000*G129)</f>
        <v/>
      </c>
      <c r="I129" s="2" t="inlineStr">
        <is>
          <t>Purchase quote/specification required</t>
        </is>
      </c>
      <c r="J129" s="2" t="inlineStr"/>
    </row>
    <row r="130">
      <c r="A130" s="2" t="inlineStr">
        <is>
          <t>O-B16</t>
        </is>
      </c>
      <c r="B130" s="2" t="inlineStr">
        <is>
          <t>Pizza tomato sauce</t>
        </is>
      </c>
      <c r="C130" s="2" t="inlineStr">
        <is>
          <t>Main formula</t>
        </is>
      </c>
      <c r="D130" s="2" t="inlineStr">
        <is>
          <t>Sugar</t>
        </is>
      </c>
      <c r="E130" s="3" t="n">
        <v>15</v>
      </c>
      <c r="F130" s="3" t="n">
        <v>75</v>
      </c>
      <c r="G130" s="2">
        <f>IF(Prices!B4="","",Prices!B4)</f>
        <v/>
      </c>
      <c r="H130" s="2">
        <f>IF(G130="","",E130/1000*G130)</f>
        <v/>
      </c>
      <c r="I130" s="2" t="inlineStr">
        <is>
          <t>Owner granulated sugar price; grind specification must match</t>
        </is>
      </c>
      <c r="J130" s="2" t="inlineStr"/>
    </row>
    <row r="131">
      <c r="A131" s="2" t="inlineStr">
        <is>
          <t>O-B16</t>
        </is>
      </c>
      <c r="B131" s="2" t="inlineStr">
        <is>
          <t>Pizza tomato sauce</t>
        </is>
      </c>
      <c r="C131" s="2" t="inlineStr">
        <is>
          <t>Main formula</t>
        </is>
      </c>
      <c r="D131" s="2" t="inlineStr">
        <is>
          <t>Salt</t>
        </is>
      </c>
      <c r="E131" s="3" t="n">
        <v>12</v>
      </c>
      <c r="F131" s="3" t="n">
        <v>60</v>
      </c>
      <c r="G131" s="2">
        <f>IF(Prices!B6="","",Prices!B6)</f>
        <v/>
      </c>
      <c r="H131" s="2">
        <f>IF(G131="","",E131/1000*G131)</f>
        <v/>
      </c>
      <c r="I131" s="2" t="inlineStr">
        <is>
          <t>Owner price</t>
        </is>
      </c>
      <c r="J131" s="2" t="inlineStr"/>
    </row>
    <row r="132">
      <c r="A132" s="2" t="inlineStr">
        <is>
          <t>O-B16</t>
        </is>
      </c>
      <c r="B132" s="2" t="inlineStr">
        <is>
          <t>Pizza tomato sauce</t>
        </is>
      </c>
      <c r="C132" s="2" t="inlineStr">
        <is>
          <t>Main formula</t>
        </is>
      </c>
      <c r="D132" s="2" t="inlineStr">
        <is>
          <t>Oregano</t>
        </is>
      </c>
      <c r="E132" s="3" t="n">
        <v>3</v>
      </c>
      <c r="F132" s="3" t="n">
        <v>15</v>
      </c>
      <c r="G132" s="2">
        <f>IF(Prices!B37="","",Prices!B37)</f>
        <v/>
      </c>
      <c r="H132" s="2">
        <f>IF(G132="","",E132/1000*G132)</f>
        <v/>
      </c>
      <c r="I132" s="2" t="inlineStr">
        <is>
          <t>Purchase quote/specification required</t>
        </is>
      </c>
      <c r="J132" s="2" t="inlineStr"/>
    </row>
    <row r="133">
      <c r="A133" s="2" t="inlineStr">
        <is>
          <t>O-B16</t>
        </is>
      </c>
      <c r="B133" s="2" t="inlineStr">
        <is>
          <t>Pizza tomato sauce</t>
        </is>
      </c>
      <c r="C133" s="2" t="inlineStr">
        <is>
          <t>Main formula</t>
        </is>
      </c>
      <c r="D133" s="2" t="inlineStr">
        <is>
          <t>Black pepper</t>
        </is>
      </c>
      <c r="E133" s="3" t="n">
        <v>2</v>
      </c>
      <c r="F133" s="3" t="n">
        <v>10</v>
      </c>
      <c r="G133" s="2">
        <f>IF(Prices!B22="","",Prices!B22)</f>
        <v/>
      </c>
      <c r="H133" s="2">
        <f>IF(G133="","",E133/1000*G133)</f>
        <v/>
      </c>
      <c r="I133" s="2" t="inlineStr">
        <is>
          <t>Purchase quote/specification required</t>
        </is>
      </c>
      <c r="J133" s="2" t="inlineStr"/>
    </row>
    <row r="134">
      <c r="A134" s="2" t="inlineStr">
        <is>
          <t>O-B25</t>
        </is>
      </c>
      <c r="B134" s="2" t="inlineStr">
        <is>
          <t>Burger buns</t>
        </is>
      </c>
      <c r="C134" s="2" t="inlineStr">
        <is>
          <t>Main formula</t>
        </is>
      </c>
      <c r="D134" s="2" t="inlineStr">
        <is>
          <t>Bread flour</t>
        </is>
      </c>
      <c r="E134" s="3" t="n">
        <v>1000</v>
      </c>
      <c r="F134" s="3" t="n">
        <v>5000</v>
      </c>
      <c r="G134" s="2">
        <f>IF(Prices!B2="","",Prices!B2)</f>
        <v/>
      </c>
      <c r="H134" s="2">
        <f>IF(G134="","",E134/1000*G134)</f>
        <v/>
      </c>
      <c r="I134" s="2" t="inlineStr">
        <is>
          <t>Owner flour price; flour performance requires trial</t>
        </is>
      </c>
      <c r="J134" s="2" t="inlineStr"/>
    </row>
    <row r="135">
      <c r="A135" s="2" t="inlineStr">
        <is>
          <t>O-B25</t>
        </is>
      </c>
      <c r="B135" s="2" t="inlineStr">
        <is>
          <t>Burger buns</t>
        </is>
      </c>
      <c r="C135" s="2" t="inlineStr">
        <is>
          <t>Main formula</t>
        </is>
      </c>
      <c r="D135" s="2" t="inlineStr">
        <is>
          <t>Water</t>
        </is>
      </c>
      <c r="E135" s="3" t="n">
        <v>540</v>
      </c>
      <c r="F135" s="3" t="n">
        <v>2700</v>
      </c>
      <c r="G135" s="2">
        <f>IF(Prices!B3="","",Prices!B3)</f>
        <v/>
      </c>
      <c r="H135" s="2">
        <f>IF(G135="","",E135/1000*G135)</f>
        <v/>
      </c>
      <c r="I135" s="2" t="inlineStr">
        <is>
          <t>Purchase quote/specification required</t>
        </is>
      </c>
      <c r="J135" s="2" t="inlineStr"/>
    </row>
    <row r="136">
      <c r="A136" s="2" t="inlineStr">
        <is>
          <t>O-B25</t>
        </is>
      </c>
      <c r="B136" s="2" t="inlineStr">
        <is>
          <t>Burger buns</t>
        </is>
      </c>
      <c r="C136" s="2" t="inlineStr">
        <is>
          <t>Main formula</t>
        </is>
      </c>
      <c r="D136" s="2" t="inlineStr">
        <is>
          <t>Egg</t>
        </is>
      </c>
      <c r="E136" s="3" t="n">
        <v>80</v>
      </c>
      <c r="F136" s="3" t="n">
        <v>400</v>
      </c>
      <c r="G136" s="2">
        <f>IF(Prices!B9="","",Prices!B9)</f>
        <v/>
      </c>
      <c r="H136" s="2">
        <f>IF(G136="","",E136/1000*G136)</f>
        <v/>
      </c>
      <c r="I136" s="2" t="inlineStr">
        <is>
          <t>Purchase quote/specification required</t>
        </is>
      </c>
      <c r="J136" s="2" t="inlineStr"/>
    </row>
    <row r="137">
      <c r="A137" s="2" t="inlineStr">
        <is>
          <t>O-B25</t>
        </is>
      </c>
      <c r="B137" s="2" t="inlineStr">
        <is>
          <t>Burger buns</t>
        </is>
      </c>
      <c r="C137" s="2" t="inlineStr">
        <is>
          <t>Main formula</t>
        </is>
      </c>
      <c r="D137" s="2" t="inlineStr">
        <is>
          <t>Sugar</t>
        </is>
      </c>
      <c r="E137" s="3" t="n">
        <v>65</v>
      </c>
      <c r="F137" s="3" t="n">
        <v>325</v>
      </c>
      <c r="G137" s="2">
        <f>IF(Prices!B4="","",Prices!B4)</f>
        <v/>
      </c>
      <c r="H137" s="2">
        <f>IF(G137="","",E137/1000*G137)</f>
        <v/>
      </c>
      <c r="I137" s="2" t="inlineStr">
        <is>
          <t>Owner granulated sugar price; grind specification must match</t>
        </is>
      </c>
      <c r="J137" s="2" t="inlineStr"/>
    </row>
    <row r="138">
      <c r="A138" s="2" t="inlineStr">
        <is>
          <t>O-B25</t>
        </is>
      </c>
      <c r="B138" s="2" t="inlineStr">
        <is>
          <t>Burger buns</t>
        </is>
      </c>
      <c r="C138" s="2" t="inlineStr">
        <is>
          <t>Main formula</t>
        </is>
      </c>
      <c r="D138" s="2" t="inlineStr">
        <is>
          <t>Margarine</t>
        </is>
      </c>
      <c r="E138" s="3" t="n">
        <v>60</v>
      </c>
      <c r="F138" s="3" t="n">
        <v>300</v>
      </c>
      <c r="G138" s="2">
        <f>IF(Prices!B5="","",Prices!B5)</f>
        <v/>
      </c>
      <c r="H138" s="2">
        <f>IF(G138="","",E138/1000*G138)</f>
        <v/>
      </c>
      <c r="I138" s="2" t="inlineStr">
        <is>
          <t>Roma; fat, salt and application suitability unconfirmed</t>
        </is>
      </c>
      <c r="J138" s="2" t="inlineStr"/>
    </row>
    <row r="139">
      <c r="A139" s="2" t="inlineStr">
        <is>
          <t>O-B25</t>
        </is>
      </c>
      <c r="B139" s="2" t="inlineStr">
        <is>
          <t>Burger buns</t>
        </is>
      </c>
      <c r="C139" s="2" t="inlineStr">
        <is>
          <t>Main formula</t>
        </is>
      </c>
      <c r="D139" s="2" t="inlineStr">
        <is>
          <t>Whole milk powder</t>
        </is>
      </c>
      <c r="E139" s="3" t="n">
        <v>25</v>
      </c>
      <c r="F139" s="3" t="n">
        <v>125</v>
      </c>
      <c r="G139" s="2">
        <f>IF(Prices!B10="","",Prices!B10)</f>
        <v/>
      </c>
      <c r="H139" s="2">
        <f>IF(G139="","",E139/1000*G139)</f>
        <v/>
      </c>
      <c r="I139" s="2" t="inlineStr">
        <is>
          <t>Purchase quote/specification required</t>
        </is>
      </c>
      <c r="J139" s="2" t="inlineStr"/>
    </row>
    <row r="140">
      <c r="A140" s="2" t="inlineStr">
        <is>
          <t>O-B25</t>
        </is>
      </c>
      <c r="B140" s="2" t="inlineStr">
        <is>
          <t>Burger buns</t>
        </is>
      </c>
      <c r="C140" s="2" t="inlineStr">
        <is>
          <t>Main formula</t>
        </is>
      </c>
      <c r="D140" s="2" t="inlineStr">
        <is>
          <t>Salt</t>
        </is>
      </c>
      <c r="E140" s="3" t="n">
        <v>18</v>
      </c>
      <c r="F140" s="3" t="n">
        <v>90</v>
      </c>
      <c r="G140" s="2">
        <f>IF(Prices!B6="","",Prices!B6)</f>
        <v/>
      </c>
      <c r="H140" s="2">
        <f>IF(G140="","",E140/1000*G140)</f>
        <v/>
      </c>
      <c r="I140" s="2" t="inlineStr">
        <is>
          <t>Owner price</t>
        </is>
      </c>
      <c r="J140" s="2" t="inlineStr"/>
    </row>
    <row r="141">
      <c r="A141" s="2" t="inlineStr">
        <is>
          <t>O-B25</t>
        </is>
      </c>
      <c r="B141" s="2" t="inlineStr">
        <is>
          <t>Burger buns</t>
        </is>
      </c>
      <c r="C141" s="2" t="inlineStr">
        <is>
          <t>Main formula</t>
        </is>
      </c>
      <c r="D141" s="2" t="inlineStr">
        <is>
          <t>Yeast</t>
        </is>
      </c>
      <c r="E141" s="3" t="n">
        <v>14</v>
      </c>
      <c r="F141" s="3" t="n">
        <v>70</v>
      </c>
      <c r="G141" s="2">
        <f>IF(Prices!B7="","",Prices!B7)</f>
        <v/>
      </c>
      <c r="H141" s="2">
        <f>IF(G141="","",E141/1000*G141)</f>
        <v/>
      </c>
      <c r="I141" s="2" t="inlineStr">
        <is>
          <t>Nevada instant dry; sweet-dough suitability requires trial</t>
        </is>
      </c>
      <c r="J141" s="2" t="inlineStr"/>
    </row>
    <row r="142">
      <c r="A142" s="2" t="inlineStr">
        <is>
          <t>O-B26</t>
        </is>
      </c>
      <c r="B142" s="2" t="inlineStr">
        <is>
          <t>Cooked crispy chicken pieces</t>
        </is>
      </c>
      <c r="C142" s="2" t="inlineStr">
        <is>
          <t>Main formula</t>
        </is>
      </c>
      <c r="D142" s="2" t="inlineStr">
        <is>
          <t>Chicken boneless</t>
        </is>
      </c>
      <c r="E142" s="3" t="n">
        <v>1000</v>
      </c>
      <c r="F142" s="3" t="n">
        <v>5000</v>
      </c>
      <c r="G142" s="2">
        <f>IF(Prices!B30="","",Prices!B30)</f>
        <v/>
      </c>
      <c r="H142" s="2">
        <f>IF(G142="","",E142/1000*G142)</f>
        <v/>
      </c>
      <c r="I142" s="2" t="inlineStr">
        <is>
          <t>Purchase quote/specification required</t>
        </is>
      </c>
      <c r="J142" s="2" t="inlineStr"/>
    </row>
    <row r="143">
      <c r="A143" s="2" t="inlineStr">
        <is>
          <t>O-B26</t>
        </is>
      </c>
      <c r="B143" s="2" t="inlineStr">
        <is>
          <t>Cooked crispy chicken pieces</t>
        </is>
      </c>
      <c r="C143" s="2" t="inlineStr">
        <is>
          <t>Main formula</t>
        </is>
      </c>
      <c r="D143" s="2" t="inlineStr">
        <is>
          <t>Yogurt plain</t>
        </is>
      </c>
      <c r="E143" s="3" t="n">
        <v>150</v>
      </c>
      <c r="F143" s="3" t="n">
        <v>750</v>
      </c>
      <c r="G143" s="2">
        <f>IF(Prices!B38="","",Prices!B38)</f>
        <v/>
      </c>
      <c r="H143" s="2">
        <f>IF(G143="","",E143/1000*G143)</f>
        <v/>
      </c>
      <c r="I143" s="2" t="inlineStr">
        <is>
          <t>Purchase quote/specification required</t>
        </is>
      </c>
      <c r="J143" s="2" t="inlineStr"/>
    </row>
    <row r="144">
      <c r="A144" s="2" t="inlineStr">
        <is>
          <t>O-B26</t>
        </is>
      </c>
      <c r="B144" s="2" t="inlineStr">
        <is>
          <t>Cooked crispy chicken pieces</t>
        </is>
      </c>
      <c r="C144" s="2" t="inlineStr">
        <is>
          <t>Main formula</t>
        </is>
      </c>
      <c r="D144" s="2" t="inlineStr">
        <is>
          <t>Water</t>
        </is>
      </c>
      <c r="E144" s="3" t="n">
        <v>100</v>
      </c>
      <c r="F144" s="3" t="n">
        <v>500</v>
      </c>
      <c r="G144" s="2">
        <f>IF(Prices!B3="","",Prices!B3)</f>
        <v/>
      </c>
      <c r="H144" s="2">
        <f>IF(G144="","",E144/1000*G144)</f>
        <v/>
      </c>
      <c r="I144" s="2" t="inlineStr">
        <is>
          <t>Purchase quote/specification required</t>
        </is>
      </c>
      <c r="J144" s="2" t="inlineStr"/>
    </row>
    <row r="145">
      <c r="A145" s="2" t="inlineStr">
        <is>
          <t>O-B26</t>
        </is>
      </c>
      <c r="B145" s="2" t="inlineStr">
        <is>
          <t>Cooked crispy chicken pieces</t>
        </is>
      </c>
      <c r="C145" s="2" t="inlineStr">
        <is>
          <t>Main formula</t>
        </is>
      </c>
      <c r="D145" s="2" t="inlineStr">
        <is>
          <t>Salt</t>
        </is>
      </c>
      <c r="E145" s="3" t="n">
        <v>16</v>
      </c>
      <c r="F145" s="3" t="n">
        <v>80</v>
      </c>
      <c r="G145" s="2">
        <f>IF(Prices!B6="","",Prices!B6)</f>
        <v/>
      </c>
      <c r="H145" s="2">
        <f>IF(G145="","",E145/1000*G145)</f>
        <v/>
      </c>
      <c r="I145" s="2" t="inlineStr">
        <is>
          <t>Owner price</t>
        </is>
      </c>
      <c r="J145" s="2" t="inlineStr"/>
    </row>
    <row r="146">
      <c r="A146" s="2" t="inlineStr">
        <is>
          <t>O-B26</t>
        </is>
      </c>
      <c r="B146" s="2" t="inlineStr">
        <is>
          <t>Cooked crispy chicken pieces</t>
        </is>
      </c>
      <c r="C146" s="2" t="inlineStr">
        <is>
          <t>Main formula</t>
        </is>
      </c>
      <c r="D146" s="2" t="inlineStr">
        <is>
          <t>Garlic peeled</t>
        </is>
      </c>
      <c r="E146" s="3" t="n">
        <v>15</v>
      </c>
      <c r="F146" s="3" t="n">
        <v>75</v>
      </c>
      <c r="G146" s="2">
        <f>IF(Prices!B20="","",Prices!B20)</f>
        <v/>
      </c>
      <c r="H146" s="2">
        <f>IF(G146="","",E146/1000*G146)</f>
        <v/>
      </c>
      <c r="I146" s="2" t="inlineStr">
        <is>
          <t>Purchase quote/specification required</t>
        </is>
      </c>
      <c r="J146" s="2" t="inlineStr"/>
    </row>
    <row r="147">
      <c r="A147" s="2" t="inlineStr">
        <is>
          <t>O-B26</t>
        </is>
      </c>
      <c r="B147" s="2" t="inlineStr">
        <is>
          <t>Cooked crispy chicken pieces</t>
        </is>
      </c>
      <c r="C147" s="2" t="inlineStr">
        <is>
          <t>Main formula</t>
        </is>
      </c>
      <c r="D147" s="2" t="inlineStr">
        <is>
          <t>Ginger peeled</t>
        </is>
      </c>
      <c r="E147" s="3" t="n">
        <v>10</v>
      </c>
      <c r="F147" s="3" t="n">
        <v>50</v>
      </c>
      <c r="G147" s="2">
        <f>IF(Prices!B21="","",Prices!B21)</f>
        <v/>
      </c>
      <c r="H147" s="2">
        <f>IF(G147="","",E147/1000*G147)</f>
        <v/>
      </c>
      <c r="I147" s="2" t="inlineStr">
        <is>
          <t>Purchase quote/specification required</t>
        </is>
      </c>
      <c r="J147" s="2" t="inlineStr"/>
    </row>
    <row r="148">
      <c r="A148" s="2" t="inlineStr">
        <is>
          <t>O-B26</t>
        </is>
      </c>
      <c r="B148" s="2" t="inlineStr">
        <is>
          <t>Cooked crispy chicken pieces</t>
        </is>
      </c>
      <c r="C148" s="2" t="inlineStr">
        <is>
          <t>Main formula</t>
        </is>
      </c>
      <c r="D148" s="2" t="inlineStr">
        <is>
          <t>Paprika</t>
        </is>
      </c>
      <c r="E148" s="3" t="n">
        <v>8</v>
      </c>
      <c r="F148" s="3" t="n">
        <v>40</v>
      </c>
      <c r="G148" s="2">
        <f>IF(Prices!B23="","",Prices!B23)</f>
        <v/>
      </c>
      <c r="H148" s="2">
        <f>IF(G148="","",E148/1000*G148)</f>
        <v/>
      </c>
      <c r="I148" s="2" t="inlineStr">
        <is>
          <t>Purchase quote/specification required</t>
        </is>
      </c>
      <c r="J148" s="2" t="inlineStr"/>
    </row>
    <row r="149">
      <c r="A149" s="2" t="inlineStr">
        <is>
          <t>O-B26</t>
        </is>
      </c>
      <c r="B149" s="2" t="inlineStr">
        <is>
          <t>Cooked crispy chicken pieces</t>
        </is>
      </c>
      <c r="C149" s="2" t="inlineStr">
        <is>
          <t>Main formula</t>
        </is>
      </c>
      <c r="D149" s="2" t="inlineStr">
        <is>
          <t>Black pepper</t>
        </is>
      </c>
      <c r="E149" s="3" t="n">
        <v>3</v>
      </c>
      <c r="F149" s="3" t="n">
        <v>15</v>
      </c>
      <c r="G149" s="2">
        <f>IF(Prices!B22="","",Prices!B22)</f>
        <v/>
      </c>
      <c r="H149" s="2">
        <f>IF(G149="","",E149/1000*G149)</f>
        <v/>
      </c>
      <c r="I149" s="2" t="inlineStr">
        <is>
          <t>Purchase quote/specification required</t>
        </is>
      </c>
      <c r="J149" s="2" t="inlineStr"/>
    </row>
    <row r="150">
      <c r="A150" s="2" t="inlineStr">
        <is>
          <t>O-B26</t>
        </is>
      </c>
      <c r="B150" s="2" t="inlineStr">
        <is>
          <t>Cooked crispy chicken pieces</t>
        </is>
      </c>
      <c r="C150" s="2" t="inlineStr">
        <is>
          <t>Main formula</t>
        </is>
      </c>
      <c r="D150" s="2" t="inlineStr">
        <is>
          <t>Plain flour</t>
        </is>
      </c>
      <c r="E150" s="3" t="n">
        <v>280</v>
      </c>
      <c r="F150" s="3" t="n">
        <v>1400</v>
      </c>
      <c r="G150" s="2">
        <f>IF(Prices!B14="","",Prices!B14)</f>
        <v/>
      </c>
      <c r="H150" s="2">
        <f>IF(G150="","",E150/1000*G150)</f>
        <v/>
      </c>
      <c r="I150" s="2" t="inlineStr">
        <is>
          <t>Purchase quote/specification required</t>
        </is>
      </c>
      <c r="J150" s="2" t="inlineStr"/>
    </row>
    <row r="151">
      <c r="A151" s="2" t="inlineStr">
        <is>
          <t>O-B26</t>
        </is>
      </c>
      <c r="B151" s="2" t="inlineStr">
        <is>
          <t>Cooked crispy chicken pieces</t>
        </is>
      </c>
      <c r="C151" s="2" t="inlineStr">
        <is>
          <t>Main formula</t>
        </is>
      </c>
      <c r="D151" s="2" t="inlineStr">
        <is>
          <t>Corn starch</t>
        </is>
      </c>
      <c r="E151" s="3" t="n">
        <v>70</v>
      </c>
      <c r="F151" s="3" t="n">
        <v>350</v>
      </c>
      <c r="G151" s="2">
        <f>IF(Prices!B39="","",Prices!B39)</f>
        <v/>
      </c>
      <c r="H151" s="2">
        <f>IF(G151="","",E151/1000*G151)</f>
        <v/>
      </c>
      <c r="I151" s="2" t="inlineStr">
        <is>
          <t>Purchase quote/specification required</t>
        </is>
      </c>
      <c r="J151" s="2" t="inlineStr"/>
    </row>
    <row r="152">
      <c r="A152" s="2" t="inlineStr">
        <is>
          <t>O-B26</t>
        </is>
      </c>
      <c r="B152" s="2" t="inlineStr">
        <is>
          <t>Cooked crispy chicken pieces</t>
        </is>
      </c>
      <c r="C152" s="2" t="inlineStr">
        <is>
          <t>Main formula</t>
        </is>
      </c>
      <c r="D152" s="2" t="inlineStr">
        <is>
          <t>Oil</t>
        </is>
      </c>
      <c r="E152" s="3" t="n">
        <v>120</v>
      </c>
      <c r="F152" s="3" t="n">
        <v>600</v>
      </c>
      <c r="G152" s="2">
        <f>IF(Prices!B19="","",Prices!B19)</f>
        <v/>
      </c>
      <c r="H152" s="2">
        <f>IF(G152="","",E152/1000*G152)</f>
        <v/>
      </c>
      <c r="I152" s="2" t="inlineStr">
        <is>
          <t>PROVISIONAL 0.92 kg/L; correct after weighing</t>
        </is>
      </c>
      <c r="J152" s="2" t="inlineStr"/>
    </row>
    <row r="153">
      <c r="A153" s="2" t="inlineStr">
        <is>
          <t>O-B27</t>
        </is>
      </c>
      <c r="B153" s="2" t="inlineStr">
        <is>
          <t>Cooked beef burger patties</t>
        </is>
      </c>
      <c r="C153" s="2" t="inlineStr">
        <is>
          <t>Main formula</t>
        </is>
      </c>
      <c r="D153" s="2" t="inlineStr">
        <is>
          <t>Beef mince</t>
        </is>
      </c>
      <c r="E153" s="3" t="n">
        <v>1000</v>
      </c>
      <c r="F153" s="3" t="n">
        <v>5000</v>
      </c>
      <c r="G153" s="2">
        <f>IF(Prices!B24="","",Prices!B24)</f>
        <v/>
      </c>
      <c r="H153" s="2">
        <f>IF(G153="","",E153/1000*G153)</f>
        <v/>
      </c>
      <c r="I153" s="2" t="inlineStr">
        <is>
          <t>Purchase quote/specification required</t>
        </is>
      </c>
      <c r="J153" s="2" t="inlineStr"/>
    </row>
    <row r="154">
      <c r="A154" s="2" t="inlineStr">
        <is>
          <t>O-B27</t>
        </is>
      </c>
      <c r="B154" s="2" t="inlineStr">
        <is>
          <t>Cooked beef burger patties</t>
        </is>
      </c>
      <c r="C154" s="2" t="inlineStr">
        <is>
          <t>Main formula</t>
        </is>
      </c>
      <c r="D154" s="2" t="inlineStr">
        <is>
          <t>Salt</t>
        </is>
      </c>
      <c r="E154" s="3" t="n">
        <v>12</v>
      </c>
      <c r="F154" s="3" t="n">
        <v>60</v>
      </c>
      <c r="G154" s="2">
        <f>IF(Prices!B6="","",Prices!B6)</f>
        <v/>
      </c>
      <c r="H154" s="2">
        <f>IF(G154="","",E154/1000*G154)</f>
        <v/>
      </c>
      <c r="I154" s="2" t="inlineStr">
        <is>
          <t>Owner price</t>
        </is>
      </c>
      <c r="J154" s="2" t="inlineStr"/>
    </row>
    <row r="155">
      <c r="A155" s="2" t="inlineStr">
        <is>
          <t>O-B27</t>
        </is>
      </c>
      <c r="B155" s="2" t="inlineStr">
        <is>
          <t>Cooked beef burger patties</t>
        </is>
      </c>
      <c r="C155" s="2" t="inlineStr">
        <is>
          <t>Main formula</t>
        </is>
      </c>
      <c r="D155" s="2" t="inlineStr">
        <is>
          <t>Black pepper</t>
        </is>
      </c>
      <c r="E155" s="3" t="n">
        <v>3</v>
      </c>
      <c r="F155" s="3" t="n">
        <v>15</v>
      </c>
      <c r="G155" s="2">
        <f>IF(Prices!B22="","",Prices!B22)</f>
        <v/>
      </c>
      <c r="H155" s="2">
        <f>IF(G155="","",E155/1000*G155)</f>
        <v/>
      </c>
      <c r="I155" s="2" t="inlineStr">
        <is>
          <t>Purchase quote/specification required</t>
        </is>
      </c>
      <c r="J155" s="2" t="inlineStr"/>
    </row>
    <row r="156">
      <c r="A156" s="2" t="inlineStr">
        <is>
          <t>O-B27</t>
        </is>
      </c>
      <c r="B156" s="2" t="inlineStr">
        <is>
          <t>Cooked beef burger patties</t>
        </is>
      </c>
      <c r="C156" s="2" t="inlineStr">
        <is>
          <t>Main formula</t>
        </is>
      </c>
      <c r="D156" s="2" t="inlineStr">
        <is>
          <t>Paprika</t>
        </is>
      </c>
      <c r="E156" s="3" t="n">
        <v>3</v>
      </c>
      <c r="F156" s="3" t="n">
        <v>15</v>
      </c>
      <c r="G156" s="2">
        <f>IF(Prices!B23="","",Prices!B23)</f>
        <v/>
      </c>
      <c r="H156" s="2">
        <f>IF(G156="","",E156/1000*G156)</f>
        <v/>
      </c>
      <c r="I156" s="2" t="inlineStr">
        <is>
          <t>Purchase quote/specification required</t>
        </is>
      </c>
      <c r="J156" s="2" t="inlineStr"/>
    </row>
    <row r="157">
      <c r="A157" s="2" t="inlineStr">
        <is>
          <t>O-B27</t>
        </is>
      </c>
      <c r="B157" s="2" t="inlineStr">
        <is>
          <t>Cooked beef burger patties</t>
        </is>
      </c>
      <c r="C157" s="2" t="inlineStr">
        <is>
          <t>Main formula</t>
        </is>
      </c>
      <c r="D157" s="2" t="inlineStr">
        <is>
          <t>Oil</t>
        </is>
      </c>
      <c r="E157" s="3" t="n">
        <v>10</v>
      </c>
      <c r="F157" s="3" t="n">
        <v>50</v>
      </c>
      <c r="G157" s="2">
        <f>IF(Prices!B19="","",Prices!B19)</f>
        <v/>
      </c>
      <c r="H157" s="2">
        <f>IF(G157="","",E157/1000*G157)</f>
        <v/>
      </c>
      <c r="I157" s="2" t="inlineStr">
        <is>
          <t>PROVISIONAL 0.92 kg/L; correct after weighing</t>
        </is>
      </c>
      <c r="J157" s="2" t="inlineStr"/>
    </row>
    <row r="158">
      <c r="A158" s="2" t="inlineStr">
        <is>
          <t>O-B28</t>
        </is>
      </c>
      <c r="B158" s="2" t="inlineStr">
        <is>
          <t>Burger sauce</t>
        </is>
      </c>
      <c r="C158" s="2" t="inlineStr">
        <is>
          <t>Main formula</t>
        </is>
      </c>
      <c r="D158" s="2" t="inlineStr">
        <is>
          <t>Mayonnaise pasteurized</t>
        </is>
      </c>
      <c r="E158" s="3" t="n">
        <v>650</v>
      </c>
      <c r="F158" s="3" t="n">
        <v>3250</v>
      </c>
      <c r="G158" s="2">
        <f>IF(Prices!B40="","",Prices!B40)</f>
        <v/>
      </c>
      <c r="H158" s="2">
        <f>IF(G158="","",E158/1000*G158)</f>
        <v/>
      </c>
      <c r="I158" s="2" t="inlineStr">
        <is>
          <t>Purchase quote/specification required</t>
        </is>
      </c>
      <c r="J158" s="2" t="inlineStr"/>
    </row>
    <row r="159">
      <c r="A159" s="2" t="inlineStr">
        <is>
          <t>O-B28</t>
        </is>
      </c>
      <c r="B159" s="2" t="inlineStr">
        <is>
          <t>Burger sauce</t>
        </is>
      </c>
      <c r="C159" s="2" t="inlineStr">
        <is>
          <t>Main formula</t>
        </is>
      </c>
      <c r="D159" s="2" t="inlineStr">
        <is>
          <t>Ketchup</t>
        </is>
      </c>
      <c r="E159" s="3" t="n">
        <v>220</v>
      </c>
      <c r="F159" s="3" t="n">
        <v>1100</v>
      </c>
      <c r="G159" s="2">
        <f>IF(Prices!B41="","",Prices!B41)</f>
        <v/>
      </c>
      <c r="H159" s="2">
        <f>IF(G159="","",E159/1000*G159)</f>
        <v/>
      </c>
      <c r="I159" s="2" t="inlineStr">
        <is>
          <t>Purchase quote/specification required</t>
        </is>
      </c>
      <c r="J159" s="2" t="inlineStr"/>
    </row>
    <row r="160">
      <c r="A160" s="2" t="inlineStr">
        <is>
          <t>O-B28</t>
        </is>
      </c>
      <c r="B160" s="2" t="inlineStr">
        <is>
          <t>Burger sauce</t>
        </is>
      </c>
      <c r="C160" s="2" t="inlineStr">
        <is>
          <t>Main formula</t>
        </is>
      </c>
      <c r="D160" s="2" t="inlineStr">
        <is>
          <t>Mustard</t>
        </is>
      </c>
      <c r="E160" s="3" t="n">
        <v>50</v>
      </c>
      <c r="F160" s="3" t="n">
        <v>250</v>
      </c>
      <c r="G160" s="2">
        <f>IF(Prices!B42="","",Prices!B42)</f>
        <v/>
      </c>
      <c r="H160" s="2">
        <f>IF(G160="","",E160/1000*G160)</f>
        <v/>
      </c>
      <c r="I160" s="2" t="inlineStr">
        <is>
          <t>Purchase quote/specification required</t>
        </is>
      </c>
      <c r="J160" s="2" t="inlineStr"/>
    </row>
    <row r="161">
      <c r="A161" s="2" t="inlineStr">
        <is>
          <t>O-B28</t>
        </is>
      </c>
      <c r="B161" s="2" t="inlineStr">
        <is>
          <t>Burger sauce</t>
        </is>
      </c>
      <c r="C161" s="2" t="inlineStr">
        <is>
          <t>Main formula</t>
        </is>
      </c>
      <c r="D161" s="2" t="inlineStr">
        <is>
          <t>O-B23 Refrigerator cucumber pickles</t>
        </is>
      </c>
      <c r="E161" s="3" t="n">
        <v>60</v>
      </c>
      <c r="F161" s="3" t="n">
        <v>300</v>
      </c>
      <c r="G161" s="2">
        <f>IF(OR(COUNT(G247:G251)=0,Summary!D34=0),"",SUM(H247:H251)/Summary!D34*1000)</f>
        <v/>
      </c>
      <c r="H161" s="2">
        <f>IF(G161="","",E161/1000*G161)</f>
        <v/>
      </c>
      <c r="I161" s="2" t="inlineStr">
        <is>
          <t>Linked component subtotal; incomplete while any component input is unpriced. Component subtotal only</t>
        </is>
      </c>
      <c r="J161" s="2" t="inlineStr">
        <is>
          <t>O-B23</t>
        </is>
      </c>
    </row>
    <row r="162">
      <c r="A162" s="2" t="inlineStr">
        <is>
          <t>O-B28</t>
        </is>
      </c>
      <c r="B162" s="2" t="inlineStr">
        <is>
          <t>Burger sauce</t>
        </is>
      </c>
      <c r="C162" s="2" t="inlineStr">
        <is>
          <t>Main formula</t>
        </is>
      </c>
      <c r="D162" s="2" t="inlineStr">
        <is>
          <t>Paprika</t>
        </is>
      </c>
      <c r="E162" s="3" t="n">
        <v>3</v>
      </c>
      <c r="F162" s="3" t="n">
        <v>15</v>
      </c>
      <c r="G162" s="2">
        <f>IF(Prices!B23="","",Prices!B23)</f>
        <v/>
      </c>
      <c r="H162" s="2">
        <f>IF(G162="","",E162/1000*G162)</f>
        <v/>
      </c>
      <c r="I162" s="2" t="inlineStr">
        <is>
          <t>Purchase quote/specification required</t>
        </is>
      </c>
      <c r="J162" s="2" t="inlineStr"/>
    </row>
    <row r="163">
      <c r="A163" s="2" t="inlineStr">
        <is>
          <t>O-B29</t>
        </is>
      </c>
      <c r="B163" s="2" t="inlineStr">
        <is>
          <t>Samosa wrapper dough</t>
        </is>
      </c>
      <c r="C163" s="2" t="inlineStr">
        <is>
          <t>Main formula</t>
        </is>
      </c>
      <c r="D163" s="2" t="inlineStr">
        <is>
          <t>Plain flour</t>
        </is>
      </c>
      <c r="E163" s="3" t="n">
        <v>1000</v>
      </c>
      <c r="F163" s="3" t="n">
        <v>5000</v>
      </c>
      <c r="G163" s="2">
        <f>IF(Prices!B14="","",Prices!B14)</f>
        <v/>
      </c>
      <c r="H163" s="2">
        <f>IF(G163="","",E163/1000*G163)</f>
        <v/>
      </c>
      <c r="I163" s="2" t="inlineStr">
        <is>
          <t>Purchase quote/specification required</t>
        </is>
      </c>
      <c r="J163" s="2" t="inlineStr"/>
    </row>
    <row r="164">
      <c r="A164" s="2" t="inlineStr">
        <is>
          <t>O-B29</t>
        </is>
      </c>
      <c r="B164" s="2" t="inlineStr">
        <is>
          <t>Samosa wrapper dough</t>
        </is>
      </c>
      <c r="C164" s="2" t="inlineStr">
        <is>
          <t>Main formula</t>
        </is>
      </c>
      <c r="D164" s="2" t="inlineStr">
        <is>
          <t>Water</t>
        </is>
      </c>
      <c r="E164" s="3" t="n">
        <v>460</v>
      </c>
      <c r="F164" s="3" t="n">
        <v>2300</v>
      </c>
      <c r="G164" s="2">
        <f>IF(Prices!B3="","",Prices!B3)</f>
        <v/>
      </c>
      <c r="H164" s="2">
        <f>IF(G164="","",E164/1000*G164)</f>
        <v/>
      </c>
      <c r="I164" s="2" t="inlineStr">
        <is>
          <t>Purchase quote/specification required</t>
        </is>
      </c>
      <c r="J164" s="2" t="inlineStr"/>
    </row>
    <row r="165">
      <c r="A165" s="2" t="inlineStr">
        <is>
          <t>O-B29</t>
        </is>
      </c>
      <c r="B165" s="2" t="inlineStr">
        <is>
          <t>Samosa wrapper dough</t>
        </is>
      </c>
      <c r="C165" s="2" t="inlineStr">
        <is>
          <t>Main formula</t>
        </is>
      </c>
      <c r="D165" s="2" t="inlineStr">
        <is>
          <t>Oil</t>
        </is>
      </c>
      <c r="E165" s="3" t="n">
        <v>60</v>
      </c>
      <c r="F165" s="3" t="n">
        <v>300</v>
      </c>
      <c r="G165" s="2">
        <f>IF(Prices!B19="","",Prices!B19)</f>
        <v/>
      </c>
      <c r="H165" s="2">
        <f>IF(G165="","",E165/1000*G165)</f>
        <v/>
      </c>
      <c r="I165" s="2" t="inlineStr">
        <is>
          <t>PROVISIONAL 0.92 kg/L; correct after weighing</t>
        </is>
      </c>
      <c r="J165" s="2" t="inlineStr"/>
    </row>
    <row r="166">
      <c r="A166" s="2" t="inlineStr">
        <is>
          <t>O-B29</t>
        </is>
      </c>
      <c r="B166" s="2" t="inlineStr">
        <is>
          <t>Samosa wrapper dough</t>
        </is>
      </c>
      <c r="C166" s="2" t="inlineStr">
        <is>
          <t>Main formula</t>
        </is>
      </c>
      <c r="D166" s="2" t="inlineStr">
        <is>
          <t>Salt</t>
        </is>
      </c>
      <c r="E166" s="3" t="n">
        <v>18</v>
      </c>
      <c r="F166" s="3" t="n">
        <v>90</v>
      </c>
      <c r="G166" s="2">
        <f>IF(Prices!B6="","",Prices!B6)</f>
        <v/>
      </c>
      <c r="H166" s="2">
        <f>IF(G166="","",E166/1000*G166)</f>
        <v/>
      </c>
      <c r="I166" s="2" t="inlineStr">
        <is>
          <t>Owner price</t>
        </is>
      </c>
      <c r="J166" s="2" t="inlineStr"/>
    </row>
    <row r="167">
      <c r="A167" s="2" t="inlineStr">
        <is>
          <t>O-B30</t>
        </is>
      </c>
      <c r="B167" s="2" t="inlineStr">
        <is>
          <t>Samosa sealing paste</t>
        </is>
      </c>
      <c r="C167" s="2" t="inlineStr">
        <is>
          <t>Main formula</t>
        </is>
      </c>
      <c r="D167" s="2" t="inlineStr">
        <is>
          <t>Plain flour</t>
        </is>
      </c>
      <c r="E167" s="3" t="n">
        <v>40</v>
      </c>
      <c r="F167" s="3" t="n">
        <v>200</v>
      </c>
      <c r="G167" s="2">
        <f>IF(Prices!B14="","",Prices!B14)</f>
        <v/>
      </c>
      <c r="H167" s="2">
        <f>IF(G167="","",E167/1000*G167)</f>
        <v/>
      </c>
      <c r="I167" s="2" t="inlineStr">
        <is>
          <t>Purchase quote/specification required</t>
        </is>
      </c>
      <c r="J167" s="2" t="inlineStr"/>
    </row>
    <row r="168">
      <c r="A168" s="2" t="inlineStr">
        <is>
          <t>O-B30</t>
        </is>
      </c>
      <c r="B168" s="2" t="inlineStr">
        <is>
          <t>Samosa sealing paste</t>
        </is>
      </c>
      <c r="C168" s="2" t="inlineStr">
        <is>
          <t>Main formula</t>
        </is>
      </c>
      <c r="D168" s="2" t="inlineStr">
        <is>
          <t>Water</t>
        </is>
      </c>
      <c r="E168" s="3" t="n">
        <v>60</v>
      </c>
      <c r="F168" s="3" t="n">
        <v>300</v>
      </c>
      <c r="G168" s="2">
        <f>IF(Prices!B3="","",Prices!B3)</f>
        <v/>
      </c>
      <c r="H168" s="2">
        <f>IF(G168="","",E168/1000*G168)</f>
        <v/>
      </c>
      <c r="I168" s="2" t="inlineStr">
        <is>
          <t>Purchase quote/specification required</t>
        </is>
      </c>
      <c r="J168" s="2" t="inlineStr"/>
    </row>
    <row r="169">
      <c r="A169" s="2" t="inlineStr">
        <is>
          <t>O-B31</t>
        </is>
      </c>
      <c r="B169" s="2" t="inlineStr">
        <is>
          <t>Chicken vegetable samosa filling</t>
        </is>
      </c>
      <c r="C169" s="2" t="inlineStr">
        <is>
          <t>Main formula</t>
        </is>
      </c>
      <c r="D169" s="2" t="inlineStr">
        <is>
          <t>Chicken boneless</t>
        </is>
      </c>
      <c r="E169" s="3" t="n">
        <v>350</v>
      </c>
      <c r="F169" s="3" t="n">
        <v>1750</v>
      </c>
      <c r="G169" s="2">
        <f>IF(Prices!B30="","",Prices!B30)</f>
        <v/>
      </c>
      <c r="H169" s="2">
        <f>IF(G169="","",E169/1000*G169)</f>
        <v/>
      </c>
      <c r="I169" s="2" t="inlineStr">
        <is>
          <t>Purchase quote/specification required</t>
        </is>
      </c>
      <c r="J169" s="2" t="inlineStr"/>
    </row>
    <row r="170">
      <c r="A170" s="2" t="inlineStr">
        <is>
          <t>O-B31</t>
        </is>
      </c>
      <c r="B170" s="2" t="inlineStr">
        <is>
          <t>Chicken vegetable samosa filling</t>
        </is>
      </c>
      <c r="C170" s="2" t="inlineStr">
        <is>
          <t>Main formula</t>
        </is>
      </c>
      <c r="D170" s="2" t="inlineStr">
        <is>
          <t>Potato peeled</t>
        </is>
      </c>
      <c r="E170" s="3" t="n">
        <v>350</v>
      </c>
      <c r="F170" s="3" t="n">
        <v>1750</v>
      </c>
      <c r="G170" s="2">
        <f>IF(Prices!B25="","",Prices!B25)</f>
        <v/>
      </c>
      <c r="H170" s="2">
        <f>IF(G170="","",E170/1000*G170)</f>
        <v/>
      </c>
      <c r="I170" s="2" t="inlineStr">
        <is>
          <t>Purchase quote/specification required</t>
        </is>
      </c>
      <c r="J170" s="2" t="inlineStr"/>
    </row>
    <row r="171">
      <c r="A171" s="2" t="inlineStr">
        <is>
          <t>O-B31</t>
        </is>
      </c>
      <c r="B171" s="2" t="inlineStr">
        <is>
          <t>Chicken vegetable samosa filling</t>
        </is>
      </c>
      <c r="C171" s="2" t="inlineStr">
        <is>
          <t>Main formula</t>
        </is>
      </c>
      <c r="D171" s="2" t="inlineStr">
        <is>
          <t>Carrot trimmed</t>
        </is>
      </c>
      <c r="E171" s="3" t="n">
        <v>120</v>
      </c>
      <c r="F171" s="3" t="n">
        <v>600</v>
      </c>
      <c r="G171" s="2">
        <f>IF(Prices!B18="","",Prices!B18)</f>
        <v/>
      </c>
      <c r="H171" s="2">
        <f>IF(G171="","",E171/1000*G171)</f>
        <v/>
      </c>
      <c r="I171" s="2" t="inlineStr">
        <is>
          <t>Purchase quote/specification required</t>
        </is>
      </c>
      <c r="J171" s="2" t="inlineStr"/>
    </row>
    <row r="172">
      <c r="A172" s="2" t="inlineStr">
        <is>
          <t>O-B31</t>
        </is>
      </c>
      <c r="B172" s="2" t="inlineStr">
        <is>
          <t>Chicken vegetable samosa filling</t>
        </is>
      </c>
      <c r="C172" s="2" t="inlineStr">
        <is>
          <t>Main formula</t>
        </is>
      </c>
      <c r="D172" s="2" t="inlineStr">
        <is>
          <t>Onion trimmed</t>
        </is>
      </c>
      <c r="E172" s="3" t="n">
        <v>150</v>
      </c>
      <c r="F172" s="3" t="n">
        <v>750</v>
      </c>
      <c r="G172" s="2">
        <f>IF(Prices!B17="","",Prices!B17)</f>
        <v/>
      </c>
      <c r="H172" s="2">
        <f>IF(G172="","",E172/1000*G172)</f>
        <v/>
      </c>
      <c r="I172" s="2" t="inlineStr">
        <is>
          <t>Purchase quote/specification required</t>
        </is>
      </c>
      <c r="J172" s="2" t="inlineStr"/>
    </row>
    <row r="173">
      <c r="A173" s="2" t="inlineStr">
        <is>
          <t>O-B31</t>
        </is>
      </c>
      <c r="B173" s="2" t="inlineStr">
        <is>
          <t>Chicken vegetable samosa filling</t>
        </is>
      </c>
      <c r="C173" s="2" t="inlineStr">
        <is>
          <t>Main formula</t>
        </is>
      </c>
      <c r="D173" s="2" t="inlineStr">
        <is>
          <t>Oil</t>
        </is>
      </c>
      <c r="E173" s="3" t="n">
        <v>30</v>
      </c>
      <c r="F173" s="3" t="n">
        <v>150</v>
      </c>
      <c r="G173" s="2">
        <f>IF(Prices!B19="","",Prices!B19)</f>
        <v/>
      </c>
      <c r="H173" s="2">
        <f>IF(G173="","",E173/1000*G173)</f>
        <v/>
      </c>
      <c r="I173" s="2" t="inlineStr">
        <is>
          <t>PROVISIONAL 0.92 kg/L; correct after weighing</t>
        </is>
      </c>
      <c r="J173" s="2" t="inlineStr"/>
    </row>
    <row r="174">
      <c r="A174" s="2" t="inlineStr">
        <is>
          <t>O-B31</t>
        </is>
      </c>
      <c r="B174" s="2" t="inlineStr">
        <is>
          <t>Chicken vegetable samosa filling</t>
        </is>
      </c>
      <c r="C174" s="2" t="inlineStr">
        <is>
          <t>Main formula</t>
        </is>
      </c>
      <c r="D174" s="2" t="inlineStr">
        <is>
          <t>Water</t>
        </is>
      </c>
      <c r="E174" s="3" t="n">
        <v>100</v>
      </c>
      <c r="F174" s="3" t="n">
        <v>500</v>
      </c>
      <c r="G174" s="2">
        <f>IF(Prices!B3="","",Prices!B3)</f>
        <v/>
      </c>
      <c r="H174" s="2">
        <f>IF(G174="","",E174/1000*G174)</f>
        <v/>
      </c>
      <c r="I174" s="2" t="inlineStr">
        <is>
          <t>Purchase quote/specification required</t>
        </is>
      </c>
      <c r="J174" s="2" t="inlineStr"/>
    </row>
    <row r="175">
      <c r="A175" s="2" t="inlineStr">
        <is>
          <t>O-B31</t>
        </is>
      </c>
      <c r="B175" s="2" t="inlineStr">
        <is>
          <t>Chicken vegetable samosa filling</t>
        </is>
      </c>
      <c r="C175" s="2" t="inlineStr">
        <is>
          <t>Main formula</t>
        </is>
      </c>
      <c r="D175" s="2" t="inlineStr">
        <is>
          <t>Garlic peeled</t>
        </is>
      </c>
      <c r="E175" s="3" t="n">
        <v>10</v>
      </c>
      <c r="F175" s="3" t="n">
        <v>50</v>
      </c>
      <c r="G175" s="2">
        <f>IF(Prices!B20="","",Prices!B20)</f>
        <v/>
      </c>
      <c r="H175" s="2">
        <f>IF(G175="","",E175/1000*G175)</f>
        <v/>
      </c>
      <c r="I175" s="2" t="inlineStr">
        <is>
          <t>Purchase quote/specification required</t>
        </is>
      </c>
      <c r="J175" s="2" t="inlineStr"/>
    </row>
    <row r="176">
      <c r="A176" s="2" t="inlineStr">
        <is>
          <t>O-B31</t>
        </is>
      </c>
      <c r="B176" s="2" t="inlineStr">
        <is>
          <t>Chicken vegetable samosa filling</t>
        </is>
      </c>
      <c r="C176" s="2" t="inlineStr">
        <is>
          <t>Main formula</t>
        </is>
      </c>
      <c r="D176" s="2" t="inlineStr">
        <is>
          <t>Ginger peeled</t>
        </is>
      </c>
      <c r="E176" s="3" t="n">
        <v>10</v>
      </c>
      <c r="F176" s="3" t="n">
        <v>50</v>
      </c>
      <c r="G176" s="2">
        <f>IF(Prices!B21="","",Prices!B21)</f>
        <v/>
      </c>
      <c r="H176" s="2">
        <f>IF(G176="","",E176/1000*G176)</f>
        <v/>
      </c>
      <c r="I176" s="2" t="inlineStr">
        <is>
          <t>Purchase quote/specification required</t>
        </is>
      </c>
      <c r="J176" s="2" t="inlineStr"/>
    </row>
    <row r="177">
      <c r="A177" s="2" t="inlineStr">
        <is>
          <t>O-B31</t>
        </is>
      </c>
      <c r="B177" s="2" t="inlineStr">
        <is>
          <t>Chicken vegetable samosa filling</t>
        </is>
      </c>
      <c r="C177" s="2" t="inlineStr">
        <is>
          <t>Main formula</t>
        </is>
      </c>
      <c r="D177" s="2" t="inlineStr">
        <is>
          <t>Salt</t>
        </is>
      </c>
      <c r="E177" s="3" t="n">
        <v>12</v>
      </c>
      <c r="F177" s="3" t="n">
        <v>60</v>
      </c>
      <c r="G177" s="2">
        <f>IF(Prices!B6="","",Prices!B6)</f>
        <v/>
      </c>
      <c r="H177" s="2">
        <f>IF(G177="","",E177/1000*G177)</f>
        <v/>
      </c>
      <c r="I177" s="2" t="inlineStr">
        <is>
          <t>Owner price</t>
        </is>
      </c>
      <c r="J177" s="2" t="inlineStr"/>
    </row>
    <row r="178">
      <c r="A178" s="2" t="inlineStr">
        <is>
          <t>O-B31</t>
        </is>
      </c>
      <c r="B178" s="2" t="inlineStr">
        <is>
          <t>Chicken vegetable samosa filling</t>
        </is>
      </c>
      <c r="C178" s="2" t="inlineStr">
        <is>
          <t>Main formula</t>
        </is>
      </c>
      <c r="D178" s="2" t="inlineStr">
        <is>
          <t>Curry powder</t>
        </is>
      </c>
      <c r="E178" s="3" t="n">
        <v>6</v>
      </c>
      <c r="F178" s="3" t="n">
        <v>30</v>
      </c>
      <c r="G178" s="2">
        <f>IF(Prices!B27="","",Prices!B27)</f>
        <v/>
      </c>
      <c r="H178" s="2">
        <f>IF(G178="","",E178/1000*G178)</f>
        <v/>
      </c>
      <c r="I178" s="2" t="inlineStr">
        <is>
          <t>Purchase quote/specification required</t>
        </is>
      </c>
      <c r="J178" s="2" t="inlineStr"/>
    </row>
    <row r="179">
      <c r="A179" s="2" t="inlineStr">
        <is>
          <t>O-B31</t>
        </is>
      </c>
      <c r="B179" s="2" t="inlineStr">
        <is>
          <t>Chicken vegetable samosa filling</t>
        </is>
      </c>
      <c r="C179" s="2" t="inlineStr">
        <is>
          <t>Main formula</t>
        </is>
      </c>
      <c r="D179" s="2" t="inlineStr">
        <is>
          <t>Cumin</t>
        </is>
      </c>
      <c r="E179" s="3" t="n">
        <v>3</v>
      </c>
      <c r="F179" s="3" t="n">
        <v>15</v>
      </c>
      <c r="G179" s="2">
        <f>IF(Prices!B43="","",Prices!B43)</f>
        <v/>
      </c>
      <c r="H179" s="2">
        <f>IF(G179="","",E179/1000*G179)</f>
        <v/>
      </c>
      <c r="I179" s="2" t="inlineStr">
        <is>
          <t>Purchase quote/specification required</t>
        </is>
      </c>
      <c r="J179" s="2" t="inlineStr"/>
    </row>
    <row r="180">
      <c r="A180" s="2" t="inlineStr">
        <is>
          <t>O-B32</t>
        </is>
      </c>
      <c r="B180" s="2" t="inlineStr">
        <is>
          <t>Milk cake sponge: batter to baked component</t>
        </is>
      </c>
      <c r="C180" s="2" t="inlineStr">
        <is>
          <t>Main formula</t>
        </is>
      </c>
      <c r="D180" s="2" t="inlineStr">
        <is>
          <t>Plain flour</t>
        </is>
      </c>
      <c r="E180" s="3" t="n">
        <v>300</v>
      </c>
      <c r="F180" s="3" t="n">
        <v>1500</v>
      </c>
      <c r="G180" s="2">
        <f>IF(Prices!B14="","",Prices!B14)</f>
        <v/>
      </c>
      <c r="H180" s="2">
        <f>IF(G180="","",E180/1000*G180)</f>
        <v/>
      </c>
      <c r="I180" s="2" t="inlineStr">
        <is>
          <t>Purchase quote/specification required</t>
        </is>
      </c>
      <c r="J180" s="2" t="inlineStr"/>
    </row>
    <row r="181">
      <c r="A181" s="2" t="inlineStr">
        <is>
          <t>O-B32</t>
        </is>
      </c>
      <c r="B181" s="2" t="inlineStr">
        <is>
          <t>Milk cake sponge: batter to baked component</t>
        </is>
      </c>
      <c r="C181" s="2" t="inlineStr">
        <is>
          <t>Main formula</t>
        </is>
      </c>
      <c r="D181" s="2" t="inlineStr">
        <is>
          <t>Egg</t>
        </is>
      </c>
      <c r="E181" s="3" t="n">
        <v>450</v>
      </c>
      <c r="F181" s="3" t="n">
        <v>2250</v>
      </c>
      <c r="G181" s="2">
        <f>IF(Prices!B9="","",Prices!B9)</f>
        <v/>
      </c>
      <c r="H181" s="2">
        <f>IF(G181="","",E181/1000*G181)</f>
        <v/>
      </c>
      <c r="I181" s="2" t="inlineStr">
        <is>
          <t>Purchase quote/specification required</t>
        </is>
      </c>
      <c r="J181" s="2" t="inlineStr"/>
    </row>
    <row r="182">
      <c r="A182" s="2" t="inlineStr">
        <is>
          <t>O-B32</t>
        </is>
      </c>
      <c r="B182" s="2" t="inlineStr">
        <is>
          <t>Milk cake sponge: batter to baked component</t>
        </is>
      </c>
      <c r="C182" s="2" t="inlineStr">
        <is>
          <t>Main formula</t>
        </is>
      </c>
      <c r="D182" s="2" t="inlineStr">
        <is>
          <t>Sugar</t>
        </is>
      </c>
      <c r="E182" s="3" t="n">
        <v>220</v>
      </c>
      <c r="F182" s="3" t="n">
        <v>1100</v>
      </c>
      <c r="G182" s="2">
        <f>IF(Prices!B4="","",Prices!B4)</f>
        <v/>
      </c>
      <c r="H182" s="2">
        <f>IF(G182="","",E182/1000*G182)</f>
        <v/>
      </c>
      <c r="I182" s="2" t="inlineStr">
        <is>
          <t>Owner granulated sugar price; grind specification must match</t>
        </is>
      </c>
      <c r="J182" s="2" t="inlineStr"/>
    </row>
    <row r="183">
      <c r="A183" s="2" t="inlineStr">
        <is>
          <t>O-B32</t>
        </is>
      </c>
      <c r="B183" s="2" t="inlineStr">
        <is>
          <t>Milk cake sponge: batter to baked component</t>
        </is>
      </c>
      <c r="C183" s="2" t="inlineStr">
        <is>
          <t>Main formula</t>
        </is>
      </c>
      <c r="D183" s="2" t="inlineStr">
        <is>
          <t>UHT milk</t>
        </is>
      </c>
      <c r="E183" s="3" t="n">
        <v>80</v>
      </c>
      <c r="F183" s="3" t="n">
        <v>400</v>
      </c>
      <c r="G183" s="2">
        <f>IF(Prices!B32="","",Prices!B32)</f>
        <v/>
      </c>
      <c r="H183" s="2">
        <f>IF(G183="","",E183/1000*G183)</f>
        <v/>
      </c>
      <c r="I183" s="2" t="inlineStr">
        <is>
          <t>Purchase quote/specification required</t>
        </is>
      </c>
      <c r="J183" s="2" t="inlineStr"/>
    </row>
    <row r="184">
      <c r="A184" s="2" t="inlineStr">
        <is>
          <t>O-B32</t>
        </is>
      </c>
      <c r="B184" s="2" t="inlineStr">
        <is>
          <t>Milk cake sponge: batter to baked component</t>
        </is>
      </c>
      <c r="C184" s="2" t="inlineStr">
        <is>
          <t>Main formula</t>
        </is>
      </c>
      <c r="D184" s="2" t="inlineStr">
        <is>
          <t>Oil</t>
        </is>
      </c>
      <c r="E184" s="3" t="n">
        <v>40</v>
      </c>
      <c r="F184" s="3" t="n">
        <v>200</v>
      </c>
      <c r="G184" s="2">
        <f>IF(Prices!B19="","",Prices!B19)</f>
        <v/>
      </c>
      <c r="H184" s="2">
        <f>IF(G184="","",E184/1000*G184)</f>
        <v/>
      </c>
      <c r="I184" s="2" t="inlineStr">
        <is>
          <t>PROVISIONAL 0.92 kg/L; correct after weighing</t>
        </is>
      </c>
      <c r="J184" s="2" t="inlineStr"/>
    </row>
    <row r="185">
      <c r="A185" s="2" t="inlineStr">
        <is>
          <t>O-B32</t>
        </is>
      </c>
      <c r="B185" s="2" t="inlineStr">
        <is>
          <t>Milk cake sponge: batter to baked component</t>
        </is>
      </c>
      <c r="C185" s="2" t="inlineStr">
        <is>
          <t>Main formula</t>
        </is>
      </c>
      <c r="D185" s="2" t="inlineStr">
        <is>
          <t>Baking powder</t>
        </is>
      </c>
      <c r="E185" s="3" t="n">
        <v>8</v>
      </c>
      <c r="F185" s="3" t="n">
        <v>40</v>
      </c>
      <c r="G185" s="2">
        <f>IF(Prices!B15="","",Prices!B15)</f>
        <v/>
      </c>
      <c r="H185" s="2">
        <f>IF(G185="","",E185/1000*G185)</f>
        <v/>
      </c>
      <c r="I185" s="2" t="inlineStr">
        <is>
          <t>Purchase quote/specification required</t>
        </is>
      </c>
      <c r="J185" s="2" t="inlineStr"/>
    </row>
    <row r="186">
      <c r="A186" s="2" t="inlineStr">
        <is>
          <t>O-B32</t>
        </is>
      </c>
      <c r="B186" s="2" t="inlineStr">
        <is>
          <t>Milk cake sponge: batter to baked component</t>
        </is>
      </c>
      <c r="C186" s="2" t="inlineStr">
        <is>
          <t>Main formula</t>
        </is>
      </c>
      <c r="D186" s="2" t="inlineStr">
        <is>
          <t>Salt</t>
        </is>
      </c>
      <c r="E186" s="3" t="n">
        <v>3</v>
      </c>
      <c r="F186" s="3" t="n">
        <v>15</v>
      </c>
      <c r="G186" s="2">
        <f>IF(Prices!B6="","",Prices!B6)</f>
        <v/>
      </c>
      <c r="H186" s="2">
        <f>IF(G186="","",E186/1000*G186)</f>
        <v/>
      </c>
      <c r="I186" s="2" t="inlineStr">
        <is>
          <t>Owner price</t>
        </is>
      </c>
      <c r="J186" s="2" t="inlineStr"/>
    </row>
    <row r="187">
      <c r="A187" s="2" t="inlineStr">
        <is>
          <t>O-B32</t>
        </is>
      </c>
      <c r="B187" s="2" t="inlineStr">
        <is>
          <t>Milk cake sponge: batter to baked component</t>
        </is>
      </c>
      <c r="C187" s="2" t="inlineStr">
        <is>
          <t>Main formula</t>
        </is>
      </c>
      <c r="D187" s="2" t="inlineStr">
        <is>
          <t>Vanilla</t>
        </is>
      </c>
      <c r="E187" s="3" t="n">
        <v>4</v>
      </c>
      <c r="F187" s="3" t="n">
        <v>20</v>
      </c>
      <c r="G187" s="2">
        <f>IF(Prices!B11="","",Prices!B11)</f>
        <v/>
      </c>
      <c r="H187" s="2">
        <f>IF(G187="","",E187/1000*G187)</f>
        <v/>
      </c>
      <c r="I187" s="2" t="inlineStr">
        <is>
          <t>Purchase quote/specification required</t>
        </is>
      </c>
      <c r="J187" s="2" t="inlineStr"/>
    </row>
    <row r="188">
      <c r="A188" s="2" t="inlineStr">
        <is>
          <t>O-B33</t>
        </is>
      </c>
      <c r="B188" s="2" t="inlineStr">
        <is>
          <t>Three milk soak</t>
        </is>
      </c>
      <c r="C188" s="2" t="inlineStr">
        <is>
          <t>Main formula</t>
        </is>
      </c>
      <c r="D188" s="2" t="inlineStr">
        <is>
          <t>Condensed milk</t>
        </is>
      </c>
      <c r="E188" s="3" t="n">
        <v>400</v>
      </c>
      <c r="F188" s="3" t="n">
        <v>2000</v>
      </c>
      <c r="G188" s="2">
        <f>IF(Prices!B8="","",Prices!B8)</f>
        <v/>
      </c>
      <c r="H188" s="2">
        <f>IF(G188="","",E188/1000*G188)</f>
        <v/>
      </c>
      <c r="I188" s="2" t="inlineStr">
        <is>
          <t>Purchase quote/specification required</t>
        </is>
      </c>
      <c r="J188" s="2" t="inlineStr"/>
    </row>
    <row r="189">
      <c r="A189" s="2" t="inlineStr">
        <is>
          <t>O-B33</t>
        </is>
      </c>
      <c r="B189" s="2" t="inlineStr">
        <is>
          <t>Three milk soak</t>
        </is>
      </c>
      <c r="C189" s="2" t="inlineStr">
        <is>
          <t>Main formula</t>
        </is>
      </c>
      <c r="D189" s="2" t="inlineStr">
        <is>
          <t>UHT milk</t>
        </is>
      </c>
      <c r="E189" s="3" t="n">
        <v>400</v>
      </c>
      <c r="F189" s="3" t="n">
        <v>2000</v>
      </c>
      <c r="G189" s="2">
        <f>IF(Prices!B32="","",Prices!B32)</f>
        <v/>
      </c>
      <c r="H189" s="2">
        <f>IF(G189="","",E189/1000*G189)</f>
        <v/>
      </c>
      <c r="I189" s="2" t="inlineStr">
        <is>
          <t>Purchase quote/specification required</t>
        </is>
      </c>
      <c r="J189" s="2" t="inlineStr"/>
    </row>
    <row r="190">
      <c r="A190" s="2" t="inlineStr">
        <is>
          <t>O-B33</t>
        </is>
      </c>
      <c r="B190" s="2" t="inlineStr">
        <is>
          <t>Three milk soak</t>
        </is>
      </c>
      <c r="C190" s="2" t="inlineStr">
        <is>
          <t>Main formula</t>
        </is>
      </c>
      <c r="D190" s="2" t="inlineStr">
        <is>
          <t>Cream 35%</t>
        </is>
      </c>
      <c r="E190" s="3" t="n">
        <v>200</v>
      </c>
      <c r="F190" s="3" t="n">
        <v>1000</v>
      </c>
      <c r="G190" s="2">
        <f>IF(Prices!B44="","",Prices!B44)</f>
        <v/>
      </c>
      <c r="H190" s="2">
        <f>IF(G190="","",E190/1000*G190)</f>
        <v/>
      </c>
      <c r="I190" s="2" t="inlineStr">
        <is>
          <t>Purchase quote/specification required</t>
        </is>
      </c>
      <c r="J190" s="2" t="inlineStr"/>
    </row>
    <row r="191">
      <c r="A191" s="2" t="inlineStr">
        <is>
          <t>O-B34</t>
        </is>
      </c>
      <c r="B191" s="2" t="inlineStr">
        <is>
          <t>Condensed milk glaze</t>
        </is>
      </c>
      <c r="C191" s="2" t="inlineStr">
        <is>
          <t>Main formula</t>
        </is>
      </c>
      <c r="D191" s="2" t="inlineStr">
        <is>
          <t>Condensed milk</t>
        </is>
      </c>
      <c r="E191" s="3" t="n">
        <v>200</v>
      </c>
      <c r="F191" s="3" t="n">
        <v>1000</v>
      </c>
      <c r="G191" s="2">
        <f>IF(Prices!B8="","",Prices!B8)</f>
        <v/>
      </c>
      <c r="H191" s="2">
        <f>IF(G191="","",E191/1000*G191)</f>
        <v/>
      </c>
      <c r="I191" s="2" t="inlineStr">
        <is>
          <t>Purchase quote/specification required</t>
        </is>
      </c>
      <c r="J191" s="2" t="inlineStr"/>
    </row>
    <row r="192">
      <c r="A192" s="2" t="inlineStr">
        <is>
          <t>O-B34</t>
        </is>
      </c>
      <c r="B192" s="2" t="inlineStr">
        <is>
          <t>Condensed milk glaze</t>
        </is>
      </c>
      <c r="C192" s="2" t="inlineStr">
        <is>
          <t>Main formula</t>
        </is>
      </c>
      <c r="D192" s="2" t="inlineStr">
        <is>
          <t>Icing sugar</t>
        </is>
      </c>
      <c r="E192" s="3" t="n">
        <v>100</v>
      </c>
      <c r="F192" s="3" t="n">
        <v>500</v>
      </c>
      <c r="G192" s="2">
        <f>IF(Prices!B45="","",Prices!B45)</f>
        <v/>
      </c>
      <c r="H192" s="2">
        <f>IF(G192="","",E192/1000*G192)</f>
        <v/>
      </c>
      <c r="I192" s="2" t="inlineStr">
        <is>
          <t>Purchase quote/specification required</t>
        </is>
      </c>
      <c r="J192" s="2" t="inlineStr"/>
    </row>
    <row r="193">
      <c r="A193" s="2" t="inlineStr">
        <is>
          <t>O-B34</t>
        </is>
      </c>
      <c r="B193" s="2" t="inlineStr">
        <is>
          <t>Condensed milk glaze</t>
        </is>
      </c>
      <c r="C193" s="2" t="inlineStr">
        <is>
          <t>Main formula</t>
        </is>
      </c>
      <c r="D193" s="2" t="inlineStr">
        <is>
          <t>Butter</t>
        </is>
      </c>
      <c r="E193" s="3" t="n">
        <v>20</v>
      </c>
      <c r="F193" s="3" t="n">
        <v>100</v>
      </c>
      <c r="G193" s="2">
        <f>IF(Prices!B46="","",Prices!B46)</f>
        <v/>
      </c>
      <c r="H193" s="2">
        <f>IF(G193="","",E193/1000*G193)</f>
        <v/>
      </c>
      <c r="I193" s="2" t="inlineStr">
        <is>
          <t>Purchase quote/specification required</t>
        </is>
      </c>
      <c r="J193" s="2" t="inlineStr"/>
    </row>
    <row r="194">
      <c r="A194" s="2" t="inlineStr">
        <is>
          <t>O-B34</t>
        </is>
      </c>
      <c r="B194" s="2" t="inlineStr">
        <is>
          <t>Condensed milk glaze</t>
        </is>
      </c>
      <c r="C194" s="2" t="inlineStr">
        <is>
          <t>Main formula</t>
        </is>
      </c>
      <c r="D194" s="2" t="inlineStr">
        <is>
          <t>Water</t>
        </is>
      </c>
      <c r="E194" s="3" t="n">
        <v>20</v>
      </c>
      <c r="F194" s="3" t="n">
        <v>100</v>
      </c>
      <c r="G194" s="2">
        <f>IF(Prices!B3="","",Prices!B3)</f>
        <v/>
      </c>
      <c r="H194" s="2">
        <f>IF(G194="","",E194/1000*G194)</f>
        <v/>
      </c>
      <c r="I194" s="2" t="inlineStr">
        <is>
          <t>Purchase quote/specification required</t>
        </is>
      </c>
      <c r="J194" s="2" t="inlineStr"/>
    </row>
    <row r="195">
      <c r="A195" s="2" t="inlineStr">
        <is>
          <t>O-B34</t>
        </is>
      </c>
      <c r="B195" s="2" t="inlineStr">
        <is>
          <t>Condensed milk glaze</t>
        </is>
      </c>
      <c r="C195" s="2" t="inlineStr">
        <is>
          <t>Main formula</t>
        </is>
      </c>
      <c r="D195" s="2" t="inlineStr">
        <is>
          <t>Vanilla</t>
        </is>
      </c>
      <c r="E195" s="3" t="n">
        <v>2</v>
      </c>
      <c r="F195" s="3" t="n">
        <v>10</v>
      </c>
      <c r="G195" s="2">
        <f>IF(Prices!B11="","",Prices!B11)</f>
        <v/>
      </c>
      <c r="H195" s="2">
        <f>IF(G195="","",E195/1000*G195)</f>
        <v/>
      </c>
      <c r="I195" s="2" t="inlineStr">
        <is>
          <t>Purchase quote/specification required</t>
        </is>
      </c>
      <c r="J195" s="2" t="inlineStr"/>
    </row>
    <row r="196">
      <c r="A196" s="2" t="inlineStr">
        <is>
          <t>O-B17</t>
        </is>
      </c>
      <c r="B196" s="2" t="inlineStr">
        <is>
          <t>Shawarma flatbread</t>
        </is>
      </c>
      <c r="C196" s="2" t="inlineStr">
        <is>
          <t>Main formula</t>
        </is>
      </c>
      <c r="D196" s="2" t="inlineStr">
        <is>
          <t>Bread flour</t>
        </is>
      </c>
      <c r="E196" s="3" t="n">
        <v>1000</v>
      </c>
      <c r="F196" s="3" t="n">
        <v>5000</v>
      </c>
      <c r="G196" s="2">
        <f>IF(Prices!B2="","",Prices!B2)</f>
        <v/>
      </c>
      <c r="H196" s="2">
        <f>IF(G196="","",E196/1000*G196)</f>
        <v/>
      </c>
      <c r="I196" s="2" t="inlineStr">
        <is>
          <t>Owner flour price; flour performance requires trial</t>
        </is>
      </c>
      <c r="J196" s="2" t="inlineStr"/>
    </row>
    <row r="197">
      <c r="A197" s="2" t="inlineStr">
        <is>
          <t>O-B17</t>
        </is>
      </c>
      <c r="B197" s="2" t="inlineStr">
        <is>
          <t>Shawarma flatbread</t>
        </is>
      </c>
      <c r="C197" s="2" t="inlineStr">
        <is>
          <t>Main formula</t>
        </is>
      </c>
      <c r="D197" s="2" t="inlineStr">
        <is>
          <t>Water</t>
        </is>
      </c>
      <c r="E197" s="3" t="n">
        <v>610</v>
      </c>
      <c r="F197" s="3" t="n">
        <v>3050</v>
      </c>
      <c r="G197" s="2">
        <f>IF(Prices!B3="","",Prices!B3)</f>
        <v/>
      </c>
      <c r="H197" s="2">
        <f>IF(G197="","",E197/1000*G197)</f>
        <v/>
      </c>
      <c r="I197" s="2" t="inlineStr">
        <is>
          <t>Purchase quote/specification required</t>
        </is>
      </c>
      <c r="J197" s="2" t="inlineStr"/>
    </row>
    <row r="198">
      <c r="A198" s="2" t="inlineStr">
        <is>
          <t>O-B17</t>
        </is>
      </c>
      <c r="B198" s="2" t="inlineStr">
        <is>
          <t>Shawarma flatbread</t>
        </is>
      </c>
      <c r="C198" s="2" t="inlineStr">
        <is>
          <t>Main formula</t>
        </is>
      </c>
      <c r="D198" s="2" t="inlineStr">
        <is>
          <t>Sugar</t>
        </is>
      </c>
      <c r="E198" s="3" t="n">
        <v>15</v>
      </c>
      <c r="F198" s="3" t="n">
        <v>75</v>
      </c>
      <c r="G198" s="2">
        <f>IF(Prices!B4="","",Prices!B4)</f>
        <v/>
      </c>
      <c r="H198" s="2">
        <f>IF(G198="","",E198/1000*G198)</f>
        <v/>
      </c>
      <c r="I198" s="2" t="inlineStr">
        <is>
          <t>Owner granulated sugar price; grind specification must match</t>
        </is>
      </c>
      <c r="J198" s="2" t="inlineStr"/>
    </row>
    <row r="199">
      <c r="A199" s="2" t="inlineStr">
        <is>
          <t>O-B17</t>
        </is>
      </c>
      <c r="B199" s="2" t="inlineStr">
        <is>
          <t>Shawarma flatbread</t>
        </is>
      </c>
      <c r="C199" s="2" t="inlineStr">
        <is>
          <t>Main formula</t>
        </is>
      </c>
      <c r="D199" s="2" t="inlineStr">
        <is>
          <t>Salt</t>
        </is>
      </c>
      <c r="E199" s="3" t="n">
        <v>18</v>
      </c>
      <c r="F199" s="3" t="n">
        <v>90</v>
      </c>
      <c r="G199" s="2">
        <f>IF(Prices!B6="","",Prices!B6)</f>
        <v/>
      </c>
      <c r="H199" s="2">
        <f>IF(G199="","",E199/1000*G199)</f>
        <v/>
      </c>
      <c r="I199" s="2" t="inlineStr">
        <is>
          <t>Owner price</t>
        </is>
      </c>
      <c r="J199" s="2" t="inlineStr"/>
    </row>
    <row r="200">
      <c r="A200" s="2" t="inlineStr">
        <is>
          <t>O-B17</t>
        </is>
      </c>
      <c r="B200" s="2" t="inlineStr">
        <is>
          <t>Shawarma flatbread</t>
        </is>
      </c>
      <c r="C200" s="2" t="inlineStr">
        <is>
          <t>Main formula</t>
        </is>
      </c>
      <c r="D200" s="2" t="inlineStr">
        <is>
          <t>Yeast</t>
        </is>
      </c>
      <c r="E200" s="3" t="n">
        <v>8</v>
      </c>
      <c r="F200" s="3" t="n">
        <v>40</v>
      </c>
      <c r="G200" s="2">
        <f>IF(Prices!B7="","",Prices!B7)</f>
        <v/>
      </c>
      <c r="H200" s="2">
        <f>IF(G200="","",E200/1000*G200)</f>
        <v/>
      </c>
      <c r="I200" s="2" t="inlineStr">
        <is>
          <t>Nevada instant dry; sweet-dough suitability requires trial</t>
        </is>
      </c>
      <c r="J200" s="2" t="inlineStr"/>
    </row>
    <row r="201">
      <c r="A201" s="2" t="inlineStr">
        <is>
          <t>O-B17</t>
        </is>
      </c>
      <c r="B201" s="2" t="inlineStr">
        <is>
          <t>Shawarma flatbread</t>
        </is>
      </c>
      <c r="C201" s="2" t="inlineStr">
        <is>
          <t>Main formula</t>
        </is>
      </c>
      <c r="D201" s="2" t="inlineStr">
        <is>
          <t>Oil</t>
        </is>
      </c>
      <c r="E201" s="3" t="n">
        <v>30</v>
      </c>
      <c r="F201" s="3" t="n">
        <v>150</v>
      </c>
      <c r="G201" s="2">
        <f>IF(Prices!B19="","",Prices!B19)</f>
        <v/>
      </c>
      <c r="H201" s="2">
        <f>IF(G201="","",E201/1000*G201)</f>
        <v/>
      </c>
      <c r="I201" s="2" t="inlineStr">
        <is>
          <t>PROVISIONAL 0.92 kg/L; correct after weighing</t>
        </is>
      </c>
      <c r="J201" s="2" t="inlineStr"/>
    </row>
    <row r="202">
      <c r="A202" s="2" t="inlineStr">
        <is>
          <t>O-B18</t>
        </is>
      </c>
      <c r="B202" s="2" t="inlineStr">
        <is>
          <t>Cooked chicken shawarma meat</t>
        </is>
      </c>
      <c r="C202" s="2" t="inlineStr">
        <is>
          <t>Main formula</t>
        </is>
      </c>
      <c r="D202" s="2" t="inlineStr">
        <is>
          <t>Chicken boneless</t>
        </is>
      </c>
      <c r="E202" s="3" t="n">
        <v>1000</v>
      </c>
      <c r="F202" s="3" t="n">
        <v>5000</v>
      </c>
      <c r="G202" s="2">
        <f>IF(Prices!B30="","",Prices!B30)</f>
        <v/>
      </c>
      <c r="H202" s="2">
        <f>IF(G202="","",E202/1000*G202)</f>
        <v/>
      </c>
      <c r="I202" s="2" t="inlineStr">
        <is>
          <t>Purchase quote/specification required</t>
        </is>
      </c>
      <c r="J202" s="2" t="inlineStr"/>
    </row>
    <row r="203">
      <c r="A203" s="2" t="inlineStr">
        <is>
          <t>O-B18</t>
        </is>
      </c>
      <c r="B203" s="2" t="inlineStr">
        <is>
          <t>Cooked chicken shawarma meat</t>
        </is>
      </c>
      <c r="C203" s="2" t="inlineStr">
        <is>
          <t>Main formula</t>
        </is>
      </c>
      <c r="D203" s="2" t="inlineStr">
        <is>
          <t>Yogurt plain</t>
        </is>
      </c>
      <c r="E203" s="3" t="n">
        <v>150</v>
      </c>
      <c r="F203" s="3" t="n">
        <v>750</v>
      </c>
      <c r="G203" s="2">
        <f>IF(Prices!B38="","",Prices!B38)</f>
        <v/>
      </c>
      <c r="H203" s="2">
        <f>IF(G203="","",E203/1000*G203)</f>
        <v/>
      </c>
      <c r="I203" s="2" t="inlineStr">
        <is>
          <t>Purchase quote/specification required</t>
        </is>
      </c>
      <c r="J203" s="2" t="inlineStr"/>
    </row>
    <row r="204">
      <c r="A204" s="2" t="inlineStr">
        <is>
          <t>O-B18</t>
        </is>
      </c>
      <c r="B204" s="2" t="inlineStr">
        <is>
          <t>Cooked chicken shawarma meat</t>
        </is>
      </c>
      <c r="C204" s="2" t="inlineStr">
        <is>
          <t>Main formula</t>
        </is>
      </c>
      <c r="D204" s="2" t="inlineStr">
        <is>
          <t>Lemon juice</t>
        </is>
      </c>
      <c r="E204" s="3" t="n">
        <v>35</v>
      </c>
      <c r="F204" s="3" t="n">
        <v>175</v>
      </c>
      <c r="G204" s="2">
        <f>IF(Prices!B47="","",Prices!B47)</f>
        <v/>
      </c>
      <c r="H204" s="2">
        <f>IF(G204="","",E204/1000*G204)</f>
        <v/>
      </c>
      <c r="I204" s="2" t="inlineStr">
        <is>
          <t>Purchase quote/specification required</t>
        </is>
      </c>
      <c r="J204" s="2" t="inlineStr"/>
    </row>
    <row r="205">
      <c r="A205" s="2" t="inlineStr">
        <is>
          <t>O-B18</t>
        </is>
      </c>
      <c r="B205" s="2" t="inlineStr">
        <is>
          <t>Cooked chicken shawarma meat</t>
        </is>
      </c>
      <c r="C205" s="2" t="inlineStr">
        <is>
          <t>Main formula</t>
        </is>
      </c>
      <c r="D205" s="2" t="inlineStr">
        <is>
          <t>Vinegar 5%</t>
        </is>
      </c>
      <c r="E205" s="3" t="n">
        <v>15</v>
      </c>
      <c r="F205" s="3" t="n">
        <v>75</v>
      </c>
      <c r="G205" s="2">
        <f>IF(Prices!B48="","",Prices!B48)</f>
        <v/>
      </c>
      <c r="H205" s="2">
        <f>IF(G205="","",E205/1000*G205)</f>
        <v/>
      </c>
      <c r="I205" s="2" t="inlineStr">
        <is>
          <t>Purchase quote/specification required</t>
        </is>
      </c>
      <c r="J205" s="2" t="inlineStr"/>
    </row>
    <row r="206">
      <c r="A206" s="2" t="inlineStr">
        <is>
          <t>O-B18</t>
        </is>
      </c>
      <c r="B206" s="2" t="inlineStr">
        <is>
          <t>Cooked chicken shawarma meat</t>
        </is>
      </c>
      <c r="C206" s="2" t="inlineStr">
        <is>
          <t>Main formula</t>
        </is>
      </c>
      <c r="D206" s="2" t="inlineStr">
        <is>
          <t>Oil</t>
        </is>
      </c>
      <c r="E206" s="3" t="n">
        <v>30</v>
      </c>
      <c r="F206" s="3" t="n">
        <v>150</v>
      </c>
      <c r="G206" s="2">
        <f>IF(Prices!B19="","",Prices!B19)</f>
        <v/>
      </c>
      <c r="H206" s="2">
        <f>IF(G206="","",E206/1000*G206)</f>
        <v/>
      </c>
      <c r="I206" s="2" t="inlineStr">
        <is>
          <t>PROVISIONAL 0.92 kg/L; correct after weighing</t>
        </is>
      </c>
      <c r="J206" s="2" t="inlineStr"/>
    </row>
    <row r="207">
      <c r="A207" s="2" t="inlineStr">
        <is>
          <t>O-B18</t>
        </is>
      </c>
      <c r="B207" s="2" t="inlineStr">
        <is>
          <t>Cooked chicken shawarma meat</t>
        </is>
      </c>
      <c r="C207" s="2" t="inlineStr">
        <is>
          <t>Main formula</t>
        </is>
      </c>
      <c r="D207" s="2" t="inlineStr">
        <is>
          <t>Garlic peeled</t>
        </is>
      </c>
      <c r="E207" s="3" t="n">
        <v>25</v>
      </c>
      <c r="F207" s="3" t="n">
        <v>125</v>
      </c>
      <c r="G207" s="2">
        <f>IF(Prices!B20="","",Prices!B20)</f>
        <v/>
      </c>
      <c r="H207" s="2">
        <f>IF(G207="","",E207/1000*G207)</f>
        <v/>
      </c>
      <c r="I207" s="2" t="inlineStr">
        <is>
          <t>Purchase quote/specification required</t>
        </is>
      </c>
      <c r="J207" s="2" t="inlineStr"/>
    </row>
    <row r="208">
      <c r="A208" s="2" t="inlineStr">
        <is>
          <t>O-B18</t>
        </is>
      </c>
      <c r="B208" s="2" t="inlineStr">
        <is>
          <t>Cooked chicken shawarma meat</t>
        </is>
      </c>
      <c r="C208" s="2" t="inlineStr">
        <is>
          <t>Main formula</t>
        </is>
      </c>
      <c r="D208" s="2" t="inlineStr">
        <is>
          <t>Salt</t>
        </is>
      </c>
      <c r="E208" s="3" t="n">
        <v>16</v>
      </c>
      <c r="F208" s="3" t="n">
        <v>80</v>
      </c>
      <c r="G208" s="2">
        <f>IF(Prices!B6="","",Prices!B6)</f>
        <v/>
      </c>
      <c r="H208" s="2">
        <f>IF(G208="","",E208/1000*G208)</f>
        <v/>
      </c>
      <c r="I208" s="2" t="inlineStr">
        <is>
          <t>Owner price</t>
        </is>
      </c>
      <c r="J208" s="2" t="inlineStr"/>
    </row>
    <row r="209">
      <c r="A209" s="2" t="inlineStr">
        <is>
          <t>O-B18</t>
        </is>
      </c>
      <c r="B209" s="2" t="inlineStr">
        <is>
          <t>Cooked chicken shawarma meat</t>
        </is>
      </c>
      <c r="C209" s="2" t="inlineStr">
        <is>
          <t>Main formula</t>
        </is>
      </c>
      <c r="D209" s="2" t="inlineStr">
        <is>
          <t>Paprika</t>
        </is>
      </c>
      <c r="E209" s="3" t="n">
        <v>12</v>
      </c>
      <c r="F209" s="3" t="n">
        <v>60</v>
      </c>
      <c r="G209" s="2">
        <f>IF(Prices!B23="","",Prices!B23)</f>
        <v/>
      </c>
      <c r="H209" s="2">
        <f>IF(G209="","",E209/1000*G209)</f>
        <v/>
      </c>
      <c r="I209" s="2" t="inlineStr">
        <is>
          <t>Purchase quote/specification required</t>
        </is>
      </c>
      <c r="J209" s="2" t="inlineStr"/>
    </row>
    <row r="210">
      <c r="A210" s="2" t="inlineStr">
        <is>
          <t>O-B18</t>
        </is>
      </c>
      <c r="B210" s="2" t="inlineStr">
        <is>
          <t>Cooked chicken shawarma meat</t>
        </is>
      </c>
      <c r="C210" s="2" t="inlineStr">
        <is>
          <t>Main formula</t>
        </is>
      </c>
      <c r="D210" s="2" t="inlineStr">
        <is>
          <t>Cumin</t>
        </is>
      </c>
      <c r="E210" s="3" t="n">
        <v>6</v>
      </c>
      <c r="F210" s="3" t="n">
        <v>30</v>
      </c>
      <c r="G210" s="2">
        <f>IF(Prices!B43="","",Prices!B43)</f>
        <v/>
      </c>
      <c r="H210" s="2">
        <f>IF(G210="","",E210/1000*G210)</f>
        <v/>
      </c>
      <c r="I210" s="2" t="inlineStr">
        <is>
          <t>Purchase quote/specification required</t>
        </is>
      </c>
      <c r="J210" s="2" t="inlineStr"/>
    </row>
    <row r="211">
      <c r="A211" s="2" t="inlineStr">
        <is>
          <t>O-B18</t>
        </is>
      </c>
      <c r="B211" s="2" t="inlineStr">
        <is>
          <t>Cooked chicken shawarma meat</t>
        </is>
      </c>
      <c r="C211" s="2" t="inlineStr">
        <is>
          <t>Main formula</t>
        </is>
      </c>
      <c r="D211" s="2" t="inlineStr">
        <is>
          <t>Coriander</t>
        </is>
      </c>
      <c r="E211" s="3" t="n">
        <v>6</v>
      </c>
      <c r="F211" s="3" t="n">
        <v>30</v>
      </c>
      <c r="G211" s="2">
        <f>IF(Prices!B49="","",Prices!B49)</f>
        <v/>
      </c>
      <c r="H211" s="2">
        <f>IF(G211="","",E211/1000*G211)</f>
        <v/>
      </c>
      <c r="I211" s="2" t="inlineStr">
        <is>
          <t>Purchase quote/specification required</t>
        </is>
      </c>
      <c r="J211" s="2" t="inlineStr"/>
    </row>
    <row r="212">
      <c r="A212" s="2" t="inlineStr">
        <is>
          <t>O-B18</t>
        </is>
      </c>
      <c r="B212" s="2" t="inlineStr">
        <is>
          <t>Cooked chicken shawarma meat</t>
        </is>
      </c>
      <c r="C212" s="2" t="inlineStr">
        <is>
          <t>Main formula</t>
        </is>
      </c>
      <c r="D212" s="2" t="inlineStr">
        <is>
          <t>Black pepper</t>
        </is>
      </c>
      <c r="E212" s="3" t="n">
        <v>3</v>
      </c>
      <c r="F212" s="3" t="n">
        <v>15</v>
      </c>
      <c r="G212" s="2">
        <f>IF(Prices!B22="","",Prices!B22)</f>
        <v/>
      </c>
      <c r="H212" s="2">
        <f>IF(G212="","",E212/1000*G212)</f>
        <v/>
      </c>
      <c r="I212" s="2" t="inlineStr">
        <is>
          <t>Purchase quote/specification required</t>
        </is>
      </c>
      <c r="J212" s="2" t="inlineStr"/>
    </row>
    <row r="213">
      <c r="A213" s="2" t="inlineStr">
        <is>
          <t>O-B18</t>
        </is>
      </c>
      <c r="B213" s="2" t="inlineStr">
        <is>
          <t>Cooked chicken shawarma meat</t>
        </is>
      </c>
      <c r="C213" s="2" t="inlineStr">
        <is>
          <t>Main formula</t>
        </is>
      </c>
      <c r="D213" s="2" t="inlineStr">
        <is>
          <t>Cinnamon</t>
        </is>
      </c>
      <c r="E213" s="3" t="n">
        <v>1</v>
      </c>
      <c r="F213" s="3" t="n">
        <v>5</v>
      </c>
      <c r="G213" s="2">
        <f>IF(Prices!B35="","",Prices!B35)</f>
        <v/>
      </c>
      <c r="H213" s="2">
        <f>IF(G213="","",E213/1000*G213)</f>
        <v/>
      </c>
      <c r="I213" s="2" t="inlineStr">
        <is>
          <t>Purchase quote/specification required</t>
        </is>
      </c>
      <c r="J213" s="2" t="inlineStr"/>
    </row>
    <row r="214">
      <c r="A214" s="2" t="inlineStr">
        <is>
          <t>O-B18</t>
        </is>
      </c>
      <c r="B214" s="2" t="inlineStr">
        <is>
          <t>Cooked chicken shawarma meat</t>
        </is>
      </c>
      <c r="C214" s="2" t="inlineStr">
        <is>
          <t>Main formula</t>
        </is>
      </c>
      <c r="D214" s="2" t="inlineStr">
        <is>
          <t>Chili trimmed</t>
        </is>
      </c>
      <c r="E214" s="3" t="n">
        <v>5</v>
      </c>
      <c r="F214" s="3" t="n">
        <v>25</v>
      </c>
      <c r="G214" s="2">
        <f>IF(Prices!B50="","",Prices!B50)</f>
        <v/>
      </c>
      <c r="H214" s="2">
        <f>IF(G214="","",E214/1000*G214)</f>
        <v/>
      </c>
      <c r="I214" s="2" t="inlineStr">
        <is>
          <t>Purchase quote/specification required</t>
        </is>
      </c>
      <c r="J214" s="2" t="inlineStr"/>
    </row>
    <row r="215">
      <c r="A215" s="2" t="inlineStr">
        <is>
          <t>O-B19</t>
        </is>
      </c>
      <c r="B215" s="2" t="inlineStr">
        <is>
          <t>Cooked beef shawarma meat</t>
        </is>
      </c>
      <c r="C215" s="2" t="inlineStr">
        <is>
          <t>Main formula</t>
        </is>
      </c>
      <c r="D215" s="2" t="inlineStr">
        <is>
          <t>Beef boneless</t>
        </is>
      </c>
      <c r="E215" s="3" t="n">
        <v>1000</v>
      </c>
      <c r="F215" s="3" t="n">
        <v>5000</v>
      </c>
      <c r="G215" s="2">
        <f>IF(Prices!B51="","",Prices!B51)</f>
        <v/>
      </c>
      <c r="H215" s="2">
        <f>IF(G215="","",E215/1000*G215)</f>
        <v/>
      </c>
      <c r="I215" s="2" t="inlineStr">
        <is>
          <t>Purchase quote/specification required</t>
        </is>
      </c>
      <c r="J215" s="2" t="inlineStr"/>
    </row>
    <row r="216">
      <c r="A216" s="2" t="inlineStr">
        <is>
          <t>O-B19</t>
        </is>
      </c>
      <c r="B216" s="2" t="inlineStr">
        <is>
          <t>Cooked beef shawarma meat</t>
        </is>
      </c>
      <c r="C216" s="2" t="inlineStr">
        <is>
          <t>Main formula</t>
        </is>
      </c>
      <c r="D216" s="2" t="inlineStr">
        <is>
          <t>Onion trimmed</t>
        </is>
      </c>
      <c r="E216" s="3" t="n">
        <v>80</v>
      </c>
      <c r="F216" s="3" t="n">
        <v>400</v>
      </c>
      <c r="G216" s="2">
        <f>IF(Prices!B17="","",Prices!B17)</f>
        <v/>
      </c>
      <c r="H216" s="2">
        <f>IF(G216="","",E216/1000*G216)</f>
        <v/>
      </c>
      <c r="I216" s="2" t="inlineStr">
        <is>
          <t>Purchase quote/specification required</t>
        </is>
      </c>
      <c r="J216" s="2" t="inlineStr"/>
    </row>
    <row r="217">
      <c r="A217" s="2" t="inlineStr">
        <is>
          <t>O-B19</t>
        </is>
      </c>
      <c r="B217" s="2" t="inlineStr">
        <is>
          <t>Cooked beef shawarma meat</t>
        </is>
      </c>
      <c r="C217" s="2" t="inlineStr">
        <is>
          <t>Main formula</t>
        </is>
      </c>
      <c r="D217" s="2" t="inlineStr">
        <is>
          <t>Lemon juice</t>
        </is>
      </c>
      <c r="E217" s="3" t="n">
        <v>30</v>
      </c>
      <c r="F217" s="3" t="n">
        <v>150</v>
      </c>
      <c r="G217" s="2">
        <f>IF(Prices!B47="","",Prices!B47)</f>
        <v/>
      </c>
      <c r="H217" s="2">
        <f>IF(G217="","",E217/1000*G217)</f>
        <v/>
      </c>
      <c r="I217" s="2" t="inlineStr">
        <is>
          <t>Purchase quote/specification required</t>
        </is>
      </c>
      <c r="J217" s="2" t="inlineStr"/>
    </row>
    <row r="218">
      <c r="A218" s="2" t="inlineStr">
        <is>
          <t>O-B19</t>
        </is>
      </c>
      <c r="B218" s="2" t="inlineStr">
        <is>
          <t>Cooked beef shawarma meat</t>
        </is>
      </c>
      <c r="C218" s="2" t="inlineStr">
        <is>
          <t>Main formula</t>
        </is>
      </c>
      <c r="D218" s="2" t="inlineStr">
        <is>
          <t>Vinegar 5%</t>
        </is>
      </c>
      <c r="E218" s="3" t="n">
        <v>30</v>
      </c>
      <c r="F218" s="3" t="n">
        <v>150</v>
      </c>
      <c r="G218" s="2">
        <f>IF(Prices!B48="","",Prices!B48)</f>
        <v/>
      </c>
      <c r="H218" s="2">
        <f>IF(G218="","",E218/1000*G218)</f>
        <v/>
      </c>
      <c r="I218" s="2" t="inlineStr">
        <is>
          <t>Purchase quote/specification required</t>
        </is>
      </c>
      <c r="J218" s="2" t="inlineStr"/>
    </row>
    <row r="219">
      <c r="A219" s="2" t="inlineStr">
        <is>
          <t>O-B19</t>
        </is>
      </c>
      <c r="B219" s="2" t="inlineStr">
        <is>
          <t>Cooked beef shawarma meat</t>
        </is>
      </c>
      <c r="C219" s="2" t="inlineStr">
        <is>
          <t>Main formula</t>
        </is>
      </c>
      <c r="D219" s="2" t="inlineStr">
        <is>
          <t>Oil</t>
        </is>
      </c>
      <c r="E219" s="3" t="n">
        <v>30</v>
      </c>
      <c r="F219" s="3" t="n">
        <v>150</v>
      </c>
      <c r="G219" s="2">
        <f>IF(Prices!B19="","",Prices!B19)</f>
        <v/>
      </c>
      <c r="H219" s="2">
        <f>IF(G219="","",E219/1000*G219)</f>
        <v/>
      </c>
      <c r="I219" s="2" t="inlineStr">
        <is>
          <t>PROVISIONAL 0.92 kg/L; correct after weighing</t>
        </is>
      </c>
      <c r="J219" s="2" t="inlineStr"/>
    </row>
    <row r="220">
      <c r="A220" s="2" t="inlineStr">
        <is>
          <t>O-B19</t>
        </is>
      </c>
      <c r="B220" s="2" t="inlineStr">
        <is>
          <t>Cooked beef shawarma meat</t>
        </is>
      </c>
      <c r="C220" s="2" t="inlineStr">
        <is>
          <t>Main formula</t>
        </is>
      </c>
      <c r="D220" s="2" t="inlineStr">
        <is>
          <t>Garlic peeled</t>
        </is>
      </c>
      <c r="E220" s="3" t="n">
        <v>20</v>
      </c>
      <c r="F220" s="3" t="n">
        <v>100</v>
      </c>
      <c r="G220" s="2">
        <f>IF(Prices!B20="","",Prices!B20)</f>
        <v/>
      </c>
      <c r="H220" s="2">
        <f>IF(G220="","",E220/1000*G220)</f>
        <v/>
      </c>
      <c r="I220" s="2" t="inlineStr">
        <is>
          <t>Purchase quote/specification required</t>
        </is>
      </c>
      <c r="J220" s="2" t="inlineStr"/>
    </row>
    <row r="221">
      <c r="A221" s="2" t="inlineStr">
        <is>
          <t>O-B19</t>
        </is>
      </c>
      <c r="B221" s="2" t="inlineStr">
        <is>
          <t>Cooked beef shawarma meat</t>
        </is>
      </c>
      <c r="C221" s="2" t="inlineStr">
        <is>
          <t>Main formula</t>
        </is>
      </c>
      <c r="D221" s="2" t="inlineStr">
        <is>
          <t>Salt</t>
        </is>
      </c>
      <c r="E221" s="3" t="n">
        <v>16</v>
      </c>
      <c r="F221" s="3" t="n">
        <v>80</v>
      </c>
      <c r="G221" s="2">
        <f>IF(Prices!B6="","",Prices!B6)</f>
        <v/>
      </c>
      <c r="H221" s="2">
        <f>IF(G221="","",E221/1000*G221)</f>
        <v/>
      </c>
      <c r="I221" s="2" t="inlineStr">
        <is>
          <t>Owner price</t>
        </is>
      </c>
      <c r="J221" s="2" t="inlineStr"/>
    </row>
    <row r="222">
      <c r="A222" s="2" t="inlineStr">
        <is>
          <t>O-B19</t>
        </is>
      </c>
      <c r="B222" s="2" t="inlineStr">
        <is>
          <t>Cooked beef shawarma meat</t>
        </is>
      </c>
      <c r="C222" s="2" t="inlineStr">
        <is>
          <t>Main formula</t>
        </is>
      </c>
      <c r="D222" s="2" t="inlineStr">
        <is>
          <t>Paprika</t>
        </is>
      </c>
      <c r="E222" s="3" t="n">
        <v>10</v>
      </c>
      <c r="F222" s="3" t="n">
        <v>50</v>
      </c>
      <c r="G222" s="2">
        <f>IF(Prices!B23="","",Prices!B23)</f>
        <v/>
      </c>
      <c r="H222" s="2">
        <f>IF(G222="","",E222/1000*G222)</f>
        <v/>
      </c>
      <c r="I222" s="2" t="inlineStr">
        <is>
          <t>Purchase quote/specification required</t>
        </is>
      </c>
      <c r="J222" s="2" t="inlineStr"/>
    </row>
    <row r="223">
      <c r="A223" s="2" t="inlineStr">
        <is>
          <t>O-B19</t>
        </is>
      </c>
      <c r="B223" s="2" t="inlineStr">
        <is>
          <t>Cooked beef shawarma meat</t>
        </is>
      </c>
      <c r="C223" s="2" t="inlineStr">
        <is>
          <t>Main formula</t>
        </is>
      </c>
      <c r="D223" s="2" t="inlineStr">
        <is>
          <t>Cumin</t>
        </is>
      </c>
      <c r="E223" s="3" t="n">
        <v>6</v>
      </c>
      <c r="F223" s="3" t="n">
        <v>30</v>
      </c>
      <c r="G223" s="2">
        <f>IF(Prices!B43="","",Prices!B43)</f>
        <v/>
      </c>
      <c r="H223" s="2">
        <f>IF(G223="","",E223/1000*G223)</f>
        <v/>
      </c>
      <c r="I223" s="2" t="inlineStr">
        <is>
          <t>Purchase quote/specification required</t>
        </is>
      </c>
      <c r="J223" s="2" t="inlineStr"/>
    </row>
    <row r="224">
      <c r="A224" s="2" t="inlineStr">
        <is>
          <t>O-B19</t>
        </is>
      </c>
      <c r="B224" s="2" t="inlineStr">
        <is>
          <t>Cooked beef shawarma meat</t>
        </is>
      </c>
      <c r="C224" s="2" t="inlineStr">
        <is>
          <t>Main formula</t>
        </is>
      </c>
      <c r="D224" s="2" t="inlineStr">
        <is>
          <t>Coriander</t>
        </is>
      </c>
      <c r="E224" s="3" t="n">
        <v>5</v>
      </c>
      <c r="F224" s="3" t="n">
        <v>25</v>
      </c>
      <c r="G224" s="2">
        <f>IF(Prices!B49="","",Prices!B49)</f>
        <v/>
      </c>
      <c r="H224" s="2">
        <f>IF(G224="","",E224/1000*G224)</f>
        <v/>
      </c>
      <c r="I224" s="2" t="inlineStr">
        <is>
          <t>Purchase quote/specification required</t>
        </is>
      </c>
      <c r="J224" s="2" t="inlineStr"/>
    </row>
    <row r="225">
      <c r="A225" s="2" t="inlineStr">
        <is>
          <t>O-B19</t>
        </is>
      </c>
      <c r="B225" s="2" t="inlineStr">
        <is>
          <t>Cooked beef shawarma meat</t>
        </is>
      </c>
      <c r="C225" s="2" t="inlineStr">
        <is>
          <t>Main formula</t>
        </is>
      </c>
      <c r="D225" s="2" t="inlineStr">
        <is>
          <t>Black pepper</t>
        </is>
      </c>
      <c r="E225" s="3" t="n">
        <v>3</v>
      </c>
      <c r="F225" s="3" t="n">
        <v>15</v>
      </c>
      <c r="G225" s="2">
        <f>IF(Prices!B22="","",Prices!B22)</f>
        <v/>
      </c>
      <c r="H225" s="2">
        <f>IF(G225="","",E225/1000*G225)</f>
        <v/>
      </c>
      <c r="I225" s="2" t="inlineStr">
        <is>
          <t>Purchase quote/specification required</t>
        </is>
      </c>
      <c r="J225" s="2" t="inlineStr"/>
    </row>
    <row r="226">
      <c r="A226" s="2" t="inlineStr">
        <is>
          <t>O-B19</t>
        </is>
      </c>
      <c r="B226" s="2" t="inlineStr">
        <is>
          <t>Cooked beef shawarma meat</t>
        </is>
      </c>
      <c r="C226" s="2" t="inlineStr">
        <is>
          <t>Main formula</t>
        </is>
      </c>
      <c r="D226" s="2" t="inlineStr">
        <is>
          <t>Cinnamon</t>
        </is>
      </c>
      <c r="E226" s="3" t="n">
        <v>1</v>
      </c>
      <c r="F226" s="3" t="n">
        <v>5</v>
      </c>
      <c r="G226" s="2">
        <f>IF(Prices!B35="","",Prices!B35)</f>
        <v/>
      </c>
      <c r="H226" s="2">
        <f>IF(G226="","",E226/1000*G226)</f>
        <v/>
      </c>
      <c r="I226" s="2" t="inlineStr">
        <is>
          <t>Purchase quote/specification required</t>
        </is>
      </c>
      <c r="J226" s="2" t="inlineStr"/>
    </row>
    <row r="227">
      <c r="A227" s="2" t="inlineStr">
        <is>
          <t>O-B20</t>
        </is>
      </c>
      <c r="B227" s="2" t="inlineStr">
        <is>
          <t>Garlic mayonnaise sauce</t>
        </is>
      </c>
      <c r="C227" s="2" t="inlineStr">
        <is>
          <t>Main formula</t>
        </is>
      </c>
      <c r="D227" s="2" t="inlineStr">
        <is>
          <t>Mayonnaise pasteurized</t>
        </is>
      </c>
      <c r="E227" s="3" t="n">
        <v>800</v>
      </c>
      <c r="F227" s="3" t="n">
        <v>4000</v>
      </c>
      <c r="G227" s="2">
        <f>IF(Prices!B40="","",Prices!B40)</f>
        <v/>
      </c>
      <c r="H227" s="2">
        <f>IF(G227="","",E227/1000*G227)</f>
        <v/>
      </c>
      <c r="I227" s="2" t="inlineStr">
        <is>
          <t>Purchase quote/specification required</t>
        </is>
      </c>
      <c r="J227" s="2" t="inlineStr"/>
    </row>
    <row r="228">
      <c r="A228" s="2" t="inlineStr">
        <is>
          <t>O-B20</t>
        </is>
      </c>
      <c r="B228" s="2" t="inlineStr">
        <is>
          <t>Garlic mayonnaise sauce</t>
        </is>
      </c>
      <c r="C228" s="2" t="inlineStr">
        <is>
          <t>Main formula</t>
        </is>
      </c>
      <c r="D228" s="2" t="inlineStr">
        <is>
          <t>Lemon juice</t>
        </is>
      </c>
      <c r="E228" s="3" t="n">
        <v>65</v>
      </c>
      <c r="F228" s="3" t="n">
        <v>325</v>
      </c>
      <c r="G228" s="2">
        <f>IF(Prices!B47="","",Prices!B47)</f>
        <v/>
      </c>
      <c r="H228" s="2">
        <f>IF(G228="","",E228/1000*G228)</f>
        <v/>
      </c>
      <c r="I228" s="2" t="inlineStr">
        <is>
          <t>Purchase quote/specification required</t>
        </is>
      </c>
      <c r="J228" s="2" t="inlineStr"/>
    </row>
    <row r="229">
      <c r="A229" s="2" t="inlineStr">
        <is>
          <t>O-B20</t>
        </is>
      </c>
      <c r="B229" s="2" t="inlineStr">
        <is>
          <t>Garlic mayonnaise sauce</t>
        </is>
      </c>
      <c r="C229" s="2" t="inlineStr">
        <is>
          <t>Main formula</t>
        </is>
      </c>
      <c r="D229" s="2" t="inlineStr">
        <is>
          <t>Water</t>
        </is>
      </c>
      <c r="E229" s="3" t="n">
        <v>65</v>
      </c>
      <c r="F229" s="3" t="n">
        <v>325</v>
      </c>
      <c r="G229" s="2">
        <f>IF(Prices!B3="","",Prices!B3)</f>
        <v/>
      </c>
      <c r="H229" s="2">
        <f>IF(G229="","",E229/1000*G229)</f>
        <v/>
      </c>
      <c r="I229" s="2" t="inlineStr">
        <is>
          <t>Purchase quote/specification required</t>
        </is>
      </c>
      <c r="J229" s="2" t="inlineStr"/>
    </row>
    <row r="230">
      <c r="A230" s="2" t="inlineStr">
        <is>
          <t>O-B20</t>
        </is>
      </c>
      <c r="B230" s="2" t="inlineStr">
        <is>
          <t>Garlic mayonnaise sauce</t>
        </is>
      </c>
      <c r="C230" s="2" t="inlineStr">
        <is>
          <t>Main formula</t>
        </is>
      </c>
      <c r="D230" s="2" t="inlineStr">
        <is>
          <t>Garlic peeled</t>
        </is>
      </c>
      <c r="E230" s="3" t="n">
        <v>50</v>
      </c>
      <c r="F230" s="3" t="n">
        <v>250</v>
      </c>
      <c r="G230" s="2">
        <f>IF(Prices!B20="","",Prices!B20)</f>
        <v/>
      </c>
      <c r="H230" s="2">
        <f>IF(G230="","",E230/1000*G230)</f>
        <v/>
      </c>
      <c r="I230" s="2" t="inlineStr">
        <is>
          <t>Purchase quote/specification required</t>
        </is>
      </c>
      <c r="J230" s="2" t="inlineStr"/>
    </row>
    <row r="231">
      <c r="A231" s="2" t="inlineStr">
        <is>
          <t>O-B20</t>
        </is>
      </c>
      <c r="B231" s="2" t="inlineStr">
        <is>
          <t>Garlic mayonnaise sauce</t>
        </is>
      </c>
      <c r="C231" s="2" t="inlineStr">
        <is>
          <t>Main formula</t>
        </is>
      </c>
      <c r="D231" s="2" t="inlineStr">
        <is>
          <t>Salt</t>
        </is>
      </c>
      <c r="E231" s="3" t="n">
        <v>5</v>
      </c>
      <c r="F231" s="3" t="n">
        <v>25</v>
      </c>
      <c r="G231" s="2">
        <f>IF(Prices!B6="","",Prices!B6)</f>
        <v/>
      </c>
      <c r="H231" s="2">
        <f>IF(G231="","",E231/1000*G231)</f>
        <v/>
      </c>
      <c r="I231" s="2" t="inlineStr">
        <is>
          <t>Owner price</t>
        </is>
      </c>
      <c r="J231" s="2" t="inlineStr"/>
    </row>
    <row r="232">
      <c r="A232" s="2" t="inlineStr">
        <is>
          <t>O-B20</t>
        </is>
      </c>
      <c r="B232" s="2" t="inlineStr">
        <is>
          <t>Garlic mayonnaise sauce</t>
        </is>
      </c>
      <c r="C232" s="2" t="inlineStr">
        <is>
          <t>Main formula</t>
        </is>
      </c>
      <c r="D232" s="2" t="inlineStr">
        <is>
          <t>Black pepper</t>
        </is>
      </c>
      <c r="E232" s="3" t="n">
        <v>2</v>
      </c>
      <c r="F232" s="3" t="n">
        <v>10</v>
      </c>
      <c r="G232" s="2">
        <f>IF(Prices!B22="","",Prices!B22)</f>
        <v/>
      </c>
      <c r="H232" s="2">
        <f>IF(G232="","",E232/1000*G232)</f>
        <v/>
      </c>
      <c r="I232" s="2" t="inlineStr">
        <is>
          <t>Purchase quote/specification required</t>
        </is>
      </c>
      <c r="J232" s="2" t="inlineStr"/>
    </row>
    <row r="233">
      <c r="A233" s="2" t="inlineStr">
        <is>
          <t>O-B21</t>
        </is>
      </c>
      <c r="B233" s="2" t="inlineStr">
        <is>
          <t>Cooked hot sauce</t>
        </is>
      </c>
      <c r="C233" s="2" t="inlineStr">
        <is>
          <t>Main formula</t>
        </is>
      </c>
      <c r="D233" s="2" t="inlineStr">
        <is>
          <t>Tomato trimmed</t>
        </is>
      </c>
      <c r="E233" s="3" t="n">
        <v>500</v>
      </c>
      <c r="F233" s="3" t="n">
        <v>2500</v>
      </c>
      <c r="G233" s="2">
        <f>IF(Prices!B36="","",Prices!B36)</f>
        <v/>
      </c>
      <c r="H233" s="2">
        <f>IF(G233="","",E233/1000*G233)</f>
        <v/>
      </c>
      <c r="I233" s="2" t="inlineStr">
        <is>
          <t>Purchase quote/specification required</t>
        </is>
      </c>
      <c r="J233" s="2" t="inlineStr"/>
    </row>
    <row r="234">
      <c r="A234" s="2" t="inlineStr">
        <is>
          <t>O-B21</t>
        </is>
      </c>
      <c r="B234" s="2" t="inlineStr">
        <is>
          <t>Cooked hot sauce</t>
        </is>
      </c>
      <c r="C234" s="2" t="inlineStr">
        <is>
          <t>Main formula</t>
        </is>
      </c>
      <c r="D234" s="2" t="inlineStr">
        <is>
          <t>Chili trimmed</t>
        </is>
      </c>
      <c r="E234" s="3" t="n">
        <v>120</v>
      </c>
      <c r="F234" s="3" t="n">
        <v>600</v>
      </c>
      <c r="G234" s="2">
        <f>IF(Prices!B50="","",Prices!B50)</f>
        <v/>
      </c>
      <c r="H234" s="2">
        <f>IF(G234="","",E234/1000*G234)</f>
        <v/>
      </c>
      <c r="I234" s="2" t="inlineStr">
        <is>
          <t>Purchase quote/specification required</t>
        </is>
      </c>
      <c r="J234" s="2" t="inlineStr"/>
    </row>
    <row r="235">
      <c r="A235" s="2" t="inlineStr">
        <is>
          <t>O-B21</t>
        </is>
      </c>
      <c r="B235" s="2" t="inlineStr">
        <is>
          <t>Cooked hot sauce</t>
        </is>
      </c>
      <c r="C235" s="2" t="inlineStr">
        <is>
          <t>Main formula</t>
        </is>
      </c>
      <c r="D235" s="2" t="inlineStr">
        <is>
          <t>Onion trimmed</t>
        </is>
      </c>
      <c r="E235" s="3" t="n">
        <v>100</v>
      </c>
      <c r="F235" s="3" t="n">
        <v>500</v>
      </c>
      <c r="G235" s="2">
        <f>IF(Prices!B17="","",Prices!B17)</f>
        <v/>
      </c>
      <c r="H235" s="2">
        <f>IF(G235="","",E235/1000*G235)</f>
        <v/>
      </c>
      <c r="I235" s="2" t="inlineStr">
        <is>
          <t>Purchase quote/specification required</t>
        </is>
      </c>
      <c r="J235" s="2" t="inlineStr"/>
    </row>
    <row r="236">
      <c r="A236" s="2" t="inlineStr">
        <is>
          <t>O-B21</t>
        </is>
      </c>
      <c r="B236" s="2" t="inlineStr">
        <is>
          <t>Cooked hot sauce</t>
        </is>
      </c>
      <c r="C236" s="2" t="inlineStr">
        <is>
          <t>Main formula</t>
        </is>
      </c>
      <c r="D236" s="2" t="inlineStr">
        <is>
          <t>Garlic peeled</t>
        </is>
      </c>
      <c r="E236" s="3" t="n">
        <v>20</v>
      </c>
      <c r="F236" s="3" t="n">
        <v>100</v>
      </c>
      <c r="G236" s="2">
        <f>IF(Prices!B20="","",Prices!B20)</f>
        <v/>
      </c>
      <c r="H236" s="2">
        <f>IF(G236="","",E236/1000*G236)</f>
        <v/>
      </c>
      <c r="I236" s="2" t="inlineStr">
        <is>
          <t>Purchase quote/specification required</t>
        </is>
      </c>
      <c r="J236" s="2" t="inlineStr"/>
    </row>
    <row r="237">
      <c r="A237" s="2" t="inlineStr">
        <is>
          <t>O-B21</t>
        </is>
      </c>
      <c r="B237" s="2" t="inlineStr">
        <is>
          <t>Cooked hot sauce</t>
        </is>
      </c>
      <c r="C237" s="2" t="inlineStr">
        <is>
          <t>Main formula</t>
        </is>
      </c>
      <c r="D237" s="2" t="inlineStr">
        <is>
          <t>Vinegar 5%</t>
        </is>
      </c>
      <c r="E237" s="3" t="n">
        <v>80</v>
      </c>
      <c r="F237" s="3" t="n">
        <v>400</v>
      </c>
      <c r="G237" s="2">
        <f>IF(Prices!B48="","",Prices!B48)</f>
        <v/>
      </c>
      <c r="H237" s="2">
        <f>IF(G237="","",E237/1000*G237)</f>
        <v/>
      </c>
      <c r="I237" s="2" t="inlineStr">
        <is>
          <t>Purchase quote/specification required</t>
        </is>
      </c>
      <c r="J237" s="2" t="inlineStr"/>
    </row>
    <row r="238">
      <c r="A238" s="2" t="inlineStr">
        <is>
          <t>O-B21</t>
        </is>
      </c>
      <c r="B238" s="2" t="inlineStr">
        <is>
          <t>Cooked hot sauce</t>
        </is>
      </c>
      <c r="C238" s="2" t="inlineStr">
        <is>
          <t>Main formula</t>
        </is>
      </c>
      <c r="D238" s="2" t="inlineStr">
        <is>
          <t>Oil</t>
        </is>
      </c>
      <c r="E238" s="3" t="n">
        <v>30</v>
      </c>
      <c r="F238" s="3" t="n">
        <v>150</v>
      </c>
      <c r="G238" s="2">
        <f>IF(Prices!B19="","",Prices!B19)</f>
        <v/>
      </c>
      <c r="H238" s="2">
        <f>IF(G238="","",E238/1000*G238)</f>
        <v/>
      </c>
      <c r="I238" s="2" t="inlineStr">
        <is>
          <t>PROVISIONAL 0.92 kg/L; correct after weighing</t>
        </is>
      </c>
      <c r="J238" s="2" t="inlineStr"/>
    </row>
    <row r="239">
      <c r="A239" s="2" t="inlineStr">
        <is>
          <t>O-B21</t>
        </is>
      </c>
      <c r="B239" s="2" t="inlineStr">
        <is>
          <t>Cooked hot sauce</t>
        </is>
      </c>
      <c r="C239" s="2" t="inlineStr">
        <is>
          <t>Main formula</t>
        </is>
      </c>
      <c r="D239" s="2" t="inlineStr">
        <is>
          <t>Sugar</t>
        </is>
      </c>
      <c r="E239" s="3" t="n">
        <v>20</v>
      </c>
      <c r="F239" s="3" t="n">
        <v>100</v>
      </c>
      <c r="G239" s="2">
        <f>IF(Prices!B4="","",Prices!B4)</f>
        <v/>
      </c>
      <c r="H239" s="2">
        <f>IF(G239="","",E239/1000*G239)</f>
        <v/>
      </c>
      <c r="I239" s="2" t="inlineStr">
        <is>
          <t>Owner granulated sugar price; grind specification must match</t>
        </is>
      </c>
      <c r="J239" s="2" t="inlineStr"/>
    </row>
    <row r="240">
      <c r="A240" s="2" t="inlineStr">
        <is>
          <t>O-B21</t>
        </is>
      </c>
      <c r="B240" s="2" t="inlineStr">
        <is>
          <t>Cooked hot sauce</t>
        </is>
      </c>
      <c r="C240" s="2" t="inlineStr">
        <is>
          <t>Main formula</t>
        </is>
      </c>
      <c r="D240" s="2" t="inlineStr">
        <is>
          <t>Salt</t>
        </is>
      </c>
      <c r="E240" s="3" t="n">
        <v>10</v>
      </c>
      <c r="F240" s="3" t="n">
        <v>50</v>
      </c>
      <c r="G240" s="2">
        <f>IF(Prices!B6="","",Prices!B6)</f>
        <v/>
      </c>
      <c r="H240" s="2">
        <f>IF(G240="","",E240/1000*G240)</f>
        <v/>
      </c>
      <c r="I240" s="2" t="inlineStr">
        <is>
          <t>Owner price</t>
        </is>
      </c>
      <c r="J240" s="2" t="inlineStr"/>
    </row>
    <row r="241">
      <c r="A241" s="2" t="inlineStr">
        <is>
          <t>O-B22</t>
        </is>
      </c>
      <c r="B241" s="2" t="inlineStr">
        <is>
          <t>Shawarma slaw</t>
        </is>
      </c>
      <c r="C241" s="2" t="inlineStr">
        <is>
          <t>Main formula</t>
        </is>
      </c>
      <c r="D241" s="2" t="inlineStr">
        <is>
          <t>Cabbage trimmed</t>
        </is>
      </c>
      <c r="E241" s="3" t="n">
        <v>700</v>
      </c>
      <c r="F241" s="3" t="n">
        <v>3500</v>
      </c>
      <c r="G241" s="2">
        <f>IF(Prices!B52="","",Prices!B52)</f>
        <v/>
      </c>
      <c r="H241" s="2">
        <f>IF(G241="","",E241/1000*G241)</f>
        <v/>
      </c>
      <c r="I241" s="2" t="inlineStr">
        <is>
          <t>Purchase quote/specification required</t>
        </is>
      </c>
      <c r="J241" s="2" t="inlineStr"/>
    </row>
    <row r="242">
      <c r="A242" s="2" t="inlineStr">
        <is>
          <t>O-B22</t>
        </is>
      </c>
      <c r="B242" s="2" t="inlineStr">
        <is>
          <t>Shawarma slaw</t>
        </is>
      </c>
      <c r="C242" s="2" t="inlineStr">
        <is>
          <t>Main formula</t>
        </is>
      </c>
      <c r="D242" s="2" t="inlineStr">
        <is>
          <t>Carrot trimmed</t>
        </is>
      </c>
      <c r="E242" s="3" t="n">
        <v>180</v>
      </c>
      <c r="F242" s="3" t="n">
        <v>900</v>
      </c>
      <c r="G242" s="2">
        <f>IF(Prices!B18="","",Prices!B18)</f>
        <v/>
      </c>
      <c r="H242" s="2">
        <f>IF(G242="","",E242/1000*G242)</f>
        <v/>
      </c>
      <c r="I242" s="2" t="inlineStr">
        <is>
          <t>Purchase quote/specification required</t>
        </is>
      </c>
      <c r="J242" s="2" t="inlineStr"/>
    </row>
    <row r="243">
      <c r="A243" s="2" t="inlineStr">
        <is>
          <t>O-B22</t>
        </is>
      </c>
      <c r="B243" s="2" t="inlineStr">
        <is>
          <t>Shawarma slaw</t>
        </is>
      </c>
      <c r="C243" s="2" t="inlineStr">
        <is>
          <t>Main formula</t>
        </is>
      </c>
      <c r="D243" s="2" t="inlineStr">
        <is>
          <t>Onion trimmed</t>
        </is>
      </c>
      <c r="E243" s="3" t="n">
        <v>60</v>
      </c>
      <c r="F243" s="3" t="n">
        <v>300</v>
      </c>
      <c r="G243" s="2">
        <f>IF(Prices!B17="","",Prices!B17)</f>
        <v/>
      </c>
      <c r="H243" s="2">
        <f>IF(G243="","",E243/1000*G243)</f>
        <v/>
      </c>
      <c r="I243" s="2" t="inlineStr">
        <is>
          <t>Purchase quote/specification required</t>
        </is>
      </c>
      <c r="J243" s="2" t="inlineStr"/>
    </row>
    <row r="244">
      <c r="A244" s="2" t="inlineStr">
        <is>
          <t>O-B22</t>
        </is>
      </c>
      <c r="B244" s="2" t="inlineStr">
        <is>
          <t>Shawarma slaw</t>
        </is>
      </c>
      <c r="C244" s="2" t="inlineStr">
        <is>
          <t>Main formula</t>
        </is>
      </c>
      <c r="D244" s="2" t="inlineStr">
        <is>
          <t>Vinegar 5%</t>
        </is>
      </c>
      <c r="E244" s="3" t="n">
        <v>35</v>
      </c>
      <c r="F244" s="3" t="n">
        <v>175</v>
      </c>
      <c r="G244" s="2">
        <f>IF(Prices!B48="","",Prices!B48)</f>
        <v/>
      </c>
      <c r="H244" s="2">
        <f>IF(G244="","",E244/1000*G244)</f>
        <v/>
      </c>
      <c r="I244" s="2" t="inlineStr">
        <is>
          <t>Purchase quote/specification required</t>
        </is>
      </c>
      <c r="J244" s="2" t="inlineStr"/>
    </row>
    <row r="245">
      <c r="A245" s="2" t="inlineStr">
        <is>
          <t>O-B22</t>
        </is>
      </c>
      <c r="B245" s="2" t="inlineStr">
        <is>
          <t>Shawarma slaw</t>
        </is>
      </c>
      <c r="C245" s="2" t="inlineStr">
        <is>
          <t>Main formula</t>
        </is>
      </c>
      <c r="D245" s="2" t="inlineStr">
        <is>
          <t>Sugar</t>
        </is>
      </c>
      <c r="E245" s="3" t="n">
        <v>15</v>
      </c>
      <c r="F245" s="3" t="n">
        <v>75</v>
      </c>
      <c r="G245" s="2">
        <f>IF(Prices!B4="","",Prices!B4)</f>
        <v/>
      </c>
      <c r="H245" s="2">
        <f>IF(G245="","",E245/1000*G245)</f>
        <v/>
      </c>
      <c r="I245" s="2" t="inlineStr">
        <is>
          <t>Owner granulated sugar price; grind specification must match</t>
        </is>
      </c>
      <c r="J245" s="2" t="inlineStr"/>
    </row>
    <row r="246">
      <c r="A246" s="2" t="inlineStr">
        <is>
          <t>O-B22</t>
        </is>
      </c>
      <c r="B246" s="2" t="inlineStr">
        <is>
          <t>Shawarma slaw</t>
        </is>
      </c>
      <c r="C246" s="2" t="inlineStr">
        <is>
          <t>Main formula</t>
        </is>
      </c>
      <c r="D246" s="2" t="inlineStr">
        <is>
          <t>Salt</t>
        </is>
      </c>
      <c r="E246" s="3" t="n">
        <v>5</v>
      </c>
      <c r="F246" s="3" t="n">
        <v>25</v>
      </c>
      <c r="G246" s="2">
        <f>IF(Prices!B6="","",Prices!B6)</f>
        <v/>
      </c>
      <c r="H246" s="2">
        <f>IF(G246="","",E246/1000*G246)</f>
        <v/>
      </c>
      <c r="I246" s="2" t="inlineStr">
        <is>
          <t>Owner price</t>
        </is>
      </c>
      <c r="J246" s="2" t="inlineStr"/>
    </row>
    <row r="247">
      <c r="A247" s="2" t="inlineStr">
        <is>
          <t>O-B23</t>
        </is>
      </c>
      <c r="B247" s="2" t="inlineStr">
        <is>
          <t>Refrigerator cucumber pickles</t>
        </is>
      </c>
      <c r="C247" s="2" t="inlineStr">
        <is>
          <t>Main formula</t>
        </is>
      </c>
      <c r="D247" s="2" t="inlineStr">
        <is>
          <t>Cucumber trimmed</t>
        </is>
      </c>
      <c r="E247" s="3" t="n">
        <v>700</v>
      </c>
      <c r="F247" s="3" t="n">
        <v>3500</v>
      </c>
      <c r="G247" s="2">
        <f>IF(Prices!B53="","",Prices!B53)</f>
        <v/>
      </c>
      <c r="H247" s="2">
        <f>IF(G247="","",E247/1000*G247)</f>
        <v/>
      </c>
      <c r="I247" s="2" t="inlineStr">
        <is>
          <t>Purchase quote/specification required</t>
        </is>
      </c>
      <c r="J247" s="2" t="inlineStr"/>
    </row>
    <row r="248">
      <c r="A248" s="2" t="inlineStr">
        <is>
          <t>O-B23</t>
        </is>
      </c>
      <c r="B248" s="2" t="inlineStr">
        <is>
          <t>Refrigerator cucumber pickles</t>
        </is>
      </c>
      <c r="C248" s="2" t="inlineStr">
        <is>
          <t>Main formula</t>
        </is>
      </c>
      <c r="D248" s="2" t="inlineStr">
        <is>
          <t>Vinegar 5%</t>
        </is>
      </c>
      <c r="E248" s="3" t="n">
        <v>350</v>
      </c>
      <c r="F248" s="3" t="n">
        <v>1750</v>
      </c>
      <c r="G248" s="2">
        <f>IF(Prices!B48="","",Prices!B48)</f>
        <v/>
      </c>
      <c r="H248" s="2">
        <f>IF(G248="","",E248/1000*G248)</f>
        <v/>
      </c>
      <c r="I248" s="2" t="inlineStr">
        <is>
          <t>Purchase quote/specification required</t>
        </is>
      </c>
      <c r="J248" s="2" t="inlineStr"/>
    </row>
    <row r="249">
      <c r="A249" s="2" t="inlineStr">
        <is>
          <t>O-B23</t>
        </is>
      </c>
      <c r="B249" s="2" t="inlineStr">
        <is>
          <t>Refrigerator cucumber pickles</t>
        </is>
      </c>
      <c r="C249" s="2" t="inlineStr">
        <is>
          <t>Main formula</t>
        </is>
      </c>
      <c r="D249" s="2" t="inlineStr">
        <is>
          <t>Water</t>
        </is>
      </c>
      <c r="E249" s="3" t="n">
        <v>350</v>
      </c>
      <c r="F249" s="3" t="n">
        <v>1750</v>
      </c>
      <c r="G249" s="2">
        <f>IF(Prices!B3="","",Prices!B3)</f>
        <v/>
      </c>
      <c r="H249" s="2">
        <f>IF(G249="","",E249/1000*G249)</f>
        <v/>
      </c>
      <c r="I249" s="2" t="inlineStr">
        <is>
          <t>Purchase quote/specification required</t>
        </is>
      </c>
      <c r="J249" s="2" t="inlineStr"/>
    </row>
    <row r="250">
      <c r="A250" s="2" t="inlineStr">
        <is>
          <t>O-B23</t>
        </is>
      </c>
      <c r="B250" s="2" t="inlineStr">
        <is>
          <t>Refrigerator cucumber pickles</t>
        </is>
      </c>
      <c r="C250" s="2" t="inlineStr">
        <is>
          <t>Main formula</t>
        </is>
      </c>
      <c r="D250" s="2" t="inlineStr">
        <is>
          <t>Sugar</t>
        </is>
      </c>
      <c r="E250" s="3" t="n">
        <v>60</v>
      </c>
      <c r="F250" s="3" t="n">
        <v>300</v>
      </c>
      <c r="G250" s="2">
        <f>IF(Prices!B4="","",Prices!B4)</f>
        <v/>
      </c>
      <c r="H250" s="2">
        <f>IF(G250="","",E250/1000*G250)</f>
        <v/>
      </c>
      <c r="I250" s="2" t="inlineStr">
        <is>
          <t>Owner granulated sugar price; grind specification must match</t>
        </is>
      </c>
      <c r="J250" s="2" t="inlineStr"/>
    </row>
    <row r="251">
      <c r="A251" s="2" t="inlineStr">
        <is>
          <t>O-B23</t>
        </is>
      </c>
      <c r="B251" s="2" t="inlineStr">
        <is>
          <t>Refrigerator cucumber pickles</t>
        </is>
      </c>
      <c r="C251" s="2" t="inlineStr">
        <is>
          <t>Main formula</t>
        </is>
      </c>
      <c r="D251" s="2" t="inlineStr">
        <is>
          <t>Salt</t>
        </is>
      </c>
      <c r="E251" s="3" t="n">
        <v>20</v>
      </c>
      <c r="F251" s="3" t="n">
        <v>100</v>
      </c>
      <c r="G251" s="2">
        <f>IF(Prices!B6="","",Prices!B6)</f>
        <v/>
      </c>
      <c r="H251" s="2">
        <f>IF(G251="","",E251/1000*G251)</f>
        <v/>
      </c>
      <c r="I251" s="2" t="inlineStr">
        <is>
          <t>Owner price</t>
        </is>
      </c>
      <c r="J251" s="2" t="inlineStr"/>
    </row>
    <row r="252">
      <c r="A252" s="2" t="inlineStr">
        <is>
          <t>O-B24</t>
        </is>
      </c>
      <c r="B252" s="2" t="inlineStr">
        <is>
          <t>Crisp fries</t>
        </is>
      </c>
      <c r="C252" s="2" t="inlineStr">
        <is>
          <t>Main formula</t>
        </is>
      </c>
      <c r="D252" s="2" t="inlineStr">
        <is>
          <t>Potato peeled</t>
        </is>
      </c>
      <c r="E252" s="3" t="n">
        <v>1000</v>
      </c>
      <c r="F252" s="3" t="n">
        <v>5000</v>
      </c>
      <c r="G252" s="2">
        <f>IF(Prices!B25="","",Prices!B25)</f>
        <v/>
      </c>
      <c r="H252" s="2">
        <f>IF(G252="","",E252/1000*G252)</f>
        <v/>
      </c>
      <c r="I252" s="2" t="inlineStr">
        <is>
          <t>Purchase quote/specification required</t>
        </is>
      </c>
      <c r="J252" s="2" t="inlineStr"/>
    </row>
    <row r="253">
      <c r="A253" s="2" t="inlineStr">
        <is>
          <t>O-B24</t>
        </is>
      </c>
      <c r="B253" s="2" t="inlineStr">
        <is>
          <t>Crisp fries</t>
        </is>
      </c>
      <c r="C253" s="2" t="inlineStr">
        <is>
          <t>Main formula</t>
        </is>
      </c>
      <c r="D253" s="2" t="inlineStr">
        <is>
          <t>Oil</t>
        </is>
      </c>
      <c r="E253" s="3" t="n">
        <v>120</v>
      </c>
      <c r="F253" s="3" t="n">
        <v>600</v>
      </c>
      <c r="G253" s="2">
        <f>IF(Prices!B19="","",Prices!B19)</f>
        <v/>
      </c>
      <c r="H253" s="2">
        <f>IF(G253="","",E253/1000*G253)</f>
        <v/>
      </c>
      <c r="I253" s="2" t="inlineStr">
        <is>
          <t>PROVISIONAL 0.92 kg/L; correct after weighing</t>
        </is>
      </c>
      <c r="J253" s="2" t="inlineStr"/>
    </row>
    <row r="254">
      <c r="A254" s="2" t="inlineStr">
        <is>
          <t>O-B24</t>
        </is>
      </c>
      <c r="B254" s="2" t="inlineStr">
        <is>
          <t>Crisp fries</t>
        </is>
      </c>
      <c r="C254" s="2" t="inlineStr">
        <is>
          <t>Main formula</t>
        </is>
      </c>
      <c r="D254" s="2" t="inlineStr">
        <is>
          <t>Salt</t>
        </is>
      </c>
      <c r="E254" s="3" t="n">
        <v>8</v>
      </c>
      <c r="F254" s="3" t="n">
        <v>40</v>
      </c>
      <c r="G254" s="2">
        <f>IF(Prices!B6="","",Prices!B6)</f>
        <v/>
      </c>
      <c r="H254" s="2">
        <f>IF(G254="","",E254/1000*G254)</f>
        <v/>
      </c>
      <c r="I254" s="2" t="inlineStr">
        <is>
          <t>Owner price</t>
        </is>
      </c>
      <c r="J254" s="2" t="inlineStr"/>
    </row>
    <row r="255">
      <c r="A255" s="2" t="inlineStr">
        <is>
          <t>O-B35</t>
        </is>
      </c>
      <c r="B255" s="2" t="inlineStr">
        <is>
          <t>Beef shawarma sesame sauce</t>
        </is>
      </c>
      <c r="C255" s="2" t="inlineStr">
        <is>
          <t>Main formula</t>
        </is>
      </c>
      <c r="D255" s="2" t="inlineStr">
        <is>
          <t>Mayonnaise pasteurized</t>
        </is>
      </c>
      <c r="E255" s="3" t="n">
        <v>500</v>
      </c>
      <c r="F255" s="3" t="n">
        <v>2500</v>
      </c>
      <c r="G255" s="2">
        <f>IF(Prices!B40="","",Prices!B40)</f>
        <v/>
      </c>
      <c r="H255" s="2">
        <f>IF(G255="","",E255/1000*G255)</f>
        <v/>
      </c>
      <c r="I255" s="2" t="inlineStr">
        <is>
          <t>Purchase quote/specification required</t>
        </is>
      </c>
      <c r="J255" s="2" t="inlineStr"/>
    </row>
    <row r="256">
      <c r="A256" s="2" t="inlineStr">
        <is>
          <t>O-B35</t>
        </is>
      </c>
      <c r="B256" s="2" t="inlineStr">
        <is>
          <t>Beef shawarma sesame sauce</t>
        </is>
      </c>
      <c r="C256" s="2" t="inlineStr">
        <is>
          <t>Main formula</t>
        </is>
      </c>
      <c r="D256" s="2" t="inlineStr">
        <is>
          <t>Tahini</t>
        </is>
      </c>
      <c r="E256" s="3" t="n">
        <v>200</v>
      </c>
      <c r="F256" s="3" t="n">
        <v>1000</v>
      </c>
      <c r="G256" s="2">
        <f>IF(Prices!B54="","",Prices!B54)</f>
        <v/>
      </c>
      <c r="H256" s="2">
        <f>IF(G256="","",E256/1000*G256)</f>
        <v/>
      </c>
      <c r="I256" s="2" t="inlineStr">
        <is>
          <t>Purchase quote/specification required</t>
        </is>
      </c>
      <c r="J256" s="2" t="inlineStr"/>
    </row>
    <row r="257">
      <c r="A257" s="2" t="inlineStr">
        <is>
          <t>O-B35</t>
        </is>
      </c>
      <c r="B257" s="2" t="inlineStr">
        <is>
          <t>Beef shawarma sesame sauce</t>
        </is>
      </c>
      <c r="C257" s="2" t="inlineStr">
        <is>
          <t>Main formula</t>
        </is>
      </c>
      <c r="D257" s="2" t="inlineStr">
        <is>
          <t>Lemon juice</t>
        </is>
      </c>
      <c r="E257" s="3" t="n">
        <v>80</v>
      </c>
      <c r="F257" s="3" t="n">
        <v>400</v>
      </c>
      <c r="G257" s="2">
        <f>IF(Prices!B47="","",Prices!B47)</f>
        <v/>
      </c>
      <c r="H257" s="2">
        <f>IF(G257="","",E257/1000*G257)</f>
        <v/>
      </c>
      <c r="I257" s="2" t="inlineStr">
        <is>
          <t>Purchase quote/specification required</t>
        </is>
      </c>
      <c r="J257" s="2" t="inlineStr"/>
    </row>
    <row r="258">
      <c r="A258" s="2" t="inlineStr">
        <is>
          <t>O-B35</t>
        </is>
      </c>
      <c r="B258" s="2" t="inlineStr">
        <is>
          <t>Beef shawarma sesame sauce</t>
        </is>
      </c>
      <c r="C258" s="2" t="inlineStr">
        <is>
          <t>Main formula</t>
        </is>
      </c>
      <c r="D258" s="2" t="inlineStr">
        <is>
          <t>Water</t>
        </is>
      </c>
      <c r="E258" s="3" t="n">
        <v>180</v>
      </c>
      <c r="F258" s="3" t="n">
        <v>900</v>
      </c>
      <c r="G258" s="2">
        <f>IF(Prices!B3="","",Prices!B3)</f>
        <v/>
      </c>
      <c r="H258" s="2">
        <f>IF(G258="","",E258/1000*G258)</f>
        <v/>
      </c>
      <c r="I258" s="2" t="inlineStr">
        <is>
          <t>Purchase quote/specification required</t>
        </is>
      </c>
      <c r="J258" s="2" t="inlineStr"/>
    </row>
    <row r="259">
      <c r="A259" s="2" t="inlineStr">
        <is>
          <t>O-B35</t>
        </is>
      </c>
      <c r="B259" s="2" t="inlineStr">
        <is>
          <t>Beef shawarma sesame sauce</t>
        </is>
      </c>
      <c r="C259" s="2" t="inlineStr">
        <is>
          <t>Main formula</t>
        </is>
      </c>
      <c r="D259" s="2" t="inlineStr">
        <is>
          <t>Garlic peeled</t>
        </is>
      </c>
      <c r="E259" s="3" t="n">
        <v>25</v>
      </c>
      <c r="F259" s="3" t="n">
        <v>125</v>
      </c>
      <c r="G259" s="2">
        <f>IF(Prices!B20="","",Prices!B20)</f>
        <v/>
      </c>
      <c r="H259" s="2">
        <f>IF(G259="","",E259/1000*G259)</f>
        <v/>
      </c>
      <c r="I259" s="2" t="inlineStr">
        <is>
          <t>Purchase quote/specification required</t>
        </is>
      </c>
      <c r="J259" s="2" t="inlineStr"/>
    </row>
    <row r="260">
      <c r="A260" s="2" t="inlineStr">
        <is>
          <t>O-B35</t>
        </is>
      </c>
      <c r="B260" s="2" t="inlineStr">
        <is>
          <t>Beef shawarma sesame sauce</t>
        </is>
      </c>
      <c r="C260" s="2" t="inlineStr">
        <is>
          <t>Main formula</t>
        </is>
      </c>
      <c r="D260" s="2" t="inlineStr">
        <is>
          <t>Salt</t>
        </is>
      </c>
      <c r="E260" s="3" t="n">
        <v>5</v>
      </c>
      <c r="F260" s="3" t="n">
        <v>25</v>
      </c>
      <c r="G260" s="2">
        <f>IF(Prices!B6="","",Prices!B6)</f>
        <v/>
      </c>
      <c r="H260" s="2">
        <f>IF(G260="","",E260/1000*G260)</f>
        <v/>
      </c>
      <c r="I260" s="2" t="inlineStr">
        <is>
          <t>Owner price</t>
        </is>
      </c>
      <c r="J260" s="2" t="inlineStr"/>
    </row>
    <row r="261">
      <c r="A261" s="2" t="inlineStr">
        <is>
          <t>O-B36</t>
        </is>
      </c>
      <c r="B261" s="2" t="inlineStr">
        <is>
          <t>lemon-garlic oven fish</t>
        </is>
      </c>
      <c r="C261" s="2" t="inlineStr">
        <is>
          <t>Main formula</t>
        </is>
      </c>
      <c r="D261" s="2" t="inlineStr">
        <is>
          <t>Boneless trimmed white fish</t>
        </is>
      </c>
      <c r="E261" s="3" t="n">
        <v>1000</v>
      </c>
      <c r="F261" s="3" t="n">
        <v>5000</v>
      </c>
      <c r="G261" s="2">
        <f>IF(Prices!B55="","",Prices!B55)</f>
        <v/>
      </c>
      <c r="H261" s="2">
        <f>IF(G261="","",E261/1000*G261)</f>
        <v/>
      </c>
      <c r="I261" s="2" t="inlineStr">
        <is>
          <t>Purchase quote/specification required</t>
        </is>
      </c>
      <c r="J261" s="2" t="inlineStr"/>
    </row>
    <row r="262">
      <c r="A262" s="2" t="inlineStr">
        <is>
          <t>O-B36</t>
        </is>
      </c>
      <c r="B262" s="2" t="inlineStr">
        <is>
          <t>lemon-garlic oven fish</t>
        </is>
      </c>
      <c r="C262" s="2" t="inlineStr">
        <is>
          <t>Main formula</t>
        </is>
      </c>
      <c r="D262" s="2" t="inlineStr">
        <is>
          <t>Oil</t>
        </is>
      </c>
      <c r="E262" s="3" t="n">
        <v>25</v>
      </c>
      <c r="F262" s="3" t="n">
        <v>125</v>
      </c>
      <c r="G262" s="2">
        <f>IF(Prices!B19="","",Prices!B19)</f>
        <v/>
      </c>
      <c r="H262" s="2">
        <f>IF(G262="","",E262/1000*G262)</f>
        <v/>
      </c>
      <c r="I262" s="2" t="inlineStr">
        <is>
          <t>PROVISIONAL 0.92 kg/L; correct after weighing</t>
        </is>
      </c>
      <c r="J262" s="2" t="inlineStr"/>
    </row>
    <row r="263">
      <c r="A263" s="2" t="inlineStr">
        <is>
          <t>O-B36</t>
        </is>
      </c>
      <c r="B263" s="2" t="inlineStr">
        <is>
          <t>lemon-garlic oven fish</t>
        </is>
      </c>
      <c r="C263" s="2" t="inlineStr">
        <is>
          <t>Main formula</t>
        </is>
      </c>
      <c r="D263" s="2" t="inlineStr">
        <is>
          <t>Lemon juice</t>
        </is>
      </c>
      <c r="E263" s="3" t="n">
        <v>25</v>
      </c>
      <c r="F263" s="3" t="n">
        <v>125</v>
      </c>
      <c r="G263" s="2">
        <f>IF(Prices!B47="","",Prices!B47)</f>
        <v/>
      </c>
      <c r="H263" s="2">
        <f>IF(G263="","",E263/1000*G263)</f>
        <v/>
      </c>
      <c r="I263" s="2" t="inlineStr">
        <is>
          <t>Purchase quote/specification required</t>
        </is>
      </c>
      <c r="J263" s="2" t="inlineStr"/>
    </row>
    <row r="264">
      <c r="A264" s="2" t="inlineStr">
        <is>
          <t>O-B36</t>
        </is>
      </c>
      <c r="B264" s="2" t="inlineStr">
        <is>
          <t>lemon-garlic oven fish</t>
        </is>
      </c>
      <c r="C264" s="2" t="inlineStr">
        <is>
          <t>Main formula</t>
        </is>
      </c>
      <c r="D264" s="2" t="inlineStr">
        <is>
          <t>Garlic, finely crushed</t>
        </is>
      </c>
      <c r="E264" s="3" t="n">
        <v>15</v>
      </c>
      <c r="F264" s="3" t="n">
        <v>75</v>
      </c>
      <c r="G264" s="2">
        <f>IF(Prices!B56="","",Prices!B56)</f>
        <v/>
      </c>
      <c r="H264" s="2">
        <f>IF(G264="","",E264/1000*G264)</f>
        <v/>
      </c>
      <c r="I264" s="2" t="inlineStr">
        <is>
          <t>Purchase quote/specification required</t>
        </is>
      </c>
      <c r="J264" s="2" t="inlineStr"/>
    </row>
    <row r="265">
      <c r="A265" s="2" t="inlineStr">
        <is>
          <t>O-B36</t>
        </is>
      </c>
      <c r="B265" s="2" t="inlineStr">
        <is>
          <t>lemon-garlic oven fish</t>
        </is>
      </c>
      <c r="C265" s="2" t="inlineStr">
        <is>
          <t>Main formula</t>
        </is>
      </c>
      <c r="D265" s="2" t="inlineStr">
        <is>
          <t>Salt</t>
        </is>
      </c>
      <c r="E265" s="3" t="n">
        <v>10</v>
      </c>
      <c r="F265" s="3" t="n">
        <v>50</v>
      </c>
      <c r="G265" s="2">
        <f>IF(Prices!B6="","",Prices!B6)</f>
        <v/>
      </c>
      <c r="H265" s="2">
        <f>IF(G265="","",E265/1000*G265)</f>
        <v/>
      </c>
      <c r="I265" s="2" t="inlineStr">
        <is>
          <t>Owner price</t>
        </is>
      </c>
      <c r="J265" s="2" t="inlineStr"/>
    </row>
    <row r="266">
      <c r="A266" s="2" t="inlineStr">
        <is>
          <t>O-B36</t>
        </is>
      </c>
      <c r="B266" s="2" t="inlineStr">
        <is>
          <t>lemon-garlic oven fish</t>
        </is>
      </c>
      <c r="C266" s="2" t="inlineStr">
        <is>
          <t>Main formula</t>
        </is>
      </c>
      <c r="D266" s="2" t="inlineStr">
        <is>
          <t>Paprika</t>
        </is>
      </c>
      <c r="E266" s="3" t="n">
        <v>4</v>
      </c>
      <c r="F266" s="3" t="n">
        <v>20</v>
      </c>
      <c r="G266" s="2">
        <f>IF(Prices!B23="","",Prices!B23)</f>
        <v/>
      </c>
      <c r="H266" s="2">
        <f>IF(G266="","",E266/1000*G266)</f>
        <v/>
      </c>
      <c r="I266" s="2" t="inlineStr">
        <is>
          <t>Purchase quote/specification required</t>
        </is>
      </c>
      <c r="J266" s="2" t="inlineStr"/>
    </row>
    <row r="267">
      <c r="A267" s="2" t="inlineStr">
        <is>
          <t>O-B36</t>
        </is>
      </c>
      <c r="B267" s="2" t="inlineStr">
        <is>
          <t>lemon-garlic oven fish</t>
        </is>
      </c>
      <c r="C267" s="2" t="inlineStr">
        <is>
          <t>Main formula</t>
        </is>
      </c>
      <c r="D267" s="2" t="inlineStr">
        <is>
          <t>Black pepper</t>
        </is>
      </c>
      <c r="E267" s="3" t="n">
        <v>2</v>
      </c>
      <c r="F267" s="3" t="n">
        <v>10</v>
      </c>
      <c r="G267" s="2">
        <f>IF(Prices!B22="","",Prices!B22)</f>
        <v/>
      </c>
      <c r="H267" s="2">
        <f>IF(G267="","",E267/1000*G267)</f>
        <v/>
      </c>
      <c r="I267" s="2" t="inlineStr">
        <is>
          <t>Purchase quote/specification required</t>
        </is>
      </c>
      <c r="J267" s="2" t="inlineStr"/>
    </row>
    <row r="268">
      <c r="A268" s="2" t="inlineStr">
        <is>
          <t>O-P01</t>
        </is>
      </c>
      <c r="B268" s="2" t="inlineStr">
        <is>
          <t>Soft family bread</t>
        </is>
      </c>
      <c r="C268" s="2" t="inlineStr">
        <is>
          <t>Main formula</t>
        </is>
      </c>
      <c r="D268" s="2" t="inlineStr">
        <is>
          <t>O-B01 Family bread dough</t>
        </is>
      </c>
      <c r="E268" s="3" t="n">
        <v>1700</v>
      </c>
      <c r="F268" s="3" t="n">
        <v>8500</v>
      </c>
      <c r="G268" s="2">
        <f>IF(OR(COUNT(G2:G7)=0,Summary!D2=0),"",SUM(H2:H7)/Summary!D2*1000)</f>
        <v/>
      </c>
      <c r="H268" s="2">
        <f>IF(G268="","",E268/1000*G268)</f>
        <v/>
      </c>
      <c r="I268" s="2" t="inlineStr">
        <is>
          <t>Linked component subtotal; incomplete while any component input is unpriced. Component subtotal only</t>
        </is>
      </c>
      <c r="J268" s="2" t="inlineStr">
        <is>
          <t>O-B01</t>
        </is>
      </c>
    </row>
    <row r="269">
      <c r="A269" s="2" t="inlineStr">
        <is>
          <t>O-P02</t>
        </is>
      </c>
      <c r="B269" s="2" t="inlineStr">
        <is>
          <t>Condensed milk breakfast buns</t>
        </is>
      </c>
      <c r="C269" s="2" t="inlineStr">
        <is>
          <t>Main formula</t>
        </is>
      </c>
      <c r="D269" s="2" t="inlineStr">
        <is>
          <t>O-B02 Condensed milk bun dough</t>
        </is>
      </c>
      <c r="E269" s="3" t="n">
        <v>1870</v>
      </c>
      <c r="F269" s="3" t="n">
        <v>9350</v>
      </c>
      <c r="G269" s="2">
        <f>IF(OR(COUNT(G8:G17)=0,Summary!D3=0),"",SUM(H8:H17)/Summary!D3*1000)</f>
        <v/>
      </c>
      <c r="H269" s="2">
        <f>IF(G269="","",E269/1000*G269)</f>
        <v/>
      </c>
      <c r="I269" s="2" t="inlineStr">
        <is>
          <t>Linked component subtotal; incomplete while any component input is unpriced. Component subtotal only</t>
        </is>
      </c>
      <c r="J269" s="2" t="inlineStr">
        <is>
          <t>O-B02</t>
        </is>
      </c>
    </row>
    <row r="270">
      <c r="A270" s="2" t="inlineStr">
        <is>
          <t>O-P02</t>
        </is>
      </c>
      <c r="B270" s="2" t="inlineStr">
        <is>
          <t>Condensed milk breakfast buns</t>
        </is>
      </c>
      <c r="C270" s="2" t="inlineStr">
        <is>
          <t>Main formula</t>
        </is>
      </c>
      <c r="D270" s="2" t="inlineStr">
        <is>
          <t>Egg</t>
        </is>
      </c>
      <c r="E270" s="3" t="n">
        <v>40</v>
      </c>
      <c r="F270" s="3" t="n">
        <v>200</v>
      </c>
      <c r="G270" s="2">
        <f>IF(Prices!B9="","",Prices!B9)</f>
        <v/>
      </c>
      <c r="H270" s="2">
        <f>IF(G270="","",E270/1000*G270)</f>
        <v/>
      </c>
      <c r="I270" s="2" t="inlineStr">
        <is>
          <t>Purchase quote/specification required</t>
        </is>
      </c>
      <c r="J270" s="2" t="inlineStr"/>
    </row>
    <row r="271">
      <c r="A271" s="2" t="inlineStr">
        <is>
          <t>O-P03</t>
        </is>
      </c>
      <c r="B271" s="2" t="inlineStr">
        <is>
          <t>Nkambe sweet potato milk loaf</t>
        </is>
      </c>
      <c r="C271" s="2" t="inlineStr">
        <is>
          <t>Main formula</t>
        </is>
      </c>
      <c r="D271" s="2" t="inlineStr">
        <is>
          <t>O-B03 Sweet potato milk bread dough</t>
        </is>
      </c>
      <c r="E271" s="3" t="n">
        <v>1790</v>
      </c>
      <c r="F271" s="3" t="n">
        <v>8950</v>
      </c>
      <c r="G271" s="2">
        <f>IF(OR(COUNT(G18:G26)=0,Summary!D4=0),"",SUM(H18:H26)/Summary!D4*1000)</f>
        <v/>
      </c>
      <c r="H271" s="2">
        <f>IF(G271="","",E271/1000*G271)</f>
        <v/>
      </c>
      <c r="I271" s="2" t="inlineStr">
        <is>
          <t>Linked component subtotal; incomplete while any component input is unpriced. Component subtotal only</t>
        </is>
      </c>
      <c r="J271" s="2" t="inlineStr">
        <is>
          <t>O-B03</t>
        </is>
      </c>
    </row>
    <row r="272">
      <c r="A272" s="2" t="inlineStr">
        <is>
          <t>O-P04</t>
        </is>
      </c>
      <c r="B272" s="2" t="inlineStr">
        <is>
          <t>Sugar ring doughnuts</t>
        </is>
      </c>
      <c r="C272" s="2" t="inlineStr">
        <is>
          <t>Main formula</t>
        </is>
      </c>
      <c r="D272" s="2" t="inlineStr">
        <is>
          <t>O-B04 Yeast doughnut dough</t>
        </is>
      </c>
      <c r="E272" s="3" t="n">
        <v>1780</v>
      </c>
      <c r="F272" s="3" t="n">
        <v>8900</v>
      </c>
      <c r="G272" s="2">
        <f>IF(OR(COUNT(G27:G36)=0,Summary!D5=0),"",SUM(H27:H36)/Summary!D5*1000)</f>
        <v/>
      </c>
      <c r="H272" s="2">
        <f>IF(G272="","",E272/1000*G272)</f>
        <v/>
      </c>
      <c r="I272" s="2" t="inlineStr">
        <is>
          <t>Linked component subtotal; incomplete while any component input is unpriced. Component subtotal only</t>
        </is>
      </c>
      <c r="J272" s="2" t="inlineStr">
        <is>
          <t>O-B04</t>
        </is>
      </c>
    </row>
    <row r="273">
      <c r="A273" s="2" t="inlineStr">
        <is>
          <t>O-P04</t>
        </is>
      </c>
      <c r="B273" s="2" t="inlineStr">
        <is>
          <t>Sugar ring doughnuts</t>
        </is>
      </c>
      <c r="C273" s="2" t="inlineStr">
        <is>
          <t>Main formula</t>
        </is>
      </c>
      <c r="D273" s="2" t="inlineStr">
        <is>
          <t>Oil</t>
        </is>
      </c>
      <c r="E273" s="3" t="n">
        <v>200</v>
      </c>
      <c r="F273" s="3" t="n">
        <v>1000</v>
      </c>
      <c r="G273" s="2">
        <f>IF(Prices!B19="","",Prices!B19)</f>
        <v/>
      </c>
      <c r="H273" s="2">
        <f>IF(G273="","",E273/1000*G273)</f>
        <v/>
      </c>
      <c r="I273" s="2" t="inlineStr">
        <is>
          <t>PROVISIONAL 0.92 kg/L; correct after weighing</t>
        </is>
      </c>
      <c r="J273" s="2" t="inlineStr"/>
    </row>
    <row r="274">
      <c r="A274" s="2" t="inlineStr">
        <is>
          <t>O-P04</t>
        </is>
      </c>
      <c r="B274" s="2" t="inlineStr">
        <is>
          <t>Sugar ring doughnuts</t>
        </is>
      </c>
      <c r="C274" s="2" t="inlineStr">
        <is>
          <t>Main formula</t>
        </is>
      </c>
      <c r="D274" s="2" t="inlineStr">
        <is>
          <t>Sugar</t>
        </is>
      </c>
      <c r="E274" s="3" t="n">
        <v>120</v>
      </c>
      <c r="F274" s="3" t="n">
        <v>600</v>
      </c>
      <c r="G274" s="2">
        <f>IF(Prices!B4="","",Prices!B4)</f>
        <v/>
      </c>
      <c r="H274" s="2">
        <f>IF(G274="","",E274/1000*G274)</f>
        <v/>
      </c>
      <c r="I274" s="2" t="inlineStr">
        <is>
          <t>Owner granulated sugar price; grind specification must match</t>
        </is>
      </c>
      <c r="J274" s="2" t="inlineStr"/>
    </row>
    <row r="275">
      <c r="A275" s="2" t="inlineStr">
        <is>
          <t>O-P05</t>
        </is>
      </c>
      <c r="B275" s="2" t="inlineStr">
        <is>
          <t>Puff puff</t>
        </is>
      </c>
      <c r="C275" s="2" t="inlineStr">
        <is>
          <t>Main formula</t>
        </is>
      </c>
      <c r="D275" s="2" t="inlineStr">
        <is>
          <t>O-B05 Puff puff batter</t>
        </is>
      </c>
      <c r="E275" s="3" t="n">
        <v>1830</v>
      </c>
      <c r="F275" s="3" t="n">
        <v>9150</v>
      </c>
      <c r="G275" s="2">
        <f>IF(OR(COUNT(G37:G42)=0,Summary!D6=0),"",SUM(H37:H42)/Summary!D6*1000)</f>
        <v/>
      </c>
      <c r="H275" s="2">
        <f>IF(G275="","",E275/1000*G275)</f>
        <v/>
      </c>
      <c r="I275" s="2" t="inlineStr">
        <is>
          <t>Linked component subtotal; incomplete while any component input is unpriced. Component subtotal only</t>
        </is>
      </c>
      <c r="J275" s="2" t="inlineStr">
        <is>
          <t>O-B05</t>
        </is>
      </c>
    </row>
    <row r="276">
      <c r="A276" s="2" t="inlineStr">
        <is>
          <t>O-P05</t>
        </is>
      </c>
      <c r="B276" s="2" t="inlineStr">
        <is>
          <t>Puff puff</t>
        </is>
      </c>
      <c r="C276" s="2" t="inlineStr">
        <is>
          <t>Main formula</t>
        </is>
      </c>
      <c r="D276" s="2" t="inlineStr">
        <is>
          <t>Oil</t>
        </is>
      </c>
      <c r="E276" s="3" t="n">
        <v>180</v>
      </c>
      <c r="F276" s="3" t="n">
        <v>900</v>
      </c>
      <c r="G276" s="2">
        <f>IF(Prices!B19="","",Prices!B19)</f>
        <v/>
      </c>
      <c r="H276" s="2">
        <f>IF(G276="","",E276/1000*G276)</f>
        <v/>
      </c>
      <c r="I276" s="2" t="inlineStr">
        <is>
          <t>PROVISIONAL 0.92 kg/L; correct after weighing</t>
        </is>
      </c>
      <c r="J276" s="2" t="inlineStr"/>
    </row>
    <row r="277">
      <c r="A277" s="2" t="inlineStr">
        <is>
          <t>O-P06</t>
        </is>
      </c>
      <c r="B277" s="2" t="inlineStr">
        <is>
          <t>Cameroon style fish rolls</t>
        </is>
      </c>
      <c r="C277" s="2" t="inlineStr">
        <is>
          <t>Main formula</t>
        </is>
      </c>
      <c r="D277" s="2" t="inlineStr">
        <is>
          <t>O-B06 Fish roll dough</t>
        </is>
      </c>
      <c r="E277" s="3" t="n">
        <v>1660</v>
      </c>
      <c r="F277" s="3" t="n">
        <v>8300</v>
      </c>
      <c r="G277" s="2">
        <f>IF(OR(COUNT(G43:G50)=0,Summary!D7=0),"",SUM(H43:H50)/Summary!D7*1000)</f>
        <v/>
      </c>
      <c r="H277" s="2">
        <f>IF(G277="","",E277/1000*G277)</f>
        <v/>
      </c>
      <c r="I277" s="2" t="inlineStr">
        <is>
          <t>Linked component subtotal; incomplete while any component input is unpriced. Component subtotal only</t>
        </is>
      </c>
      <c r="J277" s="2" t="inlineStr">
        <is>
          <t>O-B06</t>
        </is>
      </c>
    </row>
    <row r="278">
      <c r="A278" s="2" t="inlineStr">
        <is>
          <t>O-P06</t>
        </is>
      </c>
      <c r="B278" s="2" t="inlineStr">
        <is>
          <t>Cameroon style fish rolls</t>
        </is>
      </c>
      <c r="C278" s="2" t="inlineStr">
        <is>
          <t>Main formula</t>
        </is>
      </c>
      <c r="D278" s="2" t="inlineStr">
        <is>
          <t>O-B08 Fish filling</t>
        </is>
      </c>
      <c r="E278" s="3" t="n">
        <v>600</v>
      </c>
      <c r="F278" s="3" t="n">
        <v>3000</v>
      </c>
      <c r="G278" s="2">
        <f>IF(OR(COUNT(G57:G65)=0,Summary!D9=0),"",SUM(H57:H65)/Summary!D9*1000)</f>
        <v/>
      </c>
      <c r="H278" s="2">
        <f>IF(G278="","",E278/1000*G278)</f>
        <v/>
      </c>
      <c r="I278" s="2" t="inlineStr">
        <is>
          <t>Linked component subtotal; incomplete while any component input is unpriced. Component subtotal only</t>
        </is>
      </c>
      <c r="J278" s="2" t="inlineStr">
        <is>
          <t>O-B08</t>
        </is>
      </c>
    </row>
    <row r="279">
      <c r="A279" s="2" t="inlineStr">
        <is>
          <t>O-P06</t>
        </is>
      </c>
      <c r="B279" s="2" t="inlineStr">
        <is>
          <t>Cameroon style fish rolls</t>
        </is>
      </c>
      <c r="C279" s="2" t="inlineStr">
        <is>
          <t>Main formula</t>
        </is>
      </c>
      <c r="D279" s="2" t="inlineStr">
        <is>
          <t>Oil</t>
        </is>
      </c>
      <c r="E279" s="3" t="n">
        <v>180</v>
      </c>
      <c r="F279" s="3" t="n">
        <v>900</v>
      </c>
      <c r="G279" s="2">
        <f>IF(Prices!B19="","",Prices!B19)</f>
        <v/>
      </c>
      <c r="H279" s="2">
        <f>IF(G279="","",E279/1000*G279)</f>
        <v/>
      </c>
      <c r="I279" s="2" t="inlineStr">
        <is>
          <t>PROVISIONAL 0.92 kg/L; correct after weighing</t>
        </is>
      </c>
      <c r="J279" s="2" t="inlineStr"/>
    </row>
    <row r="280">
      <c r="A280" s="2" t="inlineStr">
        <is>
          <t>O-P07</t>
        </is>
      </c>
      <c r="B280" s="2" t="inlineStr">
        <is>
          <t>Beef meat pies</t>
        </is>
      </c>
      <c r="C280" s="2" t="inlineStr">
        <is>
          <t>Main formula</t>
        </is>
      </c>
      <c r="D280" s="2" t="inlineStr">
        <is>
          <t>O-B07 Shortcrust pie pastry</t>
        </is>
      </c>
      <c r="E280" s="3" t="n">
        <v>1740</v>
      </c>
      <c r="F280" s="3" t="n">
        <v>8700</v>
      </c>
      <c r="G280" s="2">
        <f>IF(OR(COUNT(G51:G56)=0,Summary!D8=0),"",SUM(H51:H56)/Summary!D8*1000)</f>
        <v/>
      </c>
      <c r="H280" s="2">
        <f>IF(G280="","",E280/1000*G280)</f>
        <v/>
      </c>
      <c r="I280" s="2" t="inlineStr">
        <is>
          <t>Linked component subtotal; incomplete while any component input is unpriced. Component subtotal only</t>
        </is>
      </c>
      <c r="J280" s="2" t="inlineStr">
        <is>
          <t>O-B07</t>
        </is>
      </c>
    </row>
    <row r="281">
      <c r="A281" s="2" t="inlineStr">
        <is>
          <t>O-P07</t>
        </is>
      </c>
      <c r="B281" s="2" t="inlineStr">
        <is>
          <t>Beef meat pies</t>
        </is>
      </c>
      <c r="C281" s="2" t="inlineStr">
        <is>
          <t>Main formula</t>
        </is>
      </c>
      <c r="D281" s="2" t="inlineStr">
        <is>
          <t>O-B09 Beef pie filling</t>
        </is>
      </c>
      <c r="E281" s="3" t="n">
        <v>1100</v>
      </c>
      <c r="F281" s="3" t="n">
        <v>5500</v>
      </c>
      <c r="G281" s="2">
        <f>IF(OR(COUNT(G66:G78)=0,Summary!D10=0),"",SUM(H66:H78)/Summary!D10*1000)</f>
        <v/>
      </c>
      <c r="H281" s="2">
        <f>IF(G281="","",E281/1000*G281)</f>
        <v/>
      </c>
      <c r="I281" s="2" t="inlineStr">
        <is>
          <t>Linked component subtotal; incomplete while any component input is unpriced. Component subtotal only</t>
        </is>
      </c>
      <c r="J281" s="2" t="inlineStr">
        <is>
          <t>O-B09</t>
        </is>
      </c>
    </row>
    <row r="282">
      <c r="A282" s="2" t="inlineStr">
        <is>
          <t>O-P07</t>
        </is>
      </c>
      <c r="B282" s="2" t="inlineStr">
        <is>
          <t>Beef meat pies</t>
        </is>
      </c>
      <c r="C282" s="2" t="inlineStr">
        <is>
          <t>Main formula</t>
        </is>
      </c>
      <c r="D282" s="2" t="inlineStr">
        <is>
          <t>Egg</t>
        </is>
      </c>
      <c r="E282" s="3" t="n">
        <v>45</v>
      </c>
      <c r="F282" s="3" t="n">
        <v>225</v>
      </c>
      <c r="G282" s="2">
        <f>IF(Prices!B9="","",Prices!B9)</f>
        <v/>
      </c>
      <c r="H282" s="2">
        <f>IF(G282="","",E282/1000*G282)</f>
        <v/>
      </c>
      <c r="I282" s="2" t="inlineStr">
        <is>
          <t>Purchase quote/specification required</t>
        </is>
      </c>
      <c r="J282" s="2" t="inlineStr"/>
    </row>
    <row r="283">
      <c r="A283" s="2" t="inlineStr">
        <is>
          <t>O-P08</t>
        </is>
      </c>
      <c r="B283" s="2" t="inlineStr">
        <is>
          <t>Sausage rolls</t>
        </is>
      </c>
      <c r="C283" s="2" t="inlineStr">
        <is>
          <t>Main formula</t>
        </is>
      </c>
      <c r="D283" s="2" t="inlineStr">
        <is>
          <t>O-B07 Shortcrust pie pastry</t>
        </is>
      </c>
      <c r="E283" s="3" t="n">
        <v>1740</v>
      </c>
      <c r="F283" s="3" t="n">
        <v>8700</v>
      </c>
      <c r="G283" s="2">
        <f>IF(OR(COUNT(G51:G56)=0,Summary!D8=0),"",SUM(H51:H56)/Summary!D8*1000)</f>
        <v/>
      </c>
      <c r="H283" s="2">
        <f>IF(G283="","",E283/1000*G283)</f>
        <v/>
      </c>
      <c r="I283" s="2" t="inlineStr">
        <is>
          <t>Linked component subtotal; incomplete while any component input is unpriced. Component subtotal only</t>
        </is>
      </c>
      <c r="J283" s="2" t="inlineStr">
        <is>
          <t>O-B07</t>
        </is>
      </c>
    </row>
    <row r="284">
      <c r="A284" s="2" t="inlineStr">
        <is>
          <t>O-P08</t>
        </is>
      </c>
      <c r="B284" s="2" t="inlineStr">
        <is>
          <t>Sausage rolls</t>
        </is>
      </c>
      <c r="C284" s="2" t="inlineStr">
        <is>
          <t>Main formula</t>
        </is>
      </c>
      <c r="D284" s="2" t="inlineStr">
        <is>
          <t>O-B10 Sausage roll filling</t>
        </is>
      </c>
      <c r="E284" s="3" t="n">
        <v>960</v>
      </c>
      <c r="F284" s="3" t="n">
        <v>4800</v>
      </c>
      <c r="G284" s="2">
        <f>IF(OR(COUNT(G79:G86)=0,Summary!D11=0),"",SUM(H79:H86)/Summary!D11*1000)</f>
        <v/>
      </c>
      <c r="H284" s="2">
        <f>IF(G284="","",E284/1000*G284)</f>
        <v/>
      </c>
      <c r="I284" s="2" t="inlineStr">
        <is>
          <t>Linked component subtotal; incomplete while any component input is unpriced. Component subtotal only</t>
        </is>
      </c>
      <c r="J284" s="2" t="inlineStr">
        <is>
          <t>O-B10</t>
        </is>
      </c>
    </row>
    <row r="285">
      <c r="A285" s="2" t="inlineStr">
        <is>
          <t>O-P08</t>
        </is>
      </c>
      <c r="B285" s="2" t="inlineStr">
        <is>
          <t>Sausage rolls</t>
        </is>
      </c>
      <c r="C285" s="2" t="inlineStr">
        <is>
          <t>Main formula</t>
        </is>
      </c>
      <c r="D285" s="2" t="inlineStr">
        <is>
          <t>Egg</t>
        </is>
      </c>
      <c r="E285" s="3" t="n">
        <v>45</v>
      </c>
      <c r="F285" s="3" t="n">
        <v>225</v>
      </c>
      <c r="G285" s="2">
        <f>IF(Prices!B9="","",Prices!B9)</f>
        <v/>
      </c>
      <c r="H285" s="2">
        <f>IF(G285="","",E285/1000*G285)</f>
        <v/>
      </c>
      <c r="I285" s="2" t="inlineStr">
        <is>
          <t>Purchase quote/specification required</t>
        </is>
      </c>
      <c r="J285" s="2" t="inlineStr"/>
    </row>
    <row r="286">
      <c r="A286" s="2" t="inlineStr">
        <is>
          <t>O-P09</t>
        </is>
      </c>
      <c r="B286" s="2" t="inlineStr">
        <is>
          <t>Creamy chicken pies</t>
        </is>
      </c>
      <c r="C286" s="2" t="inlineStr">
        <is>
          <t>Main formula</t>
        </is>
      </c>
      <c r="D286" s="2" t="inlineStr">
        <is>
          <t>O-B07 Shortcrust pie pastry</t>
        </is>
      </c>
      <c r="E286" s="3" t="n">
        <v>1740</v>
      </c>
      <c r="F286" s="3" t="n">
        <v>8700</v>
      </c>
      <c r="G286" s="2">
        <f>IF(OR(COUNT(G51:G56)=0,Summary!D8=0),"",SUM(H51:H56)/Summary!D8*1000)</f>
        <v/>
      </c>
      <c r="H286" s="2">
        <f>IF(G286="","",E286/1000*G286)</f>
        <v/>
      </c>
      <c r="I286" s="2" t="inlineStr">
        <is>
          <t>Linked component subtotal; incomplete while any component input is unpriced. Component subtotal only</t>
        </is>
      </c>
      <c r="J286" s="2" t="inlineStr">
        <is>
          <t>O-B07</t>
        </is>
      </c>
    </row>
    <row r="287">
      <c r="A287" s="2" t="inlineStr">
        <is>
          <t>O-P09</t>
        </is>
      </c>
      <c r="B287" s="2" t="inlineStr">
        <is>
          <t>Creamy chicken pies</t>
        </is>
      </c>
      <c r="C287" s="2" t="inlineStr">
        <is>
          <t>Main formula</t>
        </is>
      </c>
      <c r="D287" s="2" t="inlineStr">
        <is>
          <t>O-B11 Creamy chicken filling</t>
        </is>
      </c>
      <c r="E287" s="3" t="n">
        <v>1260</v>
      </c>
      <c r="F287" s="3" t="n">
        <v>6300</v>
      </c>
      <c r="G287" s="2">
        <f>IF(OR(COUNT(G87:G99)=0,Summary!D12=0),"",SUM(H87:H99)/Summary!D12*1000)</f>
        <v/>
      </c>
      <c r="H287" s="2">
        <f>IF(G287="","",E287/1000*G287)</f>
        <v/>
      </c>
      <c r="I287" s="2" t="inlineStr">
        <is>
          <t>Linked component subtotal; incomplete while any component input is unpriced. Component subtotal only</t>
        </is>
      </c>
      <c r="J287" s="2" t="inlineStr">
        <is>
          <t>O-B11</t>
        </is>
      </c>
    </row>
    <row r="288">
      <c r="A288" s="2" t="inlineStr">
        <is>
          <t>O-P09</t>
        </is>
      </c>
      <c r="B288" s="2" t="inlineStr">
        <is>
          <t>Creamy chicken pies</t>
        </is>
      </c>
      <c r="C288" s="2" t="inlineStr">
        <is>
          <t>Main formula</t>
        </is>
      </c>
      <c r="D288" s="2" t="inlineStr">
        <is>
          <t>Egg</t>
        </is>
      </c>
      <c r="E288" s="3" t="n">
        <v>45</v>
      </c>
      <c r="F288" s="3" t="n">
        <v>225</v>
      </c>
      <c r="G288" s="2">
        <f>IF(Prices!B9="","",Prices!B9)</f>
        <v/>
      </c>
      <c r="H288" s="2">
        <f>IF(G288="","",E288/1000*G288)</f>
        <v/>
      </c>
      <c r="I288" s="2" t="inlineStr">
        <is>
          <t>Purchase quote/specification required</t>
        </is>
      </c>
      <c r="J288" s="2" t="inlineStr"/>
    </row>
    <row r="289">
      <c r="A289" s="2" t="inlineStr">
        <is>
          <t>O-P10</t>
        </is>
      </c>
      <c r="B289" s="2" t="inlineStr">
        <is>
          <t>Whole egg dough rolls</t>
        </is>
      </c>
      <c r="C289" s="2" t="inlineStr">
        <is>
          <t>Main formula</t>
        </is>
      </c>
      <c r="D289" s="2" t="inlineStr">
        <is>
          <t>O-B12 Egg roll dough</t>
        </is>
      </c>
      <c r="E289" s="3" t="n">
        <v>1650</v>
      </c>
      <c r="F289" s="3" t="n">
        <v>8250</v>
      </c>
      <c r="G289" s="2">
        <f>IF(OR(COUNT(G100:G107)=0,Summary!D13=0),"",SUM(H100:H107)/Summary!D13*1000)</f>
        <v/>
      </c>
      <c r="H289" s="2">
        <f>IF(G289="","",E289/1000*G289)</f>
        <v/>
      </c>
      <c r="I289" s="2" t="inlineStr">
        <is>
          <t>Linked component subtotal; incomplete while any component input is unpriced. Component subtotal only</t>
        </is>
      </c>
      <c r="J289" s="2" t="inlineStr">
        <is>
          <t>O-B12</t>
        </is>
      </c>
    </row>
    <row r="290">
      <c r="A290" s="2" t="inlineStr">
        <is>
          <t>O-P10</t>
        </is>
      </c>
      <c r="B290" s="2" t="inlineStr">
        <is>
          <t>Whole egg dough rolls</t>
        </is>
      </c>
      <c r="C290" s="2" t="inlineStr">
        <is>
          <t>Main formula</t>
        </is>
      </c>
      <c r="D290" s="2" t="inlineStr">
        <is>
          <t>O-B13 Hard boiled peeled eggs</t>
        </is>
      </c>
      <c r="E290" s="3" t="n">
        <v>800</v>
      </c>
      <c r="F290" s="3" t="n">
        <v>4000</v>
      </c>
      <c r="G290" s="2">
        <f>IF(OR(COUNT(G108:G108)=0,Summary!D14=0),"",SUM(H108:H108)/Summary!D14*1000)</f>
        <v/>
      </c>
      <c r="H290" s="2">
        <f>IF(G290="","",E290/1000*G290)</f>
        <v/>
      </c>
      <c r="I290" s="2" t="inlineStr">
        <is>
          <t>Linked component subtotal; incomplete while any component input is unpriced. Component subtotal only</t>
        </is>
      </c>
      <c r="J290" s="2" t="inlineStr">
        <is>
          <t>O-B13</t>
        </is>
      </c>
    </row>
    <row r="291">
      <c r="A291" s="2" t="inlineStr">
        <is>
          <t>O-P10</t>
        </is>
      </c>
      <c r="B291" s="2" t="inlineStr">
        <is>
          <t>Whole egg dough rolls</t>
        </is>
      </c>
      <c r="C291" s="2" t="inlineStr">
        <is>
          <t>Main formula</t>
        </is>
      </c>
      <c r="D291" s="2" t="inlineStr">
        <is>
          <t>Oil</t>
        </is>
      </c>
      <c r="E291" s="3" t="n">
        <v>180</v>
      </c>
      <c r="F291" s="3" t="n">
        <v>900</v>
      </c>
      <c r="G291" s="2">
        <f>IF(Prices!B19="","",Prices!B19)</f>
        <v/>
      </c>
      <c r="H291" s="2">
        <f>IF(G291="","",E291/1000*G291)</f>
        <v/>
      </c>
      <c r="I291" s="2" t="inlineStr">
        <is>
          <t>PROVISIONAL 0.92 kg/L; correct after weighing</t>
        </is>
      </c>
      <c r="J291" s="2" t="inlineStr"/>
    </row>
    <row r="292">
      <c r="A292" s="2" t="inlineStr">
        <is>
          <t>O-P11</t>
        </is>
      </c>
      <c r="B292" s="2" t="inlineStr">
        <is>
          <t>Banana condensed milk cake slices</t>
        </is>
      </c>
      <c r="C292" s="2" t="inlineStr">
        <is>
          <t>Main formula</t>
        </is>
      </c>
      <c r="D292" s="2" t="inlineStr">
        <is>
          <t>O-B14 Banana condensed milk cake batter</t>
        </is>
      </c>
      <c r="E292" s="3" t="n">
        <v>3010</v>
      </c>
      <c r="F292" s="3" t="n">
        <v>15050</v>
      </c>
      <c r="G292" s="2">
        <f>IF(OR(COUNT(G109:G119)=0,Summary!D15=0),"",SUM(H109:H119)/Summary!D15*1000)</f>
        <v/>
      </c>
      <c r="H292" s="2">
        <f>IF(G292="","",E292/1000*G292)</f>
        <v/>
      </c>
      <c r="I292" s="2" t="inlineStr">
        <is>
          <t>Linked component subtotal; incomplete while any component input is unpriced. Component subtotal only</t>
        </is>
      </c>
      <c r="J292" s="2" t="inlineStr">
        <is>
          <t>O-B14</t>
        </is>
      </c>
    </row>
    <row r="293">
      <c r="A293" s="2" t="inlineStr">
        <is>
          <t>O-P12</t>
        </is>
      </c>
      <c r="B293" s="2" t="inlineStr">
        <is>
          <t>Personal chicken pizza</t>
        </is>
      </c>
      <c r="C293" s="2" t="inlineStr">
        <is>
          <t>Main formula</t>
        </is>
      </c>
      <c r="D293" s="2" t="inlineStr">
        <is>
          <t>O-B15 Pizza dough</t>
        </is>
      </c>
      <c r="E293" s="3" t="n">
        <v>1690</v>
      </c>
      <c r="F293" s="3" t="n">
        <v>8450</v>
      </c>
      <c r="G293" s="2">
        <f>IF(OR(COUNT(G120:G125)=0,Summary!D16=0),"",SUM(H120:H125)/Summary!D16*1000)</f>
        <v/>
      </c>
      <c r="H293" s="2">
        <f>IF(G293="","",E293/1000*G293)</f>
        <v/>
      </c>
      <c r="I293" s="2" t="inlineStr">
        <is>
          <t>Linked component subtotal; incomplete while any component input is unpriced. Component subtotal only</t>
        </is>
      </c>
      <c r="J293" s="2" t="inlineStr">
        <is>
          <t>O-B15</t>
        </is>
      </c>
    </row>
    <row r="294">
      <c r="A294" s="2" t="inlineStr">
        <is>
          <t>O-P12</t>
        </is>
      </c>
      <c r="B294" s="2" t="inlineStr">
        <is>
          <t>Personal chicken pizza</t>
        </is>
      </c>
      <c r="C294" s="2" t="inlineStr">
        <is>
          <t>Main formula</t>
        </is>
      </c>
      <c r="D294" s="2" t="inlineStr">
        <is>
          <t>O-B16 Pizza tomato sauce</t>
        </is>
      </c>
      <c r="E294" s="3" t="n">
        <v>440</v>
      </c>
      <c r="F294" s="3" t="n">
        <v>2200</v>
      </c>
      <c r="G294" s="2">
        <f>IF(OR(COUNT(G126:G133)=0,Summary!D17=0),"",SUM(H126:H133)/Summary!D17*1000)</f>
        <v/>
      </c>
      <c r="H294" s="2">
        <f>IF(G294="","",E294/1000*G294)</f>
        <v/>
      </c>
      <c r="I294" s="2" t="inlineStr">
        <is>
          <t>Linked component subtotal; incomplete while any component input is unpriced. Component subtotal only</t>
        </is>
      </c>
      <c r="J294" s="2" t="inlineStr">
        <is>
          <t>O-B16</t>
        </is>
      </c>
    </row>
    <row r="295">
      <c r="A295" s="2" t="inlineStr">
        <is>
          <t>O-P12</t>
        </is>
      </c>
      <c r="B295" s="2" t="inlineStr">
        <is>
          <t>Personal chicken pizza</t>
        </is>
      </c>
      <c r="C295" s="2" t="inlineStr">
        <is>
          <t>Main formula</t>
        </is>
      </c>
      <c r="D295" s="2" t="inlineStr">
        <is>
          <t>O-B18 Cooked chicken shawarma meat</t>
        </is>
      </c>
      <c r="E295" s="3" t="n">
        <v>550</v>
      </c>
      <c r="F295" s="3" t="n">
        <v>2750</v>
      </c>
      <c r="G295" s="2">
        <f>IF(OR(COUNT(G202:G214)=0,Summary!D29=0),"",SUM(H202:H214)/Summary!D29*1000)</f>
        <v/>
      </c>
      <c r="H295" s="2">
        <f>IF(G295="","",E295/1000*G295)</f>
        <v/>
      </c>
      <c r="I295" s="2" t="inlineStr">
        <is>
          <t>Linked component subtotal; incomplete while any component input is unpriced. Component subtotal only</t>
        </is>
      </c>
      <c r="J295" s="2" t="inlineStr">
        <is>
          <t>O-B18</t>
        </is>
      </c>
    </row>
    <row r="296">
      <c r="A296" s="2" t="inlineStr">
        <is>
          <t>O-P12</t>
        </is>
      </c>
      <c r="B296" s="2" t="inlineStr">
        <is>
          <t>Personal chicken pizza</t>
        </is>
      </c>
      <c r="C296" s="2" t="inlineStr">
        <is>
          <t>Main formula</t>
        </is>
      </c>
      <c r="D296" s="2" t="inlineStr">
        <is>
          <t>Mozzarella</t>
        </is>
      </c>
      <c r="E296" s="3" t="n">
        <v>550</v>
      </c>
      <c r="F296" s="3" t="n">
        <v>2750</v>
      </c>
      <c r="G296" s="2">
        <f>IF(Prices!B57="","",Prices!B57)</f>
        <v/>
      </c>
      <c r="H296" s="2">
        <f>IF(G296="","",E296/1000*G296)</f>
        <v/>
      </c>
      <c r="I296" s="2" t="inlineStr">
        <is>
          <t>Purchase quote/specification required</t>
        </is>
      </c>
      <c r="J296" s="2" t="inlineStr"/>
    </row>
    <row r="297">
      <c r="A297" s="2" t="inlineStr">
        <is>
          <t>O-P12</t>
        </is>
      </c>
      <c r="B297" s="2" t="inlineStr">
        <is>
          <t>Personal chicken pizza</t>
        </is>
      </c>
      <c r="C297" s="2" t="inlineStr">
        <is>
          <t>Main formula</t>
        </is>
      </c>
      <c r="D297" s="2" t="inlineStr">
        <is>
          <t>Onion trimmed</t>
        </is>
      </c>
      <c r="E297" s="3" t="n">
        <v>110</v>
      </c>
      <c r="F297" s="3" t="n">
        <v>550</v>
      </c>
      <c r="G297" s="2">
        <f>IF(Prices!B17="","",Prices!B17)</f>
        <v/>
      </c>
      <c r="H297" s="2">
        <f>IF(G297="","",E297/1000*G297)</f>
        <v/>
      </c>
      <c r="I297" s="2" t="inlineStr">
        <is>
          <t>Purchase quote/specification required</t>
        </is>
      </c>
      <c r="J297" s="2" t="inlineStr"/>
    </row>
    <row r="298">
      <c r="A298" s="2" t="inlineStr">
        <is>
          <t>O-P12</t>
        </is>
      </c>
      <c r="B298" s="2" t="inlineStr">
        <is>
          <t>Personal chicken pizza</t>
        </is>
      </c>
      <c r="C298" s="2" t="inlineStr">
        <is>
          <t>Main formula</t>
        </is>
      </c>
      <c r="D298" s="2" t="inlineStr">
        <is>
          <t>Pepper trimmed</t>
        </is>
      </c>
      <c r="E298" s="3" t="n">
        <v>110</v>
      </c>
      <c r="F298" s="3" t="n">
        <v>550</v>
      </c>
      <c r="G298" s="2">
        <f>IF(Prices!B31="","",Prices!B31)</f>
        <v/>
      </c>
      <c r="H298" s="2">
        <f>IF(G298="","",E298/1000*G298)</f>
        <v/>
      </c>
      <c r="I298" s="2" t="inlineStr">
        <is>
          <t>Purchase quote/specification required</t>
        </is>
      </c>
      <c r="J298" s="2" t="inlineStr"/>
    </row>
    <row r="299">
      <c r="A299" s="2" t="inlineStr">
        <is>
          <t>O-P13</t>
        </is>
      </c>
      <c r="B299" s="2" t="inlineStr">
        <is>
          <t>Complete chicken shawarma</t>
        </is>
      </c>
      <c r="C299" s="2" t="inlineStr">
        <is>
          <t>Main formula</t>
        </is>
      </c>
      <c r="D299" s="2" t="inlineStr">
        <is>
          <t>O-B17 Shawarma flatbread</t>
        </is>
      </c>
      <c r="E299" s="3" t="n">
        <v>1500</v>
      </c>
      <c r="F299" s="3" t="n">
        <v>7500</v>
      </c>
      <c r="G299" s="2">
        <f>IF(OR(COUNT(G196:G201)=0,Summary!D28=0),"",SUM(H196:H201)/Summary!D28*1000)</f>
        <v/>
      </c>
      <c r="H299" s="2">
        <f>IF(G299="","",E299/1000*G299)</f>
        <v/>
      </c>
      <c r="I299" s="2" t="inlineStr">
        <is>
          <t>Linked component subtotal; incomplete while any component input is unpriced. Component subtotal only</t>
        </is>
      </c>
      <c r="J299" s="2" t="inlineStr">
        <is>
          <t>O-B17</t>
        </is>
      </c>
    </row>
    <row r="300">
      <c r="A300" s="2" t="inlineStr">
        <is>
          <t>O-P13</t>
        </is>
      </c>
      <c r="B300" s="2" t="inlineStr">
        <is>
          <t>Complete chicken shawarma</t>
        </is>
      </c>
      <c r="C300" s="2" t="inlineStr">
        <is>
          <t>Main formula</t>
        </is>
      </c>
      <c r="D300" s="2" t="inlineStr">
        <is>
          <t>O-B18 Cooked chicken shawarma meat</t>
        </is>
      </c>
      <c r="E300" s="3" t="n">
        <v>1760</v>
      </c>
      <c r="F300" s="3" t="n">
        <v>8800</v>
      </c>
      <c r="G300" s="2">
        <f>IF(OR(COUNT(G202:G214)=0,Summary!D29=0),"",SUM(H202:H214)/Summary!D29*1000)</f>
        <v/>
      </c>
      <c r="H300" s="2">
        <f>IF(G300="","",E300/1000*G300)</f>
        <v/>
      </c>
      <c r="I300" s="2" t="inlineStr">
        <is>
          <t>Linked component subtotal; incomplete while any component input is unpriced. Component subtotal only</t>
        </is>
      </c>
      <c r="J300" s="2" t="inlineStr">
        <is>
          <t>O-B18</t>
        </is>
      </c>
    </row>
    <row r="301">
      <c r="A301" s="2" t="inlineStr">
        <is>
          <t>O-P13</t>
        </is>
      </c>
      <c r="B301" s="2" t="inlineStr">
        <is>
          <t>Complete chicken shawarma</t>
        </is>
      </c>
      <c r="C301" s="2" t="inlineStr">
        <is>
          <t>Main formula</t>
        </is>
      </c>
      <c r="D301" s="2" t="inlineStr">
        <is>
          <t>O-B24 Crisp fries</t>
        </is>
      </c>
      <c r="E301" s="3" t="n">
        <v>800</v>
      </c>
      <c r="F301" s="3" t="n">
        <v>4000</v>
      </c>
      <c r="G301" s="2">
        <f>IF(OR(COUNT(G252:G254)=0,Summary!D35=0),"",SUM(H252:H254)/Summary!D35*1000)</f>
        <v/>
      </c>
      <c r="H301" s="2">
        <f>IF(G301="","",E301/1000*G301)</f>
        <v/>
      </c>
      <c r="I301" s="2" t="inlineStr">
        <is>
          <t>Linked component subtotal; incomplete while any component input is unpriced. Component subtotal only</t>
        </is>
      </c>
      <c r="J301" s="2" t="inlineStr">
        <is>
          <t>O-B24</t>
        </is>
      </c>
    </row>
    <row r="302">
      <c r="A302" s="2" t="inlineStr">
        <is>
          <t>O-P13</t>
        </is>
      </c>
      <c r="B302" s="2" t="inlineStr">
        <is>
          <t>Complete chicken shawarma</t>
        </is>
      </c>
      <c r="C302" s="2" t="inlineStr">
        <is>
          <t>Main formula</t>
        </is>
      </c>
      <c r="D302" s="2" t="inlineStr">
        <is>
          <t>O-B22 Shawarma slaw</t>
        </is>
      </c>
      <c r="E302" s="3" t="n">
        <v>720</v>
      </c>
      <c r="F302" s="3" t="n">
        <v>3600</v>
      </c>
      <c r="G302" s="2">
        <f>IF(OR(COUNT(G241:G246)=0,Summary!D33=0),"",SUM(H241:H246)/Summary!D33*1000)</f>
        <v/>
      </c>
      <c r="H302" s="2">
        <f>IF(G302="","",E302/1000*G302)</f>
        <v/>
      </c>
      <c r="I302" s="2" t="inlineStr">
        <is>
          <t>Linked component subtotal; incomplete while any component input is unpriced. Component subtotal only</t>
        </is>
      </c>
      <c r="J302" s="2" t="inlineStr">
        <is>
          <t>O-B22</t>
        </is>
      </c>
    </row>
    <row r="303">
      <c r="A303" s="2" t="inlineStr">
        <is>
          <t>O-P13</t>
        </is>
      </c>
      <c r="B303" s="2" t="inlineStr">
        <is>
          <t>Complete chicken shawarma</t>
        </is>
      </c>
      <c r="C303" s="2" t="inlineStr">
        <is>
          <t>Main formula</t>
        </is>
      </c>
      <c r="D303" s="2" t="inlineStr">
        <is>
          <t>O-B23 Refrigerator cucumber pickles</t>
        </is>
      </c>
      <c r="E303" s="3" t="n">
        <v>240</v>
      </c>
      <c r="F303" s="3" t="n">
        <v>1200</v>
      </c>
      <c r="G303" s="2">
        <f>IF(OR(COUNT(G247:G251)=0,Summary!D34=0),"",SUM(H247:H251)/Summary!D34*1000)</f>
        <v/>
      </c>
      <c r="H303" s="2">
        <f>IF(G303="","",E303/1000*G303)</f>
        <v/>
      </c>
      <c r="I303" s="2" t="inlineStr">
        <is>
          <t>Linked component subtotal; incomplete while any component input is unpriced. Component subtotal only</t>
        </is>
      </c>
      <c r="J303" s="2" t="inlineStr">
        <is>
          <t>O-B23</t>
        </is>
      </c>
    </row>
    <row r="304">
      <c r="A304" s="2" t="inlineStr">
        <is>
          <t>O-P13</t>
        </is>
      </c>
      <c r="B304" s="2" t="inlineStr">
        <is>
          <t>Complete chicken shawarma</t>
        </is>
      </c>
      <c r="C304" s="2" t="inlineStr">
        <is>
          <t>Main formula</t>
        </is>
      </c>
      <c r="D304" s="2" t="inlineStr">
        <is>
          <t>O-B20 Garlic mayonnaise sauce</t>
        </is>
      </c>
      <c r="E304" s="3" t="n">
        <v>480</v>
      </c>
      <c r="F304" s="3" t="n">
        <v>2400</v>
      </c>
      <c r="G304" s="2">
        <f>IF(OR(COUNT(G227:G232)=0,Summary!D31=0),"",SUM(H227:H232)/Summary!D31*1000)</f>
        <v/>
      </c>
      <c r="H304" s="2">
        <f>IF(G304="","",E304/1000*G304)</f>
        <v/>
      </c>
      <c r="I304" s="2" t="inlineStr">
        <is>
          <t>Linked component subtotal; incomplete while any component input is unpriced. Component subtotal only</t>
        </is>
      </c>
      <c r="J304" s="2" t="inlineStr">
        <is>
          <t>O-B20</t>
        </is>
      </c>
    </row>
    <row r="305">
      <c r="A305" s="2" t="inlineStr">
        <is>
          <t>O-P13</t>
        </is>
      </c>
      <c r="B305" s="2" t="inlineStr">
        <is>
          <t>Complete chicken shawarma</t>
        </is>
      </c>
      <c r="C305" s="2" t="inlineStr">
        <is>
          <t>Main formula</t>
        </is>
      </c>
      <c r="D305" s="2" t="inlineStr">
        <is>
          <t>O-B21 Cooked hot sauce</t>
        </is>
      </c>
      <c r="E305" s="3" t="n">
        <v>80</v>
      </c>
      <c r="F305" s="3" t="n">
        <v>400</v>
      </c>
      <c r="G305" s="2">
        <f>IF(OR(COUNT(G233:G240)=0,Summary!D32=0),"",SUM(H233:H240)/Summary!D32*1000)</f>
        <v/>
      </c>
      <c r="H305" s="2">
        <f>IF(G305="","",E305/1000*G305)</f>
        <v/>
      </c>
      <c r="I305" s="2" t="inlineStr">
        <is>
          <t>Linked component subtotal; incomplete while any component input is unpriced. Component subtotal only</t>
        </is>
      </c>
      <c r="J305" s="2" t="inlineStr">
        <is>
          <t>O-B21</t>
        </is>
      </c>
    </row>
    <row r="306">
      <c r="A306" s="2" t="inlineStr">
        <is>
          <t>O-P14</t>
        </is>
      </c>
      <c r="B306" s="2" t="inlineStr">
        <is>
          <t>Complete beef shawarma</t>
        </is>
      </c>
      <c r="C306" s="2" t="inlineStr">
        <is>
          <t>Main formula</t>
        </is>
      </c>
      <c r="D306" s="2" t="inlineStr">
        <is>
          <t>O-B17 Shawarma flatbread</t>
        </is>
      </c>
      <c r="E306" s="3" t="n">
        <v>1500</v>
      </c>
      <c r="F306" s="3" t="n">
        <v>7500</v>
      </c>
      <c r="G306" s="2">
        <f>IF(OR(COUNT(G196:G201)=0,Summary!D28=0),"",SUM(H196:H201)/Summary!D28*1000)</f>
        <v/>
      </c>
      <c r="H306" s="2">
        <f>IF(G306="","",E306/1000*G306)</f>
        <v/>
      </c>
      <c r="I306" s="2" t="inlineStr">
        <is>
          <t>Linked component subtotal; incomplete while any component input is unpriced. Component subtotal only</t>
        </is>
      </c>
      <c r="J306" s="2" t="inlineStr">
        <is>
          <t>O-B17</t>
        </is>
      </c>
    </row>
    <row r="307">
      <c r="A307" s="2" t="inlineStr">
        <is>
          <t>O-P14</t>
        </is>
      </c>
      <c r="B307" s="2" t="inlineStr">
        <is>
          <t>Complete beef shawarma</t>
        </is>
      </c>
      <c r="C307" s="2" t="inlineStr">
        <is>
          <t>Main formula</t>
        </is>
      </c>
      <c r="D307" s="2" t="inlineStr">
        <is>
          <t>O-B19 Cooked beef shawarma meat</t>
        </is>
      </c>
      <c r="E307" s="3" t="n">
        <v>1760</v>
      </c>
      <c r="F307" s="3" t="n">
        <v>8800</v>
      </c>
      <c r="G307" s="2">
        <f>IF(OR(COUNT(G215:G226)=0,Summary!D30=0),"",SUM(H215:H226)/Summary!D30*1000)</f>
        <v/>
      </c>
      <c r="H307" s="2">
        <f>IF(G307="","",E307/1000*G307)</f>
        <v/>
      </c>
      <c r="I307" s="2" t="inlineStr">
        <is>
          <t>Linked component subtotal; incomplete while any component input is unpriced. Component subtotal only</t>
        </is>
      </c>
      <c r="J307" s="2" t="inlineStr">
        <is>
          <t>O-B19</t>
        </is>
      </c>
    </row>
    <row r="308">
      <c r="A308" s="2" t="inlineStr">
        <is>
          <t>O-P14</t>
        </is>
      </c>
      <c r="B308" s="2" t="inlineStr">
        <is>
          <t>Complete beef shawarma</t>
        </is>
      </c>
      <c r="C308" s="2" t="inlineStr">
        <is>
          <t>Main formula</t>
        </is>
      </c>
      <c r="D308" s="2" t="inlineStr">
        <is>
          <t>O-B24 Crisp fries</t>
        </is>
      </c>
      <c r="E308" s="3" t="n">
        <v>800</v>
      </c>
      <c r="F308" s="3" t="n">
        <v>4000</v>
      </c>
      <c r="G308" s="2">
        <f>IF(OR(COUNT(G252:G254)=0,Summary!D35=0),"",SUM(H252:H254)/Summary!D35*1000)</f>
        <v/>
      </c>
      <c r="H308" s="2">
        <f>IF(G308="","",E308/1000*G308)</f>
        <v/>
      </c>
      <c r="I308" s="2" t="inlineStr">
        <is>
          <t>Linked component subtotal; incomplete while any component input is unpriced. Component subtotal only</t>
        </is>
      </c>
      <c r="J308" s="2" t="inlineStr">
        <is>
          <t>O-B24</t>
        </is>
      </c>
    </row>
    <row r="309">
      <c r="A309" s="2" t="inlineStr">
        <is>
          <t>O-P14</t>
        </is>
      </c>
      <c r="B309" s="2" t="inlineStr">
        <is>
          <t>Complete beef shawarma</t>
        </is>
      </c>
      <c r="C309" s="2" t="inlineStr">
        <is>
          <t>Main formula</t>
        </is>
      </c>
      <c r="D309" s="2" t="inlineStr">
        <is>
          <t>O-B22 Shawarma slaw</t>
        </is>
      </c>
      <c r="E309" s="3" t="n">
        <v>720</v>
      </c>
      <c r="F309" s="3" t="n">
        <v>3600</v>
      </c>
      <c r="G309" s="2">
        <f>IF(OR(COUNT(G241:G246)=0,Summary!D33=0),"",SUM(H241:H246)/Summary!D33*1000)</f>
        <v/>
      </c>
      <c r="H309" s="2">
        <f>IF(G309="","",E309/1000*G309)</f>
        <v/>
      </c>
      <c r="I309" s="2" t="inlineStr">
        <is>
          <t>Linked component subtotal; incomplete while any component input is unpriced. Component subtotal only</t>
        </is>
      </c>
      <c r="J309" s="2" t="inlineStr">
        <is>
          <t>O-B22</t>
        </is>
      </c>
    </row>
    <row r="310">
      <c r="A310" s="2" t="inlineStr">
        <is>
          <t>O-P14</t>
        </is>
      </c>
      <c r="B310" s="2" t="inlineStr">
        <is>
          <t>Complete beef shawarma</t>
        </is>
      </c>
      <c r="C310" s="2" t="inlineStr">
        <is>
          <t>Main formula</t>
        </is>
      </c>
      <c r="D310" s="2" t="inlineStr">
        <is>
          <t>O-B23 Refrigerator cucumber pickles</t>
        </is>
      </c>
      <c r="E310" s="3" t="n">
        <v>240</v>
      </c>
      <c r="F310" s="3" t="n">
        <v>1200</v>
      </c>
      <c r="G310" s="2">
        <f>IF(OR(COUNT(G247:G251)=0,Summary!D34=0),"",SUM(H247:H251)/Summary!D34*1000)</f>
        <v/>
      </c>
      <c r="H310" s="2">
        <f>IF(G310="","",E310/1000*G310)</f>
        <v/>
      </c>
      <c r="I310" s="2" t="inlineStr">
        <is>
          <t>Linked component subtotal; incomplete while any component input is unpriced. Component subtotal only</t>
        </is>
      </c>
      <c r="J310" s="2" t="inlineStr">
        <is>
          <t>O-B23</t>
        </is>
      </c>
    </row>
    <row r="311">
      <c r="A311" s="2" t="inlineStr">
        <is>
          <t>O-P14</t>
        </is>
      </c>
      <c r="B311" s="2" t="inlineStr">
        <is>
          <t>Complete beef shawarma</t>
        </is>
      </c>
      <c r="C311" s="2" t="inlineStr">
        <is>
          <t>Main formula</t>
        </is>
      </c>
      <c r="D311" s="2" t="inlineStr">
        <is>
          <t>O-B35 Beef shawarma sesame sauce</t>
        </is>
      </c>
      <c r="E311" s="3" t="n">
        <v>480</v>
      </c>
      <c r="F311" s="3" t="n">
        <v>2400</v>
      </c>
      <c r="G311" s="2">
        <f>IF(OR(COUNT(G255:G260)=0,Summary!D36=0),"",SUM(H255:H260)/Summary!D36*1000)</f>
        <v/>
      </c>
      <c r="H311" s="2">
        <f>IF(G311="","",E311/1000*G311)</f>
        <v/>
      </c>
      <c r="I311" s="2" t="inlineStr">
        <is>
          <t>Linked component subtotal; incomplete while any component input is unpriced. Component subtotal only</t>
        </is>
      </c>
      <c r="J311" s="2" t="inlineStr">
        <is>
          <t>O-B35</t>
        </is>
      </c>
    </row>
    <row r="312">
      <c r="A312" s="2" t="inlineStr">
        <is>
          <t>O-P14</t>
        </is>
      </c>
      <c r="B312" s="2" t="inlineStr">
        <is>
          <t>Complete beef shawarma</t>
        </is>
      </c>
      <c r="C312" s="2" t="inlineStr">
        <is>
          <t>Main formula</t>
        </is>
      </c>
      <c r="D312" s="2" t="inlineStr">
        <is>
          <t>O-B21 Cooked hot sauce</t>
        </is>
      </c>
      <c r="E312" s="3" t="n">
        <v>80</v>
      </c>
      <c r="F312" s="3" t="n">
        <v>400</v>
      </c>
      <c r="G312" s="2">
        <f>IF(OR(COUNT(G233:G240)=0,Summary!D32=0),"",SUM(H233:H240)/Summary!D32*1000)</f>
        <v/>
      </c>
      <c r="H312" s="2">
        <f>IF(G312="","",E312/1000*G312)</f>
        <v/>
      </c>
      <c r="I312" s="2" t="inlineStr">
        <is>
          <t>Linked component subtotal; incomplete while any component input is unpriced. Component subtotal only</t>
        </is>
      </c>
      <c r="J312" s="2" t="inlineStr">
        <is>
          <t>O-B21</t>
        </is>
      </c>
    </row>
    <row r="313">
      <c r="A313" s="2" t="inlineStr">
        <is>
          <t>O-P15</t>
        </is>
      </c>
      <c r="B313" s="2" t="inlineStr">
        <is>
          <t>Crispy chicken burger</t>
        </is>
      </c>
      <c r="C313" s="2" t="inlineStr">
        <is>
          <t>Main formula</t>
        </is>
      </c>
      <c r="D313" s="2" t="inlineStr">
        <is>
          <t>O-B25 Burger buns</t>
        </is>
      </c>
      <c r="E313" s="3" t="n">
        <v>870</v>
      </c>
      <c r="F313" s="3" t="n">
        <v>4350</v>
      </c>
      <c r="G313" s="2">
        <f>IF(OR(COUNT(G134:G141)=0,Summary!D18=0),"",SUM(H134:H141)/Summary!D18*1000)</f>
        <v/>
      </c>
      <c r="H313" s="2">
        <f>IF(G313="","",E313/1000*G313)</f>
        <v/>
      </c>
      <c r="I313" s="2" t="inlineStr">
        <is>
          <t>Linked component subtotal; incomplete while any component input is unpriced. Component subtotal only</t>
        </is>
      </c>
      <c r="J313" s="2" t="inlineStr">
        <is>
          <t>O-B25</t>
        </is>
      </c>
    </row>
    <row r="314">
      <c r="A314" s="2" t="inlineStr">
        <is>
          <t>O-P15</t>
        </is>
      </c>
      <c r="B314" s="2" t="inlineStr">
        <is>
          <t>Crispy chicken burger</t>
        </is>
      </c>
      <c r="C314" s="2" t="inlineStr">
        <is>
          <t>Main formula</t>
        </is>
      </c>
      <c r="D314" s="2" t="inlineStr">
        <is>
          <t>O-B26 Cooked crispy chicken pieces</t>
        </is>
      </c>
      <c r="E314" s="3" t="n">
        <v>1100</v>
      </c>
      <c r="F314" s="3" t="n">
        <v>5500</v>
      </c>
      <c r="G314" s="2">
        <f>IF(OR(COUNT(G142:G152)=0,Summary!D19=0),"",SUM(H142:H152)/Summary!D19*1000)</f>
        <v/>
      </c>
      <c r="H314" s="2">
        <f>IF(G314="","",E314/1000*G314)</f>
        <v/>
      </c>
      <c r="I314" s="2" t="inlineStr">
        <is>
          <t>Linked component subtotal; incomplete while any component input is unpriced. Component subtotal only</t>
        </is>
      </c>
      <c r="J314" s="2" t="inlineStr">
        <is>
          <t>O-B26</t>
        </is>
      </c>
    </row>
    <row r="315">
      <c r="A315" s="2" t="inlineStr">
        <is>
          <t>O-P15</t>
        </is>
      </c>
      <c r="B315" s="2" t="inlineStr">
        <is>
          <t>Crispy chicken burger</t>
        </is>
      </c>
      <c r="C315" s="2" t="inlineStr">
        <is>
          <t>Main formula</t>
        </is>
      </c>
      <c r="D315" s="2" t="inlineStr">
        <is>
          <t>O-B28 Burger sauce</t>
        </is>
      </c>
      <c r="E315" s="3" t="n">
        <v>250</v>
      </c>
      <c r="F315" s="3" t="n">
        <v>1250</v>
      </c>
      <c r="G315" s="2">
        <f>IF(OR(COUNT(G158:G162)=0,Summary!D21=0),"",SUM(H158:H162)/Summary!D21*1000)</f>
        <v/>
      </c>
      <c r="H315" s="2">
        <f>IF(G315="","",E315/1000*G315)</f>
        <v/>
      </c>
      <c r="I315" s="2" t="inlineStr">
        <is>
          <t>Linked component subtotal; incomplete while any component input is unpriced. Component subtotal only</t>
        </is>
      </c>
      <c r="J315" s="2" t="inlineStr">
        <is>
          <t>O-B28</t>
        </is>
      </c>
    </row>
    <row r="316">
      <c r="A316" s="2" t="inlineStr">
        <is>
          <t>O-P15</t>
        </is>
      </c>
      <c r="B316" s="2" t="inlineStr">
        <is>
          <t>Crispy chicken burger</t>
        </is>
      </c>
      <c r="C316" s="2" t="inlineStr">
        <is>
          <t>Main formula</t>
        </is>
      </c>
      <c r="D316" s="2" t="inlineStr">
        <is>
          <t>Lettuce trimmed</t>
        </is>
      </c>
      <c r="E316" s="3" t="n">
        <v>150</v>
      </c>
      <c r="F316" s="3" t="n">
        <v>750</v>
      </c>
      <c r="G316" s="2">
        <f>IF(Prices!B58="","",Prices!B58)</f>
        <v/>
      </c>
      <c r="H316" s="2">
        <f>IF(G316="","",E316/1000*G316)</f>
        <v/>
      </c>
      <c r="I316" s="2" t="inlineStr">
        <is>
          <t>Purchase quote/specification required</t>
        </is>
      </c>
      <c r="J316" s="2" t="inlineStr"/>
    </row>
    <row r="317">
      <c r="A317" s="2" t="inlineStr">
        <is>
          <t>O-P15</t>
        </is>
      </c>
      <c r="B317" s="2" t="inlineStr">
        <is>
          <t>Crispy chicken burger</t>
        </is>
      </c>
      <c r="C317" s="2" t="inlineStr">
        <is>
          <t>Main formula</t>
        </is>
      </c>
      <c r="D317" s="2" t="inlineStr">
        <is>
          <t>Tomato trimmed</t>
        </is>
      </c>
      <c r="E317" s="3" t="n">
        <v>250</v>
      </c>
      <c r="F317" s="3" t="n">
        <v>1250</v>
      </c>
      <c r="G317" s="2">
        <f>IF(Prices!B36="","",Prices!B36)</f>
        <v/>
      </c>
      <c r="H317" s="2">
        <f>IF(G317="","",E317/1000*G317)</f>
        <v/>
      </c>
      <c r="I317" s="2" t="inlineStr">
        <is>
          <t>Purchase quote/specification required</t>
        </is>
      </c>
      <c r="J317" s="2" t="inlineStr"/>
    </row>
    <row r="318">
      <c r="A318" s="2" t="inlineStr">
        <is>
          <t>O-P15</t>
        </is>
      </c>
      <c r="B318" s="2" t="inlineStr">
        <is>
          <t>Crispy chicken burger</t>
        </is>
      </c>
      <c r="C318" s="2" t="inlineStr">
        <is>
          <t>Main formula</t>
        </is>
      </c>
      <c r="D318" s="2" t="inlineStr">
        <is>
          <t>O-B23 Refrigerator cucumber pickles</t>
        </is>
      </c>
      <c r="E318" s="3" t="n">
        <v>100</v>
      </c>
      <c r="F318" s="3" t="n">
        <v>500</v>
      </c>
      <c r="G318" s="2">
        <f>IF(OR(COUNT(G247:G251)=0,Summary!D34=0),"",SUM(H247:H251)/Summary!D34*1000)</f>
        <v/>
      </c>
      <c r="H318" s="2">
        <f>IF(G318="","",E318/1000*G318)</f>
        <v/>
      </c>
      <c r="I318" s="2" t="inlineStr">
        <is>
          <t>Linked component subtotal; incomplete while any component input is unpriced. Component subtotal only</t>
        </is>
      </c>
      <c r="J318" s="2" t="inlineStr">
        <is>
          <t>O-B23</t>
        </is>
      </c>
    </row>
    <row r="319">
      <c r="A319" s="2" t="inlineStr">
        <is>
          <t>O-P16</t>
        </is>
      </c>
      <c r="B319" s="2" t="inlineStr">
        <is>
          <t>Beef cheeseburger</t>
        </is>
      </c>
      <c r="C319" s="2" t="inlineStr">
        <is>
          <t>Main formula</t>
        </is>
      </c>
      <c r="D319" s="2" t="inlineStr">
        <is>
          <t>O-B25 Burger buns</t>
        </is>
      </c>
      <c r="E319" s="3" t="n">
        <v>870</v>
      </c>
      <c r="F319" s="3" t="n">
        <v>4350</v>
      </c>
      <c r="G319" s="2">
        <f>IF(OR(COUNT(G134:G141)=0,Summary!D18=0),"",SUM(H134:H141)/Summary!D18*1000)</f>
        <v/>
      </c>
      <c r="H319" s="2">
        <f>IF(G319="","",E319/1000*G319)</f>
        <v/>
      </c>
      <c r="I319" s="2" t="inlineStr">
        <is>
          <t>Linked component subtotal; incomplete while any component input is unpriced. Component subtotal only</t>
        </is>
      </c>
      <c r="J319" s="2" t="inlineStr">
        <is>
          <t>O-B25</t>
        </is>
      </c>
    </row>
    <row r="320">
      <c r="A320" s="2" t="inlineStr">
        <is>
          <t>O-P16</t>
        </is>
      </c>
      <c r="B320" s="2" t="inlineStr">
        <is>
          <t>Beef cheeseburger</t>
        </is>
      </c>
      <c r="C320" s="2" t="inlineStr">
        <is>
          <t>Main formula</t>
        </is>
      </c>
      <c r="D320" s="2" t="inlineStr">
        <is>
          <t>O-B27 Cooked beef burger patties</t>
        </is>
      </c>
      <c r="E320" s="3" t="n">
        <v>750</v>
      </c>
      <c r="F320" s="3" t="n">
        <v>3750</v>
      </c>
      <c r="G320" s="2">
        <f>IF(OR(COUNT(G153:G157)=0,Summary!D20=0),"",SUM(H153:H157)/Summary!D20*1000)</f>
        <v/>
      </c>
      <c r="H320" s="2">
        <f>IF(G320="","",E320/1000*G320)</f>
        <v/>
      </c>
      <c r="I320" s="2" t="inlineStr">
        <is>
          <t>Linked component subtotal; incomplete while any component input is unpriced. Component subtotal only</t>
        </is>
      </c>
      <c r="J320" s="2" t="inlineStr">
        <is>
          <t>O-B27</t>
        </is>
      </c>
    </row>
    <row r="321">
      <c r="A321" s="2" t="inlineStr">
        <is>
          <t>O-P16</t>
        </is>
      </c>
      <c r="B321" s="2" t="inlineStr">
        <is>
          <t>Beef cheeseburger</t>
        </is>
      </c>
      <c r="C321" s="2" t="inlineStr">
        <is>
          <t>Main formula</t>
        </is>
      </c>
      <c r="D321" s="2" t="inlineStr">
        <is>
          <t>Cheese slices</t>
        </is>
      </c>
      <c r="E321" s="3" t="n">
        <v>200</v>
      </c>
      <c r="F321" s="3" t="n">
        <v>1000</v>
      </c>
      <c r="G321" s="2">
        <f>IF(Prices!B59="","",Prices!B59)</f>
        <v/>
      </c>
      <c r="H321" s="2">
        <f>IF(G321="","",E321/1000*G321)</f>
        <v/>
      </c>
      <c r="I321" s="2" t="inlineStr">
        <is>
          <t>Purchase quote/specification required</t>
        </is>
      </c>
      <c r="J321" s="2" t="inlineStr"/>
    </row>
    <row r="322">
      <c r="A322" s="2" t="inlineStr">
        <is>
          <t>O-P16</t>
        </is>
      </c>
      <c r="B322" s="2" t="inlineStr">
        <is>
          <t>Beef cheeseburger</t>
        </is>
      </c>
      <c r="C322" s="2" t="inlineStr">
        <is>
          <t>Main formula</t>
        </is>
      </c>
      <c r="D322" s="2" t="inlineStr">
        <is>
          <t>O-B28 Burger sauce</t>
        </is>
      </c>
      <c r="E322" s="3" t="n">
        <v>250</v>
      </c>
      <c r="F322" s="3" t="n">
        <v>1250</v>
      </c>
      <c r="G322" s="2">
        <f>IF(OR(COUNT(G158:G162)=0,Summary!D21=0),"",SUM(H158:H162)/Summary!D21*1000)</f>
        <v/>
      </c>
      <c r="H322" s="2">
        <f>IF(G322="","",E322/1000*G322)</f>
        <v/>
      </c>
      <c r="I322" s="2" t="inlineStr">
        <is>
          <t>Linked component subtotal; incomplete while any component input is unpriced. Component subtotal only</t>
        </is>
      </c>
      <c r="J322" s="2" t="inlineStr">
        <is>
          <t>O-B28</t>
        </is>
      </c>
    </row>
    <row r="323">
      <c r="A323" s="2" t="inlineStr">
        <is>
          <t>O-P16</t>
        </is>
      </c>
      <c r="B323" s="2" t="inlineStr">
        <is>
          <t>Beef cheeseburger</t>
        </is>
      </c>
      <c r="C323" s="2" t="inlineStr">
        <is>
          <t>Main formula</t>
        </is>
      </c>
      <c r="D323" s="2" t="inlineStr">
        <is>
          <t>Lettuce trimmed</t>
        </is>
      </c>
      <c r="E323" s="3" t="n">
        <v>150</v>
      </c>
      <c r="F323" s="3" t="n">
        <v>750</v>
      </c>
      <c r="G323" s="2">
        <f>IF(Prices!B58="","",Prices!B58)</f>
        <v/>
      </c>
      <c r="H323" s="2">
        <f>IF(G323="","",E323/1000*G323)</f>
        <v/>
      </c>
      <c r="I323" s="2" t="inlineStr">
        <is>
          <t>Purchase quote/specification required</t>
        </is>
      </c>
      <c r="J323" s="2" t="inlineStr"/>
    </row>
    <row r="324">
      <c r="A324" s="2" t="inlineStr">
        <is>
          <t>O-P16</t>
        </is>
      </c>
      <c r="B324" s="2" t="inlineStr">
        <is>
          <t>Beef cheeseburger</t>
        </is>
      </c>
      <c r="C324" s="2" t="inlineStr">
        <is>
          <t>Main formula</t>
        </is>
      </c>
      <c r="D324" s="2" t="inlineStr">
        <is>
          <t>Tomato trimmed</t>
        </is>
      </c>
      <c r="E324" s="3" t="n">
        <v>250</v>
      </c>
      <c r="F324" s="3" t="n">
        <v>1250</v>
      </c>
      <c r="G324" s="2">
        <f>IF(Prices!B36="","",Prices!B36)</f>
        <v/>
      </c>
      <c r="H324" s="2">
        <f>IF(G324="","",E324/1000*G324)</f>
        <v/>
      </c>
      <c r="I324" s="2" t="inlineStr">
        <is>
          <t>Purchase quote/specification required</t>
        </is>
      </c>
      <c r="J324" s="2" t="inlineStr"/>
    </row>
    <row r="325">
      <c r="A325" s="2" t="inlineStr">
        <is>
          <t>O-P16</t>
        </is>
      </c>
      <c r="B325" s="2" t="inlineStr">
        <is>
          <t>Beef cheeseburger</t>
        </is>
      </c>
      <c r="C325" s="2" t="inlineStr">
        <is>
          <t>Main formula</t>
        </is>
      </c>
      <c r="D325" s="2" t="inlineStr">
        <is>
          <t>Onion trimmed</t>
        </is>
      </c>
      <c r="E325" s="3" t="n">
        <v>100</v>
      </c>
      <c r="F325" s="3" t="n">
        <v>500</v>
      </c>
      <c r="G325" s="2">
        <f>IF(Prices!B17="","",Prices!B17)</f>
        <v/>
      </c>
      <c r="H325" s="2">
        <f>IF(G325="","",E325/1000*G325)</f>
        <v/>
      </c>
      <c r="I325" s="2" t="inlineStr">
        <is>
          <t>Purchase quote/specification required</t>
        </is>
      </c>
      <c r="J325" s="2" t="inlineStr"/>
    </row>
    <row r="326">
      <c r="A326" s="2" t="inlineStr">
        <is>
          <t>O-P16</t>
        </is>
      </c>
      <c r="B326" s="2" t="inlineStr">
        <is>
          <t>Beef cheeseburger</t>
        </is>
      </c>
      <c r="C326" s="2" t="inlineStr">
        <is>
          <t>Main formula</t>
        </is>
      </c>
      <c r="D326" s="2" t="inlineStr">
        <is>
          <t>O-B23 Refrigerator cucumber pickles</t>
        </is>
      </c>
      <c r="E326" s="3" t="n">
        <v>100</v>
      </c>
      <c r="F326" s="3" t="n">
        <v>500</v>
      </c>
      <c r="G326" s="2">
        <f>IF(OR(COUNT(G247:G251)=0,Summary!D34=0),"",SUM(H247:H251)/Summary!D34*1000)</f>
        <v/>
      </c>
      <c r="H326" s="2">
        <f>IF(G326="","",E326/1000*G326)</f>
        <v/>
      </c>
      <c r="I326" s="2" t="inlineStr">
        <is>
          <t>Linked component subtotal; incomplete while any component input is unpriced. Component subtotal only</t>
        </is>
      </c>
      <c r="J326" s="2" t="inlineStr">
        <is>
          <t>O-B23</t>
        </is>
      </c>
    </row>
    <row r="327">
      <c r="A327" s="2" t="inlineStr">
        <is>
          <t>O-P17</t>
        </is>
      </c>
      <c r="B327" s="2" t="inlineStr">
        <is>
          <t>Crispy chicken and fries box</t>
        </is>
      </c>
      <c r="C327" s="2" t="inlineStr">
        <is>
          <t>Main formula</t>
        </is>
      </c>
      <c r="D327" s="2" t="inlineStr">
        <is>
          <t>O-B26 Cooked crispy chicken pieces</t>
        </is>
      </c>
      <c r="E327" s="3" t="n">
        <v>1100</v>
      </c>
      <c r="F327" s="3" t="n">
        <v>5500</v>
      </c>
      <c r="G327" s="2">
        <f>IF(OR(COUNT(G142:G152)=0,Summary!D19=0),"",SUM(H142:H152)/Summary!D19*1000)</f>
        <v/>
      </c>
      <c r="H327" s="2">
        <f>IF(G327="","",E327/1000*G327)</f>
        <v/>
      </c>
      <c r="I327" s="2" t="inlineStr">
        <is>
          <t>Linked component subtotal; incomplete while any component input is unpriced. Component subtotal only</t>
        </is>
      </c>
      <c r="J327" s="2" t="inlineStr">
        <is>
          <t>O-B26</t>
        </is>
      </c>
    </row>
    <row r="328">
      <c r="A328" s="2" t="inlineStr">
        <is>
          <t>O-P17</t>
        </is>
      </c>
      <c r="B328" s="2" t="inlineStr">
        <is>
          <t>Crispy chicken and fries box</t>
        </is>
      </c>
      <c r="C328" s="2" t="inlineStr">
        <is>
          <t>Main formula</t>
        </is>
      </c>
      <c r="D328" s="2" t="inlineStr">
        <is>
          <t>O-B24 Crisp fries</t>
        </is>
      </c>
      <c r="E328" s="3" t="n">
        <v>750</v>
      </c>
      <c r="F328" s="3" t="n">
        <v>3750</v>
      </c>
      <c r="G328" s="2">
        <f>IF(OR(COUNT(G252:G254)=0,Summary!D35=0),"",SUM(H252:H254)/Summary!D35*1000)</f>
        <v/>
      </c>
      <c r="H328" s="2">
        <f>IF(G328="","",E328/1000*G328)</f>
        <v/>
      </c>
      <c r="I328" s="2" t="inlineStr">
        <is>
          <t>Linked component subtotal; incomplete while any component input is unpriced. Component subtotal only</t>
        </is>
      </c>
      <c r="J328" s="2" t="inlineStr">
        <is>
          <t>O-B24</t>
        </is>
      </c>
    </row>
    <row r="329">
      <c r="A329" s="2" t="inlineStr">
        <is>
          <t>O-P17</t>
        </is>
      </c>
      <c r="B329" s="2" t="inlineStr">
        <is>
          <t>Crispy chicken and fries box</t>
        </is>
      </c>
      <c r="C329" s="2" t="inlineStr">
        <is>
          <t>Main formula</t>
        </is>
      </c>
      <c r="D329" s="2" t="inlineStr">
        <is>
          <t>O-B28 Burger sauce</t>
        </is>
      </c>
      <c r="E329" s="3" t="n">
        <v>150</v>
      </c>
      <c r="F329" s="3" t="n">
        <v>750</v>
      </c>
      <c r="G329" s="2">
        <f>IF(OR(COUNT(G158:G162)=0,Summary!D21=0),"",SUM(H158:H162)/Summary!D21*1000)</f>
        <v/>
      </c>
      <c r="H329" s="2">
        <f>IF(G329="","",E329/1000*G329)</f>
        <v/>
      </c>
      <c r="I329" s="2" t="inlineStr">
        <is>
          <t>Linked component subtotal; incomplete while any component input is unpriced. Component subtotal only</t>
        </is>
      </c>
      <c r="J329" s="2" t="inlineStr">
        <is>
          <t>O-B28</t>
        </is>
      </c>
    </row>
    <row r="330">
      <c r="A330" s="2" t="inlineStr">
        <is>
          <t>O-P18</t>
        </is>
      </c>
      <c r="B330" s="2" t="inlineStr">
        <is>
          <t>Chicken vegetable samosas</t>
        </is>
      </c>
      <c r="C330" s="2" t="inlineStr">
        <is>
          <t>Main formula</t>
        </is>
      </c>
      <c r="D330" s="2" t="inlineStr">
        <is>
          <t>O-B29 Samosa wrapper dough</t>
        </is>
      </c>
      <c r="E330" s="3" t="n">
        <v>1510</v>
      </c>
      <c r="F330" s="3" t="n">
        <v>7550</v>
      </c>
      <c r="G330" s="2">
        <f>IF(OR(COUNT(G163:G166)=0,Summary!D22=0),"",SUM(H163:H166)/Summary!D22*1000)</f>
        <v/>
      </c>
      <c r="H330" s="2">
        <f>IF(G330="","",E330/1000*G330)</f>
        <v/>
      </c>
      <c r="I330" s="2" t="inlineStr">
        <is>
          <t>Linked component subtotal; incomplete while any component input is unpriced. Component subtotal only</t>
        </is>
      </c>
      <c r="J330" s="2" t="inlineStr">
        <is>
          <t>O-B29</t>
        </is>
      </c>
    </row>
    <row r="331">
      <c r="A331" s="2" t="inlineStr">
        <is>
          <t>O-P18</t>
        </is>
      </c>
      <c r="B331" s="2" t="inlineStr">
        <is>
          <t>Chicken vegetable samosas</t>
        </is>
      </c>
      <c r="C331" s="2" t="inlineStr">
        <is>
          <t>Main formula</t>
        </is>
      </c>
      <c r="D331" s="2" t="inlineStr">
        <is>
          <t>O-B31 Chicken vegetable samosa filling</t>
        </is>
      </c>
      <c r="E331" s="3" t="n">
        <v>2000</v>
      </c>
      <c r="F331" s="3" t="n">
        <v>10000</v>
      </c>
      <c r="G331" s="2">
        <f>IF(OR(COUNT(G169:G179)=0,Summary!D24=0),"",SUM(H169:H179)/Summary!D24*1000)</f>
        <v/>
      </c>
      <c r="H331" s="2">
        <f>IF(G331="","",E331/1000*G331)</f>
        <v/>
      </c>
      <c r="I331" s="2" t="inlineStr">
        <is>
          <t>Linked component subtotal; incomplete while any component input is unpriced. Component subtotal only</t>
        </is>
      </c>
      <c r="J331" s="2" t="inlineStr">
        <is>
          <t>O-B31</t>
        </is>
      </c>
    </row>
    <row r="332">
      <c r="A332" s="2" t="inlineStr">
        <is>
          <t>O-P18</t>
        </is>
      </c>
      <c r="B332" s="2" t="inlineStr">
        <is>
          <t>Chicken vegetable samosas</t>
        </is>
      </c>
      <c r="C332" s="2" t="inlineStr">
        <is>
          <t>Main formula</t>
        </is>
      </c>
      <c r="D332" s="2" t="inlineStr">
        <is>
          <t>O-B30 Samosa sealing paste</t>
        </is>
      </c>
      <c r="E332" s="3" t="n">
        <v>100</v>
      </c>
      <c r="F332" s="3" t="n">
        <v>500</v>
      </c>
      <c r="G332" s="2">
        <f>IF(OR(COUNT(G167:G168)=0,Summary!D23=0),"",SUM(H167:H168)/Summary!D23*1000)</f>
        <v/>
      </c>
      <c r="H332" s="2">
        <f>IF(G332="","",E332/1000*G332)</f>
        <v/>
      </c>
      <c r="I332" s="2" t="inlineStr">
        <is>
          <t>Linked component subtotal; incomplete while any component input is unpriced. Component subtotal only</t>
        </is>
      </c>
      <c r="J332" s="2" t="inlineStr">
        <is>
          <t>O-B30</t>
        </is>
      </c>
    </row>
    <row r="333">
      <c r="A333" s="2" t="inlineStr">
        <is>
          <t>O-P18</t>
        </is>
      </c>
      <c r="B333" s="2" t="inlineStr">
        <is>
          <t>Chicken vegetable samosas</t>
        </is>
      </c>
      <c r="C333" s="2" t="inlineStr">
        <is>
          <t>Main formula</t>
        </is>
      </c>
      <c r="D333" s="2" t="inlineStr">
        <is>
          <t>Oil</t>
        </is>
      </c>
      <c r="E333" s="3" t="n">
        <v>200</v>
      </c>
      <c r="F333" s="3" t="n">
        <v>1000</v>
      </c>
      <c r="G333" s="2">
        <f>IF(Prices!B19="","",Prices!B19)</f>
        <v/>
      </c>
      <c r="H333" s="2">
        <f>IF(G333="","",E333/1000*G333)</f>
        <v/>
      </c>
      <c r="I333" s="2" t="inlineStr">
        <is>
          <t>PROVISIONAL 0.92 kg/L; correct after weighing</t>
        </is>
      </c>
      <c r="J333" s="2" t="inlineStr"/>
    </row>
    <row r="334">
      <c r="A334" s="2" t="inlineStr">
        <is>
          <t>O-P19</t>
        </is>
      </c>
      <c r="B334" s="2" t="inlineStr">
        <is>
          <t>Loaded chicken shawarma fries</t>
        </is>
      </c>
      <c r="C334" s="2" t="inlineStr">
        <is>
          <t>Main formula</t>
        </is>
      </c>
      <c r="D334" s="2" t="inlineStr">
        <is>
          <t>O-B24 Crisp fries</t>
        </is>
      </c>
      <c r="E334" s="3" t="n">
        <v>900</v>
      </c>
      <c r="F334" s="3" t="n">
        <v>4500</v>
      </c>
      <c r="G334" s="2">
        <f>IF(OR(COUNT(G252:G254)=0,Summary!D35=0),"",SUM(H252:H254)/Summary!D35*1000)</f>
        <v/>
      </c>
      <c r="H334" s="2">
        <f>IF(G334="","",E334/1000*G334)</f>
        <v/>
      </c>
      <c r="I334" s="2" t="inlineStr">
        <is>
          <t>Linked component subtotal; incomplete while any component input is unpriced. Component subtotal only</t>
        </is>
      </c>
      <c r="J334" s="2" t="inlineStr">
        <is>
          <t>O-B24</t>
        </is>
      </c>
    </row>
    <row r="335">
      <c r="A335" s="2" t="inlineStr">
        <is>
          <t>O-P19</t>
        </is>
      </c>
      <c r="B335" s="2" t="inlineStr">
        <is>
          <t>Loaded chicken shawarma fries</t>
        </is>
      </c>
      <c r="C335" s="2" t="inlineStr">
        <is>
          <t>Main formula</t>
        </is>
      </c>
      <c r="D335" s="2" t="inlineStr">
        <is>
          <t>O-B18 Cooked chicken shawarma meat</t>
        </is>
      </c>
      <c r="E335" s="3" t="n">
        <v>400</v>
      </c>
      <c r="F335" s="3" t="n">
        <v>2000</v>
      </c>
      <c r="G335" s="2">
        <f>IF(OR(COUNT(G202:G214)=0,Summary!D29=0),"",SUM(H202:H214)/Summary!D29*1000)</f>
        <v/>
      </c>
      <c r="H335" s="2">
        <f>IF(G335="","",E335/1000*G335)</f>
        <v/>
      </c>
      <c r="I335" s="2" t="inlineStr">
        <is>
          <t>Linked component subtotal; incomplete while any component input is unpriced. Component subtotal only</t>
        </is>
      </c>
      <c r="J335" s="2" t="inlineStr">
        <is>
          <t>O-B18</t>
        </is>
      </c>
    </row>
    <row r="336">
      <c r="A336" s="2" t="inlineStr">
        <is>
          <t>O-P19</t>
        </is>
      </c>
      <c r="B336" s="2" t="inlineStr">
        <is>
          <t>Loaded chicken shawarma fries</t>
        </is>
      </c>
      <c r="C336" s="2" t="inlineStr">
        <is>
          <t>Main formula</t>
        </is>
      </c>
      <c r="D336" s="2" t="inlineStr">
        <is>
          <t>O-B20 Garlic mayonnaise sauce</t>
        </is>
      </c>
      <c r="E336" s="3" t="n">
        <v>125</v>
      </c>
      <c r="F336" s="3" t="n">
        <v>625</v>
      </c>
      <c r="G336" s="2">
        <f>IF(OR(COUNT(G227:G232)=0,Summary!D31=0),"",SUM(H227:H232)/Summary!D31*1000)</f>
        <v/>
      </c>
      <c r="H336" s="2">
        <f>IF(G336="","",E336/1000*G336)</f>
        <v/>
      </c>
      <c r="I336" s="2" t="inlineStr">
        <is>
          <t>Linked component subtotal; incomplete while any component input is unpriced. Component subtotal only</t>
        </is>
      </c>
      <c r="J336" s="2" t="inlineStr">
        <is>
          <t>O-B20</t>
        </is>
      </c>
    </row>
    <row r="337">
      <c r="A337" s="2" t="inlineStr">
        <is>
          <t>O-P19</t>
        </is>
      </c>
      <c r="B337" s="2" t="inlineStr">
        <is>
          <t>Loaded chicken shawarma fries</t>
        </is>
      </c>
      <c r="C337" s="2" t="inlineStr">
        <is>
          <t>Main formula</t>
        </is>
      </c>
      <c r="D337" s="2" t="inlineStr">
        <is>
          <t>O-B21 Cooked hot sauce</t>
        </is>
      </c>
      <c r="E337" s="3" t="n">
        <v>25</v>
      </c>
      <c r="F337" s="3" t="n">
        <v>125</v>
      </c>
      <c r="G337" s="2">
        <f>IF(OR(COUNT(G233:G240)=0,Summary!D32=0),"",SUM(H233:H240)/Summary!D32*1000)</f>
        <v/>
      </c>
      <c r="H337" s="2">
        <f>IF(G337="","",E337/1000*G337)</f>
        <v/>
      </c>
      <c r="I337" s="2" t="inlineStr">
        <is>
          <t>Linked component subtotal; incomplete while any component input is unpriced. Component subtotal only</t>
        </is>
      </c>
      <c r="J337" s="2" t="inlineStr">
        <is>
          <t>O-B21</t>
        </is>
      </c>
    </row>
    <row r="338">
      <c r="A338" s="2" t="inlineStr">
        <is>
          <t>O-P19</t>
        </is>
      </c>
      <c r="B338" s="2" t="inlineStr">
        <is>
          <t>Loaded chicken shawarma fries</t>
        </is>
      </c>
      <c r="C338" s="2" t="inlineStr">
        <is>
          <t>Main formula</t>
        </is>
      </c>
      <c r="D338" s="2" t="inlineStr">
        <is>
          <t>O-B23 Refrigerator cucumber pickles</t>
        </is>
      </c>
      <c r="E338" s="3" t="n">
        <v>75</v>
      </c>
      <c r="F338" s="3" t="n">
        <v>375</v>
      </c>
      <c r="G338" s="2">
        <f>IF(OR(COUNT(G247:G251)=0,Summary!D34=0),"",SUM(H247:H251)/Summary!D34*1000)</f>
        <v/>
      </c>
      <c r="H338" s="2">
        <f>IF(G338="","",E338/1000*G338)</f>
        <v/>
      </c>
      <c r="I338" s="2" t="inlineStr">
        <is>
          <t>Linked component subtotal; incomplete while any component input is unpriced. Component subtotal only</t>
        </is>
      </c>
      <c r="J338" s="2" t="inlineStr">
        <is>
          <t>O-B23</t>
        </is>
      </c>
    </row>
    <row r="339">
      <c r="A339" s="2" t="inlineStr">
        <is>
          <t>O-P20</t>
        </is>
      </c>
      <c r="B339" s="2" t="inlineStr">
        <is>
          <t>Condensed milk soaked cake portions</t>
        </is>
      </c>
      <c r="C339" s="2" t="inlineStr">
        <is>
          <t>Main formula</t>
        </is>
      </c>
      <c r="D339" s="2" t="inlineStr">
        <is>
          <t>O-B32 baked milk cake sponge</t>
        </is>
      </c>
      <c r="E339" s="3" t="n">
        <v>950</v>
      </c>
      <c r="F339" s="3" t="n">
        <v>4750</v>
      </c>
      <c r="G339" s="2">
        <f>IF(OR(COUNT(G180:G187)=0,Summary!D25=0),"",SUM(H180:H187)/Summary!D25*1000)</f>
        <v/>
      </c>
      <c r="H339" s="2">
        <f>IF(G339="","",E339/1000*G339)</f>
        <v/>
      </c>
      <c r="I339" s="2" t="inlineStr">
        <is>
          <t>Linked component subtotal; incomplete while any component input is unpriced. Component subtotal only</t>
        </is>
      </c>
      <c r="J339" s="2" t="inlineStr">
        <is>
          <t>O-B32</t>
        </is>
      </c>
    </row>
    <row r="340">
      <c r="A340" s="2" t="inlineStr">
        <is>
          <t>O-P20</t>
        </is>
      </c>
      <c r="B340" s="2" t="inlineStr">
        <is>
          <t>Condensed milk soaked cake portions</t>
        </is>
      </c>
      <c r="C340" s="2" t="inlineStr">
        <is>
          <t>Main formula</t>
        </is>
      </c>
      <c r="D340" s="2" t="inlineStr">
        <is>
          <t>O-B33 Three milk soak</t>
        </is>
      </c>
      <c r="E340" s="3" t="n">
        <v>800</v>
      </c>
      <c r="F340" s="3" t="n">
        <v>4000</v>
      </c>
      <c r="G340" s="2">
        <f>IF(OR(COUNT(G188:G190)=0,Summary!D26=0),"",SUM(H188:H190)/Summary!D26*1000)</f>
        <v/>
      </c>
      <c r="H340" s="2">
        <f>IF(G340="","",E340/1000*G340)</f>
        <v/>
      </c>
      <c r="I340" s="2" t="inlineStr">
        <is>
          <t>Linked component subtotal; incomplete while any component input is unpriced. Component subtotal only</t>
        </is>
      </c>
      <c r="J340" s="2" t="inlineStr">
        <is>
          <t>O-B33</t>
        </is>
      </c>
    </row>
    <row r="341">
      <c r="A341" s="2" t="inlineStr">
        <is>
          <t>O-A01</t>
        </is>
      </c>
      <c r="B341" s="2" t="inlineStr">
        <is>
          <t>Roast chicken burger — ten-unit pilot</t>
        </is>
      </c>
      <c r="C341" s="2" t="inlineStr">
        <is>
          <t>Main formula</t>
        </is>
      </c>
      <c r="D341" s="2" t="inlineStr">
        <is>
          <t>O-B25 baked bun</t>
        </is>
      </c>
      <c r="E341" s="3" t="n">
        <v>870</v>
      </c>
      <c r="F341" s="3" t="n">
        <v>4350</v>
      </c>
      <c r="G341" s="2">
        <f>IF(OR(COUNT(G134:G141)=0,Summary!D18=0),"",SUM(H134:H141)/Summary!D18*1000)</f>
        <v/>
      </c>
      <c r="H341" s="2">
        <f>IF(G341="","",E341/1000*G341)</f>
        <v/>
      </c>
      <c r="I341" s="2" t="inlineStr">
        <is>
          <t>Linked component subtotal; incomplete while any component input is unpriced. Component subtotal only</t>
        </is>
      </c>
      <c r="J341" s="2" t="inlineStr">
        <is>
          <t>O-B25</t>
        </is>
      </c>
    </row>
    <row r="342">
      <c r="A342" s="2" t="inlineStr">
        <is>
          <t>O-A01</t>
        </is>
      </c>
      <c r="B342" s="2" t="inlineStr">
        <is>
          <t>Roast chicken burger — ten-unit pilot</t>
        </is>
      </c>
      <c r="C342" s="2" t="inlineStr">
        <is>
          <t>Main formula</t>
        </is>
      </c>
      <c r="D342" s="2" t="inlineStr">
        <is>
          <t>O-B18 chicken before final heating (95% retention trial)</t>
        </is>
      </c>
      <c r="E342" s="3" t="n">
        <v>1157.894736842105</v>
      </c>
      <c r="F342" s="3" t="n">
        <v>5789.473684210527</v>
      </c>
      <c r="G342" s="2">
        <f>IF(OR(COUNT(G202:G214)=0,Summary!D29=0),"",SUM(H202:H214)/Summary!D29*1000)</f>
        <v/>
      </c>
      <c r="H342" s="2">
        <f>IF(G342="","",E342/1000*G342)</f>
        <v/>
      </c>
      <c r="I342" s="2" t="inlineStr">
        <is>
          <t>Linked component subtotal; incomplete while any component input is unpriced. Component subtotal only</t>
        </is>
      </c>
      <c r="J342" s="2" t="inlineStr">
        <is>
          <t>O-B18</t>
        </is>
      </c>
    </row>
    <row r="343">
      <c r="A343" s="2" t="inlineStr">
        <is>
          <t>O-A01</t>
        </is>
      </c>
      <c r="B343" s="2" t="inlineStr">
        <is>
          <t>Roast chicken burger — ten-unit pilot</t>
        </is>
      </c>
      <c r="C343" s="2" t="inlineStr">
        <is>
          <t>Main formula</t>
        </is>
      </c>
      <c r="D343" s="2" t="inlineStr">
        <is>
          <t>O-B28 burger sauce</t>
        </is>
      </c>
      <c r="E343" s="3" t="n">
        <v>250</v>
      </c>
      <c r="F343" s="3" t="n">
        <v>1250</v>
      </c>
      <c r="G343" s="2">
        <f>IF(OR(COUNT(G158:G162)=0,Summary!D21=0),"",SUM(H158:H162)/Summary!D21*1000)</f>
        <v/>
      </c>
      <c r="H343" s="2">
        <f>IF(G343="","",E343/1000*G343)</f>
        <v/>
      </c>
      <c r="I343" s="2" t="inlineStr">
        <is>
          <t>Linked component subtotal; incomplete while any component input is unpriced. Component subtotal only</t>
        </is>
      </c>
      <c r="J343" s="2" t="inlineStr">
        <is>
          <t>O-B28</t>
        </is>
      </c>
    </row>
    <row r="344">
      <c r="A344" s="2" t="inlineStr">
        <is>
          <t>O-A01</t>
        </is>
      </c>
      <c r="B344" s="2" t="inlineStr">
        <is>
          <t>Roast chicken burger — ten-unit pilot</t>
        </is>
      </c>
      <c r="C344" s="2" t="inlineStr">
        <is>
          <t>Main formula</t>
        </is>
      </c>
      <c r="D344" s="2" t="inlineStr">
        <is>
          <t>Lettuce</t>
        </is>
      </c>
      <c r="E344" s="3" t="n">
        <v>150</v>
      </c>
      <c r="F344" s="3" t="n">
        <v>750</v>
      </c>
      <c r="G344" s="2">
        <f>IF(Prices!B60="","",Prices!B60)</f>
        <v/>
      </c>
      <c r="H344" s="2">
        <f>IF(G344="","",E344/1000*G344)</f>
        <v/>
      </c>
      <c r="I344" s="2" t="inlineStr">
        <is>
          <t>Purchase quote/specification required</t>
        </is>
      </c>
      <c r="J344" s="2" t="inlineStr"/>
    </row>
    <row r="345">
      <c r="A345" s="2" t="inlineStr">
        <is>
          <t>O-A01</t>
        </is>
      </c>
      <c r="B345" s="2" t="inlineStr">
        <is>
          <t>Roast chicken burger — ten-unit pilot</t>
        </is>
      </c>
      <c r="C345" s="2" t="inlineStr">
        <is>
          <t>Main formula</t>
        </is>
      </c>
      <c r="D345" s="2" t="inlineStr">
        <is>
          <t>Tomato</t>
        </is>
      </c>
      <c r="E345" s="3" t="n">
        <v>250</v>
      </c>
      <c r="F345" s="3" t="n">
        <v>1250</v>
      </c>
      <c r="G345" s="2">
        <f>IF(Prices!B61="","",Prices!B61)</f>
        <v/>
      </c>
      <c r="H345" s="2">
        <f>IF(G345="","",E345/1000*G345)</f>
        <v/>
      </c>
      <c r="I345" s="2" t="inlineStr">
        <is>
          <t>Purchase quote/specification required</t>
        </is>
      </c>
      <c r="J345" s="2" t="inlineStr"/>
    </row>
    <row r="346">
      <c r="A346" s="2" t="inlineStr">
        <is>
          <t>O-A01</t>
        </is>
      </c>
      <c r="B346" s="2" t="inlineStr">
        <is>
          <t>Roast chicken burger — ten-unit pilot</t>
        </is>
      </c>
      <c r="C346" s="2" t="inlineStr">
        <is>
          <t>Main formula</t>
        </is>
      </c>
      <c r="D346" s="2" t="inlineStr">
        <is>
          <t>O-B23 drained pickles</t>
        </is>
      </c>
      <c r="E346" s="3" t="n">
        <v>100</v>
      </c>
      <c r="F346" s="3" t="n">
        <v>500</v>
      </c>
      <c r="G346" s="2">
        <f>IF(OR(COUNT(G247:G251)=0,Summary!D34=0),"",SUM(H247:H251)/Summary!D34*1000)</f>
        <v/>
      </c>
      <c r="H346" s="2">
        <f>IF(G346="","",E346/1000*G346)</f>
        <v/>
      </c>
      <c r="I346" s="2" t="inlineStr">
        <is>
          <t>Linked component subtotal; incomplete while any component input is unpriced. Component subtotal only</t>
        </is>
      </c>
      <c r="J346" s="2" t="inlineStr">
        <is>
          <t>O-B23</t>
        </is>
      </c>
    </row>
    <row r="347">
      <c r="A347" s="2" t="inlineStr">
        <is>
          <t>O-A02</t>
        </is>
      </c>
      <c r="B347" s="2" t="inlineStr">
        <is>
          <t>Lemon-garlic fish burger — ten-unit pilot</t>
        </is>
      </c>
      <c r="C347" s="2" t="inlineStr">
        <is>
          <t>Main formula</t>
        </is>
      </c>
      <c r="D347" s="2" t="inlineStr">
        <is>
          <t>O-B25 baked bun</t>
        </is>
      </c>
      <c r="E347" s="3" t="n">
        <v>870</v>
      </c>
      <c r="F347" s="3" t="n">
        <v>4350</v>
      </c>
      <c r="G347" s="2">
        <f>IF(OR(COUNT(G134:G141)=0,Summary!D18=0),"",SUM(H134:H141)/Summary!D18*1000)</f>
        <v/>
      </c>
      <c r="H347" s="2">
        <f>IF(G347="","",E347/1000*G347)</f>
        <v/>
      </c>
      <c r="I347" s="2" t="inlineStr">
        <is>
          <t>Linked component subtotal; incomplete while any component input is unpriced. Component subtotal only</t>
        </is>
      </c>
      <c r="J347" s="2" t="inlineStr">
        <is>
          <t>O-B25</t>
        </is>
      </c>
    </row>
    <row r="348">
      <c r="A348" s="2" t="inlineStr">
        <is>
          <t>O-A02</t>
        </is>
      </c>
      <c r="B348" s="2" t="inlineStr">
        <is>
          <t>Lemon-garlic fish burger — ten-unit pilot</t>
        </is>
      </c>
      <c r="C348" s="2" t="inlineStr">
        <is>
          <t>Main formula</t>
        </is>
      </c>
      <c r="D348" s="2" t="inlineStr">
        <is>
          <t>O-B36 fish before final heating (95% retention trial)</t>
        </is>
      </c>
      <c r="E348" s="3" t="n">
        <v>1263.157894736842</v>
      </c>
      <c r="F348" s="3" t="n">
        <v>6315.78947368421</v>
      </c>
      <c r="G348" s="2">
        <f>IF(OR(COUNT(G261:G267)=0,Summary!D37=0),"",SUM(H261:H267)/Summary!D37*1000)</f>
        <v/>
      </c>
      <c r="H348" s="2">
        <f>IF(G348="","",E348/1000*G348)</f>
        <v/>
      </c>
      <c r="I348" s="2" t="inlineStr">
        <is>
          <t>Linked component subtotal; incomplete while any component input is unpriced. Component subtotal only</t>
        </is>
      </c>
      <c r="J348" s="2" t="inlineStr">
        <is>
          <t>O-B36</t>
        </is>
      </c>
    </row>
    <row r="349">
      <c r="A349" s="2" t="inlineStr">
        <is>
          <t>O-A02</t>
        </is>
      </c>
      <c r="B349" s="2" t="inlineStr">
        <is>
          <t>Lemon-garlic fish burger — ten-unit pilot</t>
        </is>
      </c>
      <c r="C349" s="2" t="inlineStr">
        <is>
          <t>Main formula</t>
        </is>
      </c>
      <c r="D349" s="2" t="inlineStr">
        <is>
          <t>O-B28 burger sauce</t>
        </is>
      </c>
      <c r="E349" s="3" t="n">
        <v>250</v>
      </c>
      <c r="F349" s="3" t="n">
        <v>1250</v>
      </c>
      <c r="G349" s="2">
        <f>IF(OR(COUNT(G158:G162)=0,Summary!D21=0),"",SUM(H158:H162)/Summary!D21*1000)</f>
        <v/>
      </c>
      <c r="H349" s="2">
        <f>IF(G349="","",E349/1000*G349)</f>
        <v/>
      </c>
      <c r="I349" s="2" t="inlineStr">
        <is>
          <t>Linked component subtotal; incomplete while any component input is unpriced. Component subtotal only</t>
        </is>
      </c>
      <c r="J349" s="2" t="inlineStr">
        <is>
          <t>O-B28</t>
        </is>
      </c>
    </row>
    <row r="350">
      <c r="A350" s="2" t="inlineStr">
        <is>
          <t>O-A02</t>
        </is>
      </c>
      <c r="B350" s="2" t="inlineStr">
        <is>
          <t>Lemon-garlic fish burger — ten-unit pilot</t>
        </is>
      </c>
      <c r="C350" s="2" t="inlineStr">
        <is>
          <t>Main formula</t>
        </is>
      </c>
      <c r="D350" s="2" t="inlineStr">
        <is>
          <t>Lettuce</t>
        </is>
      </c>
      <c r="E350" s="3" t="n">
        <v>150</v>
      </c>
      <c r="F350" s="3" t="n">
        <v>750</v>
      </c>
      <c r="G350" s="2">
        <f>IF(Prices!B60="","",Prices!B60)</f>
        <v/>
      </c>
      <c r="H350" s="2">
        <f>IF(G350="","",E350/1000*G350)</f>
        <v/>
      </c>
      <c r="I350" s="2" t="inlineStr">
        <is>
          <t>Purchase quote/specification required</t>
        </is>
      </c>
      <c r="J350" s="2" t="inlineStr"/>
    </row>
    <row r="351">
      <c r="A351" s="2" t="inlineStr">
        <is>
          <t>O-A02</t>
        </is>
      </c>
      <c r="B351" s="2" t="inlineStr">
        <is>
          <t>Lemon-garlic fish burger — ten-unit pilot</t>
        </is>
      </c>
      <c r="C351" s="2" t="inlineStr">
        <is>
          <t>Main formula</t>
        </is>
      </c>
      <c r="D351" s="2" t="inlineStr">
        <is>
          <t>Tomato</t>
        </is>
      </c>
      <c r="E351" s="3" t="n">
        <v>200</v>
      </c>
      <c r="F351" s="3" t="n">
        <v>1000</v>
      </c>
      <c r="G351" s="2">
        <f>IF(Prices!B61="","",Prices!B61)</f>
        <v/>
      </c>
      <c r="H351" s="2">
        <f>IF(G351="","",E351/1000*G351)</f>
        <v/>
      </c>
      <c r="I351" s="2" t="inlineStr">
        <is>
          <t>Purchase quote/specification required</t>
        </is>
      </c>
      <c r="J351" s="2" t="inlineStr"/>
    </row>
    <row r="352">
      <c r="A352" s="2" t="inlineStr">
        <is>
          <t>O-A02</t>
        </is>
      </c>
      <c r="B352" s="2" t="inlineStr">
        <is>
          <t>Lemon-garlic fish burger — ten-unit pilot</t>
        </is>
      </c>
      <c r="C352" s="2" t="inlineStr">
        <is>
          <t>Main formula</t>
        </is>
      </c>
      <c r="D352" s="2" t="inlineStr">
        <is>
          <t>O-B23 drained pickles</t>
        </is>
      </c>
      <c r="E352" s="3" t="n">
        <v>100</v>
      </c>
      <c r="F352" s="3" t="n">
        <v>500</v>
      </c>
      <c r="G352" s="2">
        <f>IF(OR(COUNT(G247:G251)=0,Summary!D34=0),"",SUM(H247:H251)/Summary!D34*1000)</f>
        <v/>
      </c>
      <c r="H352" s="2">
        <f>IF(G352="","",E352/1000*G352)</f>
        <v/>
      </c>
      <c r="I352" s="2" t="inlineStr">
        <is>
          <t>Linked component subtotal; incomplete while any component input is unpriced. Component subtotal only</t>
        </is>
      </c>
      <c r="J352" s="2" t="inlineStr">
        <is>
          <t>O-B23</t>
        </is>
      </c>
    </row>
    <row r="353">
      <c r="A353" s="2" t="inlineStr">
        <is>
          <t>O-A03</t>
        </is>
      </c>
      <c r="B353" s="2" t="inlineStr">
        <is>
          <t>Lemon fish wrap — ten-unit pilot</t>
        </is>
      </c>
      <c r="C353" s="2" t="inlineStr">
        <is>
          <t>Main formula</t>
        </is>
      </c>
      <c r="D353" s="2" t="inlineStr">
        <is>
          <t>O-B17 cooked flatbread</t>
        </is>
      </c>
      <c r="E353" s="3" t="n">
        <v>900</v>
      </c>
      <c r="F353" s="3" t="n">
        <v>4500</v>
      </c>
      <c r="G353" s="2">
        <f>IF(OR(COUNT(G196:G201)=0,Summary!D28=0),"",SUM(H196:H201)/Summary!D28*1000)</f>
        <v/>
      </c>
      <c r="H353" s="2">
        <f>IF(G353="","",E353/1000*G353)</f>
        <v/>
      </c>
      <c r="I353" s="2" t="inlineStr">
        <is>
          <t>Linked component subtotal; incomplete while any component input is unpriced. Component subtotal only</t>
        </is>
      </c>
      <c r="J353" s="2" t="inlineStr">
        <is>
          <t>O-B17</t>
        </is>
      </c>
    </row>
    <row r="354">
      <c r="A354" s="2" t="inlineStr">
        <is>
          <t>O-A03</t>
        </is>
      </c>
      <c r="B354" s="2" t="inlineStr">
        <is>
          <t>Lemon fish wrap — ten-unit pilot</t>
        </is>
      </c>
      <c r="C354" s="2" t="inlineStr">
        <is>
          <t>Main formula</t>
        </is>
      </c>
      <c r="D354" s="2" t="inlineStr">
        <is>
          <t>O-B36 fish before final heating (95% retention trial)</t>
        </is>
      </c>
      <c r="E354" s="3" t="n">
        <v>1052.631578947369</v>
      </c>
      <c r="F354" s="3" t="n">
        <v>5263.157894736843</v>
      </c>
      <c r="G354" s="2">
        <f>IF(OR(COUNT(G261:G267)=0,Summary!D37=0),"",SUM(H261:H267)/Summary!D37*1000)</f>
        <v/>
      </c>
      <c r="H354" s="2">
        <f>IF(G354="","",E354/1000*G354)</f>
        <v/>
      </c>
      <c r="I354" s="2" t="inlineStr">
        <is>
          <t>Linked component subtotal; incomplete while any component input is unpriced. Component subtotal only</t>
        </is>
      </c>
      <c r="J354" s="2" t="inlineStr">
        <is>
          <t>O-B36</t>
        </is>
      </c>
    </row>
    <row r="355">
      <c r="A355" s="2" t="inlineStr">
        <is>
          <t>O-A03</t>
        </is>
      </c>
      <c r="B355" s="2" t="inlineStr">
        <is>
          <t>Lemon fish wrap — ten-unit pilot</t>
        </is>
      </c>
      <c r="C355" s="2" t="inlineStr">
        <is>
          <t>Main formula</t>
        </is>
      </c>
      <c r="D355" s="2" t="inlineStr">
        <is>
          <t>O-B22 cabbage carrot slaw</t>
        </is>
      </c>
      <c r="E355" s="3" t="n">
        <v>450</v>
      </c>
      <c r="F355" s="3" t="n">
        <v>2250</v>
      </c>
      <c r="G355" s="2">
        <f>IF(OR(COUNT(G241:G246)=0,Summary!D33=0),"",SUM(H241:H246)/Summary!D33*1000)</f>
        <v/>
      </c>
      <c r="H355" s="2">
        <f>IF(G355="","",E355/1000*G355)</f>
        <v/>
      </c>
      <c r="I355" s="2" t="inlineStr">
        <is>
          <t>Linked component subtotal; incomplete while any component input is unpriced. Component subtotal only</t>
        </is>
      </c>
      <c r="J355" s="2" t="inlineStr">
        <is>
          <t>O-B22</t>
        </is>
      </c>
    </row>
    <row r="356">
      <c r="A356" s="2" t="inlineStr">
        <is>
          <t>O-A03</t>
        </is>
      </c>
      <c r="B356" s="2" t="inlineStr">
        <is>
          <t>Lemon fish wrap — ten-unit pilot</t>
        </is>
      </c>
      <c r="C356" s="2" t="inlineStr">
        <is>
          <t>Main formula</t>
        </is>
      </c>
      <c r="D356" s="2" t="inlineStr">
        <is>
          <t>O-B23 drained pickles</t>
        </is>
      </c>
      <c r="E356" s="3" t="n">
        <v>150</v>
      </c>
      <c r="F356" s="3" t="n">
        <v>750</v>
      </c>
      <c r="G356" s="2">
        <f>IF(OR(COUNT(G247:G251)=0,Summary!D34=0),"",SUM(H247:H251)/Summary!D34*1000)</f>
        <v/>
      </c>
      <c r="H356" s="2">
        <f>IF(G356="","",E356/1000*G356)</f>
        <v/>
      </c>
      <c r="I356" s="2" t="inlineStr">
        <is>
          <t>Linked component subtotal; incomplete while any component input is unpriced. Component subtotal only</t>
        </is>
      </c>
      <c r="J356" s="2" t="inlineStr">
        <is>
          <t>O-B23</t>
        </is>
      </c>
    </row>
    <row r="357">
      <c r="A357" s="2" t="inlineStr">
        <is>
          <t>O-A03</t>
        </is>
      </c>
      <c r="B357" s="2" t="inlineStr">
        <is>
          <t>Lemon fish wrap — ten-unit pilot</t>
        </is>
      </c>
      <c r="C357" s="2" t="inlineStr">
        <is>
          <t>Main formula</t>
        </is>
      </c>
      <c r="D357" s="2" t="inlineStr">
        <is>
          <t>O-B20 garlic sauce</t>
        </is>
      </c>
      <c r="E357" s="3" t="n">
        <v>250</v>
      </c>
      <c r="F357" s="3" t="n">
        <v>1250</v>
      </c>
      <c r="G357" s="2">
        <f>IF(OR(COUNT(G227:G232)=0,Summary!D31=0),"",SUM(H227:H232)/Summary!D31*1000)</f>
        <v/>
      </c>
      <c r="H357" s="2">
        <f>IF(G357="","",E357/1000*G357)</f>
        <v/>
      </c>
      <c r="I357" s="2" t="inlineStr">
        <is>
          <t>Linked component subtotal; incomplete while any component input is unpriced. Component subtotal only</t>
        </is>
      </c>
      <c r="J357" s="2" t="inlineStr">
        <is>
          <t>O-B20</t>
        </is>
      </c>
    </row>
    <row r="358">
      <c r="A358" s="2" t="inlineStr">
        <is>
          <t>O-A03</t>
        </is>
      </c>
      <c r="B358" s="2" t="inlineStr">
        <is>
          <t>Lemon fish wrap — ten-unit pilot</t>
        </is>
      </c>
      <c r="C358" s="2" t="inlineStr">
        <is>
          <t>Main formula</t>
        </is>
      </c>
      <c r="D358" s="2" t="inlineStr">
        <is>
          <t>O-B24 freshly cooked fries</t>
        </is>
      </c>
      <c r="E358" s="3" t="n">
        <v>350</v>
      </c>
      <c r="F358" s="3" t="n">
        <v>1750</v>
      </c>
      <c r="G358" s="2">
        <f>IF(OR(COUNT(G252:G254)=0,Summary!D35=0),"",SUM(H252:H254)/Summary!D35*1000)</f>
        <v/>
      </c>
      <c r="H358" s="2">
        <f>IF(G358="","",E358/1000*G358)</f>
        <v/>
      </c>
      <c r="I358" s="2" t="inlineStr">
        <is>
          <t>Linked component subtotal; incomplete while any component input is unpriced. Component subtotal only</t>
        </is>
      </c>
      <c r="J358" s="2" t="inlineStr">
        <is>
          <t>O-B24</t>
        </is>
      </c>
    </row>
    <row r="359">
      <c r="A359" s="2" t="inlineStr">
        <is>
          <t>O-A03</t>
        </is>
      </c>
      <c r="B359" s="2" t="inlineStr">
        <is>
          <t>Lemon fish wrap — ten-unit pilot</t>
        </is>
      </c>
      <c r="C359" s="2" t="inlineStr">
        <is>
          <t>Main formula</t>
        </is>
      </c>
      <c r="D359" s="2" t="inlineStr">
        <is>
          <t>O-B21 hot sauce, optional but costed</t>
        </is>
      </c>
      <c r="E359" s="3" t="n">
        <v>50</v>
      </c>
      <c r="F359" s="3" t="n">
        <v>250</v>
      </c>
      <c r="G359" s="2">
        <f>IF(OR(COUNT(G233:G240)=0,Summary!D32=0),"",SUM(H233:H240)/Summary!D32*1000)</f>
        <v/>
      </c>
      <c r="H359" s="2">
        <f>IF(G359="","",E359/1000*G359)</f>
        <v/>
      </c>
      <c r="I359" s="2" t="inlineStr">
        <is>
          <t>Linked component subtotal; incomplete while any component input is unpriced. Component subtotal only</t>
        </is>
      </c>
      <c r="J359" s="2" t="inlineStr">
        <is>
          <t>O-B21</t>
        </is>
      </c>
    </row>
    <row r="360">
      <c r="A360" s="2" t="inlineStr">
        <is>
          <t>O-A04</t>
        </is>
      </c>
      <c r="B360" s="2" t="inlineStr">
        <is>
          <t>Beef mini pizza — ten-unit pilot</t>
        </is>
      </c>
      <c r="C360" s="2" t="inlineStr">
        <is>
          <t>Main formula</t>
        </is>
      </c>
      <c r="D360" s="2" t="inlineStr">
        <is>
          <t>O-B15 pizza dough</t>
        </is>
      </c>
      <c r="E360" s="3" t="n">
        <v>1500</v>
      </c>
      <c r="F360" s="3" t="n">
        <v>7500</v>
      </c>
      <c r="G360" s="2">
        <f>IF(OR(COUNT(G120:G125)=0,Summary!D16=0),"",SUM(H120:H125)/Summary!D16*1000)</f>
        <v/>
      </c>
      <c r="H360" s="2">
        <f>IF(G360="","",E360/1000*G360)</f>
        <v/>
      </c>
      <c r="I360" s="2" t="inlineStr">
        <is>
          <t>Linked component subtotal; incomplete while any component input is unpriced. Component subtotal only</t>
        </is>
      </c>
      <c r="J360" s="2" t="inlineStr">
        <is>
          <t>O-B15</t>
        </is>
      </c>
    </row>
    <row r="361">
      <c r="A361" s="2" t="inlineStr">
        <is>
          <t>O-A04</t>
        </is>
      </c>
      <c r="B361" s="2" t="inlineStr">
        <is>
          <t>Beef mini pizza — ten-unit pilot</t>
        </is>
      </c>
      <c r="C361" s="2" t="inlineStr">
        <is>
          <t>Main formula</t>
        </is>
      </c>
      <c r="D361" s="2" t="inlineStr">
        <is>
          <t>O-B16 pizza sauce</t>
        </is>
      </c>
      <c r="E361" s="3" t="n">
        <v>400</v>
      </c>
      <c r="F361" s="3" t="n">
        <v>2000</v>
      </c>
      <c r="G361" s="2">
        <f>IF(OR(COUNT(G126:G133)=0,Summary!D17=0),"",SUM(H126:H133)/Summary!D17*1000)</f>
        <v/>
      </c>
      <c r="H361" s="2">
        <f>IF(G361="","",E361/1000*G361)</f>
        <v/>
      </c>
      <c r="I361" s="2" t="inlineStr">
        <is>
          <t>Linked component subtotal; incomplete while any component input is unpriced. Component subtotal only</t>
        </is>
      </c>
      <c r="J361" s="2" t="inlineStr">
        <is>
          <t>O-B16</t>
        </is>
      </c>
    </row>
    <row r="362">
      <c r="A362" s="2" t="inlineStr">
        <is>
          <t>O-A04</t>
        </is>
      </c>
      <c r="B362" s="2" t="inlineStr">
        <is>
          <t>Beef mini pizza — ten-unit pilot</t>
        </is>
      </c>
      <c r="C362" s="2" t="inlineStr">
        <is>
          <t>Main formula</t>
        </is>
      </c>
      <c r="D362" s="2" t="inlineStr">
        <is>
          <t>O-B19 beef before final heating (95% retention trial)</t>
        </is>
      </c>
      <c r="E362" s="3" t="n">
        <v>526.3157894736843</v>
      </c>
      <c r="F362" s="3" t="n">
        <v>2631.578947368421</v>
      </c>
      <c r="G362" s="2">
        <f>IF(OR(COUNT(G215:G226)=0,Summary!D30=0),"",SUM(H215:H226)/Summary!D30*1000)</f>
        <v/>
      </c>
      <c r="H362" s="2">
        <f>IF(G362="","",E362/1000*G362)</f>
        <v/>
      </c>
      <c r="I362" s="2" t="inlineStr">
        <is>
          <t>Linked component subtotal; incomplete while any component input is unpriced. Component subtotal only</t>
        </is>
      </c>
      <c r="J362" s="2" t="inlineStr">
        <is>
          <t>O-B19</t>
        </is>
      </c>
    </row>
    <row r="363">
      <c r="A363" s="2" t="inlineStr">
        <is>
          <t>O-A04</t>
        </is>
      </c>
      <c r="B363" s="2" t="inlineStr">
        <is>
          <t>Beef mini pizza — ten-unit pilot</t>
        </is>
      </c>
      <c r="C363" s="2" t="inlineStr">
        <is>
          <t>Main formula</t>
        </is>
      </c>
      <c r="D363" s="2" t="inlineStr">
        <is>
          <t>Mozzarella</t>
        </is>
      </c>
      <c r="E363" s="3" t="n">
        <v>500</v>
      </c>
      <c r="F363" s="3" t="n">
        <v>2500</v>
      </c>
      <c r="G363" s="2">
        <f>IF(Prices!B57="","",Prices!B57)</f>
        <v/>
      </c>
      <c r="H363" s="2">
        <f>IF(G363="","",E363/1000*G363)</f>
        <v/>
      </c>
      <c r="I363" s="2" t="inlineStr">
        <is>
          <t>Purchase quote/specification required</t>
        </is>
      </c>
      <c r="J363" s="2" t="inlineStr"/>
    </row>
    <row r="364">
      <c r="A364" s="2" t="inlineStr">
        <is>
          <t>O-A04</t>
        </is>
      </c>
      <c r="B364" s="2" t="inlineStr">
        <is>
          <t>Beef mini pizza — ten-unit pilot</t>
        </is>
      </c>
      <c r="C364" s="2" t="inlineStr">
        <is>
          <t>Main formula</t>
        </is>
      </c>
      <c r="D364" s="2" t="inlineStr">
        <is>
          <t>Onion</t>
        </is>
      </c>
      <c r="E364" s="3" t="n">
        <v>100</v>
      </c>
      <c r="F364" s="3" t="n">
        <v>500</v>
      </c>
      <c r="G364" s="2">
        <f>IF(Prices!B62="","",Prices!B62)</f>
        <v/>
      </c>
      <c r="H364" s="2">
        <f>IF(G364="","",E364/1000*G364)</f>
        <v/>
      </c>
      <c r="I364" s="2" t="inlineStr">
        <is>
          <t>Purchase quote/specification required</t>
        </is>
      </c>
      <c r="J364" s="2" t="inlineStr"/>
    </row>
    <row r="365">
      <c r="A365" s="2" t="inlineStr">
        <is>
          <t>O-A04</t>
        </is>
      </c>
      <c r="B365" s="2" t="inlineStr">
        <is>
          <t>Beef mini pizza — ten-unit pilot</t>
        </is>
      </c>
      <c r="C365" s="2" t="inlineStr">
        <is>
          <t>Main formula</t>
        </is>
      </c>
      <c r="D365" s="2" t="inlineStr">
        <is>
          <t>Sweet pepper</t>
        </is>
      </c>
      <c r="E365" s="3" t="n">
        <v>100</v>
      </c>
      <c r="F365" s="3" t="n">
        <v>500</v>
      </c>
      <c r="G365" s="2">
        <f>IF(Prices!B63="","",Prices!B63)</f>
        <v/>
      </c>
      <c r="H365" s="2">
        <f>IF(G365="","",E365/1000*G365)</f>
        <v/>
      </c>
      <c r="I365" s="2" t="inlineStr">
        <is>
          <t>Purchase quote/specification required</t>
        </is>
      </c>
      <c r="J365" s="2" t="inlineStr"/>
    </row>
    <row r="366">
      <c r="A366" s="2" t="inlineStr">
        <is>
          <t>O-FBASE1</t>
        </is>
      </c>
      <c r="B366" s="2" t="inlineStr">
        <is>
          <t>Gravity soft serve vanilla trial mix</t>
        </is>
      </c>
      <c r="C366" s="2" t="inlineStr">
        <is>
          <t>Main formula</t>
        </is>
      </c>
      <c r="D366" s="2" t="inlineStr">
        <is>
          <t>UHT milk</t>
        </is>
      </c>
      <c r="E366" s="3" t="n">
        <v>660</v>
      </c>
      <c r="F366" s="3" t="n">
        <v>3300</v>
      </c>
      <c r="G366" s="2">
        <f>IF(Prices!B32="","",Prices!B32)</f>
        <v/>
      </c>
      <c r="H366" s="2">
        <f>IF(G366="","",E366/1000*G366)</f>
        <v/>
      </c>
      <c r="I366" s="2" t="inlineStr">
        <is>
          <t>Purchase quote/specification required</t>
        </is>
      </c>
      <c r="J366" s="2" t="inlineStr"/>
    </row>
    <row r="367">
      <c r="A367" s="2" t="inlineStr">
        <is>
          <t>O-FBASE1</t>
        </is>
      </c>
      <c r="B367" s="2" t="inlineStr">
        <is>
          <t>Gravity soft serve vanilla trial mix</t>
        </is>
      </c>
      <c r="C367" s="2" t="inlineStr">
        <is>
          <t>Main formula</t>
        </is>
      </c>
      <c r="D367" s="2" t="inlineStr">
        <is>
          <t>Cream 35%</t>
        </is>
      </c>
      <c r="E367" s="3" t="n">
        <v>100</v>
      </c>
      <c r="F367" s="3" t="n">
        <v>500</v>
      </c>
      <c r="G367" s="2">
        <f>IF(Prices!B44="","",Prices!B44)</f>
        <v/>
      </c>
      <c r="H367" s="2">
        <f>IF(G367="","",E367/1000*G367)</f>
        <v/>
      </c>
      <c r="I367" s="2" t="inlineStr">
        <is>
          <t>Purchase quote/specification required</t>
        </is>
      </c>
      <c r="J367" s="2" t="inlineStr"/>
    </row>
    <row r="368">
      <c r="A368" s="2" t="inlineStr">
        <is>
          <t>O-FBASE1</t>
        </is>
      </c>
      <c r="B368" s="2" t="inlineStr">
        <is>
          <t>Gravity soft serve vanilla trial mix</t>
        </is>
      </c>
      <c r="C368" s="2" t="inlineStr">
        <is>
          <t>Main formula</t>
        </is>
      </c>
      <c r="D368" s="2" t="inlineStr">
        <is>
          <t>Skim milk powder</t>
        </is>
      </c>
      <c r="E368" s="3" t="n">
        <v>55</v>
      </c>
      <c r="F368" s="3" t="n">
        <v>275</v>
      </c>
      <c r="G368" s="2">
        <f>IF(Prices!B64="","",Prices!B64)</f>
        <v/>
      </c>
      <c r="H368" s="2">
        <f>IF(G368="","",E368/1000*G368)</f>
        <v/>
      </c>
      <c r="I368" s="2" t="inlineStr">
        <is>
          <t>Purchase quote/specification required</t>
        </is>
      </c>
      <c r="J368" s="2" t="inlineStr"/>
    </row>
    <row r="369">
      <c r="A369" s="2" t="inlineStr">
        <is>
          <t>O-FBASE1</t>
        </is>
      </c>
      <c r="B369" s="2" t="inlineStr">
        <is>
          <t>Gravity soft serve vanilla trial mix</t>
        </is>
      </c>
      <c r="C369" s="2" t="inlineStr">
        <is>
          <t>Main formula</t>
        </is>
      </c>
      <c r="D369" s="2" t="inlineStr">
        <is>
          <t>Sugar</t>
        </is>
      </c>
      <c r="E369" s="3" t="n">
        <v>100</v>
      </c>
      <c r="F369" s="3" t="n">
        <v>500</v>
      </c>
      <c r="G369" s="2">
        <f>IF(Prices!B4="","",Prices!B4)</f>
        <v/>
      </c>
      <c r="H369" s="2">
        <f>IF(G369="","",E369/1000*G369)</f>
        <v/>
      </c>
      <c r="I369" s="2" t="inlineStr">
        <is>
          <t>Owner granulated sugar price; grind specification must match</t>
        </is>
      </c>
      <c r="J369" s="2" t="inlineStr"/>
    </row>
    <row r="370">
      <c r="A370" s="2" t="inlineStr">
        <is>
          <t>O-FBASE1</t>
        </is>
      </c>
      <c r="B370" s="2" t="inlineStr">
        <is>
          <t>Gravity soft serve vanilla trial mix</t>
        </is>
      </c>
      <c r="C370" s="2" t="inlineStr">
        <is>
          <t>Main formula</t>
        </is>
      </c>
      <c r="D370" s="2" t="inlineStr">
        <is>
          <t>Glucose powder</t>
        </is>
      </c>
      <c r="E370" s="3" t="n">
        <v>30</v>
      </c>
      <c r="F370" s="3" t="n">
        <v>150</v>
      </c>
      <c r="G370" s="2">
        <f>IF(Prices!B65="","",Prices!B65)</f>
        <v/>
      </c>
      <c r="H370" s="2">
        <f>IF(G370="","",E370/1000*G370)</f>
        <v/>
      </c>
      <c r="I370" s="2" t="inlineStr">
        <is>
          <t>Purchase quote/specification required</t>
        </is>
      </c>
      <c r="J370" s="2" t="inlineStr"/>
    </row>
    <row r="371">
      <c r="A371" s="2" t="inlineStr">
        <is>
          <t>O-FBASE1</t>
        </is>
      </c>
      <c r="B371" s="2" t="inlineStr">
        <is>
          <t>Gravity soft serve vanilla trial mix</t>
        </is>
      </c>
      <c r="C371" s="2" t="inlineStr">
        <is>
          <t>Main formula</t>
        </is>
      </c>
      <c r="D371" s="2" t="inlineStr">
        <is>
          <t>Condensed milk</t>
        </is>
      </c>
      <c r="E371" s="3" t="n">
        <v>50</v>
      </c>
      <c r="F371" s="3" t="n">
        <v>250</v>
      </c>
      <c r="G371" s="2">
        <f>IF(Prices!B8="","",Prices!B8)</f>
        <v/>
      </c>
      <c r="H371" s="2">
        <f>IF(G371="","",E371/1000*G371)</f>
        <v/>
      </c>
      <c r="I371" s="2" t="inlineStr">
        <is>
          <t>Purchase quote/specification required</t>
        </is>
      </c>
      <c r="J371" s="2" t="inlineStr"/>
    </row>
    <row r="372">
      <c r="A372" s="2" t="inlineStr">
        <is>
          <t>O-FBASE1</t>
        </is>
      </c>
      <c r="B372" s="2" t="inlineStr">
        <is>
          <t>Gravity soft serve vanilla trial mix</t>
        </is>
      </c>
      <c r="C372" s="2" t="inlineStr">
        <is>
          <t>Main formula</t>
        </is>
      </c>
      <c r="D372" s="2" t="inlineStr">
        <is>
          <t>Ice cream stabilizer blend</t>
        </is>
      </c>
      <c r="E372" s="3" t="n">
        <v>3</v>
      </c>
      <c r="F372" s="3" t="n">
        <v>15</v>
      </c>
      <c r="G372" s="2">
        <f>IF(Prices!B66="","",Prices!B66)</f>
        <v/>
      </c>
      <c r="H372" s="2">
        <f>IF(G372="","",E372/1000*G372)</f>
        <v/>
      </c>
      <c r="I372" s="2" t="inlineStr">
        <is>
          <t>Purchase quote/specification required</t>
        </is>
      </c>
      <c r="J372" s="2" t="inlineStr"/>
    </row>
    <row r="373">
      <c r="A373" s="2" t="inlineStr">
        <is>
          <t>O-FBASE1</t>
        </is>
      </c>
      <c r="B373" s="2" t="inlineStr">
        <is>
          <t>Gravity soft serve vanilla trial mix</t>
        </is>
      </c>
      <c r="C373" s="2" t="inlineStr">
        <is>
          <t>Main formula</t>
        </is>
      </c>
      <c r="D373" s="2" t="inlineStr">
        <is>
          <t>Vanilla</t>
        </is>
      </c>
      <c r="E373" s="3" t="n">
        <v>2</v>
      </c>
      <c r="F373" s="3" t="n">
        <v>10</v>
      </c>
      <c r="G373" s="2">
        <f>IF(Prices!B11="","",Prices!B11)</f>
        <v/>
      </c>
      <c r="H373" s="2">
        <f>IF(G373="","",E373/1000*G373)</f>
        <v/>
      </c>
      <c r="I373" s="2" t="inlineStr">
        <is>
          <t>Purchase quote/specification required</t>
        </is>
      </c>
      <c r="J373" s="2" t="inlineStr"/>
    </row>
    <row r="374">
      <c r="A374" s="2" t="inlineStr">
        <is>
          <t>O-FBASE2</t>
        </is>
      </c>
      <c r="B374" s="2" t="inlineStr">
        <is>
          <t>Vanilla condensed milk popsicle mix</t>
        </is>
      </c>
      <c r="C374" s="2" t="inlineStr">
        <is>
          <t>Main formula</t>
        </is>
      </c>
      <c r="D374" s="2" t="inlineStr">
        <is>
          <t>UHT milk</t>
        </is>
      </c>
      <c r="E374" s="3" t="n">
        <v>640</v>
      </c>
      <c r="F374" s="3" t="n">
        <v>3200</v>
      </c>
      <c r="G374" s="2">
        <f>IF(Prices!B32="","",Prices!B32)</f>
        <v/>
      </c>
      <c r="H374" s="2">
        <f>IF(G374="","",E374/1000*G374)</f>
        <v/>
      </c>
      <c r="I374" s="2" t="inlineStr">
        <is>
          <t>Purchase quote/specification required</t>
        </is>
      </c>
      <c r="J374" s="2" t="inlineStr"/>
    </row>
    <row r="375">
      <c r="A375" s="2" t="inlineStr">
        <is>
          <t>O-FBASE2</t>
        </is>
      </c>
      <c r="B375" s="2" t="inlineStr">
        <is>
          <t>Vanilla condensed milk popsicle mix</t>
        </is>
      </c>
      <c r="C375" s="2" t="inlineStr">
        <is>
          <t>Main formula</t>
        </is>
      </c>
      <c r="D375" s="2" t="inlineStr">
        <is>
          <t>Condensed milk</t>
        </is>
      </c>
      <c r="E375" s="3" t="n">
        <v>180</v>
      </c>
      <c r="F375" s="3" t="n">
        <v>900</v>
      </c>
      <c r="G375" s="2">
        <f>IF(Prices!B8="","",Prices!B8)</f>
        <v/>
      </c>
      <c r="H375" s="2">
        <f>IF(G375="","",E375/1000*G375)</f>
        <v/>
      </c>
      <c r="I375" s="2" t="inlineStr">
        <is>
          <t>Purchase quote/specification required</t>
        </is>
      </c>
      <c r="J375" s="2" t="inlineStr"/>
    </row>
    <row r="376">
      <c r="A376" s="2" t="inlineStr">
        <is>
          <t>O-FBASE2</t>
        </is>
      </c>
      <c r="B376" s="2" t="inlineStr">
        <is>
          <t>Vanilla condensed milk popsicle mix</t>
        </is>
      </c>
      <c r="C376" s="2" t="inlineStr">
        <is>
          <t>Main formula</t>
        </is>
      </c>
      <c r="D376" s="2" t="inlineStr">
        <is>
          <t>Cream 35%</t>
        </is>
      </c>
      <c r="E376" s="3" t="n">
        <v>60</v>
      </c>
      <c r="F376" s="3" t="n">
        <v>300</v>
      </c>
      <c r="G376" s="2">
        <f>IF(Prices!B44="","",Prices!B44)</f>
        <v/>
      </c>
      <c r="H376" s="2">
        <f>IF(G376="","",E376/1000*G376)</f>
        <v/>
      </c>
      <c r="I376" s="2" t="inlineStr">
        <is>
          <t>Purchase quote/specification required</t>
        </is>
      </c>
      <c r="J376" s="2" t="inlineStr"/>
    </row>
    <row r="377">
      <c r="A377" s="2" t="inlineStr">
        <is>
          <t>O-FBASE2</t>
        </is>
      </c>
      <c r="B377" s="2" t="inlineStr">
        <is>
          <t>Vanilla condensed milk popsicle mix</t>
        </is>
      </c>
      <c r="C377" s="2" t="inlineStr">
        <is>
          <t>Main formula</t>
        </is>
      </c>
      <c r="D377" s="2" t="inlineStr">
        <is>
          <t>Sugar</t>
        </is>
      </c>
      <c r="E377" s="3" t="n">
        <v>70</v>
      </c>
      <c r="F377" s="3" t="n">
        <v>350</v>
      </c>
      <c r="G377" s="2">
        <f>IF(Prices!B4="","",Prices!B4)</f>
        <v/>
      </c>
      <c r="H377" s="2">
        <f>IF(G377="","",E377/1000*G377)</f>
        <v/>
      </c>
      <c r="I377" s="2" t="inlineStr">
        <is>
          <t>Owner granulated sugar price; grind specification must match</t>
        </is>
      </c>
      <c r="J377" s="2" t="inlineStr"/>
    </row>
    <row r="378">
      <c r="A378" s="2" t="inlineStr">
        <is>
          <t>O-FBASE2</t>
        </is>
      </c>
      <c r="B378" s="2" t="inlineStr">
        <is>
          <t>Vanilla condensed milk popsicle mix</t>
        </is>
      </c>
      <c r="C378" s="2" t="inlineStr">
        <is>
          <t>Main formula</t>
        </is>
      </c>
      <c r="D378" s="2" t="inlineStr">
        <is>
          <t>Skim milk powder</t>
        </is>
      </c>
      <c r="E378" s="3" t="n">
        <v>45</v>
      </c>
      <c r="F378" s="3" t="n">
        <v>225</v>
      </c>
      <c r="G378" s="2">
        <f>IF(Prices!B64="","",Prices!B64)</f>
        <v/>
      </c>
      <c r="H378" s="2">
        <f>IF(G378="","",E378/1000*G378)</f>
        <v/>
      </c>
      <c r="I378" s="2" t="inlineStr">
        <is>
          <t>Purchase quote/specification required</t>
        </is>
      </c>
      <c r="J378" s="2" t="inlineStr"/>
    </row>
    <row r="379">
      <c r="A379" s="2" t="inlineStr">
        <is>
          <t>O-FBASE2</t>
        </is>
      </c>
      <c r="B379" s="2" t="inlineStr">
        <is>
          <t>Vanilla condensed milk popsicle mix</t>
        </is>
      </c>
      <c r="C379" s="2" t="inlineStr">
        <is>
          <t>Main formula</t>
        </is>
      </c>
      <c r="D379" s="2" t="inlineStr">
        <is>
          <t>Ice cream stabilizer blend</t>
        </is>
      </c>
      <c r="E379" s="3" t="n">
        <v>3</v>
      </c>
      <c r="F379" s="3" t="n">
        <v>15</v>
      </c>
      <c r="G379" s="2">
        <f>IF(Prices!B66="","",Prices!B66)</f>
        <v/>
      </c>
      <c r="H379" s="2">
        <f>IF(G379="","",E379/1000*G379)</f>
        <v/>
      </c>
      <c r="I379" s="2" t="inlineStr">
        <is>
          <t>Purchase quote/specification required</t>
        </is>
      </c>
      <c r="J379" s="2" t="inlineStr"/>
    </row>
    <row r="380">
      <c r="A380" s="2" t="inlineStr">
        <is>
          <t>O-FBASE2</t>
        </is>
      </c>
      <c r="B380" s="2" t="inlineStr">
        <is>
          <t>Vanilla condensed milk popsicle mix</t>
        </is>
      </c>
      <c r="C380" s="2" t="inlineStr">
        <is>
          <t>Main formula</t>
        </is>
      </c>
      <c r="D380" s="2" t="inlineStr">
        <is>
          <t>Vanilla</t>
        </is>
      </c>
      <c r="E380" s="3" t="n">
        <v>2</v>
      </c>
      <c r="F380" s="3" t="n">
        <v>10</v>
      </c>
      <c r="G380" s="2">
        <f>IF(Prices!B11="","",Prices!B11)</f>
        <v/>
      </c>
      <c r="H380" s="2">
        <f>IF(G380="","",E380/1000*G380)</f>
        <v/>
      </c>
      <c r="I380" s="2" t="inlineStr">
        <is>
          <t>Purchase quote/specification required</t>
        </is>
      </c>
      <c r="J380" s="2" t="inlineStr"/>
    </row>
    <row r="381">
      <c r="A381" s="2" t="inlineStr">
        <is>
          <t>O-FBASE3</t>
        </is>
      </c>
      <c r="B381" s="2" t="inlineStr">
        <is>
          <t>Pineapple fruit ice mix</t>
        </is>
      </c>
      <c r="C381" s="2" t="inlineStr">
        <is>
          <t>Main formula</t>
        </is>
      </c>
      <c r="D381" s="2" t="inlineStr">
        <is>
          <t>Pineapple puree pasteurized</t>
        </is>
      </c>
      <c r="E381" s="3" t="n">
        <v>500</v>
      </c>
      <c r="F381" s="3" t="n">
        <v>2500</v>
      </c>
      <c r="G381" s="2">
        <f>IF(Prices!B67="","",Prices!B67)</f>
        <v/>
      </c>
      <c r="H381" s="2">
        <f>IF(G381="","",E381/1000*G381)</f>
        <v/>
      </c>
      <c r="I381" s="2" t="inlineStr">
        <is>
          <t>Purchase quote/specification required</t>
        </is>
      </c>
      <c r="J381" s="2" t="inlineStr"/>
    </row>
    <row r="382">
      <c r="A382" s="2" t="inlineStr">
        <is>
          <t>O-FBASE3</t>
        </is>
      </c>
      <c r="B382" s="2" t="inlineStr">
        <is>
          <t>Pineapple fruit ice mix</t>
        </is>
      </c>
      <c r="C382" s="2" t="inlineStr">
        <is>
          <t>Main formula</t>
        </is>
      </c>
      <c r="D382" s="2" t="inlineStr">
        <is>
          <t>Water</t>
        </is>
      </c>
      <c r="E382" s="3" t="n">
        <v>310</v>
      </c>
      <c r="F382" s="3" t="n">
        <v>1550</v>
      </c>
      <c r="G382" s="2">
        <f>IF(Prices!B3="","",Prices!B3)</f>
        <v/>
      </c>
      <c r="H382" s="2">
        <f>IF(G382="","",E382/1000*G382)</f>
        <v/>
      </c>
      <c r="I382" s="2" t="inlineStr">
        <is>
          <t>Purchase quote/specification required</t>
        </is>
      </c>
      <c r="J382" s="2" t="inlineStr"/>
    </row>
    <row r="383">
      <c r="A383" s="2" t="inlineStr">
        <is>
          <t>O-FBASE3</t>
        </is>
      </c>
      <c r="B383" s="2" t="inlineStr">
        <is>
          <t>Pineapple fruit ice mix</t>
        </is>
      </c>
      <c r="C383" s="2" t="inlineStr">
        <is>
          <t>Main formula</t>
        </is>
      </c>
      <c r="D383" s="2" t="inlineStr">
        <is>
          <t>Sugar</t>
        </is>
      </c>
      <c r="E383" s="3" t="n">
        <v>140</v>
      </c>
      <c r="F383" s="3" t="n">
        <v>700</v>
      </c>
      <c r="G383" s="2">
        <f>IF(Prices!B4="","",Prices!B4)</f>
        <v/>
      </c>
      <c r="H383" s="2">
        <f>IF(G383="","",E383/1000*G383)</f>
        <v/>
      </c>
      <c r="I383" s="2" t="inlineStr">
        <is>
          <t>Owner granulated sugar price; grind specification must match</t>
        </is>
      </c>
      <c r="J383" s="2" t="inlineStr"/>
    </row>
    <row r="384">
      <c r="A384" s="2" t="inlineStr">
        <is>
          <t>O-FBASE3</t>
        </is>
      </c>
      <c r="B384" s="2" t="inlineStr">
        <is>
          <t>Pineapple fruit ice mix</t>
        </is>
      </c>
      <c r="C384" s="2" t="inlineStr">
        <is>
          <t>Main formula</t>
        </is>
      </c>
      <c r="D384" s="2" t="inlineStr">
        <is>
          <t>Glucose powder</t>
        </is>
      </c>
      <c r="E384" s="3" t="n">
        <v>45</v>
      </c>
      <c r="F384" s="3" t="n">
        <v>225</v>
      </c>
      <c r="G384" s="2">
        <f>IF(Prices!B65="","",Prices!B65)</f>
        <v/>
      </c>
      <c r="H384" s="2">
        <f>IF(G384="","",E384/1000*G384)</f>
        <v/>
      </c>
      <c r="I384" s="2" t="inlineStr">
        <is>
          <t>Purchase quote/specification required</t>
        </is>
      </c>
      <c r="J384" s="2" t="inlineStr"/>
    </row>
    <row r="385">
      <c r="A385" s="2" t="inlineStr">
        <is>
          <t>O-FBASE3</t>
        </is>
      </c>
      <c r="B385" s="2" t="inlineStr">
        <is>
          <t>Pineapple fruit ice mix</t>
        </is>
      </c>
      <c r="C385" s="2" t="inlineStr">
        <is>
          <t>Main formula</t>
        </is>
      </c>
      <c r="D385" s="2" t="inlineStr">
        <is>
          <t>Lemon juice</t>
        </is>
      </c>
      <c r="E385" s="3" t="n">
        <v>3</v>
      </c>
      <c r="F385" s="3" t="n">
        <v>15</v>
      </c>
      <c r="G385" s="2">
        <f>IF(Prices!B47="","",Prices!B47)</f>
        <v/>
      </c>
      <c r="H385" s="2">
        <f>IF(G385="","",E385/1000*G385)</f>
        <v/>
      </c>
      <c r="I385" s="2" t="inlineStr">
        <is>
          <t>Purchase quote/specification required</t>
        </is>
      </c>
      <c r="J385" s="2" t="inlineStr"/>
    </row>
    <row r="386">
      <c r="A386" s="2" t="inlineStr">
        <is>
          <t>O-FBASE3</t>
        </is>
      </c>
      <c r="B386" s="2" t="inlineStr">
        <is>
          <t>Pineapple fruit ice mix</t>
        </is>
      </c>
      <c r="C386" s="2" t="inlineStr">
        <is>
          <t>Main formula</t>
        </is>
      </c>
      <c r="D386" s="2" t="inlineStr">
        <is>
          <t>Ice cream stabilizer blend</t>
        </is>
      </c>
      <c r="E386" s="3" t="n">
        <v>2</v>
      </c>
      <c r="F386" s="3" t="n">
        <v>10</v>
      </c>
      <c r="G386" s="2">
        <f>IF(Prices!B66="","",Prices!B66)</f>
        <v/>
      </c>
      <c r="H386" s="2">
        <f>IF(G386="","",E386/1000*G386)</f>
        <v/>
      </c>
      <c r="I386" s="2" t="inlineStr">
        <is>
          <t>Purchase quote/specification required</t>
        </is>
      </c>
      <c r="J386" s="2" t="inlineStr"/>
    </row>
    <row r="387">
      <c r="A387" s="2" t="inlineStr">
        <is>
          <t>O-FBASE4</t>
        </is>
      </c>
      <c r="B387" s="2" t="inlineStr">
        <is>
          <t>Mango yogurt popsicle mix</t>
        </is>
      </c>
      <c r="C387" s="2" t="inlineStr">
        <is>
          <t>Main formula</t>
        </is>
      </c>
      <c r="D387" s="2" t="inlineStr">
        <is>
          <t>Yogurt plain</t>
        </is>
      </c>
      <c r="E387" s="3" t="n">
        <v>500</v>
      </c>
      <c r="F387" s="3" t="n">
        <v>2500</v>
      </c>
      <c r="G387" s="2">
        <f>IF(Prices!B38="","",Prices!B38)</f>
        <v/>
      </c>
      <c r="H387" s="2">
        <f>IF(G387="","",E387/1000*G387)</f>
        <v/>
      </c>
      <c r="I387" s="2" t="inlineStr">
        <is>
          <t>Purchase quote/specification required</t>
        </is>
      </c>
      <c r="J387" s="2" t="inlineStr"/>
    </row>
    <row r="388">
      <c r="A388" s="2" t="inlineStr">
        <is>
          <t>O-FBASE4</t>
        </is>
      </c>
      <c r="B388" s="2" t="inlineStr">
        <is>
          <t>Mango yogurt popsicle mix</t>
        </is>
      </c>
      <c r="C388" s="2" t="inlineStr">
        <is>
          <t>Main formula</t>
        </is>
      </c>
      <c r="D388" s="2" t="inlineStr">
        <is>
          <t>Mango puree pasteurized</t>
        </is>
      </c>
      <c r="E388" s="3" t="n">
        <v>250</v>
      </c>
      <c r="F388" s="3" t="n">
        <v>1250</v>
      </c>
      <c r="G388" s="2">
        <f>IF(Prices!B68="","",Prices!B68)</f>
        <v/>
      </c>
      <c r="H388" s="2">
        <f>IF(G388="","",E388/1000*G388)</f>
        <v/>
      </c>
      <c r="I388" s="2" t="inlineStr">
        <is>
          <t>Purchase quote/specification required</t>
        </is>
      </c>
      <c r="J388" s="2" t="inlineStr"/>
    </row>
    <row r="389">
      <c r="A389" s="2" t="inlineStr">
        <is>
          <t>O-FBASE4</t>
        </is>
      </c>
      <c r="B389" s="2" t="inlineStr">
        <is>
          <t>Mango yogurt popsicle mix</t>
        </is>
      </c>
      <c r="C389" s="2" t="inlineStr">
        <is>
          <t>Main formula</t>
        </is>
      </c>
      <c r="D389" s="2" t="inlineStr">
        <is>
          <t>Condensed milk</t>
        </is>
      </c>
      <c r="E389" s="3" t="n">
        <v>120</v>
      </c>
      <c r="F389" s="3" t="n">
        <v>600</v>
      </c>
      <c r="G389" s="2">
        <f>IF(Prices!B8="","",Prices!B8)</f>
        <v/>
      </c>
      <c r="H389" s="2">
        <f>IF(G389="","",E389/1000*G389)</f>
        <v/>
      </c>
      <c r="I389" s="2" t="inlineStr">
        <is>
          <t>Purchase quote/specification required</t>
        </is>
      </c>
      <c r="J389" s="2" t="inlineStr"/>
    </row>
    <row r="390">
      <c r="A390" s="2" t="inlineStr">
        <is>
          <t>O-FBASE4</t>
        </is>
      </c>
      <c r="B390" s="2" t="inlineStr">
        <is>
          <t>Mango yogurt popsicle mix</t>
        </is>
      </c>
      <c r="C390" s="2" t="inlineStr">
        <is>
          <t>Main formula</t>
        </is>
      </c>
      <c r="D390" s="2" t="inlineStr">
        <is>
          <t>Sugar</t>
        </is>
      </c>
      <c r="E390" s="3" t="n">
        <v>70</v>
      </c>
      <c r="F390" s="3" t="n">
        <v>350</v>
      </c>
      <c r="G390" s="2">
        <f>IF(Prices!B4="","",Prices!B4)</f>
        <v/>
      </c>
      <c r="H390" s="2">
        <f>IF(G390="","",E390/1000*G390)</f>
        <v/>
      </c>
      <c r="I390" s="2" t="inlineStr">
        <is>
          <t>Owner granulated sugar price; grind specification must match</t>
        </is>
      </c>
      <c r="J390" s="2" t="inlineStr"/>
    </row>
    <row r="391">
      <c r="A391" s="2" t="inlineStr">
        <is>
          <t>O-FBASE4</t>
        </is>
      </c>
      <c r="B391" s="2" t="inlineStr">
        <is>
          <t>Mango yogurt popsicle mix</t>
        </is>
      </c>
      <c r="C391" s="2" t="inlineStr">
        <is>
          <t>Main formula</t>
        </is>
      </c>
      <c r="D391" s="2" t="inlineStr">
        <is>
          <t>Water</t>
        </is>
      </c>
      <c r="E391" s="3" t="n">
        <v>58</v>
      </c>
      <c r="F391" s="3" t="n">
        <v>290</v>
      </c>
      <c r="G391" s="2">
        <f>IF(Prices!B3="","",Prices!B3)</f>
        <v/>
      </c>
      <c r="H391" s="2">
        <f>IF(G391="","",E391/1000*G391)</f>
        <v/>
      </c>
      <c r="I391" s="2" t="inlineStr">
        <is>
          <t>Purchase quote/specification required</t>
        </is>
      </c>
      <c r="J391" s="2" t="inlineStr"/>
    </row>
    <row r="392">
      <c r="A392" s="2" t="inlineStr">
        <is>
          <t>O-FBASE4</t>
        </is>
      </c>
      <c r="B392" s="2" t="inlineStr">
        <is>
          <t>Mango yogurt popsicle mix</t>
        </is>
      </c>
      <c r="C392" s="2" t="inlineStr">
        <is>
          <t>Main formula</t>
        </is>
      </c>
      <c r="D392" s="2" t="inlineStr">
        <is>
          <t>Ice cream stabilizer blend</t>
        </is>
      </c>
      <c r="E392" s="3" t="n">
        <v>2</v>
      </c>
      <c r="F392" s="3" t="n">
        <v>10</v>
      </c>
      <c r="G392" s="2">
        <f>IF(Prices!B66="","",Prices!B66)</f>
        <v/>
      </c>
      <c r="H392" s="2">
        <f>IF(G392="","",E392/1000*G392)</f>
        <v/>
      </c>
      <c r="I392" s="2" t="inlineStr">
        <is>
          <t>Purchase quote/specification required</t>
        </is>
      </c>
      <c r="J392" s="2" t="inlineStr"/>
    </row>
    <row r="393">
      <c r="A393" s="2" t="inlineStr">
        <is>
          <t>O-FBASE5</t>
        </is>
      </c>
      <c r="B393" s="2" t="inlineStr">
        <is>
          <t>Chocolate sundae sauce</t>
        </is>
      </c>
      <c r="C393" s="2" t="inlineStr">
        <is>
          <t>Main formula</t>
        </is>
      </c>
      <c r="D393" s="2" t="inlineStr">
        <is>
          <t>Water</t>
        </is>
      </c>
      <c r="E393" s="3" t="n">
        <v>400</v>
      </c>
      <c r="F393" s="3" t="n">
        <v>2000</v>
      </c>
      <c r="G393" s="2">
        <f>IF(Prices!B3="","",Prices!B3)</f>
        <v/>
      </c>
      <c r="H393" s="2">
        <f>IF(G393="","",E393/1000*G393)</f>
        <v/>
      </c>
      <c r="I393" s="2" t="inlineStr">
        <is>
          <t>Purchase quote/specification required</t>
        </is>
      </c>
      <c r="J393" s="2" t="inlineStr"/>
    </row>
    <row r="394">
      <c r="A394" s="2" t="inlineStr">
        <is>
          <t>O-FBASE5</t>
        </is>
      </c>
      <c r="B394" s="2" t="inlineStr">
        <is>
          <t>Chocolate sundae sauce</t>
        </is>
      </c>
      <c r="C394" s="2" t="inlineStr">
        <is>
          <t>Main formula</t>
        </is>
      </c>
      <c r="D394" s="2" t="inlineStr">
        <is>
          <t>Sugar</t>
        </is>
      </c>
      <c r="E394" s="3" t="n">
        <v>250</v>
      </c>
      <c r="F394" s="3" t="n">
        <v>1250</v>
      </c>
      <c r="G394" s="2">
        <f>IF(Prices!B4="","",Prices!B4)</f>
        <v/>
      </c>
      <c r="H394" s="2">
        <f>IF(G394="","",E394/1000*G394)</f>
        <v/>
      </c>
      <c r="I394" s="2" t="inlineStr">
        <is>
          <t>Owner granulated sugar price; grind specification must match</t>
        </is>
      </c>
      <c r="J394" s="2" t="inlineStr"/>
    </row>
    <row r="395">
      <c r="A395" s="2" t="inlineStr">
        <is>
          <t>O-FBASE5</t>
        </is>
      </c>
      <c r="B395" s="2" t="inlineStr">
        <is>
          <t>Chocolate sundae sauce</t>
        </is>
      </c>
      <c r="C395" s="2" t="inlineStr">
        <is>
          <t>Main formula</t>
        </is>
      </c>
      <c r="D395" s="2" t="inlineStr">
        <is>
          <t>Cocoa</t>
        </is>
      </c>
      <c r="E395" s="3" t="n">
        <v>100</v>
      </c>
      <c r="F395" s="3" t="n">
        <v>500</v>
      </c>
      <c r="G395" s="2">
        <f>IF(Prices!B69="","",Prices!B69)</f>
        <v/>
      </c>
      <c r="H395" s="2">
        <f>IF(G395="","",E395/1000*G395)</f>
        <v/>
      </c>
      <c r="I395" s="2" t="inlineStr">
        <is>
          <t>Purchase quote/specification required</t>
        </is>
      </c>
      <c r="J395" s="2" t="inlineStr"/>
    </row>
    <row r="396">
      <c r="A396" s="2" t="inlineStr">
        <is>
          <t>O-FBASE5</t>
        </is>
      </c>
      <c r="B396" s="2" t="inlineStr">
        <is>
          <t>Chocolate sundae sauce</t>
        </is>
      </c>
      <c r="C396" s="2" t="inlineStr">
        <is>
          <t>Main formula</t>
        </is>
      </c>
      <c r="D396" s="2" t="inlineStr">
        <is>
          <t>Condensed milk</t>
        </is>
      </c>
      <c r="E396" s="3" t="n">
        <v>200</v>
      </c>
      <c r="F396" s="3" t="n">
        <v>1000</v>
      </c>
      <c r="G396" s="2">
        <f>IF(Prices!B8="","",Prices!B8)</f>
        <v/>
      </c>
      <c r="H396" s="2">
        <f>IF(G396="","",E396/1000*G396)</f>
        <v/>
      </c>
      <c r="I396" s="2" t="inlineStr">
        <is>
          <t>Purchase quote/specification required</t>
        </is>
      </c>
      <c r="J396" s="2" t="inlineStr"/>
    </row>
    <row r="397">
      <c r="A397" s="2" t="inlineStr">
        <is>
          <t>O-FBASE5</t>
        </is>
      </c>
      <c r="B397" s="2" t="inlineStr">
        <is>
          <t>Chocolate sundae sauce</t>
        </is>
      </c>
      <c r="C397" s="2" t="inlineStr">
        <is>
          <t>Main formula</t>
        </is>
      </c>
      <c r="D397" s="2" t="inlineStr">
        <is>
          <t>Salt</t>
        </is>
      </c>
      <c r="E397" s="3" t="n">
        <v>2</v>
      </c>
      <c r="F397" s="3" t="n">
        <v>10</v>
      </c>
      <c r="G397" s="2">
        <f>IF(Prices!B6="","",Prices!B6)</f>
        <v/>
      </c>
      <c r="H397" s="2">
        <f>IF(G397="","",E397/1000*G397)</f>
        <v/>
      </c>
      <c r="I397" s="2" t="inlineStr">
        <is>
          <t>Owner price</t>
        </is>
      </c>
      <c r="J397" s="2" t="inlineStr"/>
    </row>
    <row r="398">
      <c r="A398" s="2" t="inlineStr">
        <is>
          <t>O-FBASE5</t>
        </is>
      </c>
      <c r="B398" s="2" t="inlineStr">
        <is>
          <t>Chocolate sundae sauce</t>
        </is>
      </c>
      <c r="C398" s="2" t="inlineStr">
        <is>
          <t>Main formula</t>
        </is>
      </c>
      <c r="D398" s="2" t="inlineStr">
        <is>
          <t>Vanilla</t>
        </is>
      </c>
      <c r="E398" s="3" t="n">
        <v>3</v>
      </c>
      <c r="F398" s="3" t="n">
        <v>15</v>
      </c>
      <c r="G398" s="2">
        <f>IF(Prices!B11="","",Prices!B11)</f>
        <v/>
      </c>
      <c r="H398" s="2">
        <f>IF(G398="","",E398/1000*G398)</f>
        <v/>
      </c>
      <c r="I398" s="2" t="inlineStr">
        <is>
          <t>Purchase quote/specification required</t>
        </is>
      </c>
      <c r="J398" s="2" t="inlineStr"/>
    </row>
    <row r="399">
      <c r="A399" s="2" t="inlineStr">
        <is>
          <t>O-FBASE6</t>
        </is>
      </c>
      <c r="B399" s="2" t="inlineStr">
        <is>
          <t>Soft sandwich cookies</t>
        </is>
      </c>
      <c r="C399" s="2" t="inlineStr">
        <is>
          <t>Main formula</t>
        </is>
      </c>
      <c r="D399" s="2" t="inlineStr">
        <is>
          <t>Plain flour</t>
        </is>
      </c>
      <c r="E399" s="3" t="n">
        <v>500</v>
      </c>
      <c r="F399" s="3" t="n">
        <v>2500</v>
      </c>
      <c r="G399" s="2">
        <f>IF(Prices!B14="","",Prices!B14)</f>
        <v/>
      </c>
      <c r="H399" s="2">
        <f>IF(G399="","",E399/1000*G399)</f>
        <v/>
      </c>
      <c r="I399" s="2" t="inlineStr">
        <is>
          <t>Purchase quote/specification required</t>
        </is>
      </c>
      <c r="J399" s="2" t="inlineStr"/>
    </row>
    <row r="400">
      <c r="A400" s="2" t="inlineStr">
        <is>
          <t>O-FBASE6</t>
        </is>
      </c>
      <c r="B400" s="2" t="inlineStr">
        <is>
          <t>Soft sandwich cookies</t>
        </is>
      </c>
      <c r="C400" s="2" t="inlineStr">
        <is>
          <t>Main formula</t>
        </is>
      </c>
      <c r="D400" s="2" t="inlineStr">
        <is>
          <t>Margarine</t>
        </is>
      </c>
      <c r="E400" s="3" t="n">
        <v>220</v>
      </c>
      <c r="F400" s="3" t="n">
        <v>1100</v>
      </c>
      <c r="G400" s="2">
        <f>IF(Prices!B5="","",Prices!B5)</f>
        <v/>
      </c>
      <c r="H400" s="2">
        <f>IF(G400="","",E400/1000*G400)</f>
        <v/>
      </c>
      <c r="I400" s="2" t="inlineStr">
        <is>
          <t>Roma; fat, salt and application suitability unconfirmed</t>
        </is>
      </c>
      <c r="J400" s="2" t="inlineStr"/>
    </row>
    <row r="401">
      <c r="A401" s="2" t="inlineStr">
        <is>
          <t>O-FBASE6</t>
        </is>
      </c>
      <c r="B401" s="2" t="inlineStr">
        <is>
          <t>Soft sandwich cookies</t>
        </is>
      </c>
      <c r="C401" s="2" t="inlineStr">
        <is>
          <t>Main formula</t>
        </is>
      </c>
      <c r="D401" s="2" t="inlineStr">
        <is>
          <t>Sugar</t>
        </is>
      </c>
      <c r="E401" s="3" t="n">
        <v>220</v>
      </c>
      <c r="F401" s="3" t="n">
        <v>1100</v>
      </c>
      <c r="G401" s="2">
        <f>IF(Prices!B4="","",Prices!B4)</f>
        <v/>
      </c>
      <c r="H401" s="2">
        <f>IF(G401="","",E401/1000*G401)</f>
        <v/>
      </c>
      <c r="I401" s="2" t="inlineStr">
        <is>
          <t>Owner granulated sugar price; grind specification must match</t>
        </is>
      </c>
      <c r="J401" s="2" t="inlineStr"/>
    </row>
    <row r="402">
      <c r="A402" s="2" t="inlineStr">
        <is>
          <t>O-FBASE6</t>
        </is>
      </c>
      <c r="B402" s="2" t="inlineStr">
        <is>
          <t>Soft sandwich cookies</t>
        </is>
      </c>
      <c r="C402" s="2" t="inlineStr">
        <is>
          <t>Main formula</t>
        </is>
      </c>
      <c r="D402" s="2" t="inlineStr">
        <is>
          <t>Egg</t>
        </is>
      </c>
      <c r="E402" s="3" t="n">
        <v>100</v>
      </c>
      <c r="F402" s="3" t="n">
        <v>500</v>
      </c>
      <c r="G402" s="2">
        <f>IF(Prices!B9="","",Prices!B9)</f>
        <v/>
      </c>
      <c r="H402" s="2">
        <f>IF(G402="","",E402/1000*G402)</f>
        <v/>
      </c>
      <c r="I402" s="2" t="inlineStr">
        <is>
          <t>Purchase quote/specification required</t>
        </is>
      </c>
      <c r="J402" s="2" t="inlineStr"/>
    </row>
    <row r="403">
      <c r="A403" s="2" t="inlineStr">
        <is>
          <t>O-FBASE6</t>
        </is>
      </c>
      <c r="B403" s="2" t="inlineStr">
        <is>
          <t>Soft sandwich cookies</t>
        </is>
      </c>
      <c r="C403" s="2" t="inlineStr">
        <is>
          <t>Main formula</t>
        </is>
      </c>
      <c r="D403" s="2" t="inlineStr">
        <is>
          <t>Cocoa</t>
        </is>
      </c>
      <c r="E403" s="3" t="n">
        <v>35</v>
      </c>
      <c r="F403" s="3" t="n">
        <v>175</v>
      </c>
      <c r="G403" s="2">
        <f>IF(Prices!B69="","",Prices!B69)</f>
        <v/>
      </c>
      <c r="H403" s="2">
        <f>IF(G403="","",E403/1000*G403)</f>
        <v/>
      </c>
      <c r="I403" s="2" t="inlineStr">
        <is>
          <t>Purchase quote/specification required</t>
        </is>
      </c>
      <c r="J403" s="2" t="inlineStr"/>
    </row>
    <row r="404">
      <c r="A404" s="2" t="inlineStr">
        <is>
          <t>O-FBASE6</t>
        </is>
      </c>
      <c r="B404" s="2" t="inlineStr">
        <is>
          <t>Soft sandwich cookies</t>
        </is>
      </c>
      <c r="C404" s="2" t="inlineStr">
        <is>
          <t>Main formula</t>
        </is>
      </c>
      <c r="D404" s="2" t="inlineStr">
        <is>
          <t>Baking powder</t>
        </is>
      </c>
      <c r="E404" s="3" t="n">
        <v>4</v>
      </c>
      <c r="F404" s="3" t="n">
        <v>20</v>
      </c>
      <c r="G404" s="2">
        <f>IF(Prices!B15="","",Prices!B15)</f>
        <v/>
      </c>
      <c r="H404" s="2">
        <f>IF(G404="","",E404/1000*G404)</f>
        <v/>
      </c>
      <c r="I404" s="2" t="inlineStr">
        <is>
          <t>Purchase quote/specification required</t>
        </is>
      </c>
      <c r="J404" s="2" t="inlineStr"/>
    </row>
    <row r="405">
      <c r="A405" s="2" t="inlineStr">
        <is>
          <t>O-FBASE6</t>
        </is>
      </c>
      <c r="B405" s="2" t="inlineStr">
        <is>
          <t>Soft sandwich cookies</t>
        </is>
      </c>
      <c r="C405" s="2" t="inlineStr">
        <is>
          <t>Main formula</t>
        </is>
      </c>
      <c r="D405" s="2" t="inlineStr">
        <is>
          <t>Salt</t>
        </is>
      </c>
      <c r="E405" s="3" t="n">
        <v>4</v>
      </c>
      <c r="F405" s="3" t="n">
        <v>20</v>
      </c>
      <c r="G405" s="2">
        <f>IF(Prices!B6="","",Prices!B6)</f>
        <v/>
      </c>
      <c r="H405" s="2">
        <f>IF(G405="","",E405/1000*G405)</f>
        <v/>
      </c>
      <c r="I405" s="2" t="inlineStr">
        <is>
          <t>Owner price</t>
        </is>
      </c>
      <c r="J405" s="2" t="inlineStr"/>
    </row>
    <row r="406">
      <c r="A406" s="2" t="inlineStr">
        <is>
          <t>O-FBASE6</t>
        </is>
      </c>
      <c r="B406" s="2" t="inlineStr">
        <is>
          <t>Soft sandwich cookies</t>
        </is>
      </c>
      <c r="C406" s="2" t="inlineStr">
        <is>
          <t>Main formula</t>
        </is>
      </c>
      <c r="D406" s="2" t="inlineStr">
        <is>
          <t>Vanilla</t>
        </is>
      </c>
      <c r="E406" s="3" t="n">
        <v>3</v>
      </c>
      <c r="F406" s="3" t="n">
        <v>15</v>
      </c>
      <c r="G406" s="2">
        <f>IF(Prices!B11="","",Prices!B11)</f>
        <v/>
      </c>
      <c r="H406" s="2">
        <f>IF(G406="","",E406/1000*G406)</f>
        <v/>
      </c>
      <c r="I406" s="2" t="inlineStr">
        <is>
          <t>Purchase quote/specification required</t>
        </is>
      </c>
      <c r="J406" s="2" t="inlineStr"/>
    </row>
    <row r="407">
      <c r="A407" s="2" t="inlineStr">
        <is>
          <t>O-FBASE7</t>
        </is>
      </c>
      <c r="B407" s="2" t="inlineStr">
        <is>
          <t>Chocolate dipping coating</t>
        </is>
      </c>
      <c r="C407" s="2" t="inlineStr">
        <is>
          <t>Main formula</t>
        </is>
      </c>
      <c r="D407" s="2" t="inlineStr">
        <is>
          <t>Compound chocolate coating</t>
        </is>
      </c>
      <c r="E407" s="3" t="n">
        <v>950</v>
      </c>
      <c r="F407" s="3" t="n">
        <v>4750</v>
      </c>
      <c r="G407" s="2">
        <f>IF(Prices!B70="","",Prices!B70)</f>
        <v/>
      </c>
      <c r="H407" s="2">
        <f>IF(G407="","",E407/1000*G407)</f>
        <v/>
      </c>
      <c r="I407" s="2" t="inlineStr">
        <is>
          <t>Purchase quote/specification required</t>
        </is>
      </c>
      <c r="J407" s="2" t="inlineStr"/>
    </row>
    <row r="408">
      <c r="A408" s="2" t="inlineStr">
        <is>
          <t>O-FBASE7</t>
        </is>
      </c>
      <c r="B408" s="2" t="inlineStr">
        <is>
          <t>Chocolate dipping coating</t>
        </is>
      </c>
      <c r="C408" s="2" t="inlineStr">
        <is>
          <t>Main formula</t>
        </is>
      </c>
      <c r="D408" s="2" t="inlineStr">
        <is>
          <t>Oil</t>
        </is>
      </c>
      <c r="E408" s="3" t="n">
        <v>50</v>
      </c>
      <c r="F408" s="3" t="n">
        <v>250</v>
      </c>
      <c r="G408" s="2">
        <f>IF(Prices!B19="","",Prices!B19)</f>
        <v/>
      </c>
      <c r="H408" s="2">
        <f>IF(G408="","",E408/1000*G408)</f>
        <v/>
      </c>
      <c r="I408" s="2" t="inlineStr">
        <is>
          <t>PROVISIONAL 0.92 kg/L; correct after weighing</t>
        </is>
      </c>
      <c r="J408" s="2" t="inlineStr"/>
    </row>
    <row r="409">
      <c r="A409" s="2" t="inlineStr">
        <is>
          <t>O-F01</t>
        </is>
      </c>
      <c r="B409" s="2" t="inlineStr">
        <is>
          <t>Vanilla soft serve cup or cone</t>
        </is>
      </c>
      <c r="C409" s="2" t="inlineStr">
        <is>
          <t>Main formula</t>
        </is>
      </c>
      <c r="D409" s="2" t="inlineStr">
        <is>
          <t>O-FBASE1 Gravity soft serve vanilla trial mix</t>
        </is>
      </c>
      <c r="E409" s="3" t="n">
        <v>970</v>
      </c>
      <c r="F409" s="3" t="n"/>
      <c r="G409" s="2">
        <f>IF(OR(COUNT(G366:G373)=0,Summary!D62=0),"",SUM(H366:H373)/Summary!D62*1000)</f>
        <v/>
      </c>
      <c r="H409" s="2">
        <f>IF(G409="","",E409/1000*G409)</f>
        <v/>
      </c>
      <c r="I409" s="2" t="inlineStr">
        <is>
          <t>Linked component subtotal; incomplete while any component input is unpriced. Component subtotal only</t>
        </is>
      </c>
      <c r="J409" s="2" t="inlineStr">
        <is>
          <t>O-FBASE1</t>
        </is>
      </c>
    </row>
    <row r="410">
      <c r="A410" s="2" t="inlineStr">
        <is>
          <t>O-F02</t>
        </is>
      </c>
      <c r="B410" s="2" t="inlineStr">
        <is>
          <t>Chocolate peanut sundae</t>
        </is>
      </c>
      <c r="C410" s="2" t="inlineStr">
        <is>
          <t>Main formula</t>
        </is>
      </c>
      <c r="D410" s="2" t="inlineStr">
        <is>
          <t>O-FBASE1 Gravity soft serve vanilla trial mix</t>
        </is>
      </c>
      <c r="E410" s="3" t="n">
        <v>600</v>
      </c>
      <c r="F410" s="3" t="n"/>
      <c r="G410" s="2">
        <f>IF(OR(COUNT(G366:G373)=0,Summary!D62=0),"",SUM(H366:H373)/Summary!D62*1000)</f>
        <v/>
      </c>
      <c r="H410" s="2">
        <f>IF(G410="","",E410/1000*G410)</f>
        <v/>
      </c>
      <c r="I410" s="2" t="inlineStr">
        <is>
          <t>Linked component subtotal; incomplete while any component input is unpriced. Component subtotal only</t>
        </is>
      </c>
      <c r="J410" s="2" t="inlineStr">
        <is>
          <t>O-FBASE1</t>
        </is>
      </c>
    </row>
    <row r="411">
      <c r="A411" s="2" t="inlineStr">
        <is>
          <t>O-F02</t>
        </is>
      </c>
      <c r="B411" s="2" t="inlineStr">
        <is>
          <t>Chocolate peanut sundae</t>
        </is>
      </c>
      <c r="C411" s="2" t="inlineStr">
        <is>
          <t>Main formula</t>
        </is>
      </c>
      <c r="D411" s="2" t="inlineStr">
        <is>
          <t>O-FBASE5 Chocolate sundae sauce</t>
        </is>
      </c>
      <c r="E411" s="3" t="n">
        <v>100</v>
      </c>
      <c r="F411" s="3" t="n"/>
      <c r="G411" s="2">
        <f>IF(OR(COUNT(G393:G398)=0,Summary!D66=0),"",SUM(H393:H398)/Summary!D66*1000)</f>
        <v/>
      </c>
      <c r="H411" s="2">
        <f>IF(G411="","",E411/1000*G411)</f>
        <v/>
      </c>
      <c r="I411" s="2" t="inlineStr">
        <is>
          <t>Linked component subtotal; incomplete while any component input is unpriced. Component subtotal only</t>
        </is>
      </c>
      <c r="J411" s="2" t="inlineStr">
        <is>
          <t>O-FBASE5</t>
        </is>
      </c>
    </row>
    <row r="412">
      <c r="A412" s="2" t="inlineStr">
        <is>
          <t>O-F02</t>
        </is>
      </c>
      <c r="B412" s="2" t="inlineStr">
        <is>
          <t>Chocolate peanut sundae</t>
        </is>
      </c>
      <c r="C412" s="2" t="inlineStr">
        <is>
          <t>Main formula</t>
        </is>
      </c>
      <c r="D412" s="2" t="inlineStr">
        <is>
          <t>Peanut roasted</t>
        </is>
      </c>
      <c r="E412" s="3" t="n">
        <v>50</v>
      </c>
      <c r="F412" s="3" t="n"/>
      <c r="G412" s="2">
        <f>IF(Prices!B71="","",Prices!B71)</f>
        <v/>
      </c>
      <c r="H412" s="2">
        <f>IF(G412="","",E412/1000*G412)</f>
        <v/>
      </c>
      <c r="I412" s="2" t="inlineStr">
        <is>
          <t>Purchase quote/specification required</t>
        </is>
      </c>
      <c r="J412" s="2" t="inlineStr"/>
    </row>
    <row r="413">
      <c r="A413" s="2" t="inlineStr">
        <is>
          <t>O-F03</t>
        </is>
      </c>
      <c r="B413" s="2" t="inlineStr">
        <is>
          <t>Chocolate milkshake</t>
        </is>
      </c>
      <c r="C413" s="2" t="inlineStr">
        <is>
          <t>Main formula</t>
        </is>
      </c>
      <c r="D413" s="2" t="inlineStr">
        <is>
          <t>O-FBASE1 Gravity soft serve vanilla trial mix</t>
        </is>
      </c>
      <c r="E413" s="3" t="n">
        <v>750</v>
      </c>
      <c r="F413" s="3" t="n"/>
      <c r="G413" s="2">
        <f>IF(OR(COUNT(G366:G373)=0,Summary!D62=0),"",SUM(H366:H373)/Summary!D62*1000)</f>
        <v/>
      </c>
      <c r="H413" s="2">
        <f>IF(G413="","",E413/1000*G413)</f>
        <v/>
      </c>
      <c r="I413" s="2" t="inlineStr">
        <is>
          <t>Linked component subtotal; incomplete while any component input is unpriced. Component subtotal only</t>
        </is>
      </c>
      <c r="J413" s="2" t="inlineStr">
        <is>
          <t>O-FBASE1</t>
        </is>
      </c>
    </row>
    <row r="414">
      <c r="A414" s="2" t="inlineStr">
        <is>
          <t>O-F03</t>
        </is>
      </c>
      <c r="B414" s="2" t="inlineStr">
        <is>
          <t>Chocolate milkshake</t>
        </is>
      </c>
      <c r="C414" s="2" t="inlineStr">
        <is>
          <t>Main formula</t>
        </is>
      </c>
      <c r="D414" s="2" t="inlineStr">
        <is>
          <t>UHT milk</t>
        </is>
      </c>
      <c r="E414" s="3" t="n">
        <v>600</v>
      </c>
      <c r="F414" s="3" t="n"/>
      <c r="G414" s="2">
        <f>IF(Prices!B32="","",Prices!B32)</f>
        <v/>
      </c>
      <c r="H414" s="2">
        <f>IF(G414="","",E414/1000*G414)</f>
        <v/>
      </c>
      <c r="I414" s="2" t="inlineStr">
        <is>
          <t>Purchase quote/specification required</t>
        </is>
      </c>
      <c r="J414" s="2" t="inlineStr"/>
    </row>
    <row r="415">
      <c r="A415" s="2" t="inlineStr">
        <is>
          <t>O-F03</t>
        </is>
      </c>
      <c r="B415" s="2" t="inlineStr">
        <is>
          <t>Chocolate milkshake</t>
        </is>
      </c>
      <c r="C415" s="2" t="inlineStr">
        <is>
          <t>Main formula</t>
        </is>
      </c>
      <c r="D415" s="2" t="inlineStr">
        <is>
          <t>O-FBASE5 Chocolate sundae sauce</t>
        </is>
      </c>
      <c r="E415" s="3" t="n">
        <v>100</v>
      </c>
      <c r="F415" s="3" t="n"/>
      <c r="G415" s="2">
        <f>IF(OR(COUNT(G393:G398)=0,Summary!D66=0),"",SUM(H393:H398)/Summary!D66*1000)</f>
        <v/>
      </c>
      <c r="H415" s="2">
        <f>IF(G415="","",E415/1000*G415)</f>
        <v/>
      </c>
      <c r="I415" s="2" t="inlineStr">
        <is>
          <t>Linked component subtotal; incomplete while any component input is unpriced. Component subtotal only</t>
        </is>
      </c>
      <c r="J415" s="2" t="inlineStr">
        <is>
          <t>O-FBASE5</t>
        </is>
      </c>
    </row>
    <row r="416">
      <c r="A416" s="2" t="inlineStr">
        <is>
          <t>O-F04</t>
        </is>
      </c>
      <c r="B416" s="2" t="inlineStr">
        <is>
          <t>Chocolate cookie ice cream sandwich</t>
        </is>
      </c>
      <c r="C416" s="2" t="inlineStr">
        <is>
          <t>Main formula</t>
        </is>
      </c>
      <c r="D416" s="2" t="inlineStr">
        <is>
          <t>O-FBASE6 Soft sandwich cookies</t>
        </is>
      </c>
      <c r="E416" s="3" t="n">
        <v>400</v>
      </c>
      <c r="F416" s="3" t="n"/>
      <c r="G416" s="2">
        <f>IF(OR(COUNT(G399:G406)=0,Summary!D67=0),"",SUM(H399:H406)/Summary!D67*1000)</f>
        <v/>
      </c>
      <c r="H416" s="2">
        <f>IF(G416="","",E416/1000*G416)</f>
        <v/>
      </c>
      <c r="I416" s="2" t="inlineStr">
        <is>
          <t>Linked component subtotal; incomplete while any component input is unpriced. Component subtotal only</t>
        </is>
      </c>
      <c r="J416" s="2" t="inlineStr">
        <is>
          <t>O-FBASE6</t>
        </is>
      </c>
    </row>
    <row r="417">
      <c r="A417" s="2" t="inlineStr">
        <is>
          <t>O-F04</t>
        </is>
      </c>
      <c r="B417" s="2" t="inlineStr">
        <is>
          <t>Chocolate cookie ice cream sandwich</t>
        </is>
      </c>
      <c r="C417" s="2" t="inlineStr">
        <is>
          <t>Main formula</t>
        </is>
      </c>
      <c r="D417" s="2" t="inlineStr">
        <is>
          <t>O-FBASE1 Gravity soft serve vanilla trial mix</t>
        </is>
      </c>
      <c r="E417" s="3" t="n">
        <v>700</v>
      </c>
      <c r="F417" s="3" t="n"/>
      <c r="G417" s="2">
        <f>IF(OR(COUNT(G366:G373)=0,Summary!D62=0),"",SUM(H366:H373)/Summary!D62*1000)</f>
        <v/>
      </c>
      <c r="H417" s="2">
        <f>IF(G417="","",E417/1000*G417)</f>
        <v/>
      </c>
      <c r="I417" s="2" t="inlineStr">
        <is>
          <t>Linked component subtotal; incomplete while any component input is unpriced. Component subtotal only</t>
        </is>
      </c>
      <c r="J417" s="2" t="inlineStr">
        <is>
          <t>O-FBASE1</t>
        </is>
      </c>
    </row>
    <row r="418">
      <c r="A418" s="2" t="inlineStr">
        <is>
          <t>O-F05</t>
        </is>
      </c>
      <c r="B418" s="2" t="inlineStr">
        <is>
          <t>Condensed milk popsicles</t>
        </is>
      </c>
      <c r="C418" s="2" t="inlineStr">
        <is>
          <t>Main formula</t>
        </is>
      </c>
      <c r="D418" s="2" t="inlineStr">
        <is>
          <t>O-FBASE2 Vanilla condensed milk popsicle mix</t>
        </is>
      </c>
      <c r="E418" s="3" t="n">
        <v>970</v>
      </c>
      <c r="F418" s="3" t="n"/>
      <c r="G418" s="2">
        <f>IF(OR(COUNT(G374:G380)=0,Summary!D63=0),"",SUM(H374:H380)/Summary!D63*1000)</f>
        <v/>
      </c>
      <c r="H418" s="2">
        <f>IF(G418="","",E418/1000*G418)</f>
        <v/>
      </c>
      <c r="I418" s="2" t="inlineStr">
        <is>
          <t>Linked component subtotal; incomplete while any component input is unpriced. Component subtotal only</t>
        </is>
      </c>
      <c r="J418" s="2" t="inlineStr">
        <is>
          <t>O-FBASE2</t>
        </is>
      </c>
    </row>
    <row r="419">
      <c r="A419" s="2" t="inlineStr">
        <is>
          <t>O-F06</t>
        </is>
      </c>
      <c r="B419" s="2" t="inlineStr">
        <is>
          <t>Pineapple fruit ice pops</t>
        </is>
      </c>
      <c r="C419" s="2" t="inlineStr">
        <is>
          <t>Main formula</t>
        </is>
      </c>
      <c r="D419" s="2" t="inlineStr">
        <is>
          <t>O-FBASE3 Pineapple fruit ice mix</t>
        </is>
      </c>
      <c r="E419" s="3" t="n">
        <v>970</v>
      </c>
      <c r="F419" s="3" t="n"/>
      <c r="G419" s="2">
        <f>IF(OR(COUNT(G381:G386)=0,Summary!D64=0),"",SUM(H381:H386)/Summary!D64*1000)</f>
        <v/>
      </c>
      <c r="H419" s="2">
        <f>IF(G419="","",E419/1000*G419)</f>
        <v/>
      </c>
      <c r="I419" s="2" t="inlineStr">
        <is>
          <t>Linked component subtotal; incomplete while any component input is unpriced. Component subtotal only</t>
        </is>
      </c>
      <c r="J419" s="2" t="inlineStr">
        <is>
          <t>O-FBASE3</t>
        </is>
      </c>
    </row>
    <row r="420">
      <c r="A420" s="2" t="inlineStr">
        <is>
          <t>O-F07</t>
        </is>
      </c>
      <c r="B420" s="2" t="inlineStr">
        <is>
          <t>Mango yogurt frozen bar</t>
        </is>
      </c>
      <c r="C420" s="2" t="inlineStr">
        <is>
          <t>Main formula</t>
        </is>
      </c>
      <c r="D420" s="2" t="inlineStr">
        <is>
          <t>O-FBASE4 Mango yogurt popsicle mix</t>
        </is>
      </c>
      <c r="E420" s="3" t="n">
        <v>970</v>
      </c>
      <c r="F420" s="3" t="n"/>
      <c r="G420" s="2">
        <f>IF(OR(COUNT(G387:G392)=0,Summary!D65=0),"",SUM(H387:H392)/Summary!D65*1000)</f>
        <v/>
      </c>
      <c r="H420" s="2">
        <f>IF(G420="","",E420/1000*G420)</f>
        <v/>
      </c>
      <c r="I420" s="2" t="inlineStr">
        <is>
          <t>Linked component subtotal; incomplete while any component input is unpriced. Component subtotal only</t>
        </is>
      </c>
      <c r="J420" s="2" t="inlineStr">
        <is>
          <t>O-FBASE4</t>
        </is>
      </c>
    </row>
    <row r="421">
      <c r="A421" s="2" t="inlineStr">
        <is>
          <t>O-F08</t>
        </is>
      </c>
      <c r="B421" s="2" t="inlineStr">
        <is>
          <t>Chocolate dipped peanut milk bar</t>
        </is>
      </c>
      <c r="C421" s="2" t="inlineStr">
        <is>
          <t>Main formula</t>
        </is>
      </c>
      <c r="D421" s="2" t="inlineStr">
        <is>
          <t>O-FBASE2 Vanilla condensed milk popsicle mix</t>
        </is>
      </c>
      <c r="E421" s="3" t="n">
        <v>660</v>
      </c>
      <c r="F421" s="3" t="n"/>
      <c r="G421" s="2">
        <f>IF(OR(COUNT(G374:G380)=0,Summary!D63=0),"",SUM(H374:H380)/Summary!D63*1000)</f>
        <v/>
      </c>
      <c r="H421" s="2">
        <f>IF(G421="","",E421/1000*G421)</f>
        <v/>
      </c>
      <c r="I421" s="2" t="inlineStr">
        <is>
          <t>Linked component subtotal; incomplete while any component input is unpriced. Component subtotal only</t>
        </is>
      </c>
      <c r="J421" s="2" t="inlineStr">
        <is>
          <t>O-FBASE2</t>
        </is>
      </c>
    </row>
    <row r="422">
      <c r="A422" s="2" t="inlineStr">
        <is>
          <t>O-F08</t>
        </is>
      </c>
      <c r="B422" s="2" t="inlineStr">
        <is>
          <t>Chocolate dipped peanut milk bar</t>
        </is>
      </c>
      <c r="C422" s="2" t="inlineStr">
        <is>
          <t>Main formula</t>
        </is>
      </c>
      <c r="D422" s="2" t="inlineStr">
        <is>
          <t>O-FBASE7 Chocolate dipping coating</t>
        </is>
      </c>
      <c r="E422" s="3" t="n">
        <v>180</v>
      </c>
      <c r="F422" s="3" t="n"/>
      <c r="G422" s="2">
        <f>IF(OR(COUNT(G407:G408)=0,Summary!D68=0),"",SUM(H407:H408)/Summary!D68*1000)</f>
        <v/>
      </c>
      <c r="H422" s="2">
        <f>IF(G422="","",E422/1000*G422)</f>
        <v/>
      </c>
      <c r="I422" s="2" t="inlineStr">
        <is>
          <t>Linked component subtotal; incomplete while any component input is unpriced. Component subtotal only</t>
        </is>
      </c>
      <c r="J422" s="2" t="inlineStr">
        <is>
          <t>O-FBASE7</t>
        </is>
      </c>
    </row>
    <row r="423">
      <c r="A423" s="2" t="inlineStr">
        <is>
          <t>O-F08</t>
        </is>
      </c>
      <c r="B423" s="2" t="inlineStr">
        <is>
          <t>Chocolate dipped peanut milk bar</t>
        </is>
      </c>
      <c r="C423" s="2" t="inlineStr">
        <is>
          <t>Main formula</t>
        </is>
      </c>
      <c r="D423" s="2" t="inlineStr">
        <is>
          <t>Peanut roasted</t>
        </is>
      </c>
      <c r="E423" s="3" t="n">
        <v>50</v>
      </c>
      <c r="F423" s="3" t="n"/>
      <c r="G423" s="2">
        <f>IF(Prices!B71="","",Prices!B71)</f>
        <v/>
      </c>
      <c r="H423" s="2">
        <f>IF(G423="","",E423/1000*G423)</f>
        <v/>
      </c>
      <c r="I423" s="2" t="inlineStr">
        <is>
          <t>Purchase quote/specification required</t>
        </is>
      </c>
      <c r="J423" s="2" t="inlineStr"/>
    </row>
    <row r="424">
      <c r="A424" s="2" t="inlineStr">
        <is>
          <t>S-B01</t>
        </is>
      </c>
      <c r="B424" s="2" t="inlineStr">
        <is>
          <t>Daily French-style baguette</t>
        </is>
      </c>
      <c r="C424" s="2" t="inlineStr">
        <is>
          <t>Baguette dough</t>
        </is>
      </c>
      <c r="D424" s="2" t="inlineStr">
        <is>
          <t>Bread flour</t>
        </is>
      </c>
      <c r="E424" s="3" t="n">
        <v>1000</v>
      </c>
      <c r="F424" s="3" t="n">
        <v>10000</v>
      </c>
      <c r="G424" s="2">
        <f>IF(Prices!B2="","",Prices!B2)</f>
        <v/>
      </c>
      <c r="H424" s="2">
        <f>IF(G424="","",E424/1000*G424)</f>
        <v/>
      </c>
      <c r="I424" s="2" t="inlineStr">
        <is>
          <t>Owner flour price; flour performance requires trial</t>
        </is>
      </c>
      <c r="J424" s="2" t="inlineStr"/>
    </row>
    <row r="425">
      <c r="A425" s="2" t="inlineStr">
        <is>
          <t>S-B01</t>
        </is>
      </c>
      <c r="B425" s="2" t="inlineStr">
        <is>
          <t>Daily French-style baguette</t>
        </is>
      </c>
      <c r="C425" s="2" t="inlineStr">
        <is>
          <t>Baguette dough</t>
        </is>
      </c>
      <c r="D425" s="2" t="inlineStr">
        <is>
          <t>Water</t>
        </is>
      </c>
      <c r="E425" s="3" t="n">
        <v>660</v>
      </c>
      <c r="F425" s="3" t="n">
        <v>6600</v>
      </c>
      <c r="G425" s="2">
        <f>IF(Prices!B3="","",Prices!B3)</f>
        <v/>
      </c>
      <c r="H425" s="2">
        <f>IF(G425="","",E425/1000*G425)</f>
        <v/>
      </c>
      <c r="I425" s="2" t="inlineStr">
        <is>
          <t>Purchase quote/specification required</t>
        </is>
      </c>
      <c r="J425" s="2" t="inlineStr"/>
    </row>
    <row r="426">
      <c r="A426" s="2" t="inlineStr">
        <is>
          <t>S-B01</t>
        </is>
      </c>
      <c r="B426" s="2" t="inlineStr">
        <is>
          <t>Daily French-style baguette</t>
        </is>
      </c>
      <c r="C426" s="2" t="inlineStr">
        <is>
          <t>Baguette dough</t>
        </is>
      </c>
      <c r="D426" s="2" t="inlineStr">
        <is>
          <t>Salt</t>
        </is>
      </c>
      <c r="E426" s="3" t="n">
        <v>20</v>
      </c>
      <c r="F426" s="3" t="n">
        <v>200</v>
      </c>
      <c r="G426" s="2">
        <f>IF(Prices!B6="","",Prices!B6)</f>
        <v/>
      </c>
      <c r="H426" s="2">
        <f>IF(G426="","",E426/1000*G426)</f>
        <v/>
      </c>
      <c r="I426" s="2" t="inlineStr">
        <is>
          <t>Owner price</t>
        </is>
      </c>
      <c r="J426" s="2" t="inlineStr"/>
    </row>
    <row r="427">
      <c r="A427" s="2" t="inlineStr">
        <is>
          <t>S-B01</t>
        </is>
      </c>
      <c r="B427" s="2" t="inlineStr">
        <is>
          <t>Daily French-style baguette</t>
        </is>
      </c>
      <c r="C427" s="2" t="inlineStr">
        <is>
          <t>Baguette dough</t>
        </is>
      </c>
      <c r="D427" s="2" t="inlineStr">
        <is>
          <t>Nevada instant dry yeast</t>
        </is>
      </c>
      <c r="E427" s="3" t="n">
        <v>5</v>
      </c>
      <c r="F427" s="3" t="n">
        <v>50</v>
      </c>
      <c r="G427" s="2">
        <f>IF(Prices!B72="","",Prices!B72)</f>
        <v/>
      </c>
      <c r="H427" s="2">
        <f>IF(G427="","",E427/1000*G427)</f>
        <v/>
      </c>
      <c r="I427" s="2" t="inlineStr">
        <is>
          <t>Nevada instant dry; sweet-dough suitability requires trial</t>
        </is>
      </c>
      <c r="J427" s="2" t="inlineStr"/>
    </row>
    <row r="428">
      <c r="A428" s="2" t="inlineStr">
        <is>
          <t>S-B02</t>
        </is>
      </c>
      <c r="B428" s="2" t="inlineStr">
        <is>
          <t>Kumba-style soft block loaf</t>
        </is>
      </c>
      <c r="C428" s="2" t="inlineStr">
        <is>
          <t>Dough</t>
        </is>
      </c>
      <c r="D428" s="2" t="inlineStr">
        <is>
          <t>Bread flour</t>
        </is>
      </c>
      <c r="E428" s="3" t="n">
        <v>1000</v>
      </c>
      <c r="F428" s="3" t="n">
        <v>8000</v>
      </c>
      <c r="G428" s="2">
        <f>IF(Prices!B2="","",Prices!B2)</f>
        <v/>
      </c>
      <c r="H428" s="2">
        <f>IF(G428="","",E428/1000*G428)</f>
        <v/>
      </c>
      <c r="I428" s="2" t="inlineStr">
        <is>
          <t>Owner flour price; flour performance requires trial</t>
        </is>
      </c>
      <c r="J428" s="2" t="inlineStr"/>
    </row>
    <row r="429">
      <c r="A429" s="2" t="inlineStr">
        <is>
          <t>S-B02</t>
        </is>
      </c>
      <c r="B429" s="2" t="inlineStr">
        <is>
          <t>Kumba-style soft block loaf</t>
        </is>
      </c>
      <c r="C429" s="2" t="inlineStr">
        <is>
          <t>Dough</t>
        </is>
      </c>
      <c r="D429" s="2" t="inlineStr">
        <is>
          <t>Water</t>
        </is>
      </c>
      <c r="E429" s="3" t="n">
        <v>550</v>
      </c>
      <c r="F429" s="3" t="n">
        <v>4400</v>
      </c>
      <c r="G429" s="2">
        <f>IF(Prices!B3="","",Prices!B3)</f>
        <v/>
      </c>
      <c r="H429" s="2">
        <f>IF(G429="","",E429/1000*G429)</f>
        <v/>
      </c>
      <c r="I429" s="2" t="inlineStr">
        <is>
          <t>Purchase quote/specification required</t>
        </is>
      </c>
      <c r="J429" s="2" t="inlineStr"/>
    </row>
    <row r="430">
      <c r="A430" s="2" t="inlineStr">
        <is>
          <t>S-B02</t>
        </is>
      </c>
      <c r="B430" s="2" t="inlineStr">
        <is>
          <t>Kumba-style soft block loaf</t>
        </is>
      </c>
      <c r="C430" s="2" t="inlineStr">
        <is>
          <t>Dough</t>
        </is>
      </c>
      <c r="D430" s="2" t="inlineStr">
        <is>
          <t>Sugar</t>
        </is>
      </c>
      <c r="E430" s="3" t="n">
        <v>100</v>
      </c>
      <c r="F430" s="3" t="n">
        <v>800</v>
      </c>
      <c r="G430" s="2">
        <f>IF(Prices!B4="","",Prices!B4)</f>
        <v/>
      </c>
      <c r="H430" s="2">
        <f>IF(G430="","",E430/1000*G430)</f>
        <v/>
      </c>
      <c r="I430" s="2" t="inlineStr">
        <is>
          <t>Owner granulated sugar price; grind specification must match</t>
        </is>
      </c>
      <c r="J430" s="2" t="inlineStr"/>
    </row>
    <row r="431">
      <c r="A431" s="2" t="inlineStr">
        <is>
          <t>S-B02</t>
        </is>
      </c>
      <c r="B431" s="2" t="inlineStr">
        <is>
          <t>Kumba-style soft block loaf</t>
        </is>
      </c>
      <c r="C431" s="2" t="inlineStr">
        <is>
          <t>Dough</t>
        </is>
      </c>
      <c r="D431" s="2" t="inlineStr">
        <is>
          <t>Margarine 80%</t>
        </is>
      </c>
      <c r="E431" s="3" t="n">
        <v>60</v>
      </c>
      <c r="F431" s="3" t="n">
        <v>480</v>
      </c>
      <c r="G431" s="2">
        <f>IF(Prices!B73="","",Prices!B73)</f>
        <v/>
      </c>
      <c r="H431" s="2">
        <f>IF(G431="","",E431/1000*G431)</f>
        <v/>
      </c>
      <c r="I431" s="2" t="inlineStr">
        <is>
          <t>Purchase quote/specification required</t>
        </is>
      </c>
      <c r="J431" s="2" t="inlineStr"/>
    </row>
    <row r="432">
      <c r="A432" s="2" t="inlineStr">
        <is>
          <t>S-B02</t>
        </is>
      </c>
      <c r="B432" s="2" t="inlineStr">
        <is>
          <t>Kumba-style soft block loaf</t>
        </is>
      </c>
      <c r="C432" s="2" t="inlineStr">
        <is>
          <t>Dough</t>
        </is>
      </c>
      <c r="D432" s="2" t="inlineStr">
        <is>
          <t>Skim milk powder</t>
        </is>
      </c>
      <c r="E432" s="3" t="n">
        <v>30</v>
      </c>
      <c r="F432" s="3" t="n">
        <v>240</v>
      </c>
      <c r="G432" s="2">
        <f>IF(Prices!B64="","",Prices!B64)</f>
        <v/>
      </c>
      <c r="H432" s="2">
        <f>IF(G432="","",E432/1000*G432)</f>
        <v/>
      </c>
      <c r="I432" s="2" t="inlineStr">
        <is>
          <t>Purchase quote/specification required</t>
        </is>
      </c>
      <c r="J432" s="2" t="inlineStr"/>
    </row>
    <row r="433">
      <c r="A433" s="2" t="inlineStr">
        <is>
          <t>S-B02</t>
        </is>
      </c>
      <c r="B433" s="2" t="inlineStr">
        <is>
          <t>Kumba-style soft block loaf</t>
        </is>
      </c>
      <c r="C433" s="2" t="inlineStr">
        <is>
          <t>Dough</t>
        </is>
      </c>
      <c r="D433" s="2" t="inlineStr">
        <is>
          <t>Salt</t>
        </is>
      </c>
      <c r="E433" s="3" t="n">
        <v>18</v>
      </c>
      <c r="F433" s="3" t="n">
        <v>144</v>
      </c>
      <c r="G433" s="2">
        <f>IF(Prices!B6="","",Prices!B6)</f>
        <v/>
      </c>
      <c r="H433" s="2">
        <f>IF(G433="","",E433/1000*G433)</f>
        <v/>
      </c>
      <c r="I433" s="2" t="inlineStr">
        <is>
          <t>Owner price</t>
        </is>
      </c>
      <c r="J433" s="2" t="inlineStr"/>
    </row>
    <row r="434">
      <c r="A434" s="2" t="inlineStr">
        <is>
          <t>S-B02</t>
        </is>
      </c>
      <c r="B434" s="2" t="inlineStr">
        <is>
          <t>Kumba-style soft block loaf</t>
        </is>
      </c>
      <c r="C434" s="2" t="inlineStr">
        <is>
          <t>Dough</t>
        </is>
      </c>
      <c r="D434" s="2" t="inlineStr">
        <is>
          <t>Nevada instant dry yeast</t>
        </is>
      </c>
      <c r="E434" s="3" t="n">
        <v>12</v>
      </c>
      <c r="F434" s="3" t="n">
        <v>96</v>
      </c>
      <c r="G434" s="2">
        <f>IF(Prices!B72="","",Prices!B72)</f>
        <v/>
      </c>
      <c r="H434" s="2">
        <f>IF(G434="","",E434/1000*G434)</f>
        <v/>
      </c>
      <c r="I434" s="2" t="inlineStr">
        <is>
          <t>Nevada instant dry; sweet-dough suitability requires trial</t>
        </is>
      </c>
      <c r="J434" s="2" t="inlineStr"/>
    </row>
    <row r="435">
      <c r="A435" s="2" t="inlineStr">
        <is>
          <t>S-B02</t>
        </is>
      </c>
      <c r="B435" s="2" t="inlineStr">
        <is>
          <t>Kumba-style soft block loaf</t>
        </is>
      </c>
      <c r="C435" s="2" t="inlineStr">
        <is>
          <t>Dough</t>
        </is>
      </c>
      <c r="D435" s="2" t="inlineStr">
        <is>
          <t>Nutmeg</t>
        </is>
      </c>
      <c r="E435" s="3" t="n">
        <v>2</v>
      </c>
      <c r="F435" s="3" t="n">
        <v>16</v>
      </c>
      <c r="G435" s="2">
        <f>IF(Prices!B13="","",Prices!B13)</f>
        <v/>
      </c>
      <c r="H435" s="2">
        <f>IF(G435="","",E435/1000*G435)</f>
        <v/>
      </c>
      <c r="I435" s="2" t="inlineStr">
        <is>
          <t>Purchase quote/specification required</t>
        </is>
      </c>
      <c r="J435" s="2" t="inlineStr"/>
    </row>
    <row r="436">
      <c r="A436" s="2" t="inlineStr">
        <is>
          <t>S-B03</t>
        </is>
      </c>
      <c r="B436" s="2" t="inlineStr">
        <is>
          <t>True-butter pain beurre</t>
        </is>
      </c>
      <c r="C436" s="2" t="inlineStr">
        <is>
          <t>Dough</t>
        </is>
      </c>
      <c r="D436" s="2" t="inlineStr">
        <is>
          <t>Bread flour</t>
        </is>
      </c>
      <c r="E436" s="3" t="n">
        <v>1000</v>
      </c>
      <c r="F436" s="3" t="n">
        <v>8000</v>
      </c>
      <c r="G436" s="2">
        <f>IF(Prices!B2="","",Prices!B2)</f>
        <v/>
      </c>
      <c r="H436" s="2">
        <f>IF(G436="","",E436/1000*G436)</f>
        <v/>
      </c>
      <c r="I436" s="2" t="inlineStr">
        <is>
          <t>Owner flour price; flour performance requires trial</t>
        </is>
      </c>
      <c r="J436" s="2" t="inlineStr"/>
    </row>
    <row r="437">
      <c r="A437" s="2" t="inlineStr">
        <is>
          <t>S-B03</t>
        </is>
      </c>
      <c r="B437" s="2" t="inlineStr">
        <is>
          <t>True-butter pain beurre</t>
        </is>
      </c>
      <c r="C437" s="2" t="inlineStr">
        <is>
          <t>Dough</t>
        </is>
      </c>
      <c r="D437" s="2" t="inlineStr">
        <is>
          <t>Water</t>
        </is>
      </c>
      <c r="E437" s="3" t="n">
        <v>550</v>
      </c>
      <c r="F437" s="3" t="n">
        <v>4400</v>
      </c>
      <c r="G437" s="2">
        <f>IF(Prices!B3="","",Prices!B3)</f>
        <v/>
      </c>
      <c r="H437" s="2">
        <f>IF(G437="","",E437/1000*G437)</f>
        <v/>
      </c>
      <c r="I437" s="2" t="inlineStr">
        <is>
          <t>Purchase quote/specification required</t>
        </is>
      </c>
      <c r="J437" s="2" t="inlineStr"/>
    </row>
    <row r="438">
      <c r="A438" s="2" t="inlineStr">
        <is>
          <t>S-B03</t>
        </is>
      </c>
      <c r="B438" s="2" t="inlineStr">
        <is>
          <t>True-butter pain beurre</t>
        </is>
      </c>
      <c r="C438" s="2" t="inlineStr">
        <is>
          <t>Dough</t>
        </is>
      </c>
      <c r="D438" s="2" t="inlineStr">
        <is>
          <t>Butter 82%</t>
        </is>
      </c>
      <c r="E438" s="3" t="n">
        <v>120</v>
      </c>
      <c r="F438" s="3" t="n">
        <v>960</v>
      </c>
      <c r="G438" s="2">
        <f>IF(Prices!B74="","",Prices!B74)</f>
        <v/>
      </c>
      <c r="H438" s="2">
        <f>IF(G438="","",E438/1000*G438)</f>
        <v/>
      </c>
      <c r="I438" s="2" t="inlineStr">
        <is>
          <t>Purchase quote/specification required</t>
        </is>
      </c>
      <c r="J438" s="2" t="inlineStr"/>
    </row>
    <row r="439">
      <c r="A439" s="2" t="inlineStr">
        <is>
          <t>S-B03</t>
        </is>
      </c>
      <c r="B439" s="2" t="inlineStr">
        <is>
          <t>True-butter pain beurre</t>
        </is>
      </c>
      <c r="C439" s="2" t="inlineStr">
        <is>
          <t>Dough</t>
        </is>
      </c>
      <c r="D439" s="2" t="inlineStr">
        <is>
          <t>Sugar</t>
        </is>
      </c>
      <c r="E439" s="3" t="n">
        <v>80</v>
      </c>
      <c r="F439" s="3" t="n">
        <v>640</v>
      </c>
      <c r="G439" s="2">
        <f>IF(Prices!B4="","",Prices!B4)</f>
        <v/>
      </c>
      <c r="H439" s="2">
        <f>IF(G439="","",E439/1000*G439)</f>
        <v/>
      </c>
      <c r="I439" s="2" t="inlineStr">
        <is>
          <t>Owner granulated sugar price; grind specification must match</t>
        </is>
      </c>
      <c r="J439" s="2" t="inlineStr"/>
    </row>
    <row r="440">
      <c r="A440" s="2" t="inlineStr">
        <is>
          <t>S-B03</t>
        </is>
      </c>
      <c r="B440" s="2" t="inlineStr">
        <is>
          <t>True-butter pain beurre</t>
        </is>
      </c>
      <c r="C440" s="2" t="inlineStr">
        <is>
          <t>Dough</t>
        </is>
      </c>
      <c r="D440" s="2" t="inlineStr">
        <is>
          <t>Salt</t>
        </is>
      </c>
      <c r="E440" s="3" t="n">
        <v>20</v>
      </c>
      <c r="F440" s="3" t="n">
        <v>160</v>
      </c>
      <c r="G440" s="2">
        <f>IF(Prices!B6="","",Prices!B6)</f>
        <v/>
      </c>
      <c r="H440" s="2">
        <f>IF(G440="","",E440/1000*G440)</f>
        <v/>
      </c>
      <c r="I440" s="2" t="inlineStr">
        <is>
          <t>Owner price</t>
        </is>
      </c>
      <c r="J440" s="2" t="inlineStr"/>
    </row>
    <row r="441">
      <c r="A441" s="2" t="inlineStr">
        <is>
          <t>S-B03</t>
        </is>
      </c>
      <c r="B441" s="2" t="inlineStr">
        <is>
          <t>True-butter pain beurre</t>
        </is>
      </c>
      <c r="C441" s="2" t="inlineStr">
        <is>
          <t>Dough</t>
        </is>
      </c>
      <c r="D441" s="2" t="inlineStr">
        <is>
          <t>Nevada instant dry yeast</t>
        </is>
      </c>
      <c r="E441" s="3" t="n">
        <v>12</v>
      </c>
      <c r="F441" s="3" t="n">
        <v>96</v>
      </c>
      <c r="G441" s="2">
        <f>IF(Prices!B72="","",Prices!B72)</f>
        <v/>
      </c>
      <c r="H441" s="2">
        <f>IF(G441="","",E441/1000*G441)</f>
        <v/>
      </c>
      <c r="I441" s="2" t="inlineStr">
        <is>
          <t>Nevada instant dry; sweet-dough suitability requires trial</t>
        </is>
      </c>
      <c r="J441" s="2" t="inlineStr"/>
    </row>
    <row r="442">
      <c r="A442" s="2" t="inlineStr">
        <is>
          <t>S-B04</t>
        </is>
      </c>
      <c r="B442" s="2" t="inlineStr">
        <is>
          <t>Sandwich pan loaf / pain de mie</t>
        </is>
      </c>
      <c r="C442" s="2" t="inlineStr">
        <is>
          <t>Dough</t>
        </is>
      </c>
      <c r="D442" s="2" t="inlineStr">
        <is>
          <t>Bread flour</t>
        </is>
      </c>
      <c r="E442" s="3" t="n">
        <v>1000</v>
      </c>
      <c r="F442" s="3" t="n">
        <v>8000</v>
      </c>
      <c r="G442" s="2">
        <f>IF(Prices!B2="","",Prices!B2)</f>
        <v/>
      </c>
      <c r="H442" s="2">
        <f>IF(G442="","",E442/1000*G442)</f>
        <v/>
      </c>
      <c r="I442" s="2" t="inlineStr">
        <is>
          <t>Owner flour price; flour performance requires trial</t>
        </is>
      </c>
      <c r="J442" s="2" t="inlineStr"/>
    </row>
    <row r="443">
      <c r="A443" s="2" t="inlineStr">
        <is>
          <t>S-B04</t>
        </is>
      </c>
      <c r="B443" s="2" t="inlineStr">
        <is>
          <t>Sandwich pan loaf / pain de mie</t>
        </is>
      </c>
      <c r="C443" s="2" t="inlineStr">
        <is>
          <t>Dough</t>
        </is>
      </c>
      <c r="D443" s="2" t="inlineStr">
        <is>
          <t>Water</t>
        </is>
      </c>
      <c r="E443" s="3" t="n">
        <v>610</v>
      </c>
      <c r="F443" s="3" t="n">
        <v>4880</v>
      </c>
      <c r="G443" s="2">
        <f>IF(Prices!B3="","",Prices!B3)</f>
        <v/>
      </c>
      <c r="H443" s="2">
        <f>IF(G443="","",E443/1000*G443)</f>
        <v/>
      </c>
      <c r="I443" s="2" t="inlineStr">
        <is>
          <t>Purchase quote/specification required</t>
        </is>
      </c>
      <c r="J443" s="2" t="inlineStr"/>
    </row>
    <row r="444">
      <c r="A444" s="2" t="inlineStr">
        <is>
          <t>S-B04</t>
        </is>
      </c>
      <c r="B444" s="2" t="inlineStr">
        <is>
          <t>Sandwich pan loaf / pain de mie</t>
        </is>
      </c>
      <c r="C444" s="2" t="inlineStr">
        <is>
          <t>Dough</t>
        </is>
      </c>
      <c r="D444" s="2" t="inlineStr">
        <is>
          <t>Sugar</t>
        </is>
      </c>
      <c r="E444" s="3" t="n">
        <v>50</v>
      </c>
      <c r="F444" s="3" t="n">
        <v>400</v>
      </c>
      <c r="G444" s="2">
        <f>IF(Prices!B4="","",Prices!B4)</f>
        <v/>
      </c>
      <c r="H444" s="2">
        <f>IF(G444="","",E444/1000*G444)</f>
        <v/>
      </c>
      <c r="I444" s="2" t="inlineStr">
        <is>
          <t>Owner granulated sugar price; grind specification must match</t>
        </is>
      </c>
      <c r="J444" s="2" t="inlineStr"/>
    </row>
    <row r="445">
      <c r="A445" s="2" t="inlineStr">
        <is>
          <t>S-B04</t>
        </is>
      </c>
      <c r="B445" s="2" t="inlineStr">
        <is>
          <t>Sandwich pan loaf / pain de mie</t>
        </is>
      </c>
      <c r="C445" s="2" t="inlineStr">
        <is>
          <t>Dough</t>
        </is>
      </c>
      <c r="D445" s="2" t="inlineStr">
        <is>
          <t>Oil</t>
        </is>
      </c>
      <c r="E445" s="3" t="n">
        <v>50</v>
      </c>
      <c r="F445" s="3" t="n">
        <v>400</v>
      </c>
      <c r="G445" s="2">
        <f>IF(Prices!B19="","",Prices!B19)</f>
        <v/>
      </c>
      <c r="H445" s="2">
        <f>IF(G445="","",E445/1000*G445)</f>
        <v/>
      </c>
      <c r="I445" s="2" t="inlineStr">
        <is>
          <t>PROVISIONAL 0.92 kg/L; correct after weighing</t>
        </is>
      </c>
      <c r="J445" s="2" t="inlineStr"/>
    </row>
    <row r="446">
      <c r="A446" s="2" t="inlineStr">
        <is>
          <t>S-B04</t>
        </is>
      </c>
      <c r="B446" s="2" t="inlineStr">
        <is>
          <t>Sandwich pan loaf / pain de mie</t>
        </is>
      </c>
      <c r="C446" s="2" t="inlineStr">
        <is>
          <t>Dough</t>
        </is>
      </c>
      <c r="D446" s="2" t="inlineStr">
        <is>
          <t>Skim milk powder</t>
        </is>
      </c>
      <c r="E446" s="3" t="n">
        <v>30</v>
      </c>
      <c r="F446" s="3" t="n">
        <v>240</v>
      </c>
      <c r="G446" s="2">
        <f>IF(Prices!B64="","",Prices!B64)</f>
        <v/>
      </c>
      <c r="H446" s="2">
        <f>IF(G446="","",E446/1000*G446)</f>
        <v/>
      </c>
      <c r="I446" s="2" t="inlineStr">
        <is>
          <t>Purchase quote/specification required</t>
        </is>
      </c>
      <c r="J446" s="2" t="inlineStr"/>
    </row>
    <row r="447">
      <c r="A447" s="2" t="inlineStr">
        <is>
          <t>S-B04</t>
        </is>
      </c>
      <c r="B447" s="2" t="inlineStr">
        <is>
          <t>Sandwich pan loaf / pain de mie</t>
        </is>
      </c>
      <c r="C447" s="2" t="inlineStr">
        <is>
          <t>Dough</t>
        </is>
      </c>
      <c r="D447" s="2" t="inlineStr">
        <is>
          <t>Salt</t>
        </is>
      </c>
      <c r="E447" s="3" t="n">
        <v>20</v>
      </c>
      <c r="F447" s="3" t="n">
        <v>160</v>
      </c>
      <c r="G447" s="2">
        <f>IF(Prices!B6="","",Prices!B6)</f>
        <v/>
      </c>
      <c r="H447" s="2">
        <f>IF(G447="","",E447/1000*G447)</f>
        <v/>
      </c>
      <c r="I447" s="2" t="inlineStr">
        <is>
          <t>Owner price</t>
        </is>
      </c>
      <c r="J447" s="2" t="inlineStr"/>
    </row>
    <row r="448">
      <c r="A448" s="2" t="inlineStr">
        <is>
          <t>S-B04</t>
        </is>
      </c>
      <c r="B448" s="2" t="inlineStr">
        <is>
          <t>Sandwich pan loaf / pain de mie</t>
        </is>
      </c>
      <c r="C448" s="2" t="inlineStr">
        <is>
          <t>Dough</t>
        </is>
      </c>
      <c r="D448" s="2" t="inlineStr">
        <is>
          <t>Nevada instant dry yeast</t>
        </is>
      </c>
      <c r="E448" s="3" t="n">
        <v>10</v>
      </c>
      <c r="F448" s="3" t="n">
        <v>80</v>
      </c>
      <c r="G448" s="2">
        <f>IF(Prices!B72="","",Prices!B72)</f>
        <v/>
      </c>
      <c r="H448" s="2">
        <f>IF(G448="","",E448/1000*G448)</f>
        <v/>
      </c>
      <c r="I448" s="2" t="inlineStr">
        <is>
          <t>Nevada instant dry; sweet-dough suitability requires trial</t>
        </is>
      </c>
      <c r="J448" s="2" t="inlineStr"/>
    </row>
    <row r="449">
      <c r="A449" s="2" t="inlineStr">
        <is>
          <t>S-B05</t>
        </is>
      </c>
      <c r="B449" s="2" t="inlineStr">
        <is>
          <t>Soft burger buns</t>
        </is>
      </c>
      <c r="C449" s="2" t="inlineStr">
        <is>
          <t>Soft bun dough</t>
        </is>
      </c>
      <c r="D449" s="2" t="inlineStr">
        <is>
          <t>Bread flour</t>
        </is>
      </c>
      <c r="E449" s="3" t="n">
        <v>1000</v>
      </c>
      <c r="F449" s="3" t="n">
        <v>5000</v>
      </c>
      <c r="G449" s="2">
        <f>IF(Prices!B2="","",Prices!B2)</f>
        <v/>
      </c>
      <c r="H449" s="2">
        <f>IF(G449="","",E449/1000*G449)</f>
        <v/>
      </c>
      <c r="I449" s="2" t="inlineStr">
        <is>
          <t>Owner flour price; flour performance requires trial</t>
        </is>
      </c>
      <c r="J449" s="2" t="inlineStr"/>
    </row>
    <row r="450">
      <c r="A450" s="2" t="inlineStr">
        <is>
          <t>S-B05</t>
        </is>
      </c>
      <c r="B450" s="2" t="inlineStr">
        <is>
          <t>Soft burger buns</t>
        </is>
      </c>
      <c r="C450" s="2" t="inlineStr">
        <is>
          <t>Soft bun dough</t>
        </is>
      </c>
      <c r="D450" s="2" t="inlineStr">
        <is>
          <t>Water</t>
        </is>
      </c>
      <c r="E450" s="3" t="n">
        <v>560</v>
      </c>
      <c r="F450" s="3" t="n">
        <v>2800</v>
      </c>
      <c r="G450" s="2">
        <f>IF(Prices!B3="","",Prices!B3)</f>
        <v/>
      </c>
      <c r="H450" s="2">
        <f>IF(G450="","",E450/1000*G450)</f>
        <v/>
      </c>
      <c r="I450" s="2" t="inlineStr">
        <is>
          <t>Purchase quote/specification required</t>
        </is>
      </c>
      <c r="J450" s="2" t="inlineStr"/>
    </row>
    <row r="451">
      <c r="A451" s="2" t="inlineStr">
        <is>
          <t>S-B05</t>
        </is>
      </c>
      <c r="B451" s="2" t="inlineStr">
        <is>
          <t>Soft burger buns</t>
        </is>
      </c>
      <c r="C451" s="2" t="inlineStr">
        <is>
          <t>Soft bun dough</t>
        </is>
      </c>
      <c r="D451" s="2" t="inlineStr">
        <is>
          <t>Sugar</t>
        </is>
      </c>
      <c r="E451" s="3" t="n">
        <v>80</v>
      </c>
      <c r="F451" s="3" t="n">
        <v>400</v>
      </c>
      <c r="G451" s="2">
        <f>IF(Prices!B4="","",Prices!B4)</f>
        <v/>
      </c>
      <c r="H451" s="2">
        <f>IF(G451="","",E451/1000*G451)</f>
        <v/>
      </c>
      <c r="I451" s="2" t="inlineStr">
        <is>
          <t>Owner granulated sugar price; grind specification must match</t>
        </is>
      </c>
      <c r="J451" s="2" t="inlineStr"/>
    </row>
    <row r="452">
      <c r="A452" s="2" t="inlineStr">
        <is>
          <t>S-B05</t>
        </is>
      </c>
      <c r="B452" s="2" t="inlineStr">
        <is>
          <t>Soft burger buns</t>
        </is>
      </c>
      <c r="C452" s="2" t="inlineStr">
        <is>
          <t>Soft bun dough</t>
        </is>
      </c>
      <c r="D452" s="2" t="inlineStr">
        <is>
          <t>Oil</t>
        </is>
      </c>
      <c r="E452" s="3" t="n">
        <v>80</v>
      </c>
      <c r="F452" s="3" t="n">
        <v>400</v>
      </c>
      <c r="G452" s="2">
        <f>IF(Prices!B19="","",Prices!B19)</f>
        <v/>
      </c>
      <c r="H452" s="2">
        <f>IF(G452="","",E452/1000*G452)</f>
        <v/>
      </c>
      <c r="I452" s="2" t="inlineStr">
        <is>
          <t>PROVISIONAL 0.92 kg/L; correct after weighing</t>
        </is>
      </c>
      <c r="J452" s="2" t="inlineStr"/>
    </row>
    <row r="453">
      <c r="A453" s="2" t="inlineStr">
        <is>
          <t>S-B05</t>
        </is>
      </c>
      <c r="B453" s="2" t="inlineStr">
        <is>
          <t>Soft burger buns</t>
        </is>
      </c>
      <c r="C453" s="2" t="inlineStr">
        <is>
          <t>Soft bun dough</t>
        </is>
      </c>
      <c r="D453" s="2" t="inlineStr">
        <is>
          <t>Skim milk powder</t>
        </is>
      </c>
      <c r="E453" s="3" t="n">
        <v>40</v>
      </c>
      <c r="F453" s="3" t="n">
        <v>200</v>
      </c>
      <c r="G453" s="2">
        <f>IF(Prices!B64="","",Prices!B64)</f>
        <v/>
      </c>
      <c r="H453" s="2">
        <f>IF(G453="","",E453/1000*G453)</f>
        <v/>
      </c>
      <c r="I453" s="2" t="inlineStr">
        <is>
          <t>Purchase quote/specification required</t>
        </is>
      </c>
      <c r="J453" s="2" t="inlineStr"/>
    </row>
    <row r="454">
      <c r="A454" s="2" t="inlineStr">
        <is>
          <t>S-B05</t>
        </is>
      </c>
      <c r="B454" s="2" t="inlineStr">
        <is>
          <t>Soft burger buns</t>
        </is>
      </c>
      <c r="C454" s="2" t="inlineStr">
        <is>
          <t>Soft bun dough</t>
        </is>
      </c>
      <c r="D454" s="2" t="inlineStr">
        <is>
          <t>Salt</t>
        </is>
      </c>
      <c r="E454" s="3" t="n">
        <v>18</v>
      </c>
      <c r="F454" s="3" t="n">
        <v>90</v>
      </c>
      <c r="G454" s="2">
        <f>IF(Prices!B6="","",Prices!B6)</f>
        <v/>
      </c>
      <c r="H454" s="2">
        <f>IF(G454="","",E454/1000*G454)</f>
        <v/>
      </c>
      <c r="I454" s="2" t="inlineStr">
        <is>
          <t>Owner price</t>
        </is>
      </c>
      <c r="J454" s="2" t="inlineStr"/>
    </row>
    <row r="455">
      <c r="A455" s="2" t="inlineStr">
        <is>
          <t>S-B05</t>
        </is>
      </c>
      <c r="B455" s="2" t="inlineStr">
        <is>
          <t>Soft burger buns</t>
        </is>
      </c>
      <c r="C455" s="2" t="inlineStr">
        <is>
          <t>Soft bun dough</t>
        </is>
      </c>
      <c r="D455" s="2" t="inlineStr">
        <is>
          <t>Nevada instant dry yeast</t>
        </is>
      </c>
      <c r="E455" s="3" t="n">
        <v>12</v>
      </c>
      <c r="F455" s="3" t="n">
        <v>60</v>
      </c>
      <c r="G455" s="2">
        <f>IF(Prices!B72="","",Prices!B72)</f>
        <v/>
      </c>
      <c r="H455" s="2">
        <f>IF(G455="","",E455/1000*G455)</f>
        <v/>
      </c>
      <c r="I455" s="2" t="inlineStr">
        <is>
          <t>Nevada instant dry; sweet-dough suitability requires trial</t>
        </is>
      </c>
      <c r="J455" s="2" t="inlineStr"/>
    </row>
    <row r="456">
      <c r="A456" s="2" t="inlineStr">
        <is>
          <t>S-B05</t>
        </is>
      </c>
      <c r="B456" s="2" t="inlineStr">
        <is>
          <t>Soft burger buns</t>
        </is>
      </c>
      <c r="C456" s="2" t="inlineStr">
        <is>
          <t>Soft bun dough</t>
        </is>
      </c>
      <c r="D456" s="2" t="inlineStr">
        <is>
          <t>Whole egg</t>
        </is>
      </c>
      <c r="E456" s="3" t="n">
        <v>50</v>
      </c>
      <c r="F456" s="3" t="n">
        <v>250</v>
      </c>
      <c r="G456" s="2">
        <f>IF(Prices!B75="","",Prices!B75)</f>
        <v/>
      </c>
      <c r="H456" s="2">
        <f>IF(G456="","",E456/1000*G456)</f>
        <v/>
      </c>
      <c r="I456" s="2" t="inlineStr">
        <is>
          <t>Purchase quote/specification required</t>
        </is>
      </c>
      <c r="J456" s="2" t="inlineStr"/>
    </row>
    <row r="457">
      <c r="A457" s="2" t="inlineStr">
        <is>
          <t>S-B06</t>
        </is>
      </c>
      <c r="B457" s="2" t="inlineStr">
        <is>
          <t>Professional 50%-butter brioche</t>
        </is>
      </c>
      <c r="C457" s="2" t="inlineStr">
        <is>
          <t>Dough</t>
        </is>
      </c>
      <c r="D457" s="2" t="inlineStr">
        <is>
          <t>Bread flour</t>
        </is>
      </c>
      <c r="E457" s="3" t="n">
        <v>1000</v>
      </c>
      <c r="F457" s="3" t="n">
        <v>5000</v>
      </c>
      <c r="G457" s="2">
        <f>IF(Prices!B2="","",Prices!B2)</f>
        <v/>
      </c>
      <c r="H457" s="2">
        <f>IF(G457="","",E457/1000*G457)</f>
        <v/>
      </c>
      <c r="I457" s="2" t="inlineStr">
        <is>
          <t>Owner flour price; flour performance requires trial</t>
        </is>
      </c>
      <c r="J457" s="2" t="inlineStr"/>
    </row>
    <row r="458">
      <c r="A458" s="2" t="inlineStr">
        <is>
          <t>S-B06</t>
        </is>
      </c>
      <c r="B458" s="2" t="inlineStr">
        <is>
          <t>Professional 50%-butter brioche</t>
        </is>
      </c>
      <c r="C458" s="2" t="inlineStr">
        <is>
          <t>Dough</t>
        </is>
      </c>
      <c r="D458" s="2" t="inlineStr">
        <is>
          <t>Whole egg</t>
        </is>
      </c>
      <c r="E458" s="3" t="n">
        <v>500</v>
      </c>
      <c r="F458" s="3" t="n">
        <v>2500</v>
      </c>
      <c r="G458" s="2">
        <f>IF(Prices!B75="","",Prices!B75)</f>
        <v/>
      </c>
      <c r="H458" s="2">
        <f>IF(G458="","",E458/1000*G458)</f>
        <v/>
      </c>
      <c r="I458" s="2" t="inlineStr">
        <is>
          <t>Purchase quote/specification required</t>
        </is>
      </c>
      <c r="J458" s="2" t="inlineStr"/>
    </row>
    <row r="459">
      <c r="A459" s="2" t="inlineStr">
        <is>
          <t>S-B06</t>
        </is>
      </c>
      <c r="B459" s="2" t="inlineStr">
        <is>
          <t>Professional 50%-butter brioche</t>
        </is>
      </c>
      <c r="C459" s="2" t="inlineStr">
        <is>
          <t>Dough</t>
        </is>
      </c>
      <c r="D459" s="2" t="inlineStr">
        <is>
          <t>Butter 82%</t>
        </is>
      </c>
      <c r="E459" s="3" t="n">
        <v>500</v>
      </c>
      <c r="F459" s="3" t="n">
        <v>2500</v>
      </c>
      <c r="G459" s="2">
        <f>IF(Prices!B74="","",Prices!B74)</f>
        <v/>
      </c>
      <c r="H459" s="2">
        <f>IF(G459="","",E459/1000*G459)</f>
        <v/>
      </c>
      <c r="I459" s="2" t="inlineStr">
        <is>
          <t>Purchase quote/specification required</t>
        </is>
      </c>
      <c r="J459" s="2" t="inlineStr"/>
    </row>
    <row r="460">
      <c r="A460" s="2" t="inlineStr">
        <is>
          <t>S-B06</t>
        </is>
      </c>
      <c r="B460" s="2" t="inlineStr">
        <is>
          <t>Professional 50%-butter brioche</t>
        </is>
      </c>
      <c r="C460" s="2" t="inlineStr">
        <is>
          <t>Dough</t>
        </is>
      </c>
      <c r="D460" s="2" t="inlineStr">
        <is>
          <t>Sugar</t>
        </is>
      </c>
      <c r="E460" s="3" t="n">
        <v>150</v>
      </c>
      <c r="F460" s="3" t="n">
        <v>750</v>
      </c>
      <c r="G460" s="2">
        <f>IF(Prices!B4="","",Prices!B4)</f>
        <v/>
      </c>
      <c r="H460" s="2">
        <f>IF(G460="","",E460/1000*G460)</f>
        <v/>
      </c>
      <c r="I460" s="2" t="inlineStr">
        <is>
          <t>Owner granulated sugar price; grind specification must match</t>
        </is>
      </c>
      <c r="J460" s="2" t="inlineStr"/>
    </row>
    <row r="461">
      <c r="A461" s="2" t="inlineStr">
        <is>
          <t>S-B06</t>
        </is>
      </c>
      <c r="B461" s="2" t="inlineStr">
        <is>
          <t>Professional 50%-butter brioche</t>
        </is>
      </c>
      <c r="C461" s="2" t="inlineStr">
        <is>
          <t>Dough</t>
        </is>
      </c>
      <c r="D461" s="2" t="inlineStr">
        <is>
          <t>Whole milk 3.5%</t>
        </is>
      </c>
      <c r="E461" s="3" t="n">
        <v>100</v>
      </c>
      <c r="F461" s="3" t="n">
        <v>500</v>
      </c>
      <c r="G461" s="2">
        <f>IF(Prices!B76="","",Prices!B76)</f>
        <v/>
      </c>
      <c r="H461" s="2">
        <f>IF(G461="","",E461/1000*G461)</f>
        <v/>
      </c>
      <c r="I461" s="2" t="inlineStr">
        <is>
          <t>Purchase quote/specification required</t>
        </is>
      </c>
      <c r="J461" s="2" t="inlineStr"/>
    </row>
    <row r="462">
      <c r="A462" s="2" t="inlineStr">
        <is>
          <t>S-B06</t>
        </is>
      </c>
      <c r="B462" s="2" t="inlineStr">
        <is>
          <t>Professional 50%-butter brioche</t>
        </is>
      </c>
      <c r="C462" s="2" t="inlineStr">
        <is>
          <t>Dough</t>
        </is>
      </c>
      <c r="D462" s="2" t="inlineStr">
        <is>
          <t>Salt</t>
        </is>
      </c>
      <c r="E462" s="3" t="n">
        <v>20</v>
      </c>
      <c r="F462" s="3" t="n">
        <v>100</v>
      </c>
      <c r="G462" s="2">
        <f>IF(Prices!B6="","",Prices!B6)</f>
        <v/>
      </c>
      <c r="H462" s="2">
        <f>IF(G462="","",E462/1000*G462)</f>
        <v/>
      </c>
      <c r="I462" s="2" t="inlineStr">
        <is>
          <t>Owner price</t>
        </is>
      </c>
      <c r="J462" s="2" t="inlineStr"/>
    </row>
    <row r="463">
      <c r="A463" s="2" t="inlineStr">
        <is>
          <t>S-B06</t>
        </is>
      </c>
      <c r="B463" s="2" t="inlineStr">
        <is>
          <t>Professional 50%-butter brioche</t>
        </is>
      </c>
      <c r="C463" s="2" t="inlineStr">
        <is>
          <t>Dough</t>
        </is>
      </c>
      <c r="D463" s="2" t="inlineStr">
        <is>
          <t>Nevada instant dry yeast</t>
        </is>
      </c>
      <c r="E463" s="3" t="n">
        <v>15</v>
      </c>
      <c r="F463" s="3" t="n">
        <v>75</v>
      </c>
      <c r="G463" s="2">
        <f>IF(Prices!B72="","",Prices!B72)</f>
        <v/>
      </c>
      <c r="H463" s="2">
        <f>IF(G463="","",E463/1000*G463)</f>
        <v/>
      </c>
      <c r="I463" s="2" t="inlineStr">
        <is>
          <t>Nevada instant dry; sweet-dough suitability requires trial</t>
        </is>
      </c>
      <c r="J463" s="2" t="inlineStr"/>
    </row>
    <row r="464">
      <c r="A464" s="2" t="inlineStr">
        <is>
          <t>S-B06</t>
        </is>
      </c>
      <c r="B464" s="2" t="inlineStr">
        <is>
          <t>Professional 50%-butter brioche</t>
        </is>
      </c>
      <c r="C464" s="2" t="inlineStr">
        <is>
          <t>Dough</t>
        </is>
      </c>
      <c r="D464" s="2" t="inlineStr">
        <is>
          <t>Vanilla</t>
        </is>
      </c>
      <c r="E464" s="3" t="n">
        <v>5</v>
      </c>
      <c r="F464" s="3" t="n">
        <v>25</v>
      </c>
      <c r="G464" s="2">
        <f>IF(Prices!B11="","",Prices!B11)</f>
        <v/>
      </c>
      <c r="H464" s="2">
        <f>IF(G464="","",E464/1000*G464)</f>
        <v/>
      </c>
      <c r="I464" s="2" t="inlineStr">
        <is>
          <t>Purchase quote/specification required</t>
        </is>
      </c>
      <c r="J464" s="2" t="inlineStr"/>
    </row>
    <row r="465">
      <c r="A465" s="2" t="inlineStr">
        <is>
          <t>S-B07</t>
        </is>
      </c>
      <c r="B465" s="2" t="inlineStr">
        <is>
          <t>Milk bread finger rolls / pain au lait</t>
        </is>
      </c>
      <c r="C465" s="2" t="inlineStr">
        <is>
          <t>Dough</t>
        </is>
      </c>
      <c r="D465" s="2" t="inlineStr">
        <is>
          <t>Bread flour</t>
        </is>
      </c>
      <c r="E465" s="3" t="n">
        <v>1000</v>
      </c>
      <c r="F465" s="3" t="n">
        <v>5000</v>
      </c>
      <c r="G465" s="2">
        <f>IF(Prices!B2="","",Prices!B2)</f>
        <v/>
      </c>
      <c r="H465" s="2">
        <f>IF(G465="","",E465/1000*G465)</f>
        <v/>
      </c>
      <c r="I465" s="2" t="inlineStr">
        <is>
          <t>Owner flour price; flour performance requires trial</t>
        </is>
      </c>
      <c r="J465" s="2" t="inlineStr"/>
    </row>
    <row r="466">
      <c r="A466" s="2" t="inlineStr">
        <is>
          <t>S-B07</t>
        </is>
      </c>
      <c r="B466" s="2" t="inlineStr">
        <is>
          <t>Milk bread finger rolls / pain au lait</t>
        </is>
      </c>
      <c r="C466" s="2" t="inlineStr">
        <is>
          <t>Dough</t>
        </is>
      </c>
      <c r="D466" s="2" t="inlineStr">
        <is>
          <t>Whole milk 3.5%</t>
        </is>
      </c>
      <c r="E466" s="3" t="n">
        <v>640</v>
      </c>
      <c r="F466" s="3" t="n">
        <v>3200</v>
      </c>
      <c r="G466" s="2">
        <f>IF(Prices!B76="","",Prices!B76)</f>
        <v/>
      </c>
      <c r="H466" s="2">
        <f>IF(G466="","",E466/1000*G466)</f>
        <v/>
      </c>
      <c r="I466" s="2" t="inlineStr">
        <is>
          <t>Purchase quote/specification required</t>
        </is>
      </c>
      <c r="J466" s="2" t="inlineStr"/>
    </row>
    <row r="467">
      <c r="A467" s="2" t="inlineStr">
        <is>
          <t>S-B07</t>
        </is>
      </c>
      <c r="B467" s="2" t="inlineStr">
        <is>
          <t>Milk bread finger rolls / pain au lait</t>
        </is>
      </c>
      <c r="C467" s="2" t="inlineStr">
        <is>
          <t>Dough</t>
        </is>
      </c>
      <c r="D467" s="2" t="inlineStr">
        <is>
          <t>Sugar</t>
        </is>
      </c>
      <c r="E467" s="3" t="n">
        <v>120</v>
      </c>
      <c r="F467" s="3" t="n">
        <v>600</v>
      </c>
      <c r="G467" s="2">
        <f>IF(Prices!B4="","",Prices!B4)</f>
        <v/>
      </c>
      <c r="H467" s="2">
        <f>IF(G467="","",E467/1000*G467)</f>
        <v/>
      </c>
      <c r="I467" s="2" t="inlineStr">
        <is>
          <t>Owner granulated sugar price; grind specification must match</t>
        </is>
      </c>
      <c r="J467" s="2" t="inlineStr"/>
    </row>
    <row r="468">
      <c r="A468" s="2" t="inlineStr">
        <is>
          <t>S-B07</t>
        </is>
      </c>
      <c r="B468" s="2" t="inlineStr">
        <is>
          <t>Milk bread finger rolls / pain au lait</t>
        </is>
      </c>
      <c r="C468" s="2" t="inlineStr">
        <is>
          <t>Dough</t>
        </is>
      </c>
      <c r="D468" s="2" t="inlineStr">
        <is>
          <t>Butter 82%</t>
        </is>
      </c>
      <c r="E468" s="3" t="n">
        <v>80</v>
      </c>
      <c r="F468" s="3" t="n">
        <v>400</v>
      </c>
      <c r="G468" s="2">
        <f>IF(Prices!B74="","",Prices!B74)</f>
        <v/>
      </c>
      <c r="H468" s="2">
        <f>IF(G468="","",E468/1000*G468)</f>
        <v/>
      </c>
      <c r="I468" s="2" t="inlineStr">
        <is>
          <t>Purchase quote/specification required</t>
        </is>
      </c>
      <c r="J468" s="2" t="inlineStr"/>
    </row>
    <row r="469">
      <c r="A469" s="2" t="inlineStr">
        <is>
          <t>S-B07</t>
        </is>
      </c>
      <c r="B469" s="2" t="inlineStr">
        <is>
          <t>Milk bread finger rolls / pain au lait</t>
        </is>
      </c>
      <c r="C469" s="2" t="inlineStr">
        <is>
          <t>Dough</t>
        </is>
      </c>
      <c r="D469" s="2" t="inlineStr">
        <is>
          <t>Salt</t>
        </is>
      </c>
      <c r="E469" s="3" t="n">
        <v>18</v>
      </c>
      <c r="F469" s="3" t="n">
        <v>90</v>
      </c>
      <c r="G469" s="2">
        <f>IF(Prices!B6="","",Prices!B6)</f>
        <v/>
      </c>
      <c r="H469" s="2">
        <f>IF(G469="","",E469/1000*G469)</f>
        <v/>
      </c>
      <c r="I469" s="2" t="inlineStr">
        <is>
          <t>Owner price</t>
        </is>
      </c>
      <c r="J469" s="2" t="inlineStr"/>
    </row>
    <row r="470">
      <c r="A470" s="2" t="inlineStr">
        <is>
          <t>S-B07</t>
        </is>
      </c>
      <c r="B470" s="2" t="inlineStr">
        <is>
          <t>Milk bread finger rolls / pain au lait</t>
        </is>
      </c>
      <c r="C470" s="2" t="inlineStr">
        <is>
          <t>Dough</t>
        </is>
      </c>
      <c r="D470" s="2" t="inlineStr">
        <is>
          <t>Nevada instant dry yeast</t>
        </is>
      </c>
      <c r="E470" s="3" t="n">
        <v>12</v>
      </c>
      <c r="F470" s="3" t="n">
        <v>60</v>
      </c>
      <c r="G470" s="2">
        <f>IF(Prices!B72="","",Prices!B72)</f>
        <v/>
      </c>
      <c r="H470" s="2">
        <f>IF(G470="","",E470/1000*G470)</f>
        <v/>
      </c>
      <c r="I470" s="2" t="inlineStr">
        <is>
          <t>Nevada instant dry; sweet-dough suitability requires trial</t>
        </is>
      </c>
      <c r="J470" s="2" t="inlineStr"/>
    </row>
    <row r="471">
      <c r="A471" s="2" t="inlineStr">
        <is>
          <t>S-P01</t>
        </is>
      </c>
      <c r="B471" s="2" t="inlineStr">
        <is>
          <t>Yeast donuts: plain, glazed and beignets sucrés</t>
        </is>
      </c>
      <c r="C471" s="2" t="inlineStr">
        <is>
          <t>Yeast dough</t>
        </is>
      </c>
      <c r="D471" s="2" t="inlineStr">
        <is>
          <t>Bread flour</t>
        </is>
      </c>
      <c r="E471" s="3" t="n">
        <v>1000</v>
      </c>
      <c r="F471" s="3" t="n">
        <v>4000</v>
      </c>
      <c r="G471" s="2">
        <f>IF(Prices!B2="","",Prices!B2)</f>
        <v/>
      </c>
      <c r="H471" s="2">
        <f>IF(G471="","",E471/1000*G471)</f>
        <v/>
      </c>
      <c r="I471" s="2" t="inlineStr">
        <is>
          <t>Owner flour price; flour performance requires trial</t>
        </is>
      </c>
      <c r="J471" s="2" t="inlineStr"/>
    </row>
    <row r="472">
      <c r="A472" s="2" t="inlineStr">
        <is>
          <t>S-P01</t>
        </is>
      </c>
      <c r="B472" s="2" t="inlineStr">
        <is>
          <t>Yeast donuts: plain, glazed and beignets sucrés</t>
        </is>
      </c>
      <c r="C472" s="2" t="inlineStr">
        <is>
          <t>Yeast dough</t>
        </is>
      </c>
      <c r="D472" s="2" t="inlineStr">
        <is>
          <t>Water</t>
        </is>
      </c>
      <c r="E472" s="3" t="n">
        <v>490</v>
      </c>
      <c r="F472" s="3" t="n">
        <v>1960</v>
      </c>
      <c r="G472" s="2">
        <f>IF(Prices!B3="","",Prices!B3)</f>
        <v/>
      </c>
      <c r="H472" s="2">
        <f>IF(G472="","",E472/1000*G472)</f>
        <v/>
      </c>
      <c r="I472" s="2" t="inlineStr">
        <is>
          <t>Purchase quote/specification required</t>
        </is>
      </c>
      <c r="J472" s="2" t="inlineStr"/>
    </row>
    <row r="473">
      <c r="A473" s="2" t="inlineStr">
        <is>
          <t>S-P01</t>
        </is>
      </c>
      <c r="B473" s="2" t="inlineStr">
        <is>
          <t>Yeast donuts: plain, glazed and beignets sucrés</t>
        </is>
      </c>
      <c r="C473" s="2" t="inlineStr">
        <is>
          <t>Yeast dough</t>
        </is>
      </c>
      <c r="D473" s="2" t="inlineStr">
        <is>
          <t>Whole egg</t>
        </is>
      </c>
      <c r="E473" s="3" t="n">
        <v>100</v>
      </c>
      <c r="F473" s="3" t="n">
        <v>400</v>
      </c>
      <c r="G473" s="2">
        <f>IF(Prices!B75="","",Prices!B75)</f>
        <v/>
      </c>
      <c r="H473" s="2">
        <f>IF(G473="","",E473/1000*G473)</f>
        <v/>
      </c>
      <c r="I473" s="2" t="inlineStr">
        <is>
          <t>Purchase quote/specification required</t>
        </is>
      </c>
      <c r="J473" s="2" t="inlineStr"/>
    </row>
    <row r="474">
      <c r="A474" s="2" t="inlineStr">
        <is>
          <t>S-P01</t>
        </is>
      </c>
      <c r="B474" s="2" t="inlineStr">
        <is>
          <t>Yeast donuts: plain, glazed and beignets sucrés</t>
        </is>
      </c>
      <c r="C474" s="2" t="inlineStr">
        <is>
          <t>Yeast dough</t>
        </is>
      </c>
      <c r="D474" s="2" t="inlineStr">
        <is>
          <t>Sugar</t>
        </is>
      </c>
      <c r="E474" s="3" t="n">
        <v>100</v>
      </c>
      <c r="F474" s="3" t="n">
        <v>400</v>
      </c>
      <c r="G474" s="2">
        <f>IF(Prices!B4="","",Prices!B4)</f>
        <v/>
      </c>
      <c r="H474" s="2">
        <f>IF(G474="","",E474/1000*G474)</f>
        <v/>
      </c>
      <c r="I474" s="2" t="inlineStr">
        <is>
          <t>Owner granulated sugar price; grind specification must match</t>
        </is>
      </c>
      <c r="J474" s="2" t="inlineStr"/>
    </row>
    <row r="475">
      <c r="A475" s="2" t="inlineStr">
        <is>
          <t>S-P01</t>
        </is>
      </c>
      <c r="B475" s="2" t="inlineStr">
        <is>
          <t>Yeast donuts: plain, glazed and beignets sucrés</t>
        </is>
      </c>
      <c r="C475" s="2" t="inlineStr">
        <is>
          <t>Yeast dough</t>
        </is>
      </c>
      <c r="D475" s="2" t="inlineStr">
        <is>
          <t>Butter 82%</t>
        </is>
      </c>
      <c r="E475" s="3" t="n">
        <v>80</v>
      </c>
      <c r="F475" s="3" t="n">
        <v>320</v>
      </c>
      <c r="G475" s="2">
        <f>IF(Prices!B74="","",Prices!B74)</f>
        <v/>
      </c>
      <c r="H475" s="2">
        <f>IF(G475="","",E475/1000*G475)</f>
        <v/>
      </c>
      <c r="I475" s="2" t="inlineStr">
        <is>
          <t>Purchase quote/specification required</t>
        </is>
      </c>
      <c r="J475" s="2" t="inlineStr"/>
    </row>
    <row r="476">
      <c r="A476" s="2" t="inlineStr">
        <is>
          <t>S-P01</t>
        </is>
      </c>
      <c r="B476" s="2" t="inlineStr">
        <is>
          <t>Yeast donuts: plain, glazed and beignets sucrés</t>
        </is>
      </c>
      <c r="C476" s="2" t="inlineStr">
        <is>
          <t>Yeast dough</t>
        </is>
      </c>
      <c r="D476" s="2" t="inlineStr">
        <is>
          <t>Skim milk powder</t>
        </is>
      </c>
      <c r="E476" s="3" t="n">
        <v>30</v>
      </c>
      <c r="F476" s="3" t="n">
        <v>120</v>
      </c>
      <c r="G476" s="2">
        <f>IF(Prices!B64="","",Prices!B64)</f>
        <v/>
      </c>
      <c r="H476" s="2">
        <f>IF(G476="","",E476/1000*G476)</f>
        <v/>
      </c>
      <c r="I476" s="2" t="inlineStr">
        <is>
          <t>Purchase quote/specification required</t>
        </is>
      </c>
      <c r="J476" s="2" t="inlineStr"/>
    </row>
    <row r="477">
      <c r="A477" s="2" t="inlineStr">
        <is>
          <t>S-P01</t>
        </is>
      </c>
      <c r="B477" s="2" t="inlineStr">
        <is>
          <t>Yeast donuts: plain, glazed and beignets sucrés</t>
        </is>
      </c>
      <c r="C477" s="2" t="inlineStr">
        <is>
          <t>Yeast dough</t>
        </is>
      </c>
      <c r="D477" s="2" t="inlineStr">
        <is>
          <t>Salt</t>
        </is>
      </c>
      <c r="E477" s="3" t="n">
        <v>18</v>
      </c>
      <c r="F477" s="3" t="n">
        <v>72</v>
      </c>
      <c r="G477" s="2">
        <f>IF(Prices!B6="","",Prices!B6)</f>
        <v/>
      </c>
      <c r="H477" s="2">
        <f>IF(G477="","",E477/1000*G477)</f>
        <v/>
      </c>
      <c r="I477" s="2" t="inlineStr">
        <is>
          <t>Owner price</t>
        </is>
      </c>
      <c r="J477" s="2" t="inlineStr"/>
    </row>
    <row r="478">
      <c r="A478" s="2" t="inlineStr">
        <is>
          <t>S-P01</t>
        </is>
      </c>
      <c r="B478" s="2" t="inlineStr">
        <is>
          <t>Yeast donuts: plain, glazed and beignets sucrés</t>
        </is>
      </c>
      <c r="C478" s="2" t="inlineStr">
        <is>
          <t>Yeast dough</t>
        </is>
      </c>
      <c r="D478" s="2" t="inlineStr">
        <is>
          <t>Nevada instant dry yeast</t>
        </is>
      </c>
      <c r="E478" s="3" t="n">
        <v>15</v>
      </c>
      <c r="F478" s="3" t="n">
        <v>60</v>
      </c>
      <c r="G478" s="2">
        <f>IF(Prices!B72="","",Prices!B72)</f>
        <v/>
      </c>
      <c r="H478" s="2">
        <f>IF(G478="","",E478/1000*G478)</f>
        <v/>
      </c>
      <c r="I478" s="2" t="inlineStr">
        <is>
          <t>Nevada instant dry; sweet-dough suitability requires trial</t>
        </is>
      </c>
      <c r="J478" s="2" t="inlineStr"/>
    </row>
    <row r="479">
      <c r="A479" s="2" t="inlineStr">
        <is>
          <t>S-P01</t>
        </is>
      </c>
      <c r="B479" s="2" t="inlineStr">
        <is>
          <t>Yeast donuts: plain, glazed and beignets sucrés</t>
        </is>
      </c>
      <c r="C479" s="2" t="inlineStr">
        <is>
          <t>Yeast dough</t>
        </is>
      </c>
      <c r="D479" s="2" t="inlineStr">
        <is>
          <t>Vanilla</t>
        </is>
      </c>
      <c r="E479" s="3" t="n">
        <v>5</v>
      </c>
      <c r="F479" s="3" t="n">
        <v>20</v>
      </c>
      <c r="G479" s="2">
        <f>IF(Prices!B11="","",Prices!B11)</f>
        <v/>
      </c>
      <c r="H479" s="2">
        <f>IF(G479="","",E479/1000*G479)</f>
        <v/>
      </c>
      <c r="I479" s="2" t="inlineStr">
        <is>
          <t>Purchase quote/specification required</t>
        </is>
      </c>
      <c r="J479" s="2" t="inlineStr"/>
    </row>
    <row r="480">
      <c r="A480" s="2" t="inlineStr">
        <is>
          <t>S-P01</t>
        </is>
      </c>
      <c r="B480" s="2" t="inlineStr">
        <is>
          <t>Yeast donuts: plain, glazed and beignets sucrés</t>
        </is>
      </c>
      <c r="C480" s="2" t="inlineStr">
        <is>
          <t>Absorbed frying oil</t>
        </is>
      </c>
      <c r="D480" s="2" t="inlineStr">
        <is>
          <t>Oil</t>
        </is>
      </c>
      <c r="E480" s="3" t="n">
        <v>120</v>
      </c>
      <c r="F480" s="3" t="n">
        <v>480</v>
      </c>
      <c r="G480" s="2">
        <f>IF(Prices!B19="","",Prices!B19)</f>
        <v/>
      </c>
      <c r="H480" s="2">
        <f>IF(G480="","",E480/1000*G480)</f>
        <v/>
      </c>
      <c r="I480" s="2" t="inlineStr">
        <is>
          <t>PROVISIONAL 0.92 kg/L; correct after weighing</t>
        </is>
      </c>
      <c r="J480" s="2" t="inlineStr"/>
    </row>
    <row r="481">
      <c r="A481" s="2" t="inlineStr">
        <is>
          <t>S-P02</t>
        </is>
      </c>
      <c r="B481" s="2" t="inlineStr">
        <is>
          <t>Yeast puff-puff / beignets farine</t>
        </is>
      </c>
      <c r="C481" s="2" t="inlineStr">
        <is>
          <t>Batter</t>
        </is>
      </c>
      <c r="D481" s="2" t="inlineStr">
        <is>
          <t>Bread flour</t>
        </is>
      </c>
      <c r="E481" s="3" t="n">
        <v>1000</v>
      </c>
      <c r="F481" s="3" t="n">
        <v>4000</v>
      </c>
      <c r="G481" s="2">
        <f>IF(Prices!B2="","",Prices!B2)</f>
        <v/>
      </c>
      <c r="H481" s="2">
        <f>IF(G481="","",E481/1000*G481)</f>
        <v/>
      </c>
      <c r="I481" s="2" t="inlineStr">
        <is>
          <t>Owner flour price; flour performance requires trial</t>
        </is>
      </c>
      <c r="J481" s="2" t="inlineStr"/>
    </row>
    <row r="482">
      <c r="A482" s="2" t="inlineStr">
        <is>
          <t>S-P02</t>
        </is>
      </c>
      <c r="B482" s="2" t="inlineStr">
        <is>
          <t>Yeast puff-puff / beignets farine</t>
        </is>
      </c>
      <c r="C482" s="2" t="inlineStr">
        <is>
          <t>Batter</t>
        </is>
      </c>
      <c r="D482" s="2" t="inlineStr">
        <is>
          <t>Water</t>
        </is>
      </c>
      <c r="E482" s="3" t="n">
        <v>650</v>
      </c>
      <c r="F482" s="3" t="n">
        <v>2600</v>
      </c>
      <c r="G482" s="2">
        <f>IF(Prices!B3="","",Prices!B3)</f>
        <v/>
      </c>
      <c r="H482" s="2">
        <f>IF(G482="","",E482/1000*G482)</f>
        <v/>
      </c>
      <c r="I482" s="2" t="inlineStr">
        <is>
          <t>Purchase quote/specification required</t>
        </is>
      </c>
      <c r="J482" s="2" t="inlineStr"/>
    </row>
    <row r="483">
      <c r="A483" s="2" t="inlineStr">
        <is>
          <t>S-P02</t>
        </is>
      </c>
      <c r="B483" s="2" t="inlineStr">
        <is>
          <t>Yeast puff-puff / beignets farine</t>
        </is>
      </c>
      <c r="C483" s="2" t="inlineStr">
        <is>
          <t>Batter</t>
        </is>
      </c>
      <c r="D483" s="2" t="inlineStr">
        <is>
          <t>Sugar</t>
        </is>
      </c>
      <c r="E483" s="3" t="n">
        <v>120</v>
      </c>
      <c r="F483" s="3" t="n">
        <v>480</v>
      </c>
      <c r="G483" s="2">
        <f>IF(Prices!B4="","",Prices!B4)</f>
        <v/>
      </c>
      <c r="H483" s="2">
        <f>IF(G483="","",E483/1000*G483)</f>
        <v/>
      </c>
      <c r="I483" s="2" t="inlineStr">
        <is>
          <t>Owner granulated sugar price; grind specification must match</t>
        </is>
      </c>
      <c r="J483" s="2" t="inlineStr"/>
    </row>
    <row r="484">
      <c r="A484" s="2" t="inlineStr">
        <is>
          <t>S-P02</t>
        </is>
      </c>
      <c r="B484" s="2" t="inlineStr">
        <is>
          <t>Yeast puff-puff / beignets farine</t>
        </is>
      </c>
      <c r="C484" s="2" t="inlineStr">
        <is>
          <t>Batter</t>
        </is>
      </c>
      <c r="D484" s="2" t="inlineStr">
        <is>
          <t>Salt</t>
        </is>
      </c>
      <c r="E484" s="3" t="n">
        <v>12</v>
      </c>
      <c r="F484" s="3" t="n">
        <v>48</v>
      </c>
      <c r="G484" s="2">
        <f>IF(Prices!B6="","",Prices!B6)</f>
        <v/>
      </c>
      <c r="H484" s="2">
        <f>IF(G484="","",E484/1000*G484)</f>
        <v/>
      </c>
      <c r="I484" s="2" t="inlineStr">
        <is>
          <t>Owner price</t>
        </is>
      </c>
      <c r="J484" s="2" t="inlineStr"/>
    </row>
    <row r="485">
      <c r="A485" s="2" t="inlineStr">
        <is>
          <t>S-P02</t>
        </is>
      </c>
      <c r="B485" s="2" t="inlineStr">
        <is>
          <t>Yeast puff-puff / beignets farine</t>
        </is>
      </c>
      <c r="C485" s="2" t="inlineStr">
        <is>
          <t>Batter</t>
        </is>
      </c>
      <c r="D485" s="2" t="inlineStr">
        <is>
          <t>Nevada instant dry yeast</t>
        </is>
      </c>
      <c r="E485" s="3" t="n">
        <v>12</v>
      </c>
      <c r="F485" s="3" t="n">
        <v>48</v>
      </c>
      <c r="G485" s="2">
        <f>IF(Prices!B72="","",Prices!B72)</f>
        <v/>
      </c>
      <c r="H485" s="2">
        <f>IF(G485="","",E485/1000*G485)</f>
        <v/>
      </c>
      <c r="I485" s="2" t="inlineStr">
        <is>
          <t>Nevada instant dry; sweet-dough suitability requires trial</t>
        </is>
      </c>
      <c r="J485" s="2" t="inlineStr"/>
    </row>
    <row r="486">
      <c r="A486" s="2" t="inlineStr">
        <is>
          <t>S-P02</t>
        </is>
      </c>
      <c r="B486" s="2" t="inlineStr">
        <is>
          <t>Yeast puff-puff / beignets farine</t>
        </is>
      </c>
      <c r="C486" s="2" t="inlineStr">
        <is>
          <t>Batter</t>
        </is>
      </c>
      <c r="D486" s="2" t="inlineStr">
        <is>
          <t>Nutmeg</t>
        </is>
      </c>
      <c r="E486" s="3" t="n">
        <v>2</v>
      </c>
      <c r="F486" s="3" t="n">
        <v>8</v>
      </c>
      <c r="G486" s="2">
        <f>IF(Prices!B13="","",Prices!B13)</f>
        <v/>
      </c>
      <c r="H486" s="2">
        <f>IF(G486="","",E486/1000*G486)</f>
        <v/>
      </c>
      <c r="I486" s="2" t="inlineStr">
        <is>
          <t>Purchase quote/specification required</t>
        </is>
      </c>
      <c r="J486" s="2" t="inlineStr"/>
    </row>
    <row r="487">
      <c r="A487" s="2" t="inlineStr">
        <is>
          <t>S-P02</t>
        </is>
      </c>
      <c r="B487" s="2" t="inlineStr">
        <is>
          <t>Yeast puff-puff / beignets farine</t>
        </is>
      </c>
      <c r="C487" s="2" t="inlineStr">
        <is>
          <t>Absorbed frying oil</t>
        </is>
      </c>
      <c r="D487" s="2" t="inlineStr">
        <is>
          <t>Oil</t>
        </is>
      </c>
      <c r="E487" s="3" t="n">
        <v>150</v>
      </c>
      <c r="F487" s="3" t="n">
        <v>600</v>
      </c>
      <c r="G487" s="2">
        <f>IF(Prices!B19="","",Prices!B19)</f>
        <v/>
      </c>
      <c r="H487" s="2">
        <f>IF(G487="","",E487/1000*G487)</f>
        <v/>
      </c>
      <c r="I487" s="2" t="inlineStr">
        <is>
          <t>PROVISIONAL 0.92 kg/L; correct after weighing</t>
        </is>
      </c>
      <c r="J487" s="2" t="inlineStr"/>
    </row>
    <row r="488">
      <c r="A488" s="2" t="inlineStr">
        <is>
          <t>S-P03</t>
        </is>
      </c>
      <c r="B488" s="2" t="inlineStr">
        <is>
          <t>Cameroonian cake-style beignets soufflés</t>
        </is>
      </c>
      <c r="C488" s="2" t="inlineStr">
        <is>
          <t>Batter</t>
        </is>
      </c>
      <c r="D488" s="2" t="inlineStr">
        <is>
          <t>Plain flour</t>
        </is>
      </c>
      <c r="E488" s="3" t="n">
        <v>1000</v>
      </c>
      <c r="F488" s="3" t="n">
        <v>4000</v>
      </c>
      <c r="G488" s="2">
        <f>IF(Prices!B14="","",Prices!B14)</f>
        <v/>
      </c>
      <c r="H488" s="2">
        <f>IF(G488="","",E488/1000*G488)</f>
        <v/>
      </c>
      <c r="I488" s="2" t="inlineStr">
        <is>
          <t>Purchase quote/specification required</t>
        </is>
      </c>
      <c r="J488" s="2" t="inlineStr"/>
    </row>
    <row r="489">
      <c r="A489" s="2" t="inlineStr">
        <is>
          <t>S-P03</t>
        </is>
      </c>
      <c r="B489" s="2" t="inlineStr">
        <is>
          <t>Cameroonian cake-style beignets soufflés</t>
        </is>
      </c>
      <c r="C489" s="2" t="inlineStr">
        <is>
          <t>Batter</t>
        </is>
      </c>
      <c r="D489" s="2" t="inlineStr">
        <is>
          <t>Whole egg</t>
        </is>
      </c>
      <c r="E489" s="3" t="n">
        <v>400</v>
      </c>
      <c r="F489" s="3" t="n">
        <v>1600</v>
      </c>
      <c r="G489" s="2">
        <f>IF(Prices!B75="","",Prices!B75)</f>
        <v/>
      </c>
      <c r="H489" s="2">
        <f>IF(G489="","",E489/1000*G489)</f>
        <v/>
      </c>
      <c r="I489" s="2" t="inlineStr">
        <is>
          <t>Purchase quote/specification required</t>
        </is>
      </c>
      <c r="J489" s="2" t="inlineStr"/>
    </row>
    <row r="490">
      <c r="A490" s="2" t="inlineStr">
        <is>
          <t>S-P03</t>
        </is>
      </c>
      <c r="B490" s="2" t="inlineStr">
        <is>
          <t>Cameroonian cake-style beignets soufflés</t>
        </is>
      </c>
      <c r="C490" s="2" t="inlineStr">
        <is>
          <t>Batter</t>
        </is>
      </c>
      <c r="D490" s="2" t="inlineStr">
        <is>
          <t>Whole milk 3.5%</t>
        </is>
      </c>
      <c r="E490" s="3" t="n">
        <v>480</v>
      </c>
      <c r="F490" s="3" t="n">
        <v>1920</v>
      </c>
      <c r="G490" s="2">
        <f>IF(Prices!B76="","",Prices!B76)</f>
        <v/>
      </c>
      <c r="H490" s="2">
        <f>IF(G490="","",E490/1000*G490)</f>
        <v/>
      </c>
      <c r="I490" s="2" t="inlineStr">
        <is>
          <t>Purchase quote/specification required</t>
        </is>
      </c>
      <c r="J490" s="2" t="inlineStr"/>
    </row>
    <row r="491">
      <c r="A491" s="2" t="inlineStr">
        <is>
          <t>S-P03</t>
        </is>
      </c>
      <c r="B491" s="2" t="inlineStr">
        <is>
          <t>Cameroonian cake-style beignets soufflés</t>
        </is>
      </c>
      <c r="C491" s="2" t="inlineStr">
        <is>
          <t>Batter</t>
        </is>
      </c>
      <c r="D491" s="2" t="inlineStr">
        <is>
          <t>Sugar</t>
        </is>
      </c>
      <c r="E491" s="3" t="n">
        <v>220</v>
      </c>
      <c r="F491" s="3" t="n">
        <v>880</v>
      </c>
      <c r="G491" s="2">
        <f>IF(Prices!B4="","",Prices!B4)</f>
        <v/>
      </c>
      <c r="H491" s="2">
        <f>IF(G491="","",E491/1000*G491)</f>
        <v/>
      </c>
      <c r="I491" s="2" t="inlineStr">
        <is>
          <t>Owner granulated sugar price; grind specification must match</t>
        </is>
      </c>
      <c r="J491" s="2" t="inlineStr"/>
    </row>
    <row r="492">
      <c r="A492" s="2" t="inlineStr">
        <is>
          <t>S-P03</t>
        </is>
      </c>
      <c r="B492" s="2" t="inlineStr">
        <is>
          <t>Cameroonian cake-style beignets soufflés</t>
        </is>
      </c>
      <c r="C492" s="2" t="inlineStr">
        <is>
          <t>Batter</t>
        </is>
      </c>
      <c r="D492" s="2" t="inlineStr">
        <is>
          <t>Oil</t>
        </is>
      </c>
      <c r="E492" s="3" t="n">
        <v>100</v>
      </c>
      <c r="F492" s="3" t="n">
        <v>400</v>
      </c>
      <c r="G492" s="2">
        <f>IF(Prices!B19="","",Prices!B19)</f>
        <v/>
      </c>
      <c r="H492" s="2">
        <f>IF(G492="","",E492/1000*G492)</f>
        <v/>
      </c>
      <c r="I492" s="2" t="inlineStr">
        <is>
          <t>PROVISIONAL 0.92 kg/L; correct after weighing</t>
        </is>
      </c>
      <c r="J492" s="2" t="inlineStr"/>
    </row>
    <row r="493">
      <c r="A493" s="2" t="inlineStr">
        <is>
          <t>S-P03</t>
        </is>
      </c>
      <c r="B493" s="2" t="inlineStr">
        <is>
          <t>Cameroonian cake-style beignets soufflés</t>
        </is>
      </c>
      <c r="C493" s="2" t="inlineStr">
        <is>
          <t>Batter</t>
        </is>
      </c>
      <c r="D493" s="2" t="inlineStr">
        <is>
          <t>Baking powder</t>
        </is>
      </c>
      <c r="E493" s="3" t="n">
        <v>20</v>
      </c>
      <c r="F493" s="3" t="n">
        <v>80</v>
      </c>
      <c r="G493" s="2">
        <f>IF(Prices!B15="","",Prices!B15)</f>
        <v/>
      </c>
      <c r="H493" s="2">
        <f>IF(G493="","",E493/1000*G493)</f>
        <v/>
      </c>
      <c r="I493" s="2" t="inlineStr">
        <is>
          <t>Purchase quote/specification required</t>
        </is>
      </c>
      <c r="J493" s="2" t="inlineStr"/>
    </row>
    <row r="494">
      <c r="A494" s="2" t="inlineStr">
        <is>
          <t>S-P03</t>
        </is>
      </c>
      <c r="B494" s="2" t="inlineStr">
        <is>
          <t>Cameroonian cake-style beignets soufflés</t>
        </is>
      </c>
      <c r="C494" s="2" t="inlineStr">
        <is>
          <t>Batter</t>
        </is>
      </c>
      <c r="D494" s="2" t="inlineStr">
        <is>
          <t>Salt</t>
        </is>
      </c>
      <c r="E494" s="3" t="n">
        <v>10</v>
      </c>
      <c r="F494" s="3" t="n">
        <v>40</v>
      </c>
      <c r="G494" s="2">
        <f>IF(Prices!B6="","",Prices!B6)</f>
        <v/>
      </c>
      <c r="H494" s="2">
        <f>IF(G494="","",E494/1000*G494)</f>
        <v/>
      </c>
      <c r="I494" s="2" t="inlineStr">
        <is>
          <t>Owner price</t>
        </is>
      </c>
      <c r="J494" s="2" t="inlineStr"/>
    </row>
    <row r="495">
      <c r="A495" s="2" t="inlineStr">
        <is>
          <t>S-P03</t>
        </is>
      </c>
      <c r="B495" s="2" t="inlineStr">
        <is>
          <t>Cameroonian cake-style beignets soufflés</t>
        </is>
      </c>
      <c r="C495" s="2" t="inlineStr">
        <is>
          <t>Batter</t>
        </is>
      </c>
      <c r="D495" s="2" t="inlineStr">
        <is>
          <t>Vanilla</t>
        </is>
      </c>
      <c r="E495" s="3" t="n">
        <v>6</v>
      </c>
      <c r="F495" s="3" t="n">
        <v>24</v>
      </c>
      <c r="G495" s="2">
        <f>IF(Prices!B11="","",Prices!B11)</f>
        <v/>
      </c>
      <c r="H495" s="2">
        <f>IF(G495="","",E495/1000*G495)</f>
        <v/>
      </c>
      <c r="I495" s="2" t="inlineStr">
        <is>
          <t>Purchase quote/specification required</t>
        </is>
      </c>
      <c r="J495" s="2" t="inlineStr"/>
    </row>
    <row r="496">
      <c r="A496" s="2" t="inlineStr">
        <is>
          <t>S-P03</t>
        </is>
      </c>
      <c r="B496" s="2" t="inlineStr">
        <is>
          <t>Cameroonian cake-style beignets soufflés</t>
        </is>
      </c>
      <c r="C496" s="2" t="inlineStr">
        <is>
          <t>Batter</t>
        </is>
      </c>
      <c r="D496" s="2" t="inlineStr">
        <is>
          <t>Nutmeg</t>
        </is>
      </c>
      <c r="E496" s="3" t="n">
        <v>2</v>
      </c>
      <c r="F496" s="3" t="n">
        <v>8</v>
      </c>
      <c r="G496" s="2">
        <f>IF(Prices!B13="","",Prices!B13)</f>
        <v/>
      </c>
      <c r="H496" s="2">
        <f>IF(G496="","",E496/1000*G496)</f>
        <v/>
      </c>
      <c r="I496" s="2" t="inlineStr">
        <is>
          <t>Purchase quote/specification required</t>
        </is>
      </c>
      <c r="J496" s="2" t="inlineStr"/>
    </row>
    <row r="497">
      <c r="A497" s="2" t="inlineStr">
        <is>
          <t>S-P03</t>
        </is>
      </c>
      <c r="B497" s="2" t="inlineStr">
        <is>
          <t>Cameroonian cake-style beignets soufflés</t>
        </is>
      </c>
      <c r="C497" s="2" t="inlineStr">
        <is>
          <t>Absorbed frying oil</t>
        </is>
      </c>
      <c r="D497" s="2" t="inlineStr">
        <is>
          <t>Oil</t>
        </is>
      </c>
      <c r="E497" s="3" t="n">
        <v>160</v>
      </c>
      <c r="F497" s="3" t="n">
        <v>640</v>
      </c>
      <c r="G497" s="2">
        <f>IF(Prices!B19="","",Prices!B19)</f>
        <v/>
      </c>
      <c r="H497" s="2">
        <f>IF(G497="","",E497/1000*G497)</f>
        <v/>
      </c>
      <c r="I497" s="2" t="inlineStr">
        <is>
          <t>PROVISIONAL 0.92 kg/L; correct after weighing</t>
        </is>
      </c>
      <c r="J497" s="2" t="inlineStr"/>
    </row>
    <row r="498">
      <c r="A498" s="2" t="inlineStr">
        <is>
          <t>S-P04</t>
        </is>
      </c>
      <c r="B498" s="2" t="inlineStr">
        <is>
          <t>Coconut butter biscuits</t>
        </is>
      </c>
      <c r="C498" s="2" t="inlineStr">
        <is>
          <t>Biscuit dough</t>
        </is>
      </c>
      <c r="D498" s="2" t="inlineStr">
        <is>
          <t>Plain flour</t>
        </is>
      </c>
      <c r="E498" s="3" t="n">
        <v>1000</v>
      </c>
      <c r="F498" s="3" t="n">
        <v>3000</v>
      </c>
      <c r="G498" s="2">
        <f>IF(Prices!B14="","",Prices!B14)</f>
        <v/>
      </c>
      <c r="H498" s="2">
        <f>IF(G498="","",E498/1000*G498)</f>
        <v/>
      </c>
      <c r="I498" s="2" t="inlineStr">
        <is>
          <t>Purchase quote/specification required</t>
        </is>
      </c>
      <c r="J498" s="2" t="inlineStr"/>
    </row>
    <row r="499">
      <c r="A499" s="2" t="inlineStr">
        <is>
          <t>S-P04</t>
        </is>
      </c>
      <c r="B499" s="2" t="inlineStr">
        <is>
          <t>Coconut butter biscuits</t>
        </is>
      </c>
      <c r="C499" s="2" t="inlineStr">
        <is>
          <t>Biscuit dough</t>
        </is>
      </c>
      <c r="D499" s="2" t="inlineStr">
        <is>
          <t>Butter 82%</t>
        </is>
      </c>
      <c r="E499" s="3" t="n">
        <v>550</v>
      </c>
      <c r="F499" s="3" t="n">
        <v>1650</v>
      </c>
      <c r="G499" s="2">
        <f>IF(Prices!B74="","",Prices!B74)</f>
        <v/>
      </c>
      <c r="H499" s="2">
        <f>IF(G499="","",E499/1000*G499)</f>
        <v/>
      </c>
      <c r="I499" s="2" t="inlineStr">
        <is>
          <t>Purchase quote/specification required</t>
        </is>
      </c>
      <c r="J499" s="2" t="inlineStr"/>
    </row>
    <row r="500">
      <c r="A500" s="2" t="inlineStr">
        <is>
          <t>S-P04</t>
        </is>
      </c>
      <c r="B500" s="2" t="inlineStr">
        <is>
          <t>Coconut butter biscuits</t>
        </is>
      </c>
      <c r="C500" s="2" t="inlineStr">
        <is>
          <t>Biscuit dough</t>
        </is>
      </c>
      <c r="D500" s="2" t="inlineStr">
        <is>
          <t>Icing sugar</t>
        </is>
      </c>
      <c r="E500" s="3" t="n">
        <v>350</v>
      </c>
      <c r="F500" s="3" t="n">
        <v>1050</v>
      </c>
      <c r="G500" s="2">
        <f>IF(Prices!B45="","",Prices!B45)</f>
        <v/>
      </c>
      <c r="H500" s="2">
        <f>IF(G500="","",E500/1000*G500)</f>
        <v/>
      </c>
      <c r="I500" s="2" t="inlineStr">
        <is>
          <t>Purchase quote/specification required</t>
        </is>
      </c>
      <c r="J500" s="2" t="inlineStr"/>
    </row>
    <row r="501">
      <c r="A501" s="2" t="inlineStr">
        <is>
          <t>S-P04</t>
        </is>
      </c>
      <c r="B501" s="2" t="inlineStr">
        <is>
          <t>Coconut butter biscuits</t>
        </is>
      </c>
      <c r="C501" s="2" t="inlineStr">
        <is>
          <t>Biscuit dough</t>
        </is>
      </c>
      <c r="D501" s="2" t="inlineStr">
        <is>
          <t>Whole egg</t>
        </is>
      </c>
      <c r="E501" s="3" t="n">
        <v>100</v>
      </c>
      <c r="F501" s="3" t="n">
        <v>300</v>
      </c>
      <c r="G501" s="2">
        <f>IF(Prices!B75="","",Prices!B75)</f>
        <v/>
      </c>
      <c r="H501" s="2">
        <f>IF(G501="","",E501/1000*G501)</f>
        <v/>
      </c>
      <c r="I501" s="2" t="inlineStr">
        <is>
          <t>Purchase quote/specification required</t>
        </is>
      </c>
      <c r="J501" s="2" t="inlineStr"/>
    </row>
    <row r="502">
      <c r="A502" s="2" t="inlineStr">
        <is>
          <t>S-P04</t>
        </is>
      </c>
      <c r="B502" s="2" t="inlineStr">
        <is>
          <t>Coconut butter biscuits</t>
        </is>
      </c>
      <c r="C502" s="2" t="inlineStr">
        <is>
          <t>Biscuit dough</t>
        </is>
      </c>
      <c r="D502" s="2" t="inlineStr">
        <is>
          <t>Desiccated coconut</t>
        </is>
      </c>
      <c r="E502" s="3" t="n">
        <v>150</v>
      </c>
      <c r="F502" s="3" t="n">
        <v>450</v>
      </c>
      <c r="G502" s="2">
        <f>IF(Prices!B77="","",Prices!B77)</f>
        <v/>
      </c>
      <c r="H502" s="2">
        <f>IF(G502="","",E502/1000*G502)</f>
        <v/>
      </c>
      <c r="I502" s="2" t="inlineStr">
        <is>
          <t>Purchase quote/specification required</t>
        </is>
      </c>
      <c r="J502" s="2" t="inlineStr"/>
    </row>
    <row r="503">
      <c r="A503" s="2" t="inlineStr">
        <is>
          <t>S-P04</t>
        </is>
      </c>
      <c r="B503" s="2" t="inlineStr">
        <is>
          <t>Coconut butter biscuits</t>
        </is>
      </c>
      <c r="C503" s="2" t="inlineStr">
        <is>
          <t>Biscuit dough</t>
        </is>
      </c>
      <c r="D503" s="2" t="inlineStr">
        <is>
          <t>Salt</t>
        </is>
      </c>
      <c r="E503" s="3" t="n">
        <v>5</v>
      </c>
      <c r="F503" s="3" t="n">
        <v>15</v>
      </c>
      <c r="G503" s="2">
        <f>IF(Prices!B6="","",Prices!B6)</f>
        <v/>
      </c>
      <c r="H503" s="2">
        <f>IF(G503="","",E503/1000*G503)</f>
        <v/>
      </c>
      <c r="I503" s="2" t="inlineStr">
        <is>
          <t>Owner price</t>
        </is>
      </c>
      <c r="J503" s="2" t="inlineStr"/>
    </row>
    <row r="504">
      <c r="A504" s="2" t="inlineStr">
        <is>
          <t>S-P04</t>
        </is>
      </c>
      <c r="B504" s="2" t="inlineStr">
        <is>
          <t>Coconut butter biscuits</t>
        </is>
      </c>
      <c r="C504" s="2" t="inlineStr">
        <is>
          <t>Biscuit dough</t>
        </is>
      </c>
      <c r="D504" s="2" t="inlineStr">
        <is>
          <t>Vanilla</t>
        </is>
      </c>
      <c r="E504" s="3" t="n">
        <v>5</v>
      </c>
      <c r="F504" s="3" t="n">
        <v>15</v>
      </c>
      <c r="G504" s="2">
        <f>IF(Prices!B11="","",Prices!B11)</f>
        <v/>
      </c>
      <c r="H504" s="2">
        <f>IF(G504="","",E504/1000*G504)</f>
        <v/>
      </c>
      <c r="I504" s="2" t="inlineStr">
        <is>
          <t>Purchase quote/specification required</t>
        </is>
      </c>
      <c r="J504" s="2" t="inlineStr"/>
    </row>
    <row r="505">
      <c r="A505" s="2" t="inlineStr">
        <is>
          <t>S-P05</t>
        </is>
      </c>
      <c r="B505" s="2" t="inlineStr">
        <is>
          <t>Banana snack cake</t>
        </is>
      </c>
      <c r="C505" s="2" t="inlineStr">
        <is>
          <t>Cake batter</t>
        </is>
      </c>
      <c r="D505" s="2" t="inlineStr">
        <is>
          <t>Plain flour</t>
        </is>
      </c>
      <c r="E505" s="3" t="n">
        <v>1000</v>
      </c>
      <c r="F505" s="3" t="n">
        <v>3000</v>
      </c>
      <c r="G505" s="2">
        <f>IF(Prices!B14="","",Prices!B14)</f>
        <v/>
      </c>
      <c r="H505" s="2">
        <f>IF(G505="","",E505/1000*G505)</f>
        <v/>
      </c>
      <c r="I505" s="2" t="inlineStr">
        <is>
          <t>Purchase quote/specification required</t>
        </is>
      </c>
      <c r="J505" s="2" t="inlineStr"/>
    </row>
    <row r="506">
      <c r="A506" s="2" t="inlineStr">
        <is>
          <t>S-P05</t>
        </is>
      </c>
      <c r="B506" s="2" t="inlineStr">
        <is>
          <t>Banana snack cake</t>
        </is>
      </c>
      <c r="C506" s="2" t="inlineStr">
        <is>
          <t>Cake batter</t>
        </is>
      </c>
      <c r="D506" s="2" t="inlineStr">
        <is>
          <t>Banana pulp</t>
        </is>
      </c>
      <c r="E506" s="3" t="n">
        <v>900</v>
      </c>
      <c r="F506" s="3" t="n">
        <v>2700</v>
      </c>
      <c r="G506" s="2">
        <f>IF(Prices!B78="","",Prices!B78)</f>
        <v/>
      </c>
      <c r="H506" s="2">
        <f>IF(G506="","",E506/1000*G506)</f>
        <v/>
      </c>
      <c r="I506" s="2" t="inlineStr">
        <is>
          <t>Purchase quote/specification required</t>
        </is>
      </c>
      <c r="J506" s="2" t="inlineStr"/>
    </row>
    <row r="507">
      <c r="A507" s="2" t="inlineStr">
        <is>
          <t>S-P05</t>
        </is>
      </c>
      <c r="B507" s="2" t="inlineStr">
        <is>
          <t>Banana snack cake</t>
        </is>
      </c>
      <c r="C507" s="2" t="inlineStr">
        <is>
          <t>Cake batter</t>
        </is>
      </c>
      <c r="D507" s="2" t="inlineStr">
        <is>
          <t>Sugar</t>
        </is>
      </c>
      <c r="E507" s="3" t="n">
        <v>650</v>
      </c>
      <c r="F507" s="3" t="n">
        <v>1950</v>
      </c>
      <c r="G507" s="2">
        <f>IF(Prices!B4="","",Prices!B4)</f>
        <v/>
      </c>
      <c r="H507" s="2">
        <f>IF(G507="","",E507/1000*G507)</f>
        <v/>
      </c>
      <c r="I507" s="2" t="inlineStr">
        <is>
          <t>Owner granulated sugar price; grind specification must match</t>
        </is>
      </c>
      <c r="J507" s="2" t="inlineStr"/>
    </row>
    <row r="508">
      <c r="A508" s="2" t="inlineStr">
        <is>
          <t>S-P05</t>
        </is>
      </c>
      <c r="B508" s="2" t="inlineStr">
        <is>
          <t>Banana snack cake</t>
        </is>
      </c>
      <c r="C508" s="2" t="inlineStr">
        <is>
          <t>Cake batter</t>
        </is>
      </c>
      <c r="D508" s="2" t="inlineStr">
        <is>
          <t>Oil</t>
        </is>
      </c>
      <c r="E508" s="3" t="n">
        <v>350</v>
      </c>
      <c r="F508" s="3" t="n">
        <v>1050</v>
      </c>
      <c r="G508" s="2">
        <f>IF(Prices!B19="","",Prices!B19)</f>
        <v/>
      </c>
      <c r="H508" s="2">
        <f>IF(G508="","",E508/1000*G508)</f>
        <v/>
      </c>
      <c r="I508" s="2" t="inlineStr">
        <is>
          <t>PROVISIONAL 0.92 kg/L; correct after weighing</t>
        </is>
      </c>
      <c r="J508" s="2" t="inlineStr"/>
    </row>
    <row r="509">
      <c r="A509" s="2" t="inlineStr">
        <is>
          <t>S-P05</t>
        </is>
      </c>
      <c r="B509" s="2" t="inlineStr">
        <is>
          <t>Banana snack cake</t>
        </is>
      </c>
      <c r="C509" s="2" t="inlineStr">
        <is>
          <t>Cake batter</t>
        </is>
      </c>
      <c r="D509" s="2" t="inlineStr">
        <is>
          <t>Whole egg</t>
        </is>
      </c>
      <c r="E509" s="3" t="n">
        <v>500</v>
      </c>
      <c r="F509" s="3" t="n">
        <v>1500</v>
      </c>
      <c r="G509" s="2">
        <f>IF(Prices!B75="","",Prices!B75)</f>
        <v/>
      </c>
      <c r="H509" s="2">
        <f>IF(G509="","",E509/1000*G509)</f>
        <v/>
      </c>
      <c r="I509" s="2" t="inlineStr">
        <is>
          <t>Purchase quote/specification required</t>
        </is>
      </c>
      <c r="J509" s="2" t="inlineStr"/>
    </row>
    <row r="510">
      <c r="A510" s="2" t="inlineStr">
        <is>
          <t>S-P05</t>
        </is>
      </c>
      <c r="B510" s="2" t="inlineStr">
        <is>
          <t>Banana snack cake</t>
        </is>
      </c>
      <c r="C510" s="2" t="inlineStr">
        <is>
          <t>Cake batter</t>
        </is>
      </c>
      <c r="D510" s="2" t="inlineStr">
        <is>
          <t>Whole milk 3.5%</t>
        </is>
      </c>
      <c r="E510" s="3" t="n">
        <v>150</v>
      </c>
      <c r="F510" s="3" t="n">
        <v>450</v>
      </c>
      <c r="G510" s="2">
        <f>IF(Prices!B76="","",Prices!B76)</f>
        <v/>
      </c>
      <c r="H510" s="2">
        <f>IF(G510="","",E510/1000*G510)</f>
        <v/>
      </c>
      <c r="I510" s="2" t="inlineStr">
        <is>
          <t>Purchase quote/specification required</t>
        </is>
      </c>
      <c r="J510" s="2" t="inlineStr"/>
    </row>
    <row r="511">
      <c r="A511" s="2" t="inlineStr">
        <is>
          <t>S-P05</t>
        </is>
      </c>
      <c r="B511" s="2" t="inlineStr">
        <is>
          <t>Banana snack cake</t>
        </is>
      </c>
      <c r="C511" s="2" t="inlineStr">
        <is>
          <t>Cake batter</t>
        </is>
      </c>
      <c r="D511" s="2" t="inlineStr">
        <is>
          <t>Baking powder</t>
        </is>
      </c>
      <c r="E511" s="3" t="n">
        <v>25</v>
      </c>
      <c r="F511" s="3" t="n">
        <v>75</v>
      </c>
      <c r="G511" s="2">
        <f>IF(Prices!B15="","",Prices!B15)</f>
        <v/>
      </c>
      <c r="H511" s="2">
        <f>IF(G511="","",E511/1000*G511)</f>
        <v/>
      </c>
      <c r="I511" s="2" t="inlineStr">
        <is>
          <t>Purchase quote/specification required</t>
        </is>
      </c>
      <c r="J511" s="2" t="inlineStr"/>
    </row>
    <row r="512">
      <c r="A512" s="2" t="inlineStr">
        <is>
          <t>S-P05</t>
        </is>
      </c>
      <c r="B512" s="2" t="inlineStr">
        <is>
          <t>Banana snack cake</t>
        </is>
      </c>
      <c r="C512" s="2" t="inlineStr">
        <is>
          <t>Cake batter</t>
        </is>
      </c>
      <c r="D512" s="2" t="inlineStr">
        <is>
          <t>Salt</t>
        </is>
      </c>
      <c r="E512" s="3" t="n">
        <v>10</v>
      </c>
      <c r="F512" s="3" t="n">
        <v>30</v>
      </c>
      <c r="G512" s="2">
        <f>IF(Prices!B6="","",Prices!B6)</f>
        <v/>
      </c>
      <c r="H512" s="2">
        <f>IF(G512="","",E512/1000*G512)</f>
        <v/>
      </c>
      <c r="I512" s="2" t="inlineStr">
        <is>
          <t>Owner price</t>
        </is>
      </c>
      <c r="J512" s="2" t="inlineStr"/>
    </row>
    <row r="513">
      <c r="A513" s="2" t="inlineStr">
        <is>
          <t>S-P05</t>
        </is>
      </c>
      <c r="B513" s="2" t="inlineStr">
        <is>
          <t>Banana snack cake</t>
        </is>
      </c>
      <c r="C513" s="2" t="inlineStr">
        <is>
          <t>Cake batter</t>
        </is>
      </c>
      <c r="D513" s="2" t="inlineStr">
        <is>
          <t>Cinnamon</t>
        </is>
      </c>
      <c r="E513" s="3" t="n">
        <v>5</v>
      </c>
      <c r="F513" s="3" t="n">
        <v>15</v>
      </c>
      <c r="G513" s="2">
        <f>IF(Prices!B35="","",Prices!B35)</f>
        <v/>
      </c>
      <c r="H513" s="2">
        <f>IF(G513="","",E513/1000*G513)</f>
        <v/>
      </c>
      <c r="I513" s="2" t="inlineStr">
        <is>
          <t>Purchase quote/specification required</t>
        </is>
      </c>
      <c r="J513" s="2" t="inlineStr"/>
    </row>
    <row r="514">
      <c r="A514" s="2" t="inlineStr">
        <is>
          <t>S-P05</t>
        </is>
      </c>
      <c r="B514" s="2" t="inlineStr">
        <is>
          <t>Banana snack cake</t>
        </is>
      </c>
      <c r="C514" s="2" t="inlineStr">
        <is>
          <t>Cake batter</t>
        </is>
      </c>
      <c r="D514" s="2" t="inlineStr">
        <is>
          <t>Vanilla</t>
        </is>
      </c>
      <c r="E514" s="3" t="n">
        <v>5</v>
      </c>
      <c r="F514" s="3" t="n">
        <v>15</v>
      </c>
      <c r="G514" s="2">
        <f>IF(Prices!B11="","",Prices!B11)</f>
        <v/>
      </c>
      <c r="H514" s="2">
        <f>IF(G514="","",E514/1000*G514)</f>
        <v/>
      </c>
      <c r="I514" s="2" t="inlineStr">
        <is>
          <t>Purchase quote/specification required</t>
        </is>
      </c>
      <c r="J514" s="2" t="inlineStr"/>
    </row>
    <row r="515">
      <c r="A515" s="2" t="inlineStr">
        <is>
          <t>S-P06</t>
        </is>
      </c>
      <c r="B515" s="2" t="inlineStr">
        <is>
          <t>Cinnamon breakfast rolls</t>
        </is>
      </c>
      <c r="C515" s="2" t="inlineStr">
        <is>
          <t>Dough</t>
        </is>
      </c>
      <c r="D515" s="2" t="inlineStr">
        <is>
          <t>Bread flour</t>
        </is>
      </c>
      <c r="E515" s="3" t="n">
        <v>1000</v>
      </c>
      <c r="F515" s="3" t="n">
        <v>4000</v>
      </c>
      <c r="G515" s="2">
        <f>IF(Prices!B2="","",Prices!B2)</f>
        <v/>
      </c>
      <c r="H515" s="2">
        <f>IF(G515="","",E515/1000*G515)</f>
        <v/>
      </c>
      <c r="I515" s="2" t="inlineStr">
        <is>
          <t>Owner flour price; flour performance requires trial</t>
        </is>
      </c>
      <c r="J515" s="2" t="inlineStr"/>
    </row>
    <row r="516">
      <c r="A516" s="2" t="inlineStr">
        <is>
          <t>S-P06</t>
        </is>
      </c>
      <c r="B516" s="2" t="inlineStr">
        <is>
          <t>Cinnamon breakfast rolls</t>
        </is>
      </c>
      <c r="C516" s="2" t="inlineStr">
        <is>
          <t>Dough</t>
        </is>
      </c>
      <c r="D516" s="2" t="inlineStr">
        <is>
          <t>Whole milk 3.5%</t>
        </is>
      </c>
      <c r="E516" s="3" t="n">
        <v>520</v>
      </c>
      <c r="F516" s="3" t="n">
        <v>2080</v>
      </c>
      <c r="G516" s="2">
        <f>IF(Prices!B76="","",Prices!B76)</f>
        <v/>
      </c>
      <c r="H516" s="2">
        <f>IF(G516="","",E516/1000*G516)</f>
        <v/>
      </c>
      <c r="I516" s="2" t="inlineStr">
        <is>
          <t>Purchase quote/specification required</t>
        </is>
      </c>
      <c r="J516" s="2" t="inlineStr"/>
    </row>
    <row r="517">
      <c r="A517" s="2" t="inlineStr">
        <is>
          <t>S-P06</t>
        </is>
      </c>
      <c r="B517" s="2" t="inlineStr">
        <is>
          <t>Cinnamon breakfast rolls</t>
        </is>
      </c>
      <c r="C517" s="2" t="inlineStr">
        <is>
          <t>Dough</t>
        </is>
      </c>
      <c r="D517" s="2" t="inlineStr">
        <is>
          <t>Whole egg</t>
        </is>
      </c>
      <c r="E517" s="3" t="n">
        <v>100</v>
      </c>
      <c r="F517" s="3" t="n">
        <v>400</v>
      </c>
      <c r="G517" s="2">
        <f>IF(Prices!B75="","",Prices!B75)</f>
        <v/>
      </c>
      <c r="H517" s="2">
        <f>IF(G517="","",E517/1000*G517)</f>
        <v/>
      </c>
      <c r="I517" s="2" t="inlineStr">
        <is>
          <t>Purchase quote/specification required</t>
        </is>
      </c>
      <c r="J517" s="2" t="inlineStr"/>
    </row>
    <row r="518">
      <c r="A518" s="2" t="inlineStr">
        <is>
          <t>S-P06</t>
        </is>
      </c>
      <c r="B518" s="2" t="inlineStr">
        <is>
          <t>Cinnamon breakfast rolls</t>
        </is>
      </c>
      <c r="C518" s="2" t="inlineStr">
        <is>
          <t>Dough</t>
        </is>
      </c>
      <c r="D518" s="2" t="inlineStr">
        <is>
          <t>Sugar</t>
        </is>
      </c>
      <c r="E518" s="3" t="n">
        <v>120</v>
      </c>
      <c r="F518" s="3" t="n">
        <v>480</v>
      </c>
      <c r="G518" s="2">
        <f>IF(Prices!B4="","",Prices!B4)</f>
        <v/>
      </c>
      <c r="H518" s="2">
        <f>IF(G518="","",E518/1000*G518)</f>
        <v/>
      </c>
      <c r="I518" s="2" t="inlineStr">
        <is>
          <t>Owner granulated sugar price; grind specification must match</t>
        </is>
      </c>
      <c r="J518" s="2" t="inlineStr"/>
    </row>
    <row r="519">
      <c r="A519" s="2" t="inlineStr">
        <is>
          <t>S-P06</t>
        </is>
      </c>
      <c r="B519" s="2" t="inlineStr">
        <is>
          <t>Cinnamon breakfast rolls</t>
        </is>
      </c>
      <c r="C519" s="2" t="inlineStr">
        <is>
          <t>Dough</t>
        </is>
      </c>
      <c r="D519" s="2" t="inlineStr">
        <is>
          <t>Butter 82%</t>
        </is>
      </c>
      <c r="E519" s="3" t="n">
        <v>120</v>
      </c>
      <c r="F519" s="3" t="n">
        <v>480</v>
      </c>
      <c r="G519" s="2">
        <f>IF(Prices!B74="","",Prices!B74)</f>
        <v/>
      </c>
      <c r="H519" s="2">
        <f>IF(G519="","",E519/1000*G519)</f>
        <v/>
      </c>
      <c r="I519" s="2" t="inlineStr">
        <is>
          <t>Purchase quote/specification required</t>
        </is>
      </c>
      <c r="J519" s="2" t="inlineStr"/>
    </row>
    <row r="520">
      <c r="A520" s="2" t="inlineStr">
        <is>
          <t>S-P06</t>
        </is>
      </c>
      <c r="B520" s="2" t="inlineStr">
        <is>
          <t>Cinnamon breakfast rolls</t>
        </is>
      </c>
      <c r="C520" s="2" t="inlineStr">
        <is>
          <t>Dough</t>
        </is>
      </c>
      <c r="D520" s="2" t="inlineStr">
        <is>
          <t>Salt</t>
        </is>
      </c>
      <c r="E520" s="3" t="n">
        <v>18</v>
      </c>
      <c r="F520" s="3" t="n">
        <v>72</v>
      </c>
      <c r="G520" s="2">
        <f>IF(Prices!B6="","",Prices!B6)</f>
        <v/>
      </c>
      <c r="H520" s="2">
        <f>IF(G520="","",E520/1000*G520)</f>
        <v/>
      </c>
      <c r="I520" s="2" t="inlineStr">
        <is>
          <t>Owner price</t>
        </is>
      </c>
      <c r="J520" s="2" t="inlineStr"/>
    </row>
    <row r="521">
      <c r="A521" s="2" t="inlineStr">
        <is>
          <t>S-P06</t>
        </is>
      </c>
      <c r="B521" s="2" t="inlineStr">
        <is>
          <t>Cinnamon breakfast rolls</t>
        </is>
      </c>
      <c r="C521" s="2" t="inlineStr">
        <is>
          <t>Dough</t>
        </is>
      </c>
      <c r="D521" s="2" t="inlineStr">
        <is>
          <t>Nevada instant dry yeast</t>
        </is>
      </c>
      <c r="E521" s="3" t="n">
        <v>15</v>
      </c>
      <c r="F521" s="3" t="n">
        <v>60</v>
      </c>
      <c r="G521" s="2">
        <f>IF(Prices!B72="","",Prices!B72)</f>
        <v/>
      </c>
      <c r="H521" s="2">
        <f>IF(G521="","",E521/1000*G521)</f>
        <v/>
      </c>
      <c r="I521" s="2" t="inlineStr">
        <is>
          <t>Nevada instant dry; sweet-dough suitability requires trial</t>
        </is>
      </c>
      <c r="J521" s="2" t="inlineStr"/>
    </row>
    <row r="522">
      <c r="A522" s="2" t="inlineStr">
        <is>
          <t>S-P06</t>
        </is>
      </c>
      <c r="B522" s="2" t="inlineStr">
        <is>
          <t>Cinnamon breakfast rolls</t>
        </is>
      </c>
      <c r="C522" s="2" t="inlineStr">
        <is>
          <t>Cinnamon filling</t>
        </is>
      </c>
      <c r="D522" s="2" t="inlineStr">
        <is>
          <t>Butter 82%</t>
        </is>
      </c>
      <c r="E522" s="3" t="n">
        <v>150</v>
      </c>
      <c r="F522" s="3" t="n">
        <v>600</v>
      </c>
      <c r="G522" s="2">
        <f>IF(Prices!B74="","",Prices!B74)</f>
        <v/>
      </c>
      <c r="H522" s="2">
        <f>IF(G522="","",E522/1000*G522)</f>
        <v/>
      </c>
      <c r="I522" s="2" t="inlineStr">
        <is>
          <t>Purchase quote/specification required</t>
        </is>
      </c>
      <c r="J522" s="2" t="inlineStr"/>
    </row>
    <row r="523">
      <c r="A523" s="2" t="inlineStr">
        <is>
          <t>S-P06</t>
        </is>
      </c>
      <c r="B523" s="2" t="inlineStr">
        <is>
          <t>Cinnamon breakfast rolls</t>
        </is>
      </c>
      <c r="C523" s="2" t="inlineStr">
        <is>
          <t>Cinnamon filling</t>
        </is>
      </c>
      <c r="D523" s="2" t="inlineStr">
        <is>
          <t>Sugar</t>
        </is>
      </c>
      <c r="E523" s="3" t="n">
        <v>200</v>
      </c>
      <c r="F523" s="3" t="n">
        <v>800</v>
      </c>
      <c r="G523" s="2">
        <f>IF(Prices!B4="","",Prices!B4)</f>
        <v/>
      </c>
      <c r="H523" s="2">
        <f>IF(G523="","",E523/1000*G523)</f>
        <v/>
      </c>
      <c r="I523" s="2" t="inlineStr">
        <is>
          <t>Owner granulated sugar price; grind specification must match</t>
        </is>
      </c>
      <c r="J523" s="2" t="inlineStr"/>
    </row>
    <row r="524">
      <c r="A524" s="2" t="inlineStr">
        <is>
          <t>S-P06</t>
        </is>
      </c>
      <c r="B524" s="2" t="inlineStr">
        <is>
          <t>Cinnamon breakfast rolls</t>
        </is>
      </c>
      <c r="C524" s="2" t="inlineStr">
        <is>
          <t>Cinnamon filling</t>
        </is>
      </c>
      <c r="D524" s="2" t="inlineStr">
        <is>
          <t>Cinnamon</t>
        </is>
      </c>
      <c r="E524" s="3" t="n">
        <v>16</v>
      </c>
      <c r="F524" s="3" t="n">
        <v>64</v>
      </c>
      <c r="G524" s="2">
        <f>IF(Prices!B35="","",Prices!B35)</f>
        <v/>
      </c>
      <c r="H524" s="2">
        <f>IF(G524="","",E524/1000*G524)</f>
        <v/>
      </c>
      <c r="I524" s="2" t="inlineStr">
        <is>
          <t>Purchase quote/specification required</t>
        </is>
      </c>
      <c r="J524" s="2" t="inlineStr"/>
    </row>
    <row r="525">
      <c r="A525" s="2" t="inlineStr">
        <is>
          <t>S-F01</t>
        </is>
      </c>
      <c r="B525" s="2" t="inlineStr">
        <is>
          <t>Complete beef hamburger</t>
        </is>
      </c>
      <c r="C525" s="2" t="inlineStr">
        <is>
          <t>Soft bun dough</t>
        </is>
      </c>
      <c r="D525" s="2" t="inlineStr">
        <is>
          <t>Bread flour</t>
        </is>
      </c>
      <c r="E525" s="3" t="n">
        <v>500</v>
      </c>
      <c r="F525" s="3" t="n">
        <v>2500</v>
      </c>
      <c r="G525" s="2">
        <f>IF(Prices!B2="","",Prices!B2)</f>
        <v/>
      </c>
      <c r="H525" s="2">
        <f>IF(G525="","",E525/1000*G525)</f>
        <v/>
      </c>
      <c r="I525" s="2" t="inlineStr">
        <is>
          <t>Owner flour price; flour performance requires trial</t>
        </is>
      </c>
      <c r="J525" s="2" t="inlineStr"/>
    </row>
    <row r="526">
      <c r="A526" s="2" t="inlineStr">
        <is>
          <t>S-F01</t>
        </is>
      </c>
      <c r="B526" s="2" t="inlineStr">
        <is>
          <t>Complete beef hamburger</t>
        </is>
      </c>
      <c r="C526" s="2" t="inlineStr">
        <is>
          <t>Soft bun dough</t>
        </is>
      </c>
      <c r="D526" s="2" t="inlineStr">
        <is>
          <t>Water</t>
        </is>
      </c>
      <c r="E526" s="3" t="n">
        <v>280</v>
      </c>
      <c r="F526" s="3" t="n">
        <v>1400</v>
      </c>
      <c r="G526" s="2">
        <f>IF(Prices!B3="","",Prices!B3)</f>
        <v/>
      </c>
      <c r="H526" s="2">
        <f>IF(G526="","",E526/1000*G526)</f>
        <v/>
      </c>
      <c r="I526" s="2" t="inlineStr">
        <is>
          <t>Purchase quote/specification required</t>
        </is>
      </c>
      <c r="J526" s="2" t="inlineStr"/>
    </row>
    <row r="527">
      <c r="A527" s="2" t="inlineStr">
        <is>
          <t>S-F01</t>
        </is>
      </c>
      <c r="B527" s="2" t="inlineStr">
        <is>
          <t>Complete beef hamburger</t>
        </is>
      </c>
      <c r="C527" s="2" t="inlineStr">
        <is>
          <t>Soft bun dough</t>
        </is>
      </c>
      <c r="D527" s="2" t="inlineStr">
        <is>
          <t>Sugar</t>
        </is>
      </c>
      <c r="E527" s="3" t="n">
        <v>40</v>
      </c>
      <c r="F527" s="3" t="n">
        <v>200</v>
      </c>
      <c r="G527" s="2">
        <f>IF(Prices!B4="","",Prices!B4)</f>
        <v/>
      </c>
      <c r="H527" s="2">
        <f>IF(G527="","",E527/1000*G527)</f>
        <v/>
      </c>
      <c r="I527" s="2" t="inlineStr">
        <is>
          <t>Owner granulated sugar price; grind specification must match</t>
        </is>
      </c>
      <c r="J527" s="2" t="inlineStr"/>
    </row>
    <row r="528">
      <c r="A528" s="2" t="inlineStr">
        <is>
          <t>S-F01</t>
        </is>
      </c>
      <c r="B528" s="2" t="inlineStr">
        <is>
          <t>Complete beef hamburger</t>
        </is>
      </c>
      <c r="C528" s="2" t="inlineStr">
        <is>
          <t>Soft bun dough</t>
        </is>
      </c>
      <c r="D528" s="2" t="inlineStr">
        <is>
          <t>Oil</t>
        </is>
      </c>
      <c r="E528" s="3" t="n">
        <v>40</v>
      </c>
      <c r="F528" s="3" t="n">
        <v>200</v>
      </c>
      <c r="G528" s="2">
        <f>IF(Prices!B19="","",Prices!B19)</f>
        <v/>
      </c>
      <c r="H528" s="2">
        <f>IF(G528="","",E528/1000*G528)</f>
        <v/>
      </c>
      <c r="I528" s="2" t="inlineStr">
        <is>
          <t>PROVISIONAL 0.92 kg/L; correct after weighing</t>
        </is>
      </c>
      <c r="J528" s="2" t="inlineStr"/>
    </row>
    <row r="529">
      <c r="A529" s="2" t="inlineStr">
        <is>
          <t>S-F01</t>
        </is>
      </c>
      <c r="B529" s="2" t="inlineStr">
        <is>
          <t>Complete beef hamburger</t>
        </is>
      </c>
      <c r="C529" s="2" t="inlineStr">
        <is>
          <t>Soft bun dough</t>
        </is>
      </c>
      <c r="D529" s="2" t="inlineStr">
        <is>
          <t>Skim milk powder</t>
        </is>
      </c>
      <c r="E529" s="3" t="n">
        <v>20</v>
      </c>
      <c r="F529" s="3" t="n">
        <v>100</v>
      </c>
      <c r="G529" s="2">
        <f>IF(Prices!B64="","",Prices!B64)</f>
        <v/>
      </c>
      <c r="H529" s="2">
        <f>IF(G529="","",E529/1000*G529)</f>
        <v/>
      </c>
      <c r="I529" s="2" t="inlineStr">
        <is>
          <t>Purchase quote/specification required</t>
        </is>
      </c>
      <c r="J529" s="2" t="inlineStr"/>
    </row>
    <row r="530">
      <c r="A530" s="2" t="inlineStr">
        <is>
          <t>S-F01</t>
        </is>
      </c>
      <c r="B530" s="2" t="inlineStr">
        <is>
          <t>Complete beef hamburger</t>
        </is>
      </c>
      <c r="C530" s="2" t="inlineStr">
        <is>
          <t>Soft bun dough</t>
        </is>
      </c>
      <c r="D530" s="2" t="inlineStr">
        <is>
          <t>Salt</t>
        </is>
      </c>
      <c r="E530" s="3" t="n">
        <v>9</v>
      </c>
      <c r="F530" s="3" t="n">
        <v>45</v>
      </c>
      <c r="G530" s="2">
        <f>IF(Prices!B6="","",Prices!B6)</f>
        <v/>
      </c>
      <c r="H530" s="2">
        <f>IF(G530="","",E530/1000*G530)</f>
        <v/>
      </c>
      <c r="I530" s="2" t="inlineStr">
        <is>
          <t>Owner price</t>
        </is>
      </c>
      <c r="J530" s="2" t="inlineStr"/>
    </row>
    <row r="531">
      <c r="A531" s="2" t="inlineStr">
        <is>
          <t>S-F01</t>
        </is>
      </c>
      <c r="B531" s="2" t="inlineStr">
        <is>
          <t>Complete beef hamburger</t>
        </is>
      </c>
      <c r="C531" s="2" t="inlineStr">
        <is>
          <t>Soft bun dough</t>
        </is>
      </c>
      <c r="D531" s="2" t="inlineStr">
        <is>
          <t>Nevada instant dry yeast</t>
        </is>
      </c>
      <c r="E531" s="3" t="n">
        <v>6</v>
      </c>
      <c r="F531" s="3" t="n">
        <v>30</v>
      </c>
      <c r="G531" s="2">
        <f>IF(Prices!B72="","",Prices!B72)</f>
        <v/>
      </c>
      <c r="H531" s="2">
        <f>IF(G531="","",E531/1000*G531)</f>
        <v/>
      </c>
      <c r="I531" s="2" t="inlineStr">
        <is>
          <t>Nevada instant dry; sweet-dough suitability requires trial</t>
        </is>
      </c>
      <c r="J531" s="2" t="inlineStr"/>
    </row>
    <row r="532">
      <c r="A532" s="2" t="inlineStr">
        <is>
          <t>S-F01</t>
        </is>
      </c>
      <c r="B532" s="2" t="inlineStr">
        <is>
          <t>Complete beef hamburger</t>
        </is>
      </c>
      <c r="C532" s="2" t="inlineStr">
        <is>
          <t>Soft bun dough</t>
        </is>
      </c>
      <c r="D532" s="2" t="inlineStr">
        <is>
          <t>Whole egg</t>
        </is>
      </c>
      <c r="E532" s="3" t="n">
        <v>25</v>
      </c>
      <c r="F532" s="3" t="n">
        <v>125</v>
      </c>
      <c r="G532" s="2">
        <f>IF(Prices!B75="","",Prices!B75)</f>
        <v/>
      </c>
      <c r="H532" s="2">
        <f>IF(G532="","",E532/1000*G532)</f>
        <v/>
      </c>
      <c r="I532" s="2" t="inlineStr">
        <is>
          <t>Purchase quote/specification required</t>
        </is>
      </c>
      <c r="J532" s="2" t="inlineStr"/>
    </row>
    <row r="533">
      <c r="A533" s="2" t="inlineStr">
        <is>
          <t>S-F01</t>
        </is>
      </c>
      <c r="B533" s="2" t="inlineStr">
        <is>
          <t>Complete beef hamburger</t>
        </is>
      </c>
      <c r="C533" s="2" t="inlineStr">
        <is>
          <t>Seasoned beef patty</t>
        </is>
      </c>
      <c r="D533" s="2" t="inlineStr">
        <is>
          <t>Raw beef mince</t>
        </is>
      </c>
      <c r="E533" s="3" t="n">
        <v>1000</v>
      </c>
      <c r="F533" s="3" t="n">
        <v>5000</v>
      </c>
      <c r="G533" s="2">
        <f>IF(Prices!B79="","",Prices!B79)</f>
        <v/>
      </c>
      <c r="H533" s="2">
        <f>IF(G533="","",E533/1000*G533)</f>
        <v/>
      </c>
      <c r="I533" s="2" t="inlineStr">
        <is>
          <t>Purchase quote/specification required</t>
        </is>
      </c>
      <c r="J533" s="2" t="inlineStr"/>
    </row>
    <row r="534">
      <c r="A534" s="2" t="inlineStr">
        <is>
          <t>S-F01</t>
        </is>
      </c>
      <c r="B534" s="2" t="inlineStr">
        <is>
          <t>Complete beef hamburger</t>
        </is>
      </c>
      <c r="C534" s="2" t="inlineStr">
        <is>
          <t>Seasoned beef patty</t>
        </is>
      </c>
      <c r="D534" s="2" t="inlineStr">
        <is>
          <t>Salt</t>
        </is>
      </c>
      <c r="E534" s="3" t="n">
        <v>10</v>
      </c>
      <c r="F534" s="3" t="n">
        <v>50</v>
      </c>
      <c r="G534" s="2">
        <f>IF(Prices!B6="","",Prices!B6)</f>
        <v/>
      </c>
      <c r="H534" s="2">
        <f>IF(G534="","",E534/1000*G534)</f>
        <v/>
      </c>
      <c r="I534" s="2" t="inlineStr">
        <is>
          <t>Owner price</t>
        </is>
      </c>
      <c r="J534" s="2" t="inlineStr"/>
    </row>
    <row r="535">
      <c r="A535" s="2" t="inlineStr">
        <is>
          <t>S-F01</t>
        </is>
      </c>
      <c r="B535" s="2" t="inlineStr">
        <is>
          <t>Complete beef hamburger</t>
        </is>
      </c>
      <c r="C535" s="2" t="inlineStr">
        <is>
          <t>Seasoned beef patty</t>
        </is>
      </c>
      <c r="D535" s="2" t="inlineStr">
        <is>
          <t>Black pepper</t>
        </is>
      </c>
      <c r="E535" s="3" t="n">
        <v>2</v>
      </c>
      <c r="F535" s="3" t="n">
        <v>10</v>
      </c>
      <c r="G535" s="2">
        <f>IF(Prices!B22="","",Prices!B22)</f>
        <v/>
      </c>
      <c r="H535" s="2">
        <f>IF(G535="","",E535/1000*G535)</f>
        <v/>
      </c>
      <c r="I535" s="2" t="inlineStr">
        <is>
          <t>Purchase quote/specification required</t>
        </is>
      </c>
      <c r="J535" s="2" t="inlineStr"/>
    </row>
    <row r="536">
      <c r="A536" s="2" t="inlineStr">
        <is>
          <t>S-F01</t>
        </is>
      </c>
      <c r="B536" s="2" t="inlineStr">
        <is>
          <t>Complete beef hamburger</t>
        </is>
      </c>
      <c r="C536" s="2" t="inlineStr">
        <is>
          <t>Burger sauce</t>
        </is>
      </c>
      <c r="D536" s="2" t="inlineStr">
        <is>
          <t>Pasteurized-egg mayonnaise</t>
        </is>
      </c>
      <c r="E536" s="3" t="n">
        <v>120</v>
      </c>
      <c r="F536" s="3" t="n">
        <v>600</v>
      </c>
      <c r="G536" s="2">
        <f>IF(Prices!B80="","",Prices!B80)</f>
        <v/>
      </c>
      <c r="H536" s="2">
        <f>IF(G536="","",E536/1000*G536)</f>
        <v/>
      </c>
      <c r="I536" s="2" t="inlineStr">
        <is>
          <t>Purchase quote/specification required</t>
        </is>
      </c>
      <c r="J536" s="2" t="inlineStr"/>
    </row>
    <row r="537">
      <c r="A537" s="2" t="inlineStr">
        <is>
          <t>S-F01</t>
        </is>
      </c>
      <c r="B537" s="2" t="inlineStr">
        <is>
          <t>Complete beef hamburger</t>
        </is>
      </c>
      <c r="C537" s="2" t="inlineStr">
        <is>
          <t>Burger sauce</t>
        </is>
      </c>
      <c r="D537" s="2" t="inlineStr">
        <is>
          <t>Ketchup</t>
        </is>
      </c>
      <c r="E537" s="3" t="n">
        <v>50</v>
      </c>
      <c r="F537" s="3" t="n">
        <v>250</v>
      </c>
      <c r="G537" s="2">
        <f>IF(Prices!B41="","",Prices!B41)</f>
        <v/>
      </c>
      <c r="H537" s="2">
        <f>IF(G537="","",E537/1000*G537)</f>
        <v/>
      </c>
      <c r="I537" s="2" t="inlineStr">
        <is>
          <t>Purchase quote/specification required</t>
        </is>
      </c>
      <c r="J537" s="2" t="inlineStr"/>
    </row>
    <row r="538">
      <c r="A538" s="2" t="inlineStr">
        <is>
          <t>S-F01</t>
        </is>
      </c>
      <c r="B538" s="2" t="inlineStr">
        <is>
          <t>Complete beef hamburger</t>
        </is>
      </c>
      <c r="C538" s="2" t="inlineStr">
        <is>
          <t>Burger sauce</t>
        </is>
      </c>
      <c r="D538" s="2" t="inlineStr">
        <is>
          <t>Mustard</t>
        </is>
      </c>
      <c r="E538" s="3" t="n">
        <v>20</v>
      </c>
      <c r="F538" s="3" t="n">
        <v>100</v>
      </c>
      <c r="G538" s="2">
        <f>IF(Prices!B42="","",Prices!B42)</f>
        <v/>
      </c>
      <c r="H538" s="2">
        <f>IF(G538="","",E538/1000*G538)</f>
        <v/>
      </c>
      <c r="I538" s="2" t="inlineStr">
        <is>
          <t>Purchase quote/specification required</t>
        </is>
      </c>
      <c r="J538" s="2" t="inlineStr"/>
    </row>
    <row r="539">
      <c r="A539" s="2" t="inlineStr">
        <is>
          <t>S-F01</t>
        </is>
      </c>
      <c r="B539" s="2" t="inlineStr">
        <is>
          <t>Complete beef hamburger</t>
        </is>
      </c>
      <c r="C539" s="2" t="inlineStr">
        <is>
          <t>Burger sauce</t>
        </is>
      </c>
      <c r="D539" s="2" t="inlineStr">
        <is>
          <t>Drained pickle</t>
        </is>
      </c>
      <c r="E539" s="3" t="n">
        <v>10</v>
      </c>
      <c r="F539" s="3" t="n">
        <v>50</v>
      </c>
      <c r="G539" s="2">
        <f>IF(Prices!B81="","",Prices!B81)</f>
        <v/>
      </c>
      <c r="H539" s="2">
        <f>IF(G539="","",E539/1000*G539)</f>
        <v/>
      </c>
      <c r="I539" s="2" t="inlineStr">
        <is>
          <t>Purchase quote/specification required</t>
        </is>
      </c>
      <c r="J539" s="2" t="inlineStr"/>
    </row>
    <row r="540">
      <c r="A540" s="2" t="inlineStr">
        <is>
          <t>S-F01</t>
        </is>
      </c>
      <c r="B540" s="2" t="inlineStr">
        <is>
          <t>Complete beef hamburger</t>
        </is>
      </c>
      <c r="C540" s="2" t="inlineStr">
        <is>
          <t>Prepared salad</t>
        </is>
      </c>
      <c r="D540" s="2" t="inlineStr">
        <is>
          <t>Lettuce</t>
        </is>
      </c>
      <c r="E540" s="3" t="n">
        <v>100</v>
      </c>
      <c r="F540" s="3" t="n">
        <v>500</v>
      </c>
      <c r="G540" s="2">
        <f>IF(Prices!B60="","",Prices!B60)</f>
        <v/>
      </c>
      <c r="H540" s="2">
        <f>IF(G540="","",E540/1000*G540)</f>
        <v/>
      </c>
      <c r="I540" s="2" t="inlineStr">
        <is>
          <t>Purchase quote/specification required</t>
        </is>
      </c>
      <c r="J540" s="2" t="inlineStr"/>
    </row>
    <row r="541">
      <c r="A541" s="2" t="inlineStr">
        <is>
          <t>S-F01</t>
        </is>
      </c>
      <c r="B541" s="2" t="inlineStr">
        <is>
          <t>Complete beef hamburger</t>
        </is>
      </c>
      <c r="C541" s="2" t="inlineStr">
        <is>
          <t>Prepared salad</t>
        </is>
      </c>
      <c r="D541" s="2" t="inlineStr">
        <is>
          <t>Tomato</t>
        </is>
      </c>
      <c r="E541" s="3" t="n">
        <v>200</v>
      </c>
      <c r="F541" s="3" t="n">
        <v>1000</v>
      </c>
      <c r="G541" s="2">
        <f>IF(Prices!B61="","",Prices!B61)</f>
        <v/>
      </c>
      <c r="H541" s="2">
        <f>IF(G541="","",E541/1000*G541)</f>
        <v/>
      </c>
      <c r="I541" s="2" t="inlineStr">
        <is>
          <t>Purchase quote/specification required</t>
        </is>
      </c>
      <c r="J541" s="2" t="inlineStr"/>
    </row>
    <row r="542">
      <c r="A542" s="2" t="inlineStr">
        <is>
          <t>S-F01</t>
        </is>
      </c>
      <c r="B542" s="2" t="inlineStr">
        <is>
          <t>Complete beef hamburger</t>
        </is>
      </c>
      <c r="C542" s="2" t="inlineStr">
        <is>
          <t>Prepared salad</t>
        </is>
      </c>
      <c r="D542" s="2" t="inlineStr">
        <is>
          <t>Onion</t>
        </is>
      </c>
      <c r="E542" s="3" t="n">
        <v>100</v>
      </c>
      <c r="F542" s="3" t="n">
        <v>500</v>
      </c>
      <c r="G542" s="2">
        <f>IF(Prices!B62="","",Prices!B62)</f>
        <v/>
      </c>
      <c r="H542" s="2">
        <f>IF(G542="","",E542/1000*G542)</f>
        <v/>
      </c>
      <c r="I542" s="2" t="inlineStr">
        <is>
          <t>Purchase quote/specification required</t>
        </is>
      </c>
      <c r="J542" s="2" t="inlineStr"/>
    </row>
    <row r="543">
      <c r="A543" s="2" t="inlineStr">
        <is>
          <t>S-F01</t>
        </is>
      </c>
      <c r="B543" s="2" t="inlineStr">
        <is>
          <t>Complete beef hamburger</t>
        </is>
      </c>
      <c r="C543" s="2" t="inlineStr">
        <is>
          <t>Prepared salad</t>
        </is>
      </c>
      <c r="D543" s="2" t="inlineStr">
        <is>
          <t>Drained pickle</t>
        </is>
      </c>
      <c r="E543" s="3" t="n">
        <v>100</v>
      </c>
      <c r="F543" s="3" t="n">
        <v>500</v>
      </c>
      <c r="G543" s="2">
        <f>IF(Prices!B81="","",Prices!B81)</f>
        <v/>
      </c>
      <c r="H543" s="2">
        <f>IF(G543="","",E543/1000*G543)</f>
        <v/>
      </c>
      <c r="I543" s="2" t="inlineStr">
        <is>
          <t>Purchase quote/specification required</t>
        </is>
      </c>
      <c r="J543" s="2" t="inlineStr"/>
    </row>
    <row r="544">
      <c r="A544" s="2" t="inlineStr">
        <is>
          <t>S-F02</t>
        </is>
      </c>
      <c r="B544" s="2" t="inlineStr">
        <is>
          <t>Pain omelette with sardines</t>
        </is>
      </c>
      <c r="C544" s="2" t="inlineStr">
        <is>
          <t>Baguette dough</t>
        </is>
      </c>
      <c r="D544" s="2" t="inlineStr">
        <is>
          <t>Bread flour</t>
        </is>
      </c>
      <c r="E544" s="3" t="n">
        <v>500</v>
      </c>
      <c r="F544" s="3" t="n">
        <v>2500</v>
      </c>
      <c r="G544" s="2">
        <f>IF(Prices!B2="","",Prices!B2)</f>
        <v/>
      </c>
      <c r="H544" s="2">
        <f>IF(G544="","",E544/1000*G544)</f>
        <v/>
      </c>
      <c r="I544" s="2" t="inlineStr">
        <is>
          <t>Owner flour price; flour performance requires trial</t>
        </is>
      </c>
      <c r="J544" s="2" t="inlineStr"/>
    </row>
    <row r="545">
      <c r="A545" s="2" t="inlineStr">
        <is>
          <t>S-F02</t>
        </is>
      </c>
      <c r="B545" s="2" t="inlineStr">
        <is>
          <t>Pain omelette with sardines</t>
        </is>
      </c>
      <c r="C545" s="2" t="inlineStr">
        <is>
          <t>Baguette dough</t>
        </is>
      </c>
      <c r="D545" s="2" t="inlineStr">
        <is>
          <t>Water</t>
        </is>
      </c>
      <c r="E545" s="3" t="n">
        <v>330</v>
      </c>
      <c r="F545" s="3" t="n">
        <v>1650</v>
      </c>
      <c r="G545" s="2">
        <f>IF(Prices!B3="","",Prices!B3)</f>
        <v/>
      </c>
      <c r="H545" s="2">
        <f>IF(G545="","",E545/1000*G545)</f>
        <v/>
      </c>
      <c r="I545" s="2" t="inlineStr">
        <is>
          <t>Purchase quote/specification required</t>
        </is>
      </c>
      <c r="J545" s="2" t="inlineStr"/>
    </row>
    <row r="546">
      <c r="A546" s="2" t="inlineStr">
        <is>
          <t>S-F02</t>
        </is>
      </c>
      <c r="B546" s="2" t="inlineStr">
        <is>
          <t>Pain omelette with sardines</t>
        </is>
      </c>
      <c r="C546" s="2" t="inlineStr">
        <is>
          <t>Baguette dough</t>
        </is>
      </c>
      <c r="D546" s="2" t="inlineStr">
        <is>
          <t>Salt</t>
        </is>
      </c>
      <c r="E546" s="3" t="n">
        <v>10</v>
      </c>
      <c r="F546" s="3" t="n">
        <v>50</v>
      </c>
      <c r="G546" s="2">
        <f>IF(Prices!B6="","",Prices!B6)</f>
        <v/>
      </c>
      <c r="H546" s="2">
        <f>IF(G546="","",E546/1000*G546)</f>
        <v/>
      </c>
      <c r="I546" s="2" t="inlineStr">
        <is>
          <t>Owner price</t>
        </is>
      </c>
      <c r="J546" s="2" t="inlineStr"/>
    </row>
    <row r="547">
      <c r="A547" s="2" t="inlineStr">
        <is>
          <t>S-F02</t>
        </is>
      </c>
      <c r="B547" s="2" t="inlineStr">
        <is>
          <t>Pain omelette with sardines</t>
        </is>
      </c>
      <c r="C547" s="2" t="inlineStr">
        <is>
          <t>Baguette dough</t>
        </is>
      </c>
      <c r="D547" s="2" t="inlineStr">
        <is>
          <t>Nevada instant dry yeast</t>
        </is>
      </c>
      <c r="E547" s="3" t="n">
        <v>2.5</v>
      </c>
      <c r="F547" s="3" t="n">
        <v>12.5</v>
      </c>
      <c r="G547" s="2">
        <f>IF(Prices!B72="","",Prices!B72)</f>
        <v/>
      </c>
      <c r="H547" s="2">
        <f>IF(G547="","",E547/1000*G547)</f>
        <v/>
      </c>
      <c r="I547" s="2" t="inlineStr">
        <is>
          <t>Nevada instant dry; sweet-dough suitability requires trial</t>
        </is>
      </c>
      <c r="J547" s="2" t="inlineStr"/>
    </row>
    <row r="548">
      <c r="A548" s="2" t="inlineStr">
        <is>
          <t>S-F02</t>
        </is>
      </c>
      <c r="B548" s="2" t="inlineStr">
        <is>
          <t>Pain omelette with sardines</t>
        </is>
      </c>
      <c r="C548" s="2" t="inlineStr">
        <is>
          <t>Omelette</t>
        </is>
      </c>
      <c r="D548" s="2" t="inlineStr">
        <is>
          <t>Whole egg</t>
        </is>
      </c>
      <c r="E548" s="3" t="n">
        <v>500</v>
      </c>
      <c r="F548" s="3" t="n">
        <v>2500</v>
      </c>
      <c r="G548" s="2">
        <f>IF(Prices!B75="","",Prices!B75)</f>
        <v/>
      </c>
      <c r="H548" s="2">
        <f>IF(G548="","",E548/1000*G548)</f>
        <v/>
      </c>
      <c r="I548" s="2" t="inlineStr">
        <is>
          <t>Purchase quote/specification required</t>
        </is>
      </c>
      <c r="J548" s="2" t="inlineStr"/>
    </row>
    <row r="549">
      <c r="A549" s="2" t="inlineStr">
        <is>
          <t>S-F02</t>
        </is>
      </c>
      <c r="B549" s="2" t="inlineStr">
        <is>
          <t>Pain omelette with sardines</t>
        </is>
      </c>
      <c r="C549" s="2" t="inlineStr">
        <is>
          <t>Omelette</t>
        </is>
      </c>
      <c r="D549" s="2" t="inlineStr">
        <is>
          <t>Drained sardines</t>
        </is>
      </c>
      <c r="E549" s="3" t="n">
        <v>200</v>
      </c>
      <c r="F549" s="3" t="n">
        <v>1000</v>
      </c>
      <c r="G549" s="2">
        <f>IF(Prices!B82="","",Prices!B82)</f>
        <v/>
      </c>
      <c r="H549" s="2">
        <f>IF(G549="","",E549/1000*G549)</f>
        <v/>
      </c>
      <c r="I549" s="2" t="inlineStr">
        <is>
          <t>Purchase quote/specification required</t>
        </is>
      </c>
      <c r="J549" s="2" t="inlineStr"/>
    </row>
    <row r="550">
      <c r="A550" s="2" t="inlineStr">
        <is>
          <t>S-F02</t>
        </is>
      </c>
      <c r="B550" s="2" t="inlineStr">
        <is>
          <t>Pain omelette with sardines</t>
        </is>
      </c>
      <c r="C550" s="2" t="inlineStr">
        <is>
          <t>Omelette</t>
        </is>
      </c>
      <c r="D550" s="2" t="inlineStr">
        <is>
          <t>Onion</t>
        </is>
      </c>
      <c r="E550" s="3" t="n">
        <v>80</v>
      </c>
      <c r="F550" s="3" t="n">
        <v>400</v>
      </c>
      <c r="G550" s="2">
        <f>IF(Prices!B62="","",Prices!B62)</f>
        <v/>
      </c>
      <c r="H550" s="2">
        <f>IF(G550="","",E550/1000*G550)</f>
        <v/>
      </c>
      <c r="I550" s="2" t="inlineStr">
        <is>
          <t>Purchase quote/specification required</t>
        </is>
      </c>
      <c r="J550" s="2" t="inlineStr"/>
    </row>
    <row r="551">
      <c r="A551" s="2" t="inlineStr">
        <is>
          <t>S-F02</t>
        </is>
      </c>
      <c r="B551" s="2" t="inlineStr">
        <is>
          <t>Pain omelette with sardines</t>
        </is>
      </c>
      <c r="C551" s="2" t="inlineStr">
        <is>
          <t>Omelette</t>
        </is>
      </c>
      <c r="D551" s="2" t="inlineStr">
        <is>
          <t>Tomato</t>
        </is>
      </c>
      <c r="E551" s="3" t="n">
        <v>100</v>
      </c>
      <c r="F551" s="3" t="n">
        <v>500</v>
      </c>
      <c r="G551" s="2">
        <f>IF(Prices!B61="","",Prices!B61)</f>
        <v/>
      </c>
      <c r="H551" s="2">
        <f>IF(G551="","",E551/1000*G551)</f>
        <v/>
      </c>
      <c r="I551" s="2" t="inlineStr">
        <is>
          <t>Purchase quote/specification required</t>
        </is>
      </c>
      <c r="J551" s="2" t="inlineStr"/>
    </row>
    <row r="552">
      <c r="A552" s="2" t="inlineStr">
        <is>
          <t>S-F02</t>
        </is>
      </c>
      <c r="B552" s="2" t="inlineStr">
        <is>
          <t>Pain omelette with sardines</t>
        </is>
      </c>
      <c r="C552" s="2" t="inlineStr">
        <is>
          <t>Omelette</t>
        </is>
      </c>
      <c r="D552" s="2" t="inlineStr">
        <is>
          <t>Sweet pepper</t>
        </is>
      </c>
      <c r="E552" s="3" t="n">
        <v>40</v>
      </c>
      <c r="F552" s="3" t="n">
        <v>200</v>
      </c>
      <c r="G552" s="2">
        <f>IF(Prices!B63="","",Prices!B63)</f>
        <v/>
      </c>
      <c r="H552" s="2">
        <f>IF(G552="","",E552/1000*G552)</f>
        <v/>
      </c>
      <c r="I552" s="2" t="inlineStr">
        <is>
          <t>Purchase quote/specification required</t>
        </is>
      </c>
      <c r="J552" s="2" t="inlineStr"/>
    </row>
    <row r="553">
      <c r="A553" s="2" t="inlineStr">
        <is>
          <t>S-F02</t>
        </is>
      </c>
      <c r="B553" s="2" t="inlineStr">
        <is>
          <t>Pain omelette with sardines</t>
        </is>
      </c>
      <c r="C553" s="2" t="inlineStr">
        <is>
          <t>Omelette</t>
        </is>
      </c>
      <c r="D553" s="2" t="inlineStr">
        <is>
          <t>Oil</t>
        </is>
      </c>
      <c r="E553" s="3" t="n">
        <v>30</v>
      </c>
      <c r="F553" s="3" t="n">
        <v>150</v>
      </c>
      <c r="G553" s="2">
        <f>IF(Prices!B19="","",Prices!B19)</f>
        <v/>
      </c>
      <c r="H553" s="2">
        <f>IF(G553="","",E553/1000*G553)</f>
        <v/>
      </c>
      <c r="I553" s="2" t="inlineStr">
        <is>
          <t>PROVISIONAL 0.92 kg/L; correct after weighing</t>
        </is>
      </c>
      <c r="J553" s="2" t="inlineStr"/>
    </row>
    <row r="554">
      <c r="A554" s="2" t="inlineStr">
        <is>
          <t>S-F02</t>
        </is>
      </c>
      <c r="B554" s="2" t="inlineStr">
        <is>
          <t>Pain omelette with sardines</t>
        </is>
      </c>
      <c r="C554" s="2" t="inlineStr">
        <is>
          <t>Omelette</t>
        </is>
      </c>
      <c r="D554" s="2" t="inlineStr">
        <is>
          <t>Salt</t>
        </is>
      </c>
      <c r="E554" s="3" t="n">
        <v>4</v>
      </c>
      <c r="F554" s="3" t="n">
        <v>20</v>
      </c>
      <c r="G554" s="2">
        <f>IF(Prices!B6="","",Prices!B6)</f>
        <v/>
      </c>
      <c r="H554" s="2">
        <f>IF(G554="","",E554/1000*G554)</f>
        <v/>
      </c>
      <c r="I554" s="2" t="inlineStr">
        <is>
          <t>Owner price</t>
        </is>
      </c>
      <c r="J554" s="2" t="inlineStr"/>
    </row>
    <row r="555">
      <c r="A555" s="2" t="inlineStr">
        <is>
          <t>S-F02</t>
        </is>
      </c>
      <c r="B555" s="2" t="inlineStr">
        <is>
          <t>Pain omelette with sardines</t>
        </is>
      </c>
      <c r="C555" s="2" t="inlineStr">
        <is>
          <t>Omelette</t>
        </is>
      </c>
      <c r="D555" s="2" t="inlineStr">
        <is>
          <t>Black pepper</t>
        </is>
      </c>
      <c r="E555" s="3" t="n">
        <v>1</v>
      </c>
      <c r="F555" s="3" t="n">
        <v>5</v>
      </c>
      <c r="G555" s="2">
        <f>IF(Prices!B22="","",Prices!B22)</f>
        <v/>
      </c>
      <c r="H555" s="2">
        <f>IF(G555="","",E555/1000*G555)</f>
        <v/>
      </c>
      <c r="I555" s="2" t="inlineStr">
        <is>
          <t>Purchase quote/specification required</t>
        </is>
      </c>
      <c r="J555" s="2" t="inlineStr"/>
    </row>
    <row r="556">
      <c r="A556" s="2" t="inlineStr">
        <is>
          <t>S-F02</t>
        </is>
      </c>
      <c r="B556" s="2" t="inlineStr">
        <is>
          <t>Pain omelette with sardines</t>
        </is>
      </c>
      <c r="C556" s="2" t="inlineStr">
        <is>
          <t>Sandwich sauce</t>
        </is>
      </c>
      <c r="D556" s="2" t="inlineStr">
        <is>
          <t>Pasteurized-egg mayonnaise</t>
        </is>
      </c>
      <c r="E556" s="3" t="n">
        <v>70</v>
      </c>
      <c r="F556" s="3" t="n">
        <v>350</v>
      </c>
      <c r="G556" s="2">
        <f>IF(Prices!B80="","",Prices!B80)</f>
        <v/>
      </c>
      <c r="H556" s="2">
        <f>IF(G556="","",E556/1000*G556)</f>
        <v/>
      </c>
      <c r="I556" s="2" t="inlineStr">
        <is>
          <t>Purchase quote/specification required</t>
        </is>
      </c>
      <c r="J556" s="2" t="inlineStr"/>
    </row>
    <row r="557">
      <c r="A557" s="2" t="inlineStr">
        <is>
          <t>S-F02</t>
        </is>
      </c>
      <c r="B557" s="2" t="inlineStr">
        <is>
          <t>Pain omelette with sardines</t>
        </is>
      </c>
      <c r="C557" s="2" t="inlineStr">
        <is>
          <t>Sandwich sauce</t>
        </is>
      </c>
      <c r="D557" s="2" t="inlineStr">
        <is>
          <t>Ketchup</t>
        </is>
      </c>
      <c r="E557" s="3" t="n">
        <v>30</v>
      </c>
      <c r="F557" s="3" t="n">
        <v>150</v>
      </c>
      <c r="G557" s="2">
        <f>IF(Prices!B41="","",Prices!B41)</f>
        <v/>
      </c>
      <c r="H557" s="2">
        <f>IF(G557="","",E557/1000*G557)</f>
        <v/>
      </c>
      <c r="I557" s="2" t="inlineStr">
        <is>
          <t>Purchase quote/specification required</t>
        </is>
      </c>
      <c r="J557" s="2" t="inlineStr"/>
    </row>
    <row r="558">
      <c r="A558" s="2" t="inlineStr">
        <is>
          <t>S-F03</t>
        </is>
      </c>
      <c r="B558" s="2" t="inlineStr">
        <is>
          <t>Beef-and-cheese filled bread</t>
        </is>
      </c>
      <c r="C558" s="2" t="inlineStr">
        <is>
          <t>Unbaked bun dough</t>
        </is>
      </c>
      <c r="D558" s="2" t="inlineStr">
        <is>
          <t>Bread flour</t>
        </is>
      </c>
      <c r="E558" s="3" t="n">
        <v>500</v>
      </c>
      <c r="F558" s="3" t="n">
        <v>2500</v>
      </c>
      <c r="G558" s="2">
        <f>IF(Prices!B2="","",Prices!B2)</f>
        <v/>
      </c>
      <c r="H558" s="2">
        <f>IF(G558="","",E558/1000*G558)</f>
        <v/>
      </c>
      <c r="I558" s="2" t="inlineStr">
        <is>
          <t>Owner flour price; flour performance requires trial</t>
        </is>
      </c>
      <c r="J558" s="2" t="inlineStr"/>
    </row>
    <row r="559">
      <c r="A559" s="2" t="inlineStr">
        <is>
          <t>S-F03</t>
        </is>
      </c>
      <c r="B559" s="2" t="inlineStr">
        <is>
          <t>Beef-and-cheese filled bread</t>
        </is>
      </c>
      <c r="C559" s="2" t="inlineStr">
        <is>
          <t>Unbaked bun dough</t>
        </is>
      </c>
      <c r="D559" s="2" t="inlineStr">
        <is>
          <t>Water</t>
        </is>
      </c>
      <c r="E559" s="3" t="n">
        <v>280</v>
      </c>
      <c r="F559" s="3" t="n">
        <v>1400</v>
      </c>
      <c r="G559" s="2">
        <f>IF(Prices!B3="","",Prices!B3)</f>
        <v/>
      </c>
      <c r="H559" s="2">
        <f>IF(G559="","",E559/1000*G559)</f>
        <v/>
      </c>
      <c r="I559" s="2" t="inlineStr">
        <is>
          <t>Purchase quote/specification required</t>
        </is>
      </c>
      <c r="J559" s="2" t="inlineStr"/>
    </row>
    <row r="560">
      <c r="A560" s="2" t="inlineStr">
        <is>
          <t>S-F03</t>
        </is>
      </c>
      <c r="B560" s="2" t="inlineStr">
        <is>
          <t>Beef-and-cheese filled bread</t>
        </is>
      </c>
      <c r="C560" s="2" t="inlineStr">
        <is>
          <t>Unbaked bun dough</t>
        </is>
      </c>
      <c r="D560" s="2" t="inlineStr">
        <is>
          <t>Sugar</t>
        </is>
      </c>
      <c r="E560" s="3" t="n">
        <v>40</v>
      </c>
      <c r="F560" s="3" t="n">
        <v>200</v>
      </c>
      <c r="G560" s="2">
        <f>IF(Prices!B4="","",Prices!B4)</f>
        <v/>
      </c>
      <c r="H560" s="2">
        <f>IF(G560="","",E560/1000*G560)</f>
        <v/>
      </c>
      <c r="I560" s="2" t="inlineStr">
        <is>
          <t>Owner granulated sugar price; grind specification must match</t>
        </is>
      </c>
      <c r="J560" s="2" t="inlineStr"/>
    </row>
    <row r="561">
      <c r="A561" s="2" t="inlineStr">
        <is>
          <t>S-F03</t>
        </is>
      </c>
      <c r="B561" s="2" t="inlineStr">
        <is>
          <t>Beef-and-cheese filled bread</t>
        </is>
      </c>
      <c r="C561" s="2" t="inlineStr">
        <is>
          <t>Unbaked bun dough</t>
        </is>
      </c>
      <c r="D561" s="2" t="inlineStr">
        <is>
          <t>Oil</t>
        </is>
      </c>
      <c r="E561" s="3" t="n">
        <v>40</v>
      </c>
      <c r="F561" s="3" t="n">
        <v>200</v>
      </c>
      <c r="G561" s="2">
        <f>IF(Prices!B19="","",Prices!B19)</f>
        <v/>
      </c>
      <c r="H561" s="2">
        <f>IF(G561="","",E561/1000*G561)</f>
        <v/>
      </c>
      <c r="I561" s="2" t="inlineStr">
        <is>
          <t>PROVISIONAL 0.92 kg/L; correct after weighing</t>
        </is>
      </c>
      <c r="J561" s="2" t="inlineStr"/>
    </row>
    <row r="562">
      <c r="A562" s="2" t="inlineStr">
        <is>
          <t>S-F03</t>
        </is>
      </c>
      <c r="B562" s="2" t="inlineStr">
        <is>
          <t>Beef-and-cheese filled bread</t>
        </is>
      </c>
      <c r="C562" s="2" t="inlineStr">
        <is>
          <t>Unbaked bun dough</t>
        </is>
      </c>
      <c r="D562" s="2" t="inlineStr">
        <is>
          <t>Skim milk powder</t>
        </is>
      </c>
      <c r="E562" s="3" t="n">
        <v>20</v>
      </c>
      <c r="F562" s="3" t="n">
        <v>100</v>
      </c>
      <c r="G562" s="2">
        <f>IF(Prices!B64="","",Prices!B64)</f>
        <v/>
      </c>
      <c r="H562" s="2">
        <f>IF(G562="","",E562/1000*G562)</f>
        <v/>
      </c>
      <c r="I562" s="2" t="inlineStr">
        <is>
          <t>Purchase quote/specification required</t>
        </is>
      </c>
      <c r="J562" s="2" t="inlineStr"/>
    </row>
    <row r="563">
      <c r="A563" s="2" t="inlineStr">
        <is>
          <t>S-F03</t>
        </is>
      </c>
      <c r="B563" s="2" t="inlineStr">
        <is>
          <t>Beef-and-cheese filled bread</t>
        </is>
      </c>
      <c r="C563" s="2" t="inlineStr">
        <is>
          <t>Unbaked bun dough</t>
        </is>
      </c>
      <c r="D563" s="2" t="inlineStr">
        <is>
          <t>Salt</t>
        </is>
      </c>
      <c r="E563" s="3" t="n">
        <v>9</v>
      </c>
      <c r="F563" s="3" t="n">
        <v>45</v>
      </c>
      <c r="G563" s="2">
        <f>IF(Prices!B6="","",Prices!B6)</f>
        <v/>
      </c>
      <c r="H563" s="2">
        <f>IF(G563="","",E563/1000*G563)</f>
        <v/>
      </c>
      <c r="I563" s="2" t="inlineStr">
        <is>
          <t>Owner price</t>
        </is>
      </c>
      <c r="J563" s="2" t="inlineStr"/>
    </row>
    <row r="564">
      <c r="A564" s="2" t="inlineStr">
        <is>
          <t>S-F03</t>
        </is>
      </c>
      <c r="B564" s="2" t="inlineStr">
        <is>
          <t>Beef-and-cheese filled bread</t>
        </is>
      </c>
      <c r="C564" s="2" t="inlineStr">
        <is>
          <t>Unbaked bun dough</t>
        </is>
      </c>
      <c r="D564" s="2" t="inlineStr">
        <is>
          <t>Nevada instant dry yeast</t>
        </is>
      </c>
      <c r="E564" s="3" t="n">
        <v>6</v>
      </c>
      <c r="F564" s="3" t="n">
        <v>30</v>
      </c>
      <c r="G564" s="2">
        <f>IF(Prices!B72="","",Prices!B72)</f>
        <v/>
      </c>
      <c r="H564" s="2">
        <f>IF(G564="","",E564/1000*G564)</f>
        <v/>
      </c>
      <c r="I564" s="2" t="inlineStr">
        <is>
          <t>Nevada instant dry; sweet-dough suitability requires trial</t>
        </is>
      </c>
      <c r="J564" s="2" t="inlineStr"/>
    </row>
    <row r="565">
      <c r="A565" s="2" t="inlineStr">
        <is>
          <t>S-F03</t>
        </is>
      </c>
      <c r="B565" s="2" t="inlineStr">
        <is>
          <t>Beef-and-cheese filled bread</t>
        </is>
      </c>
      <c r="C565" s="2" t="inlineStr">
        <is>
          <t>Unbaked bun dough</t>
        </is>
      </c>
      <c r="D565" s="2" t="inlineStr">
        <is>
          <t>Whole egg</t>
        </is>
      </c>
      <c r="E565" s="3" t="n">
        <v>25</v>
      </c>
      <c r="F565" s="3" t="n">
        <v>125</v>
      </c>
      <c r="G565" s="2">
        <f>IF(Prices!B75="","",Prices!B75)</f>
        <v/>
      </c>
      <c r="H565" s="2">
        <f>IF(G565="","",E565/1000*G565)</f>
        <v/>
      </c>
      <c r="I565" s="2" t="inlineStr">
        <is>
          <t>Purchase quote/specification required</t>
        </is>
      </c>
      <c r="J565" s="2" t="inlineStr"/>
    </row>
    <row r="566">
      <c r="A566" s="2" t="inlineStr">
        <is>
          <t>S-F03</t>
        </is>
      </c>
      <c r="B566" s="2" t="inlineStr">
        <is>
          <t>Beef-and-cheese filled bread</t>
        </is>
      </c>
      <c r="C566" s="2" t="inlineStr">
        <is>
          <t>Beef filling</t>
        </is>
      </c>
      <c r="D566" s="2" t="inlineStr">
        <is>
          <t>Raw beef mince</t>
        </is>
      </c>
      <c r="E566" s="3" t="n">
        <v>500</v>
      </c>
      <c r="F566" s="3" t="n">
        <v>2500</v>
      </c>
      <c r="G566" s="2">
        <f>IF(Prices!B79="","",Prices!B79)</f>
        <v/>
      </c>
      <c r="H566" s="2">
        <f>IF(G566="","",E566/1000*G566)</f>
        <v/>
      </c>
      <c r="I566" s="2" t="inlineStr">
        <is>
          <t>Purchase quote/specification required</t>
        </is>
      </c>
      <c r="J566" s="2" t="inlineStr"/>
    </row>
    <row r="567">
      <c r="A567" s="2" t="inlineStr">
        <is>
          <t>S-F03</t>
        </is>
      </c>
      <c r="B567" s="2" t="inlineStr">
        <is>
          <t>Beef-and-cheese filled bread</t>
        </is>
      </c>
      <c r="C567" s="2" t="inlineStr">
        <is>
          <t>Beef filling</t>
        </is>
      </c>
      <c r="D567" s="2" t="inlineStr">
        <is>
          <t>Onion</t>
        </is>
      </c>
      <c r="E567" s="3" t="n">
        <v>100</v>
      </c>
      <c r="F567" s="3" t="n">
        <v>500</v>
      </c>
      <c r="G567" s="2">
        <f>IF(Prices!B62="","",Prices!B62)</f>
        <v/>
      </c>
      <c r="H567" s="2">
        <f>IF(G567="","",E567/1000*G567)</f>
        <v/>
      </c>
      <c r="I567" s="2" t="inlineStr">
        <is>
          <t>Purchase quote/specification required</t>
        </is>
      </c>
      <c r="J567" s="2" t="inlineStr"/>
    </row>
    <row r="568">
      <c r="A568" s="2" t="inlineStr">
        <is>
          <t>S-F03</t>
        </is>
      </c>
      <c r="B568" s="2" t="inlineStr">
        <is>
          <t>Beef-and-cheese filled bread</t>
        </is>
      </c>
      <c r="C568" s="2" t="inlineStr">
        <is>
          <t>Beef filling</t>
        </is>
      </c>
      <c r="D568" s="2" t="inlineStr">
        <is>
          <t>Carrot</t>
        </is>
      </c>
      <c r="E568" s="3" t="n">
        <v>80</v>
      </c>
      <c r="F568" s="3" t="n">
        <v>400</v>
      </c>
      <c r="G568" s="2">
        <f>IF(Prices!B83="","",Prices!B83)</f>
        <v/>
      </c>
      <c r="H568" s="2">
        <f>IF(G568="","",E568/1000*G568)</f>
        <v/>
      </c>
      <c r="I568" s="2" t="inlineStr">
        <is>
          <t>Purchase quote/specification required</t>
        </is>
      </c>
      <c r="J568" s="2" t="inlineStr"/>
    </row>
    <row r="569">
      <c r="A569" s="2" t="inlineStr">
        <is>
          <t>S-F03</t>
        </is>
      </c>
      <c r="B569" s="2" t="inlineStr">
        <is>
          <t>Beef-and-cheese filled bread</t>
        </is>
      </c>
      <c r="C569" s="2" t="inlineStr">
        <is>
          <t>Beef filling</t>
        </is>
      </c>
      <c r="D569" s="2" t="inlineStr">
        <is>
          <t>Sweet pepper</t>
        </is>
      </c>
      <c r="E569" s="3" t="n">
        <v>80</v>
      </c>
      <c r="F569" s="3" t="n">
        <v>400</v>
      </c>
      <c r="G569" s="2">
        <f>IF(Prices!B63="","",Prices!B63)</f>
        <v/>
      </c>
      <c r="H569" s="2">
        <f>IF(G569="","",E569/1000*G569)</f>
        <v/>
      </c>
      <c r="I569" s="2" t="inlineStr">
        <is>
          <t>Purchase quote/specification required</t>
        </is>
      </c>
      <c r="J569" s="2" t="inlineStr"/>
    </row>
    <row r="570">
      <c r="A570" s="2" t="inlineStr">
        <is>
          <t>S-F03</t>
        </is>
      </c>
      <c r="B570" s="2" t="inlineStr">
        <is>
          <t>Beef-and-cheese filled bread</t>
        </is>
      </c>
      <c r="C570" s="2" t="inlineStr">
        <is>
          <t>Beef filling</t>
        </is>
      </c>
      <c r="D570" s="2" t="inlineStr">
        <is>
          <t>Oil</t>
        </is>
      </c>
      <c r="E570" s="3" t="n">
        <v>20</v>
      </c>
      <c r="F570" s="3" t="n">
        <v>100</v>
      </c>
      <c r="G570" s="2">
        <f>IF(Prices!B19="","",Prices!B19)</f>
        <v/>
      </c>
      <c r="H570" s="2">
        <f>IF(G570="","",E570/1000*G570)</f>
        <v/>
      </c>
      <c r="I570" s="2" t="inlineStr">
        <is>
          <t>PROVISIONAL 0.92 kg/L; correct after weighing</t>
        </is>
      </c>
      <c r="J570" s="2" t="inlineStr"/>
    </row>
    <row r="571">
      <c r="A571" s="2" t="inlineStr">
        <is>
          <t>S-F03</t>
        </is>
      </c>
      <c r="B571" s="2" t="inlineStr">
        <is>
          <t>Beef-and-cheese filled bread</t>
        </is>
      </c>
      <c r="C571" s="2" t="inlineStr">
        <is>
          <t>Beef filling</t>
        </is>
      </c>
      <c r="D571" s="2" t="inlineStr">
        <is>
          <t>Tomato paste</t>
        </is>
      </c>
      <c r="E571" s="3" t="n">
        <v>30</v>
      </c>
      <c r="F571" s="3" t="n">
        <v>150</v>
      </c>
      <c r="G571" s="2">
        <f>IF(Prices!B84="","",Prices!B84)</f>
        <v/>
      </c>
      <c r="H571" s="2">
        <f>IF(G571="","",E571/1000*G571)</f>
        <v/>
      </c>
      <c r="I571" s="2" t="inlineStr">
        <is>
          <t>Purchase quote/specification required</t>
        </is>
      </c>
      <c r="J571" s="2" t="inlineStr"/>
    </row>
    <row r="572">
      <c r="A572" s="2" t="inlineStr">
        <is>
          <t>S-F03</t>
        </is>
      </c>
      <c r="B572" s="2" t="inlineStr">
        <is>
          <t>Beef-and-cheese filled bread</t>
        </is>
      </c>
      <c r="C572" s="2" t="inlineStr">
        <is>
          <t>Beef filling</t>
        </is>
      </c>
      <c r="D572" s="2" t="inlineStr">
        <is>
          <t>Water</t>
        </is>
      </c>
      <c r="E572" s="3" t="n">
        <v>50</v>
      </c>
      <c r="F572" s="3" t="n">
        <v>250</v>
      </c>
      <c r="G572" s="2">
        <f>IF(Prices!B3="","",Prices!B3)</f>
        <v/>
      </c>
      <c r="H572" s="2">
        <f>IF(G572="","",E572/1000*G572)</f>
        <v/>
      </c>
      <c r="I572" s="2" t="inlineStr">
        <is>
          <t>Purchase quote/specification required</t>
        </is>
      </c>
      <c r="J572" s="2" t="inlineStr"/>
    </row>
    <row r="573">
      <c r="A573" s="2" t="inlineStr">
        <is>
          <t>S-F03</t>
        </is>
      </c>
      <c r="B573" s="2" t="inlineStr">
        <is>
          <t>Beef-and-cheese filled bread</t>
        </is>
      </c>
      <c r="C573" s="2" t="inlineStr">
        <is>
          <t>Beef filling</t>
        </is>
      </c>
      <c r="D573" s="2" t="inlineStr">
        <is>
          <t>Garlic</t>
        </is>
      </c>
      <c r="E573" s="3" t="n">
        <v>10</v>
      </c>
      <c r="F573" s="3" t="n">
        <v>50</v>
      </c>
      <c r="G573" s="2">
        <f>IF(Prices!B85="","",Prices!B85)</f>
        <v/>
      </c>
      <c r="H573" s="2">
        <f>IF(G573="","",E573/1000*G573)</f>
        <v/>
      </c>
      <c r="I573" s="2" t="inlineStr">
        <is>
          <t>Purchase quote/specification required</t>
        </is>
      </c>
      <c r="J573" s="2" t="inlineStr"/>
    </row>
    <row r="574">
      <c r="A574" s="2" t="inlineStr">
        <is>
          <t>S-F03</t>
        </is>
      </c>
      <c r="B574" s="2" t="inlineStr">
        <is>
          <t>Beef-and-cheese filled bread</t>
        </is>
      </c>
      <c r="C574" s="2" t="inlineStr">
        <is>
          <t>Beef filling</t>
        </is>
      </c>
      <c r="D574" s="2" t="inlineStr">
        <is>
          <t>Salt</t>
        </is>
      </c>
      <c r="E574" s="3" t="n">
        <v>8</v>
      </c>
      <c r="F574" s="3" t="n">
        <v>40</v>
      </c>
      <c r="G574" s="2">
        <f>IF(Prices!B6="","",Prices!B6)</f>
        <v/>
      </c>
      <c r="H574" s="2">
        <f>IF(G574="","",E574/1000*G574)</f>
        <v/>
      </c>
      <c r="I574" s="2" t="inlineStr">
        <is>
          <t>Owner price</t>
        </is>
      </c>
      <c r="J574" s="2" t="inlineStr"/>
    </row>
    <row r="575">
      <c r="A575" s="2" t="inlineStr">
        <is>
          <t>S-F03</t>
        </is>
      </c>
      <c r="B575" s="2" t="inlineStr">
        <is>
          <t>Beef-and-cheese filled bread</t>
        </is>
      </c>
      <c r="C575" s="2" t="inlineStr">
        <is>
          <t>Beef filling</t>
        </is>
      </c>
      <c r="D575" s="2" t="inlineStr">
        <is>
          <t>Paprika</t>
        </is>
      </c>
      <c r="E575" s="3" t="n">
        <v>3</v>
      </c>
      <c r="F575" s="3" t="n">
        <v>15</v>
      </c>
      <c r="G575" s="2">
        <f>IF(Prices!B23="","",Prices!B23)</f>
        <v/>
      </c>
      <c r="H575" s="2">
        <f>IF(G575="","",E575/1000*G575)</f>
        <v/>
      </c>
      <c r="I575" s="2" t="inlineStr">
        <is>
          <t>Purchase quote/specification required</t>
        </is>
      </c>
      <c r="J575" s="2" t="inlineStr"/>
    </row>
    <row r="576">
      <c r="A576" s="2" t="inlineStr">
        <is>
          <t>S-F03</t>
        </is>
      </c>
      <c r="B576" s="2" t="inlineStr">
        <is>
          <t>Beef-and-cheese filled bread</t>
        </is>
      </c>
      <c r="C576" s="2" t="inlineStr">
        <is>
          <t>Cheese</t>
        </is>
      </c>
      <c r="D576" s="2" t="inlineStr">
        <is>
          <t>Low-moisture cheese</t>
        </is>
      </c>
      <c r="E576" s="3" t="n">
        <v>100</v>
      </c>
      <c r="F576" s="3" t="n">
        <v>500</v>
      </c>
      <c r="G576" s="2">
        <f>IF(Prices!B86="","",Prices!B86)</f>
        <v/>
      </c>
      <c r="H576" s="2">
        <f>IF(G576="","",E576/1000*G576)</f>
        <v/>
      </c>
      <c r="I576" s="2" t="inlineStr">
        <is>
          <t>Purchase quote/specification required</t>
        </is>
      </c>
      <c r="J576" s="2" t="inlineStr"/>
    </row>
    <row r="577">
      <c r="A577" s="2" t="inlineStr">
        <is>
          <t>S-F04</t>
        </is>
      </c>
      <c r="B577" s="2" t="inlineStr">
        <is>
          <t>Chicken shawarma wrap</t>
        </is>
      </c>
      <c r="C577" s="2" t="inlineStr">
        <is>
          <t>Flatbread</t>
        </is>
      </c>
      <c r="D577" s="2" t="inlineStr">
        <is>
          <t>Bread flour</t>
        </is>
      </c>
      <c r="E577" s="3" t="n">
        <v>600</v>
      </c>
      <c r="F577" s="3" t="n">
        <v>3000</v>
      </c>
      <c r="G577" s="2">
        <f>IF(Prices!B2="","",Prices!B2)</f>
        <v/>
      </c>
      <c r="H577" s="2">
        <f>IF(G577="","",E577/1000*G577)</f>
        <v/>
      </c>
      <c r="I577" s="2" t="inlineStr">
        <is>
          <t>Owner flour price; flour performance requires trial</t>
        </is>
      </c>
      <c r="J577" s="2" t="inlineStr"/>
    </row>
    <row r="578">
      <c r="A578" s="2" t="inlineStr">
        <is>
          <t>S-F04</t>
        </is>
      </c>
      <c r="B578" s="2" t="inlineStr">
        <is>
          <t>Chicken shawarma wrap</t>
        </is>
      </c>
      <c r="C578" s="2" t="inlineStr">
        <is>
          <t>Flatbread</t>
        </is>
      </c>
      <c r="D578" s="2" t="inlineStr">
        <is>
          <t>Water</t>
        </is>
      </c>
      <c r="E578" s="3" t="n">
        <v>330</v>
      </c>
      <c r="F578" s="3" t="n">
        <v>1650</v>
      </c>
      <c r="G578" s="2">
        <f>IF(Prices!B3="","",Prices!B3)</f>
        <v/>
      </c>
      <c r="H578" s="2">
        <f>IF(G578="","",E578/1000*G578)</f>
        <v/>
      </c>
      <c r="I578" s="2" t="inlineStr">
        <is>
          <t>Purchase quote/specification required</t>
        </is>
      </c>
      <c r="J578" s="2" t="inlineStr"/>
    </row>
    <row r="579">
      <c r="A579" s="2" t="inlineStr">
        <is>
          <t>S-F04</t>
        </is>
      </c>
      <c r="B579" s="2" t="inlineStr">
        <is>
          <t>Chicken shawarma wrap</t>
        </is>
      </c>
      <c r="C579" s="2" t="inlineStr">
        <is>
          <t>Flatbread</t>
        </is>
      </c>
      <c r="D579" s="2" t="inlineStr">
        <is>
          <t>Oil</t>
        </is>
      </c>
      <c r="E579" s="3" t="n">
        <v>30</v>
      </c>
      <c r="F579" s="3" t="n">
        <v>150</v>
      </c>
      <c r="G579" s="2">
        <f>IF(Prices!B19="","",Prices!B19)</f>
        <v/>
      </c>
      <c r="H579" s="2">
        <f>IF(G579="","",E579/1000*G579)</f>
        <v/>
      </c>
      <c r="I579" s="2" t="inlineStr">
        <is>
          <t>PROVISIONAL 0.92 kg/L; correct after weighing</t>
        </is>
      </c>
      <c r="J579" s="2" t="inlineStr"/>
    </row>
    <row r="580">
      <c r="A580" s="2" t="inlineStr">
        <is>
          <t>S-F04</t>
        </is>
      </c>
      <c r="B580" s="2" t="inlineStr">
        <is>
          <t>Chicken shawarma wrap</t>
        </is>
      </c>
      <c r="C580" s="2" t="inlineStr">
        <is>
          <t>Flatbread</t>
        </is>
      </c>
      <c r="D580" s="2" t="inlineStr">
        <is>
          <t>Salt</t>
        </is>
      </c>
      <c r="E580" s="3" t="n">
        <v>12</v>
      </c>
      <c r="F580" s="3" t="n">
        <v>60</v>
      </c>
      <c r="G580" s="2">
        <f>IF(Prices!B6="","",Prices!B6)</f>
        <v/>
      </c>
      <c r="H580" s="2">
        <f>IF(G580="","",E580/1000*G580)</f>
        <v/>
      </c>
      <c r="I580" s="2" t="inlineStr">
        <is>
          <t>Owner price</t>
        </is>
      </c>
      <c r="J580" s="2" t="inlineStr"/>
    </row>
    <row r="581">
      <c r="A581" s="2" t="inlineStr">
        <is>
          <t>S-F04</t>
        </is>
      </c>
      <c r="B581" s="2" t="inlineStr">
        <is>
          <t>Chicken shawarma wrap</t>
        </is>
      </c>
      <c r="C581" s="2" t="inlineStr">
        <is>
          <t>Marinated chicken</t>
        </is>
      </c>
      <c r="D581" s="2" t="inlineStr">
        <is>
          <t>Raw chicken thigh</t>
        </is>
      </c>
      <c r="E581" s="3" t="n">
        <v>1200</v>
      </c>
      <c r="F581" s="3" t="n">
        <v>6000</v>
      </c>
      <c r="G581" s="2">
        <f>IF(Prices!B87="","",Prices!B87)</f>
        <v/>
      </c>
      <c r="H581" s="2">
        <f>IF(G581="","",E581/1000*G581)</f>
        <v/>
      </c>
      <c r="I581" s="2" t="inlineStr">
        <is>
          <t>Purchase quote/specification required</t>
        </is>
      </c>
      <c r="J581" s="2" t="inlineStr"/>
    </row>
    <row r="582">
      <c r="A582" s="2" t="inlineStr">
        <is>
          <t>S-F04</t>
        </is>
      </c>
      <c r="B582" s="2" t="inlineStr">
        <is>
          <t>Chicken shawarma wrap</t>
        </is>
      </c>
      <c r="C582" s="2" t="inlineStr">
        <is>
          <t>Marinated chicken</t>
        </is>
      </c>
      <c r="D582" s="2" t="inlineStr">
        <is>
          <t>Plain pasteurized yogurt</t>
        </is>
      </c>
      <c r="E582" s="3" t="n">
        <v>100</v>
      </c>
      <c r="F582" s="3" t="n">
        <v>500</v>
      </c>
      <c r="G582" s="2">
        <f>IF(Prices!B88="","",Prices!B88)</f>
        <v/>
      </c>
      <c r="H582" s="2">
        <f>IF(G582="","",E582/1000*G582)</f>
        <v/>
      </c>
      <c r="I582" s="2" t="inlineStr">
        <is>
          <t>Purchase quote/specification required</t>
        </is>
      </c>
      <c r="J582" s="2" t="inlineStr"/>
    </row>
    <row r="583">
      <c r="A583" s="2" t="inlineStr">
        <is>
          <t>S-F04</t>
        </is>
      </c>
      <c r="B583" s="2" t="inlineStr">
        <is>
          <t>Chicken shawarma wrap</t>
        </is>
      </c>
      <c r="C583" s="2" t="inlineStr">
        <is>
          <t>Marinated chicken</t>
        </is>
      </c>
      <c r="D583" s="2" t="inlineStr">
        <is>
          <t>Oil</t>
        </is>
      </c>
      <c r="E583" s="3" t="n">
        <v>30</v>
      </c>
      <c r="F583" s="3" t="n">
        <v>150</v>
      </c>
      <c r="G583" s="2">
        <f>IF(Prices!B19="","",Prices!B19)</f>
        <v/>
      </c>
      <c r="H583" s="2">
        <f>IF(G583="","",E583/1000*G583)</f>
        <v/>
      </c>
      <c r="I583" s="2" t="inlineStr">
        <is>
          <t>PROVISIONAL 0.92 kg/L; correct after weighing</t>
        </is>
      </c>
      <c r="J583" s="2" t="inlineStr"/>
    </row>
    <row r="584">
      <c r="A584" s="2" t="inlineStr">
        <is>
          <t>S-F04</t>
        </is>
      </c>
      <c r="B584" s="2" t="inlineStr">
        <is>
          <t>Chicken shawarma wrap</t>
        </is>
      </c>
      <c r="C584" s="2" t="inlineStr">
        <is>
          <t>Marinated chicken</t>
        </is>
      </c>
      <c r="D584" s="2" t="inlineStr">
        <is>
          <t>Onion</t>
        </is>
      </c>
      <c r="E584" s="3" t="n">
        <v>60</v>
      </c>
      <c r="F584" s="3" t="n">
        <v>300</v>
      </c>
      <c r="G584" s="2">
        <f>IF(Prices!B62="","",Prices!B62)</f>
        <v/>
      </c>
      <c r="H584" s="2">
        <f>IF(G584="","",E584/1000*G584)</f>
        <v/>
      </c>
      <c r="I584" s="2" t="inlineStr">
        <is>
          <t>Purchase quote/specification required</t>
        </is>
      </c>
      <c r="J584" s="2" t="inlineStr"/>
    </row>
    <row r="585">
      <c r="A585" s="2" t="inlineStr">
        <is>
          <t>S-F04</t>
        </is>
      </c>
      <c r="B585" s="2" t="inlineStr">
        <is>
          <t>Chicken shawarma wrap</t>
        </is>
      </c>
      <c r="C585" s="2" t="inlineStr">
        <is>
          <t>Marinated chicken</t>
        </is>
      </c>
      <c r="D585" s="2" t="inlineStr">
        <is>
          <t>Lime juice</t>
        </is>
      </c>
      <c r="E585" s="3" t="n">
        <v>30</v>
      </c>
      <c r="F585" s="3" t="n">
        <v>150</v>
      </c>
      <c r="G585" s="2">
        <f>IF(Prices!B89="","",Prices!B89)</f>
        <v/>
      </c>
      <c r="H585" s="2">
        <f>IF(G585="","",E585/1000*G585)</f>
        <v/>
      </c>
      <c r="I585" s="2" t="inlineStr">
        <is>
          <t>Purchase quote/specification required</t>
        </is>
      </c>
      <c r="J585" s="2" t="inlineStr"/>
    </row>
    <row r="586">
      <c r="A586" s="2" t="inlineStr">
        <is>
          <t>S-F04</t>
        </is>
      </c>
      <c r="B586" s="2" t="inlineStr">
        <is>
          <t>Chicken shawarma wrap</t>
        </is>
      </c>
      <c r="C586" s="2" t="inlineStr">
        <is>
          <t>Marinated chicken</t>
        </is>
      </c>
      <c r="D586" s="2" t="inlineStr">
        <is>
          <t>Garlic</t>
        </is>
      </c>
      <c r="E586" s="3" t="n">
        <v>18</v>
      </c>
      <c r="F586" s="3" t="n">
        <v>90</v>
      </c>
      <c r="G586" s="2">
        <f>IF(Prices!B85="","",Prices!B85)</f>
        <v/>
      </c>
      <c r="H586" s="2">
        <f>IF(G586="","",E586/1000*G586)</f>
        <v/>
      </c>
      <c r="I586" s="2" t="inlineStr">
        <is>
          <t>Purchase quote/specification required</t>
        </is>
      </c>
      <c r="J586" s="2" t="inlineStr"/>
    </row>
    <row r="587">
      <c r="A587" s="2" t="inlineStr">
        <is>
          <t>S-F04</t>
        </is>
      </c>
      <c r="B587" s="2" t="inlineStr">
        <is>
          <t>Chicken shawarma wrap</t>
        </is>
      </c>
      <c r="C587" s="2" t="inlineStr">
        <is>
          <t>Marinated chicken</t>
        </is>
      </c>
      <c r="D587" s="2" t="inlineStr">
        <is>
          <t>Ginger</t>
        </is>
      </c>
      <c r="E587" s="3" t="n">
        <v>10</v>
      </c>
      <c r="F587" s="3" t="n">
        <v>50</v>
      </c>
      <c r="G587" s="2">
        <f>IF(Prices!B90="","",Prices!B90)</f>
        <v/>
      </c>
      <c r="H587" s="2">
        <f>IF(G587="","",E587/1000*G587)</f>
        <v/>
      </c>
      <c r="I587" s="2" t="inlineStr">
        <is>
          <t>Purchase quote/specification required</t>
        </is>
      </c>
      <c r="J587" s="2" t="inlineStr"/>
    </row>
    <row r="588">
      <c r="A588" s="2" t="inlineStr">
        <is>
          <t>S-F04</t>
        </is>
      </c>
      <c r="B588" s="2" t="inlineStr">
        <is>
          <t>Chicken shawarma wrap</t>
        </is>
      </c>
      <c r="C588" s="2" t="inlineStr">
        <is>
          <t>Marinated chicken</t>
        </is>
      </c>
      <c r="D588" s="2" t="inlineStr">
        <is>
          <t>Paprika</t>
        </is>
      </c>
      <c r="E588" s="3" t="n">
        <v>10</v>
      </c>
      <c r="F588" s="3" t="n">
        <v>50</v>
      </c>
      <c r="G588" s="2">
        <f>IF(Prices!B23="","",Prices!B23)</f>
        <v/>
      </c>
      <c r="H588" s="2">
        <f>IF(G588="","",E588/1000*G588)</f>
        <v/>
      </c>
      <c r="I588" s="2" t="inlineStr">
        <is>
          <t>Purchase quote/specification required</t>
        </is>
      </c>
      <c r="J588" s="2" t="inlineStr"/>
    </row>
    <row r="589">
      <c r="A589" s="2" t="inlineStr">
        <is>
          <t>S-F04</t>
        </is>
      </c>
      <c r="B589" s="2" t="inlineStr">
        <is>
          <t>Chicken shawarma wrap</t>
        </is>
      </c>
      <c r="C589" s="2" t="inlineStr">
        <is>
          <t>Marinated chicken</t>
        </is>
      </c>
      <c r="D589" s="2" t="inlineStr">
        <is>
          <t>Cumin</t>
        </is>
      </c>
      <c r="E589" s="3" t="n">
        <v>6</v>
      </c>
      <c r="F589" s="3" t="n">
        <v>30</v>
      </c>
      <c r="G589" s="2">
        <f>IF(Prices!B43="","",Prices!B43)</f>
        <v/>
      </c>
      <c r="H589" s="2">
        <f>IF(G589="","",E589/1000*G589)</f>
        <v/>
      </c>
      <c r="I589" s="2" t="inlineStr">
        <is>
          <t>Purchase quote/specification required</t>
        </is>
      </c>
      <c r="J589" s="2" t="inlineStr"/>
    </row>
    <row r="590">
      <c r="A590" s="2" t="inlineStr">
        <is>
          <t>S-F04</t>
        </is>
      </c>
      <c r="B590" s="2" t="inlineStr">
        <is>
          <t>Chicken shawarma wrap</t>
        </is>
      </c>
      <c r="C590" s="2" t="inlineStr">
        <is>
          <t>Marinated chicken</t>
        </is>
      </c>
      <c r="D590" s="2" t="inlineStr">
        <is>
          <t>Black pepper</t>
        </is>
      </c>
      <c r="E590" s="3" t="n">
        <v>3</v>
      </c>
      <c r="F590" s="3" t="n">
        <v>15</v>
      </c>
      <c r="G590" s="2">
        <f>IF(Prices!B22="","",Prices!B22)</f>
        <v/>
      </c>
      <c r="H590" s="2">
        <f>IF(G590="","",E590/1000*G590)</f>
        <v/>
      </c>
      <c r="I590" s="2" t="inlineStr">
        <is>
          <t>Purchase quote/specification required</t>
        </is>
      </c>
      <c r="J590" s="2" t="inlineStr"/>
    </row>
    <row r="591">
      <c r="A591" s="2" t="inlineStr">
        <is>
          <t>S-F04</t>
        </is>
      </c>
      <c r="B591" s="2" t="inlineStr">
        <is>
          <t>Chicken shawarma wrap</t>
        </is>
      </c>
      <c r="C591" s="2" t="inlineStr">
        <is>
          <t>Marinated chicken</t>
        </is>
      </c>
      <c r="D591" s="2" t="inlineStr">
        <is>
          <t>Salt</t>
        </is>
      </c>
      <c r="E591" s="3" t="n">
        <v>18</v>
      </c>
      <c r="F591" s="3" t="n">
        <v>90</v>
      </c>
      <c r="G591" s="2">
        <f>IF(Prices!B6="","",Prices!B6)</f>
        <v/>
      </c>
      <c r="H591" s="2">
        <f>IF(G591="","",E591/1000*G591)</f>
        <v/>
      </c>
      <c r="I591" s="2" t="inlineStr">
        <is>
          <t>Owner price</t>
        </is>
      </c>
      <c r="J591" s="2" t="inlineStr"/>
    </row>
    <row r="592">
      <c r="A592" s="2" t="inlineStr">
        <is>
          <t>S-F04</t>
        </is>
      </c>
      <c r="B592" s="2" t="inlineStr">
        <is>
          <t>Chicken shawarma wrap</t>
        </is>
      </c>
      <c r="C592" s="2" t="inlineStr">
        <is>
          <t>Garlic sauce</t>
        </is>
      </c>
      <c r="D592" s="2" t="inlineStr">
        <is>
          <t>Pasteurized-egg mayonnaise</t>
        </is>
      </c>
      <c r="E592" s="3" t="n">
        <v>140</v>
      </c>
      <c r="F592" s="3" t="n">
        <v>700</v>
      </c>
      <c r="G592" s="2">
        <f>IF(Prices!B80="","",Prices!B80)</f>
        <v/>
      </c>
      <c r="H592" s="2">
        <f>IF(G592="","",E592/1000*G592)</f>
        <v/>
      </c>
      <c r="I592" s="2" t="inlineStr">
        <is>
          <t>Purchase quote/specification required</t>
        </is>
      </c>
      <c r="J592" s="2" t="inlineStr"/>
    </row>
    <row r="593">
      <c r="A593" s="2" t="inlineStr">
        <is>
          <t>S-F04</t>
        </is>
      </c>
      <c r="B593" s="2" t="inlineStr">
        <is>
          <t>Chicken shawarma wrap</t>
        </is>
      </c>
      <c r="C593" s="2" t="inlineStr">
        <is>
          <t>Garlic sauce</t>
        </is>
      </c>
      <c r="D593" s="2" t="inlineStr">
        <is>
          <t>Plain pasteurized yogurt</t>
        </is>
      </c>
      <c r="E593" s="3" t="n">
        <v>50</v>
      </c>
      <c r="F593" s="3" t="n">
        <v>250</v>
      </c>
      <c r="G593" s="2">
        <f>IF(Prices!B88="","",Prices!B88)</f>
        <v/>
      </c>
      <c r="H593" s="2">
        <f>IF(G593="","",E593/1000*G593)</f>
        <v/>
      </c>
      <c r="I593" s="2" t="inlineStr">
        <is>
          <t>Purchase quote/specification required</t>
        </is>
      </c>
      <c r="J593" s="2" t="inlineStr"/>
    </row>
    <row r="594">
      <c r="A594" s="2" t="inlineStr">
        <is>
          <t>S-F04</t>
        </is>
      </c>
      <c r="B594" s="2" t="inlineStr">
        <is>
          <t>Chicken shawarma wrap</t>
        </is>
      </c>
      <c r="C594" s="2" t="inlineStr">
        <is>
          <t>Garlic sauce</t>
        </is>
      </c>
      <c r="D594" s="2" t="inlineStr">
        <is>
          <t>Cooked garlic puree</t>
        </is>
      </c>
      <c r="E594" s="3" t="n">
        <v>10</v>
      </c>
      <c r="F594" s="3" t="n">
        <v>50</v>
      </c>
      <c r="G594" s="2">
        <f>IF(Prices!B91="","",Prices!B91)</f>
        <v/>
      </c>
      <c r="H594" s="2">
        <f>IF(G594="","",E594/1000*G594)</f>
        <v/>
      </c>
      <c r="I594" s="2" t="inlineStr">
        <is>
          <t>Purchase quote/specification required</t>
        </is>
      </c>
      <c r="J594" s="2" t="inlineStr"/>
    </row>
    <row r="595">
      <c r="A595" s="2" t="inlineStr">
        <is>
          <t>S-F04</t>
        </is>
      </c>
      <c r="B595" s="2" t="inlineStr">
        <is>
          <t>Chicken shawarma wrap</t>
        </is>
      </c>
      <c r="C595" s="2" t="inlineStr">
        <is>
          <t>Salad</t>
        </is>
      </c>
      <c r="D595" s="2" t="inlineStr">
        <is>
          <t>Cabbage</t>
        </is>
      </c>
      <c r="E595" s="3" t="n">
        <v>150</v>
      </c>
      <c r="F595" s="3" t="n">
        <v>750</v>
      </c>
      <c r="G595" s="2">
        <f>IF(Prices!B92="","",Prices!B92)</f>
        <v/>
      </c>
      <c r="H595" s="2">
        <f>IF(G595="","",E595/1000*G595)</f>
        <v/>
      </c>
      <c r="I595" s="2" t="inlineStr">
        <is>
          <t>Purchase quote/specification required</t>
        </is>
      </c>
      <c r="J595" s="2" t="inlineStr"/>
    </row>
    <row r="596">
      <c r="A596" s="2" t="inlineStr">
        <is>
          <t>S-F04</t>
        </is>
      </c>
      <c r="B596" s="2" t="inlineStr">
        <is>
          <t>Chicken shawarma wrap</t>
        </is>
      </c>
      <c r="C596" s="2" t="inlineStr">
        <is>
          <t>Salad</t>
        </is>
      </c>
      <c r="D596" s="2" t="inlineStr">
        <is>
          <t>Carrot</t>
        </is>
      </c>
      <c r="E596" s="3" t="n">
        <v>100</v>
      </c>
      <c r="F596" s="3" t="n">
        <v>500</v>
      </c>
      <c r="G596" s="2">
        <f>IF(Prices!B83="","",Prices!B83)</f>
        <v/>
      </c>
      <c r="H596" s="2">
        <f>IF(G596="","",E596/1000*G596)</f>
        <v/>
      </c>
      <c r="I596" s="2" t="inlineStr">
        <is>
          <t>Purchase quote/specification required</t>
        </is>
      </c>
      <c r="J596" s="2" t="inlineStr"/>
    </row>
    <row r="597">
      <c r="A597" s="2" t="inlineStr">
        <is>
          <t>S-F04</t>
        </is>
      </c>
      <c r="B597" s="2" t="inlineStr">
        <is>
          <t>Chicken shawarma wrap</t>
        </is>
      </c>
      <c r="C597" s="2" t="inlineStr">
        <is>
          <t>Salad</t>
        </is>
      </c>
      <c r="D597" s="2" t="inlineStr">
        <is>
          <t>Tomato</t>
        </is>
      </c>
      <c r="E597" s="3" t="n">
        <v>100</v>
      </c>
      <c r="F597" s="3" t="n">
        <v>500</v>
      </c>
      <c r="G597" s="2">
        <f>IF(Prices!B61="","",Prices!B61)</f>
        <v/>
      </c>
      <c r="H597" s="2">
        <f>IF(G597="","",E597/1000*G597)</f>
        <v/>
      </c>
      <c r="I597" s="2" t="inlineStr">
        <is>
          <t>Purchase quote/specification required</t>
        </is>
      </c>
      <c r="J597" s="2" t="inlineStr"/>
    </row>
    <row r="598">
      <c r="A598" s="2" t="inlineStr">
        <is>
          <t>S-F05</t>
        </is>
      </c>
      <c r="B598" s="2" t="inlineStr">
        <is>
          <t>Vegetable samosas</t>
        </is>
      </c>
      <c r="C598" s="2" t="inlineStr">
        <is>
          <t>Pastry</t>
        </is>
      </c>
      <c r="D598" s="2" t="inlineStr">
        <is>
          <t>Plain flour</t>
        </is>
      </c>
      <c r="E598" s="3" t="n">
        <v>600</v>
      </c>
      <c r="F598" s="3" t="n">
        <v>2400</v>
      </c>
      <c r="G598" s="2">
        <f>IF(Prices!B14="","",Prices!B14)</f>
        <v/>
      </c>
      <c r="H598" s="2">
        <f>IF(G598="","",E598/1000*G598)</f>
        <v/>
      </c>
      <c r="I598" s="2" t="inlineStr">
        <is>
          <t>Purchase quote/specification required</t>
        </is>
      </c>
      <c r="J598" s="2" t="inlineStr"/>
    </row>
    <row r="599">
      <c r="A599" s="2" t="inlineStr">
        <is>
          <t>S-F05</t>
        </is>
      </c>
      <c r="B599" s="2" t="inlineStr">
        <is>
          <t>Vegetable samosas</t>
        </is>
      </c>
      <c r="C599" s="2" t="inlineStr">
        <is>
          <t>Pastry</t>
        </is>
      </c>
      <c r="D599" s="2" t="inlineStr">
        <is>
          <t>Water</t>
        </is>
      </c>
      <c r="E599" s="3" t="n">
        <v>250</v>
      </c>
      <c r="F599" s="3" t="n">
        <v>1000</v>
      </c>
      <c r="G599" s="2">
        <f>IF(Prices!B3="","",Prices!B3)</f>
        <v/>
      </c>
      <c r="H599" s="2">
        <f>IF(G599="","",E599/1000*G599)</f>
        <v/>
      </c>
      <c r="I599" s="2" t="inlineStr">
        <is>
          <t>Purchase quote/specification required</t>
        </is>
      </c>
      <c r="J599" s="2" t="inlineStr"/>
    </row>
    <row r="600">
      <c r="A600" s="2" t="inlineStr">
        <is>
          <t>S-F05</t>
        </is>
      </c>
      <c r="B600" s="2" t="inlineStr">
        <is>
          <t>Vegetable samosas</t>
        </is>
      </c>
      <c r="C600" s="2" t="inlineStr">
        <is>
          <t>Pastry</t>
        </is>
      </c>
      <c r="D600" s="2" t="inlineStr">
        <is>
          <t>Oil</t>
        </is>
      </c>
      <c r="E600" s="3" t="n">
        <v>60</v>
      </c>
      <c r="F600" s="3" t="n">
        <v>240</v>
      </c>
      <c r="G600" s="2">
        <f>IF(Prices!B19="","",Prices!B19)</f>
        <v/>
      </c>
      <c r="H600" s="2">
        <f>IF(G600="","",E600/1000*G600)</f>
        <v/>
      </c>
      <c r="I600" s="2" t="inlineStr">
        <is>
          <t>PROVISIONAL 0.92 kg/L; correct after weighing</t>
        </is>
      </c>
      <c r="J600" s="2" t="inlineStr"/>
    </row>
    <row r="601">
      <c r="A601" s="2" t="inlineStr">
        <is>
          <t>S-F05</t>
        </is>
      </c>
      <c r="B601" s="2" t="inlineStr">
        <is>
          <t>Vegetable samosas</t>
        </is>
      </c>
      <c r="C601" s="2" t="inlineStr">
        <is>
          <t>Pastry</t>
        </is>
      </c>
      <c r="D601" s="2" t="inlineStr">
        <is>
          <t>Salt</t>
        </is>
      </c>
      <c r="E601" s="3" t="n">
        <v>9</v>
      </c>
      <c r="F601" s="3" t="n">
        <v>36</v>
      </c>
      <c r="G601" s="2">
        <f>IF(Prices!B6="","",Prices!B6)</f>
        <v/>
      </c>
      <c r="H601" s="2">
        <f>IF(G601="","",E601/1000*G601)</f>
        <v/>
      </c>
      <c r="I601" s="2" t="inlineStr">
        <is>
          <t>Owner price</t>
        </is>
      </c>
      <c r="J601" s="2" t="inlineStr"/>
    </row>
    <row r="602">
      <c r="A602" s="2" t="inlineStr">
        <is>
          <t>S-F05</t>
        </is>
      </c>
      <c r="B602" s="2" t="inlineStr">
        <is>
          <t>Vegetable samosas</t>
        </is>
      </c>
      <c r="C602" s="2" t="inlineStr">
        <is>
          <t>Vegetable filling</t>
        </is>
      </c>
      <c r="D602" s="2" t="inlineStr">
        <is>
          <t>Peeled potato</t>
        </is>
      </c>
      <c r="E602" s="3" t="n">
        <v>800</v>
      </c>
      <c r="F602" s="3" t="n">
        <v>3200</v>
      </c>
      <c r="G602" s="2">
        <f>IF(Prices!B93="","",Prices!B93)</f>
        <v/>
      </c>
      <c r="H602" s="2">
        <f>IF(G602="","",E602/1000*G602)</f>
        <v/>
      </c>
      <c r="I602" s="2" t="inlineStr">
        <is>
          <t>Purchase quote/specification required</t>
        </is>
      </c>
      <c r="J602" s="2" t="inlineStr"/>
    </row>
    <row r="603">
      <c r="A603" s="2" t="inlineStr">
        <is>
          <t>S-F05</t>
        </is>
      </c>
      <c r="B603" s="2" t="inlineStr">
        <is>
          <t>Vegetable samosas</t>
        </is>
      </c>
      <c r="C603" s="2" t="inlineStr">
        <is>
          <t>Vegetable filling</t>
        </is>
      </c>
      <c r="D603" s="2" t="inlineStr">
        <is>
          <t>Peas</t>
        </is>
      </c>
      <c r="E603" s="3" t="n">
        <v>160</v>
      </c>
      <c r="F603" s="3" t="n">
        <v>640</v>
      </c>
      <c r="G603" s="2">
        <f>IF(Prices!B94="","",Prices!B94)</f>
        <v/>
      </c>
      <c r="H603" s="2">
        <f>IF(G603="","",E603/1000*G603)</f>
        <v/>
      </c>
      <c r="I603" s="2" t="inlineStr">
        <is>
          <t>Purchase quote/specification required</t>
        </is>
      </c>
      <c r="J603" s="2" t="inlineStr"/>
    </row>
    <row r="604">
      <c r="A604" s="2" t="inlineStr">
        <is>
          <t>S-F05</t>
        </is>
      </c>
      <c r="B604" s="2" t="inlineStr">
        <is>
          <t>Vegetable samosas</t>
        </is>
      </c>
      <c r="C604" s="2" t="inlineStr">
        <is>
          <t>Vegetable filling</t>
        </is>
      </c>
      <c r="D604" s="2" t="inlineStr">
        <is>
          <t>Carrot</t>
        </is>
      </c>
      <c r="E604" s="3" t="n">
        <v>100</v>
      </c>
      <c r="F604" s="3" t="n">
        <v>400</v>
      </c>
      <c r="G604" s="2">
        <f>IF(Prices!B83="","",Prices!B83)</f>
        <v/>
      </c>
      <c r="H604" s="2">
        <f>IF(G604="","",E604/1000*G604)</f>
        <v/>
      </c>
      <c r="I604" s="2" t="inlineStr">
        <is>
          <t>Purchase quote/specification required</t>
        </is>
      </c>
      <c r="J604" s="2" t="inlineStr"/>
    </row>
    <row r="605">
      <c r="A605" s="2" t="inlineStr">
        <is>
          <t>S-F05</t>
        </is>
      </c>
      <c r="B605" s="2" t="inlineStr">
        <is>
          <t>Vegetable samosas</t>
        </is>
      </c>
      <c r="C605" s="2" t="inlineStr">
        <is>
          <t>Vegetable filling</t>
        </is>
      </c>
      <c r="D605" s="2" t="inlineStr">
        <is>
          <t>Onion</t>
        </is>
      </c>
      <c r="E605" s="3" t="n">
        <v>140</v>
      </c>
      <c r="F605" s="3" t="n">
        <v>560</v>
      </c>
      <c r="G605" s="2">
        <f>IF(Prices!B62="","",Prices!B62)</f>
        <v/>
      </c>
      <c r="H605" s="2">
        <f>IF(G605="","",E605/1000*G605)</f>
        <v/>
      </c>
      <c r="I605" s="2" t="inlineStr">
        <is>
          <t>Purchase quote/specification required</t>
        </is>
      </c>
      <c r="J605" s="2" t="inlineStr"/>
    </row>
    <row r="606">
      <c r="A606" s="2" t="inlineStr">
        <is>
          <t>S-F05</t>
        </is>
      </c>
      <c r="B606" s="2" t="inlineStr">
        <is>
          <t>Vegetable samosas</t>
        </is>
      </c>
      <c r="C606" s="2" t="inlineStr">
        <is>
          <t>Vegetable filling</t>
        </is>
      </c>
      <c r="D606" s="2" t="inlineStr">
        <is>
          <t>Oil</t>
        </is>
      </c>
      <c r="E606" s="3" t="n">
        <v>40</v>
      </c>
      <c r="F606" s="3" t="n">
        <v>160</v>
      </c>
      <c r="G606" s="2">
        <f>IF(Prices!B19="","",Prices!B19)</f>
        <v/>
      </c>
      <c r="H606" s="2">
        <f>IF(G606="","",E606/1000*G606)</f>
        <v/>
      </c>
      <c r="I606" s="2" t="inlineStr">
        <is>
          <t>PROVISIONAL 0.92 kg/L; correct after weighing</t>
        </is>
      </c>
      <c r="J606" s="2" t="inlineStr"/>
    </row>
    <row r="607">
      <c r="A607" s="2" t="inlineStr">
        <is>
          <t>S-F05</t>
        </is>
      </c>
      <c r="B607" s="2" t="inlineStr">
        <is>
          <t>Vegetable samosas</t>
        </is>
      </c>
      <c r="C607" s="2" t="inlineStr">
        <is>
          <t>Vegetable filling</t>
        </is>
      </c>
      <c r="D607" s="2" t="inlineStr">
        <is>
          <t>Garlic</t>
        </is>
      </c>
      <c r="E607" s="3" t="n">
        <v>10</v>
      </c>
      <c r="F607" s="3" t="n">
        <v>40</v>
      </c>
      <c r="G607" s="2">
        <f>IF(Prices!B85="","",Prices!B85)</f>
        <v/>
      </c>
      <c r="H607" s="2">
        <f>IF(G607="","",E607/1000*G607)</f>
        <v/>
      </c>
      <c r="I607" s="2" t="inlineStr">
        <is>
          <t>Purchase quote/specification required</t>
        </is>
      </c>
      <c r="J607" s="2" t="inlineStr"/>
    </row>
    <row r="608">
      <c r="A608" s="2" t="inlineStr">
        <is>
          <t>S-F05</t>
        </is>
      </c>
      <c r="B608" s="2" t="inlineStr">
        <is>
          <t>Vegetable samosas</t>
        </is>
      </c>
      <c r="C608" s="2" t="inlineStr">
        <is>
          <t>Vegetable filling</t>
        </is>
      </c>
      <c r="D608" s="2" t="inlineStr">
        <is>
          <t>Ginger</t>
        </is>
      </c>
      <c r="E608" s="3" t="n">
        <v>10</v>
      </c>
      <c r="F608" s="3" t="n">
        <v>40</v>
      </c>
      <c r="G608" s="2">
        <f>IF(Prices!B90="","",Prices!B90)</f>
        <v/>
      </c>
      <c r="H608" s="2">
        <f>IF(G608="","",E608/1000*G608)</f>
        <v/>
      </c>
      <c r="I608" s="2" t="inlineStr">
        <is>
          <t>Purchase quote/specification required</t>
        </is>
      </c>
      <c r="J608" s="2" t="inlineStr"/>
    </row>
    <row r="609">
      <c r="A609" s="2" t="inlineStr">
        <is>
          <t>S-F05</t>
        </is>
      </c>
      <c r="B609" s="2" t="inlineStr">
        <is>
          <t>Vegetable samosas</t>
        </is>
      </c>
      <c r="C609" s="2" t="inlineStr">
        <is>
          <t>Vegetable filling</t>
        </is>
      </c>
      <c r="D609" s="2" t="inlineStr">
        <is>
          <t>Cumin</t>
        </is>
      </c>
      <c r="E609" s="3" t="n">
        <v>6</v>
      </c>
      <c r="F609" s="3" t="n">
        <v>24</v>
      </c>
      <c r="G609" s="2">
        <f>IF(Prices!B43="","",Prices!B43)</f>
        <v/>
      </c>
      <c r="H609" s="2">
        <f>IF(G609="","",E609/1000*G609)</f>
        <v/>
      </c>
      <c r="I609" s="2" t="inlineStr">
        <is>
          <t>Purchase quote/specification required</t>
        </is>
      </c>
      <c r="J609" s="2" t="inlineStr"/>
    </row>
    <row r="610">
      <c r="A610" s="2" t="inlineStr">
        <is>
          <t>S-F05</t>
        </is>
      </c>
      <c r="B610" s="2" t="inlineStr">
        <is>
          <t>Vegetable samosas</t>
        </is>
      </c>
      <c r="C610" s="2" t="inlineStr">
        <is>
          <t>Vegetable filling</t>
        </is>
      </c>
      <c r="D610" s="2" t="inlineStr">
        <is>
          <t>Salt</t>
        </is>
      </c>
      <c r="E610" s="3" t="n">
        <v>12</v>
      </c>
      <c r="F610" s="3" t="n">
        <v>48</v>
      </c>
      <c r="G610" s="2">
        <f>IF(Prices!B6="","",Prices!B6)</f>
        <v/>
      </c>
      <c r="H610" s="2">
        <f>IF(G610="","",E610/1000*G610)</f>
        <v/>
      </c>
      <c r="I610" s="2" t="inlineStr">
        <is>
          <t>Owner price</t>
        </is>
      </c>
      <c r="J610" s="2" t="inlineStr"/>
    </row>
    <row r="611">
      <c r="A611" s="2" t="inlineStr">
        <is>
          <t>S-F05</t>
        </is>
      </c>
      <c r="B611" s="2" t="inlineStr">
        <is>
          <t>Vegetable samosas</t>
        </is>
      </c>
      <c r="C611" s="2" t="inlineStr">
        <is>
          <t>Absorbed frying oil</t>
        </is>
      </c>
      <c r="D611" s="2" t="inlineStr">
        <is>
          <t>Oil</t>
        </is>
      </c>
      <c r="E611" s="3" t="n">
        <v>90</v>
      </c>
      <c r="F611" s="3" t="n">
        <v>360</v>
      </c>
      <c r="G611" s="2">
        <f>IF(Prices!B19="","",Prices!B19)</f>
        <v/>
      </c>
      <c r="H611" s="2">
        <f>IF(G611="","",E611/1000*G611)</f>
        <v/>
      </c>
      <c r="I611" s="2" t="inlineStr">
        <is>
          <t>PROVISIONAL 0.92 kg/L; correct after weighing</t>
        </is>
      </c>
      <c r="J611" s="2" t="inlineStr"/>
    </row>
    <row r="612">
      <c r="A612" s="2" t="inlineStr">
        <is>
          <t>S-F06</t>
        </is>
      </c>
      <c r="B612" s="2" t="inlineStr">
        <is>
          <t>Mini chicken pizzas</t>
        </is>
      </c>
      <c r="C612" s="2" t="inlineStr">
        <is>
          <t>Pizza dough</t>
        </is>
      </c>
      <c r="D612" s="2" t="inlineStr">
        <is>
          <t>Bread flour</t>
        </is>
      </c>
      <c r="E612" s="3" t="n">
        <v>500</v>
      </c>
      <c r="F612" s="3" t="n">
        <v>2000</v>
      </c>
      <c r="G612" s="2">
        <f>IF(Prices!B2="","",Prices!B2)</f>
        <v/>
      </c>
      <c r="H612" s="2">
        <f>IF(G612="","",E612/1000*G612)</f>
        <v/>
      </c>
      <c r="I612" s="2" t="inlineStr">
        <is>
          <t>Owner flour price; flour performance requires trial</t>
        </is>
      </c>
      <c r="J612" s="2" t="inlineStr"/>
    </row>
    <row r="613">
      <c r="A613" s="2" t="inlineStr">
        <is>
          <t>S-F06</t>
        </is>
      </c>
      <c r="B613" s="2" t="inlineStr">
        <is>
          <t>Mini chicken pizzas</t>
        </is>
      </c>
      <c r="C613" s="2" t="inlineStr">
        <is>
          <t>Pizza dough</t>
        </is>
      </c>
      <c r="D613" s="2" t="inlineStr">
        <is>
          <t>Water</t>
        </is>
      </c>
      <c r="E613" s="3" t="n">
        <v>300</v>
      </c>
      <c r="F613" s="3" t="n">
        <v>1200</v>
      </c>
      <c r="G613" s="2">
        <f>IF(Prices!B3="","",Prices!B3)</f>
        <v/>
      </c>
      <c r="H613" s="2">
        <f>IF(G613="","",E613/1000*G613)</f>
        <v/>
      </c>
      <c r="I613" s="2" t="inlineStr">
        <is>
          <t>Purchase quote/specification required</t>
        </is>
      </c>
      <c r="J613" s="2" t="inlineStr"/>
    </row>
    <row r="614">
      <c r="A614" s="2" t="inlineStr">
        <is>
          <t>S-F06</t>
        </is>
      </c>
      <c r="B614" s="2" t="inlineStr">
        <is>
          <t>Mini chicken pizzas</t>
        </is>
      </c>
      <c r="C614" s="2" t="inlineStr">
        <is>
          <t>Pizza dough</t>
        </is>
      </c>
      <c r="D614" s="2" t="inlineStr">
        <is>
          <t>Oil</t>
        </is>
      </c>
      <c r="E614" s="3" t="n">
        <v>15</v>
      </c>
      <c r="F614" s="3" t="n">
        <v>60</v>
      </c>
      <c r="G614" s="2">
        <f>IF(Prices!B19="","",Prices!B19)</f>
        <v/>
      </c>
      <c r="H614" s="2">
        <f>IF(G614="","",E614/1000*G614)</f>
        <v/>
      </c>
      <c r="I614" s="2" t="inlineStr">
        <is>
          <t>PROVISIONAL 0.92 kg/L; correct after weighing</t>
        </is>
      </c>
      <c r="J614" s="2" t="inlineStr"/>
    </row>
    <row r="615">
      <c r="A615" s="2" t="inlineStr">
        <is>
          <t>S-F06</t>
        </is>
      </c>
      <c r="B615" s="2" t="inlineStr">
        <is>
          <t>Mini chicken pizzas</t>
        </is>
      </c>
      <c r="C615" s="2" t="inlineStr">
        <is>
          <t>Pizza dough</t>
        </is>
      </c>
      <c r="D615" s="2" t="inlineStr">
        <is>
          <t>Sugar</t>
        </is>
      </c>
      <c r="E615" s="3" t="n">
        <v>10</v>
      </c>
      <c r="F615" s="3" t="n">
        <v>40</v>
      </c>
      <c r="G615" s="2">
        <f>IF(Prices!B4="","",Prices!B4)</f>
        <v/>
      </c>
      <c r="H615" s="2">
        <f>IF(G615="","",E615/1000*G615)</f>
        <v/>
      </c>
      <c r="I615" s="2" t="inlineStr">
        <is>
          <t>Owner granulated sugar price; grind specification must match</t>
        </is>
      </c>
      <c r="J615" s="2" t="inlineStr"/>
    </row>
    <row r="616">
      <c r="A616" s="2" t="inlineStr">
        <is>
          <t>S-F06</t>
        </is>
      </c>
      <c r="B616" s="2" t="inlineStr">
        <is>
          <t>Mini chicken pizzas</t>
        </is>
      </c>
      <c r="C616" s="2" t="inlineStr">
        <is>
          <t>Pizza dough</t>
        </is>
      </c>
      <c r="D616" s="2" t="inlineStr">
        <is>
          <t>Salt</t>
        </is>
      </c>
      <c r="E616" s="3" t="n">
        <v>10</v>
      </c>
      <c r="F616" s="3" t="n">
        <v>40</v>
      </c>
      <c r="G616" s="2">
        <f>IF(Prices!B6="","",Prices!B6)</f>
        <v/>
      </c>
      <c r="H616" s="2">
        <f>IF(G616="","",E616/1000*G616)</f>
        <v/>
      </c>
      <c r="I616" s="2" t="inlineStr">
        <is>
          <t>Owner price</t>
        </is>
      </c>
      <c r="J616" s="2" t="inlineStr"/>
    </row>
    <row r="617">
      <c r="A617" s="2" t="inlineStr">
        <is>
          <t>S-F06</t>
        </is>
      </c>
      <c r="B617" s="2" t="inlineStr">
        <is>
          <t>Mini chicken pizzas</t>
        </is>
      </c>
      <c r="C617" s="2" t="inlineStr">
        <is>
          <t>Pizza dough</t>
        </is>
      </c>
      <c r="D617" s="2" t="inlineStr">
        <is>
          <t>Nevada instant dry yeast</t>
        </is>
      </c>
      <c r="E617" s="3" t="n">
        <v>5</v>
      </c>
      <c r="F617" s="3" t="n">
        <v>20</v>
      </c>
      <c r="G617" s="2">
        <f>IF(Prices!B72="","",Prices!B72)</f>
        <v/>
      </c>
      <c r="H617" s="2">
        <f>IF(G617="","",E617/1000*G617)</f>
        <v/>
      </c>
      <c r="I617" s="2" t="inlineStr">
        <is>
          <t>Nevada instant dry; sweet-dough suitability requires trial</t>
        </is>
      </c>
      <c r="J617" s="2" t="inlineStr"/>
    </row>
    <row r="618">
      <c r="A618" s="2" t="inlineStr">
        <is>
          <t>S-F06</t>
        </is>
      </c>
      <c r="B618" s="2" t="inlineStr">
        <is>
          <t>Mini chicken pizzas</t>
        </is>
      </c>
      <c r="C618" s="2" t="inlineStr">
        <is>
          <t>Tomato sauce</t>
        </is>
      </c>
      <c r="D618" s="2" t="inlineStr">
        <is>
          <t>Tomato</t>
        </is>
      </c>
      <c r="E618" s="3" t="n">
        <v>240</v>
      </c>
      <c r="F618" s="3" t="n">
        <v>960</v>
      </c>
      <c r="G618" s="2">
        <f>IF(Prices!B61="","",Prices!B61)</f>
        <v/>
      </c>
      <c r="H618" s="2">
        <f>IF(G618="","",E618/1000*G618)</f>
        <v/>
      </c>
      <c r="I618" s="2" t="inlineStr">
        <is>
          <t>Purchase quote/specification required</t>
        </is>
      </c>
      <c r="J618" s="2" t="inlineStr"/>
    </row>
    <row r="619">
      <c r="A619" s="2" t="inlineStr">
        <is>
          <t>S-F06</t>
        </is>
      </c>
      <c r="B619" s="2" t="inlineStr">
        <is>
          <t>Mini chicken pizzas</t>
        </is>
      </c>
      <c r="C619" s="2" t="inlineStr">
        <is>
          <t>Tomato sauce</t>
        </is>
      </c>
      <c r="D619" s="2" t="inlineStr">
        <is>
          <t>Onion</t>
        </is>
      </c>
      <c r="E619" s="3" t="n">
        <v>30</v>
      </c>
      <c r="F619" s="3" t="n">
        <v>120</v>
      </c>
      <c r="G619" s="2">
        <f>IF(Prices!B62="","",Prices!B62)</f>
        <v/>
      </c>
      <c r="H619" s="2">
        <f>IF(G619="","",E619/1000*G619)</f>
        <v/>
      </c>
      <c r="I619" s="2" t="inlineStr">
        <is>
          <t>Purchase quote/specification required</t>
        </is>
      </c>
      <c r="J619" s="2" t="inlineStr"/>
    </row>
    <row r="620">
      <c r="A620" s="2" t="inlineStr">
        <is>
          <t>S-F06</t>
        </is>
      </c>
      <c r="B620" s="2" t="inlineStr">
        <is>
          <t>Mini chicken pizzas</t>
        </is>
      </c>
      <c r="C620" s="2" t="inlineStr">
        <is>
          <t>Tomato sauce</t>
        </is>
      </c>
      <c r="D620" s="2" t="inlineStr">
        <is>
          <t>Oil</t>
        </is>
      </c>
      <c r="E620" s="3" t="n">
        <v>8</v>
      </c>
      <c r="F620" s="3" t="n">
        <v>32</v>
      </c>
      <c r="G620" s="2">
        <f>IF(Prices!B19="","",Prices!B19)</f>
        <v/>
      </c>
      <c r="H620" s="2">
        <f>IF(G620="","",E620/1000*G620)</f>
        <v/>
      </c>
      <c r="I620" s="2" t="inlineStr">
        <is>
          <t>PROVISIONAL 0.92 kg/L; correct after weighing</t>
        </is>
      </c>
      <c r="J620" s="2" t="inlineStr"/>
    </row>
    <row r="621">
      <c r="A621" s="2" t="inlineStr">
        <is>
          <t>S-F06</t>
        </is>
      </c>
      <c r="B621" s="2" t="inlineStr">
        <is>
          <t>Mini chicken pizzas</t>
        </is>
      </c>
      <c r="C621" s="2" t="inlineStr">
        <is>
          <t>Tomato sauce</t>
        </is>
      </c>
      <c r="D621" s="2" t="inlineStr">
        <is>
          <t>Garlic</t>
        </is>
      </c>
      <c r="E621" s="3" t="n">
        <v>4</v>
      </c>
      <c r="F621" s="3" t="n">
        <v>16</v>
      </c>
      <c r="G621" s="2">
        <f>IF(Prices!B85="","",Prices!B85)</f>
        <v/>
      </c>
      <c r="H621" s="2">
        <f>IF(G621="","",E621/1000*G621)</f>
        <v/>
      </c>
      <c r="I621" s="2" t="inlineStr">
        <is>
          <t>Purchase quote/specification required</t>
        </is>
      </c>
      <c r="J621" s="2" t="inlineStr"/>
    </row>
    <row r="622">
      <c r="A622" s="2" t="inlineStr">
        <is>
          <t>S-F06</t>
        </is>
      </c>
      <c r="B622" s="2" t="inlineStr">
        <is>
          <t>Mini chicken pizzas</t>
        </is>
      </c>
      <c r="C622" s="2" t="inlineStr">
        <is>
          <t>Tomato sauce</t>
        </is>
      </c>
      <c r="D622" s="2" t="inlineStr">
        <is>
          <t>Salt</t>
        </is>
      </c>
      <c r="E622" s="3" t="n">
        <v>3</v>
      </c>
      <c r="F622" s="3" t="n">
        <v>12</v>
      </c>
      <c r="G622" s="2">
        <f>IF(Prices!B6="","",Prices!B6)</f>
        <v/>
      </c>
      <c r="H622" s="2">
        <f>IF(G622="","",E622/1000*G622)</f>
        <v/>
      </c>
      <c r="I622" s="2" t="inlineStr">
        <is>
          <t>Owner price</t>
        </is>
      </c>
      <c r="J622" s="2" t="inlineStr"/>
    </row>
    <row r="623">
      <c r="A623" s="2" t="inlineStr">
        <is>
          <t>S-F06</t>
        </is>
      </c>
      <c r="B623" s="2" t="inlineStr">
        <is>
          <t>Mini chicken pizzas</t>
        </is>
      </c>
      <c r="C623" s="2" t="inlineStr">
        <is>
          <t>Tomato sauce</t>
        </is>
      </c>
      <c r="D623" s="2" t="inlineStr">
        <is>
          <t>Oregano</t>
        </is>
      </c>
      <c r="E623" s="3" t="n">
        <v>1</v>
      </c>
      <c r="F623" s="3" t="n">
        <v>4</v>
      </c>
      <c r="G623" s="2">
        <f>IF(Prices!B37="","",Prices!B37)</f>
        <v/>
      </c>
      <c r="H623" s="2">
        <f>IF(G623="","",E623/1000*G623)</f>
        <v/>
      </c>
      <c r="I623" s="2" t="inlineStr">
        <is>
          <t>Purchase quote/specification required</t>
        </is>
      </c>
      <c r="J623" s="2" t="inlineStr"/>
    </row>
    <row r="624">
      <c r="A624" s="2" t="inlineStr">
        <is>
          <t>S-F06</t>
        </is>
      </c>
      <c r="B624" s="2" t="inlineStr">
        <is>
          <t>Mini chicken pizzas</t>
        </is>
      </c>
      <c r="C624" s="2" t="inlineStr">
        <is>
          <t>Chicken</t>
        </is>
      </c>
      <c r="D624" s="2" t="inlineStr">
        <is>
          <t>Raw chicken thigh</t>
        </is>
      </c>
      <c r="E624" s="3" t="n">
        <v>500</v>
      </c>
      <c r="F624" s="3" t="n">
        <v>2000</v>
      </c>
      <c r="G624" s="2">
        <f>IF(Prices!B87="","",Prices!B87)</f>
        <v/>
      </c>
      <c r="H624" s="2">
        <f>IF(G624="","",E624/1000*G624)</f>
        <v/>
      </c>
      <c r="I624" s="2" t="inlineStr">
        <is>
          <t>Purchase quote/specification required</t>
        </is>
      </c>
      <c r="J624" s="2" t="inlineStr"/>
    </row>
    <row r="625">
      <c r="A625" s="2" t="inlineStr">
        <is>
          <t>S-F06</t>
        </is>
      </c>
      <c r="B625" s="2" t="inlineStr">
        <is>
          <t>Mini chicken pizzas</t>
        </is>
      </c>
      <c r="C625" s="2" t="inlineStr">
        <is>
          <t>Chicken</t>
        </is>
      </c>
      <c r="D625" s="2" t="inlineStr">
        <is>
          <t>Oil</t>
        </is>
      </c>
      <c r="E625" s="3" t="n">
        <v>10</v>
      </c>
      <c r="F625" s="3" t="n">
        <v>40</v>
      </c>
      <c r="G625" s="2">
        <f>IF(Prices!B19="","",Prices!B19)</f>
        <v/>
      </c>
      <c r="H625" s="2">
        <f>IF(G625="","",E625/1000*G625)</f>
        <v/>
      </c>
      <c r="I625" s="2" t="inlineStr">
        <is>
          <t>PROVISIONAL 0.92 kg/L; correct after weighing</t>
        </is>
      </c>
      <c r="J625" s="2" t="inlineStr"/>
    </row>
    <row r="626">
      <c r="A626" s="2" t="inlineStr">
        <is>
          <t>S-F06</t>
        </is>
      </c>
      <c r="B626" s="2" t="inlineStr">
        <is>
          <t>Mini chicken pizzas</t>
        </is>
      </c>
      <c r="C626" s="2" t="inlineStr">
        <is>
          <t>Chicken</t>
        </is>
      </c>
      <c r="D626" s="2" t="inlineStr">
        <is>
          <t>Salt</t>
        </is>
      </c>
      <c r="E626" s="3" t="n">
        <v>5</v>
      </c>
      <c r="F626" s="3" t="n">
        <v>20</v>
      </c>
      <c r="G626" s="2">
        <f>IF(Prices!B6="","",Prices!B6)</f>
        <v/>
      </c>
      <c r="H626" s="2">
        <f>IF(G626="","",E626/1000*G626)</f>
        <v/>
      </c>
      <c r="I626" s="2" t="inlineStr">
        <is>
          <t>Owner price</t>
        </is>
      </c>
      <c r="J626" s="2" t="inlineStr"/>
    </row>
    <row r="627">
      <c r="A627" s="2" t="inlineStr">
        <is>
          <t>S-F06</t>
        </is>
      </c>
      <c r="B627" s="2" t="inlineStr">
        <is>
          <t>Mini chicken pizzas</t>
        </is>
      </c>
      <c r="C627" s="2" t="inlineStr">
        <is>
          <t>Chicken</t>
        </is>
      </c>
      <c r="D627" s="2" t="inlineStr">
        <is>
          <t>Paprika</t>
        </is>
      </c>
      <c r="E627" s="3" t="n">
        <v>3</v>
      </c>
      <c r="F627" s="3" t="n">
        <v>12</v>
      </c>
      <c r="G627" s="2">
        <f>IF(Prices!B23="","",Prices!B23)</f>
        <v/>
      </c>
      <c r="H627" s="2">
        <f>IF(G627="","",E627/1000*G627)</f>
        <v/>
      </c>
      <c r="I627" s="2" t="inlineStr">
        <is>
          <t>Purchase quote/specification required</t>
        </is>
      </c>
      <c r="J627" s="2" t="inlineStr"/>
    </row>
    <row r="628">
      <c r="A628" s="2" t="inlineStr">
        <is>
          <t>S-F06</t>
        </is>
      </c>
      <c r="B628" s="2" t="inlineStr">
        <is>
          <t>Mini chicken pizzas</t>
        </is>
      </c>
      <c r="C628" s="2" t="inlineStr">
        <is>
          <t>Cheese topping</t>
        </is>
      </c>
      <c r="D628" s="2" t="inlineStr">
        <is>
          <t>Low-moisture cheese</t>
        </is>
      </c>
      <c r="E628" s="3" t="n">
        <v>300</v>
      </c>
      <c r="F628" s="3" t="n">
        <v>1200</v>
      </c>
      <c r="G628" s="2">
        <f>IF(Prices!B86="","",Prices!B86)</f>
        <v/>
      </c>
      <c r="H628" s="2">
        <f>IF(G628="","",E628/1000*G628)</f>
        <v/>
      </c>
      <c r="I628" s="2" t="inlineStr">
        <is>
          <t>Purchase quote/specification required</t>
        </is>
      </c>
      <c r="J628" s="2" t="inlineStr"/>
    </row>
    <row r="629">
      <c r="A629" s="2" t="inlineStr">
        <is>
          <t>S-F06</t>
        </is>
      </c>
      <c r="B629" s="2" t="inlineStr">
        <is>
          <t>Mini chicken pizzas</t>
        </is>
      </c>
      <c r="C629" s="2" t="inlineStr">
        <is>
          <t>Vegetable topping</t>
        </is>
      </c>
      <c r="D629" s="2" t="inlineStr">
        <is>
          <t>Sweet pepper</t>
        </is>
      </c>
      <c r="E629" s="3" t="n">
        <v>100</v>
      </c>
      <c r="F629" s="3" t="n">
        <v>400</v>
      </c>
      <c r="G629" s="2">
        <f>IF(Prices!B63="","",Prices!B63)</f>
        <v/>
      </c>
      <c r="H629" s="2">
        <f>IF(G629="","",E629/1000*G629)</f>
        <v/>
      </c>
      <c r="I629" s="2" t="inlineStr">
        <is>
          <t>Purchase quote/specification required</t>
        </is>
      </c>
      <c r="J629" s="2" t="inlineStr"/>
    </row>
    <row r="630">
      <c r="A630" s="2" t="inlineStr">
        <is>
          <t>S-F06</t>
        </is>
      </c>
      <c r="B630" s="2" t="inlineStr">
        <is>
          <t>Mini chicken pizzas</t>
        </is>
      </c>
      <c r="C630" s="2" t="inlineStr">
        <is>
          <t>Vegetable topping</t>
        </is>
      </c>
      <c r="D630" s="2" t="inlineStr">
        <is>
          <t>Onion</t>
        </is>
      </c>
      <c r="E630" s="3" t="n">
        <v>100</v>
      </c>
      <c r="F630" s="3" t="n">
        <v>400</v>
      </c>
      <c r="G630" s="2">
        <f>IF(Prices!B62="","",Prices!B62)</f>
        <v/>
      </c>
      <c r="H630" s="2">
        <f>IF(G630="","",E630/1000*G630)</f>
        <v/>
      </c>
      <c r="I630" s="2" t="inlineStr">
        <is>
          <t>Purchase quote/specification required</t>
        </is>
      </c>
      <c r="J630" s="2" t="inlineStr"/>
    </row>
    <row r="631">
      <c r="A631" s="2" t="inlineStr">
        <is>
          <t>S-D01</t>
        </is>
      </c>
      <c r="B631" s="2" t="inlineStr">
        <is>
          <t>Vanilla dairy soft serve</t>
        </is>
      </c>
      <c r="C631" s="2" t="inlineStr">
        <is>
          <t>Dairy mix</t>
        </is>
      </c>
      <c r="D631" s="2" t="inlineStr">
        <is>
          <t>Whole milk 3.5%</t>
        </is>
      </c>
      <c r="E631" s="3" t="n">
        <v>1400</v>
      </c>
      <c r="F631" s="3" t="n">
        <v>7000</v>
      </c>
      <c r="G631" s="2">
        <f>IF(Prices!B76="","",Prices!B76)</f>
        <v/>
      </c>
      <c r="H631" s="2">
        <f>IF(G631="","",E631/1000*G631)</f>
        <v/>
      </c>
      <c r="I631" s="2" t="inlineStr">
        <is>
          <t>Purchase quote/specification required</t>
        </is>
      </c>
      <c r="J631" s="2" t="inlineStr"/>
    </row>
    <row r="632">
      <c r="A632" s="2" t="inlineStr">
        <is>
          <t>S-D01</t>
        </is>
      </c>
      <c r="B632" s="2" t="inlineStr">
        <is>
          <t>Vanilla dairy soft serve</t>
        </is>
      </c>
      <c r="C632" s="2" t="inlineStr">
        <is>
          <t>Dairy mix</t>
        </is>
      </c>
      <c r="D632" s="2" t="inlineStr">
        <is>
          <t>Cream 35%</t>
        </is>
      </c>
      <c r="E632" s="3" t="n">
        <v>100</v>
      </c>
      <c r="F632" s="3" t="n">
        <v>500</v>
      </c>
      <c r="G632" s="2">
        <f>IF(Prices!B44="","",Prices!B44)</f>
        <v/>
      </c>
      <c r="H632" s="2">
        <f>IF(G632="","",E632/1000*G632)</f>
        <v/>
      </c>
      <c r="I632" s="2" t="inlineStr">
        <is>
          <t>Purchase quote/specification required</t>
        </is>
      </c>
      <c r="J632" s="2" t="inlineStr"/>
    </row>
    <row r="633">
      <c r="A633" s="2" t="inlineStr">
        <is>
          <t>S-D01</t>
        </is>
      </c>
      <c r="B633" s="2" t="inlineStr">
        <is>
          <t>Vanilla dairy soft serve</t>
        </is>
      </c>
      <c r="C633" s="2" t="inlineStr">
        <is>
          <t>Dairy mix</t>
        </is>
      </c>
      <c r="D633" s="2" t="inlineStr">
        <is>
          <t>Skim milk powder</t>
        </is>
      </c>
      <c r="E633" s="3" t="n">
        <v>110</v>
      </c>
      <c r="F633" s="3" t="n">
        <v>550</v>
      </c>
      <c r="G633" s="2">
        <f>IF(Prices!B64="","",Prices!B64)</f>
        <v/>
      </c>
      <c r="H633" s="2">
        <f>IF(G633="","",E633/1000*G633)</f>
        <v/>
      </c>
      <c r="I633" s="2" t="inlineStr">
        <is>
          <t>Purchase quote/specification required</t>
        </is>
      </c>
      <c r="J633" s="2" t="inlineStr"/>
    </row>
    <row r="634">
      <c r="A634" s="2" t="inlineStr">
        <is>
          <t>S-D01</t>
        </is>
      </c>
      <c r="B634" s="2" t="inlineStr">
        <is>
          <t>Vanilla dairy soft serve</t>
        </is>
      </c>
      <c r="C634" s="2" t="inlineStr">
        <is>
          <t>Dairy mix</t>
        </is>
      </c>
      <c r="D634" s="2" t="inlineStr">
        <is>
          <t>Sugar</t>
        </is>
      </c>
      <c r="E634" s="3" t="n">
        <v>280</v>
      </c>
      <c r="F634" s="3" t="n">
        <v>1400</v>
      </c>
      <c r="G634" s="2">
        <f>IF(Prices!B4="","",Prices!B4)</f>
        <v/>
      </c>
      <c r="H634" s="2">
        <f>IF(G634="","",E634/1000*G634)</f>
        <v/>
      </c>
      <c r="I634" s="2" t="inlineStr">
        <is>
          <t>Owner granulated sugar price; grind specification must match</t>
        </is>
      </c>
      <c r="J634" s="2" t="inlineStr"/>
    </row>
    <row r="635">
      <c r="A635" s="2" t="inlineStr">
        <is>
          <t>S-D01</t>
        </is>
      </c>
      <c r="B635" s="2" t="inlineStr">
        <is>
          <t>Vanilla dairy soft serve</t>
        </is>
      </c>
      <c r="C635" s="2" t="inlineStr">
        <is>
          <t>Dairy mix</t>
        </is>
      </c>
      <c r="D635" s="2" t="inlineStr">
        <is>
          <t>Dextrose anhydrous</t>
        </is>
      </c>
      <c r="E635" s="3" t="n">
        <v>60</v>
      </c>
      <c r="F635" s="3" t="n">
        <v>300</v>
      </c>
      <c r="G635" s="2">
        <f>IF(Prices!B95="","",Prices!B95)</f>
        <v/>
      </c>
      <c r="H635" s="2">
        <f>IF(G635="","",E635/1000*G635)</f>
        <v/>
      </c>
      <c r="I635" s="2" t="inlineStr">
        <is>
          <t>Purchase quote/specification required</t>
        </is>
      </c>
      <c r="J635" s="2" t="inlineStr"/>
    </row>
    <row r="636">
      <c r="A636" s="2" t="inlineStr">
        <is>
          <t>S-D01</t>
        </is>
      </c>
      <c r="B636" s="2" t="inlineStr">
        <is>
          <t>Vanilla dairy soft serve</t>
        </is>
      </c>
      <c r="C636" s="2" t="inlineStr">
        <is>
          <t>Dairy mix</t>
        </is>
      </c>
      <c r="D636" s="2" t="inlineStr">
        <is>
          <t>STAB 2000</t>
        </is>
      </c>
      <c r="E636" s="3" t="n">
        <v>9</v>
      </c>
      <c r="F636" s="3" t="n">
        <v>45</v>
      </c>
      <c r="G636" s="2">
        <f>IF(Prices!B96="","",Prices!B96)</f>
        <v/>
      </c>
      <c r="H636" s="2">
        <f>IF(G636="","",E636/1000*G636)</f>
        <v/>
      </c>
      <c r="I636" s="2" t="inlineStr">
        <is>
          <t>Purchase quote/specification required</t>
        </is>
      </c>
      <c r="J636" s="2" t="inlineStr"/>
    </row>
    <row r="637">
      <c r="A637" s="2" t="inlineStr">
        <is>
          <t>S-D01</t>
        </is>
      </c>
      <c r="B637" s="2" t="inlineStr">
        <is>
          <t>Vanilla dairy soft serve</t>
        </is>
      </c>
      <c r="C637" s="2" t="inlineStr">
        <is>
          <t>Dairy mix</t>
        </is>
      </c>
      <c r="D637" s="2" t="inlineStr">
        <is>
          <t>Vanilla</t>
        </is>
      </c>
      <c r="E637" s="3" t="n">
        <v>8</v>
      </c>
      <c r="F637" s="3" t="n">
        <v>40</v>
      </c>
      <c r="G637" s="2">
        <f>IF(Prices!B11="","",Prices!B11)</f>
        <v/>
      </c>
      <c r="H637" s="2">
        <f>IF(G637="","",E637/1000*G637)</f>
        <v/>
      </c>
      <c r="I637" s="2" t="inlineStr">
        <is>
          <t>Purchase quote/specification required</t>
        </is>
      </c>
      <c r="J637" s="2" t="inlineStr"/>
    </row>
    <row r="638">
      <c r="A638" s="2" t="inlineStr">
        <is>
          <t>S-D01</t>
        </is>
      </c>
      <c r="B638" s="2" t="inlineStr">
        <is>
          <t>Vanilla dairy soft serve</t>
        </is>
      </c>
      <c r="C638" s="2" t="inlineStr">
        <is>
          <t>Dairy mix</t>
        </is>
      </c>
      <c r="D638" s="2" t="inlineStr">
        <is>
          <t>Water</t>
        </is>
      </c>
      <c r="E638" s="3" t="n">
        <v>33</v>
      </c>
      <c r="F638" s="3" t="n">
        <v>165</v>
      </c>
      <c r="G638" s="2">
        <f>IF(Prices!B3="","",Prices!B3)</f>
        <v/>
      </c>
      <c r="H638" s="2">
        <f>IF(G638="","",E638/1000*G638)</f>
        <v/>
      </c>
      <c r="I638" s="2" t="inlineStr">
        <is>
          <t>Purchase quote/specification required</t>
        </is>
      </c>
      <c r="J638" s="2" t="inlineStr"/>
    </row>
    <row r="639">
      <c r="A639" s="2" t="inlineStr">
        <is>
          <t>S-D02</t>
        </is>
      </c>
      <c r="B639" s="2" t="inlineStr">
        <is>
          <t>Scoopable vanilla ice cream</t>
        </is>
      </c>
      <c r="C639" s="2" t="inlineStr">
        <is>
          <t>Dairy mix</t>
        </is>
      </c>
      <c r="D639" s="2" t="inlineStr">
        <is>
          <t>Whole milk 3.5%</t>
        </is>
      </c>
      <c r="E639" s="3" t="n">
        <v>1170</v>
      </c>
      <c r="F639" s="3" t="n">
        <v>5850</v>
      </c>
      <c r="G639" s="2">
        <f>IF(Prices!B76="","",Prices!B76)</f>
        <v/>
      </c>
      <c r="H639" s="2">
        <f>IF(G639="","",E639/1000*G639)</f>
        <v/>
      </c>
      <c r="I639" s="2" t="inlineStr">
        <is>
          <t>Purchase quote/specification required</t>
        </is>
      </c>
      <c r="J639" s="2" t="inlineStr"/>
    </row>
    <row r="640">
      <c r="A640" s="2" t="inlineStr">
        <is>
          <t>S-D02</t>
        </is>
      </c>
      <c r="B640" s="2" t="inlineStr">
        <is>
          <t>Scoopable vanilla ice cream</t>
        </is>
      </c>
      <c r="C640" s="2" t="inlineStr">
        <is>
          <t>Dairy mix</t>
        </is>
      </c>
      <c r="D640" s="2" t="inlineStr">
        <is>
          <t>Cream 35%</t>
        </is>
      </c>
      <c r="E640" s="3" t="n">
        <v>520</v>
      </c>
      <c r="F640" s="3" t="n">
        <v>2600</v>
      </c>
      <c r="G640" s="2">
        <f>IF(Prices!B44="","",Prices!B44)</f>
        <v/>
      </c>
      <c r="H640" s="2">
        <f>IF(G640="","",E640/1000*G640)</f>
        <v/>
      </c>
      <c r="I640" s="2" t="inlineStr">
        <is>
          <t>Purchase quote/specification required</t>
        </is>
      </c>
      <c r="J640" s="2" t="inlineStr"/>
    </row>
    <row r="641">
      <c r="A641" s="2" t="inlineStr">
        <is>
          <t>S-D02</t>
        </is>
      </c>
      <c r="B641" s="2" t="inlineStr">
        <is>
          <t>Scoopable vanilla ice cream</t>
        </is>
      </c>
      <c r="C641" s="2" t="inlineStr">
        <is>
          <t>Dairy mix</t>
        </is>
      </c>
      <c r="D641" s="2" t="inlineStr">
        <is>
          <t>Skim milk powder</t>
        </is>
      </c>
      <c r="E641" s="3" t="n">
        <v>90</v>
      </c>
      <c r="F641" s="3" t="n">
        <v>450</v>
      </c>
      <c r="G641" s="2">
        <f>IF(Prices!B64="","",Prices!B64)</f>
        <v/>
      </c>
      <c r="H641" s="2">
        <f>IF(G641="","",E641/1000*G641)</f>
        <v/>
      </c>
      <c r="I641" s="2" t="inlineStr">
        <is>
          <t>Purchase quote/specification required</t>
        </is>
      </c>
      <c r="J641" s="2" t="inlineStr"/>
    </row>
    <row r="642">
      <c r="A642" s="2" t="inlineStr">
        <is>
          <t>S-D02</t>
        </is>
      </c>
      <c r="B642" s="2" t="inlineStr">
        <is>
          <t>Scoopable vanilla ice cream</t>
        </is>
      </c>
      <c r="C642" s="2" t="inlineStr">
        <is>
          <t>Dairy mix</t>
        </is>
      </c>
      <c r="D642" s="2" t="inlineStr">
        <is>
          <t>Sugar</t>
        </is>
      </c>
      <c r="E642" s="3" t="n">
        <v>280</v>
      </c>
      <c r="F642" s="3" t="n">
        <v>1400</v>
      </c>
      <c r="G642" s="2">
        <f>IF(Prices!B4="","",Prices!B4)</f>
        <v/>
      </c>
      <c r="H642" s="2">
        <f>IF(G642="","",E642/1000*G642)</f>
        <v/>
      </c>
      <c r="I642" s="2" t="inlineStr">
        <is>
          <t>Owner granulated sugar price; grind specification must match</t>
        </is>
      </c>
      <c r="J642" s="2" t="inlineStr"/>
    </row>
    <row r="643">
      <c r="A643" s="2" t="inlineStr">
        <is>
          <t>S-D02</t>
        </is>
      </c>
      <c r="B643" s="2" t="inlineStr">
        <is>
          <t>Scoopable vanilla ice cream</t>
        </is>
      </c>
      <c r="C643" s="2" t="inlineStr">
        <is>
          <t>Dairy mix</t>
        </is>
      </c>
      <c r="D643" s="2" t="inlineStr">
        <is>
          <t>Dextrose anhydrous</t>
        </is>
      </c>
      <c r="E643" s="3" t="n">
        <v>60</v>
      </c>
      <c r="F643" s="3" t="n">
        <v>300</v>
      </c>
      <c r="G643" s="2">
        <f>IF(Prices!B95="","",Prices!B95)</f>
        <v/>
      </c>
      <c r="H643" s="2">
        <f>IF(G643="","",E643/1000*G643)</f>
        <v/>
      </c>
      <c r="I643" s="2" t="inlineStr">
        <is>
          <t>Purchase quote/specification required</t>
        </is>
      </c>
      <c r="J643" s="2" t="inlineStr"/>
    </row>
    <row r="644">
      <c r="A644" s="2" t="inlineStr">
        <is>
          <t>S-D02</t>
        </is>
      </c>
      <c r="B644" s="2" t="inlineStr">
        <is>
          <t>Scoopable vanilla ice cream</t>
        </is>
      </c>
      <c r="C644" s="2" t="inlineStr">
        <is>
          <t>Dairy mix</t>
        </is>
      </c>
      <c r="D644" s="2" t="inlineStr">
        <is>
          <t>STAB 2000</t>
        </is>
      </c>
      <c r="E644" s="3" t="n">
        <v>6</v>
      </c>
      <c r="F644" s="3" t="n">
        <v>30</v>
      </c>
      <c r="G644" s="2">
        <f>IF(Prices!B96="","",Prices!B96)</f>
        <v/>
      </c>
      <c r="H644" s="2">
        <f>IF(G644="","",E644/1000*G644)</f>
        <v/>
      </c>
      <c r="I644" s="2" t="inlineStr">
        <is>
          <t>Purchase quote/specification required</t>
        </is>
      </c>
      <c r="J644" s="2" t="inlineStr"/>
    </row>
    <row r="645">
      <c r="A645" s="2" t="inlineStr">
        <is>
          <t>S-D02</t>
        </is>
      </c>
      <c r="B645" s="2" t="inlineStr">
        <is>
          <t>Scoopable vanilla ice cream</t>
        </is>
      </c>
      <c r="C645" s="2" t="inlineStr">
        <is>
          <t>Dairy mix</t>
        </is>
      </c>
      <c r="D645" s="2" t="inlineStr">
        <is>
          <t>Vanilla</t>
        </is>
      </c>
      <c r="E645" s="3" t="n">
        <v>8</v>
      </c>
      <c r="F645" s="3" t="n">
        <v>40</v>
      </c>
      <c r="G645" s="2">
        <f>IF(Prices!B11="","",Prices!B11)</f>
        <v/>
      </c>
      <c r="H645" s="2">
        <f>IF(G645="","",E645/1000*G645)</f>
        <v/>
      </c>
      <c r="I645" s="2" t="inlineStr">
        <is>
          <t>Purchase quote/specification required</t>
        </is>
      </c>
      <c r="J645" s="2" t="inlineStr"/>
    </row>
    <row r="646">
      <c r="A646" s="2" t="inlineStr">
        <is>
          <t>S-D02</t>
        </is>
      </c>
      <c r="B646" s="2" t="inlineStr">
        <is>
          <t>Scoopable vanilla ice cream</t>
        </is>
      </c>
      <c r="C646" s="2" t="inlineStr">
        <is>
          <t>Dairy mix</t>
        </is>
      </c>
      <c r="D646" s="2" t="inlineStr">
        <is>
          <t>Water</t>
        </is>
      </c>
      <c r="E646" s="3" t="n">
        <v>66</v>
      </c>
      <c r="F646" s="3" t="n">
        <v>330</v>
      </c>
      <c r="G646" s="2">
        <f>IF(Prices!B3="","",Prices!B3)</f>
        <v/>
      </c>
      <c r="H646" s="2">
        <f>IF(G646="","",E646/1000*G646)</f>
        <v/>
      </c>
      <c r="I646" s="2" t="inlineStr">
        <is>
          <t>Purchase quote/specification required</t>
        </is>
      </c>
      <c r="J646" s="2" t="inlineStr"/>
    </row>
    <row r="647">
      <c r="A647" s="2" t="inlineStr">
        <is>
          <t>S-I01</t>
        </is>
      </c>
      <c r="B647" s="2" t="inlineStr">
        <is>
          <t>Pineapple-ginger fruit popsicle</t>
        </is>
      </c>
      <c r="C647" s="2" t="inlineStr">
        <is>
          <t>Fruit mix</t>
        </is>
      </c>
      <c r="D647" s="2" t="inlineStr">
        <is>
          <t>Pasteurized pineapple juice 12 Brix</t>
        </is>
      </c>
      <c r="E647" s="3" t="n">
        <v>1400</v>
      </c>
      <c r="F647" s="3" t="n">
        <v>7000</v>
      </c>
      <c r="G647" s="2">
        <f>IF(Prices!B97="","",Prices!B97)</f>
        <v/>
      </c>
      <c r="H647" s="2">
        <f>IF(G647="","",E647/1000*G647)</f>
        <v/>
      </c>
      <c r="I647" s="2" t="inlineStr">
        <is>
          <t>Purchase quote/specification required</t>
        </is>
      </c>
      <c r="J647" s="2" t="inlineStr"/>
    </row>
    <row r="648">
      <c r="A648" s="2" t="inlineStr">
        <is>
          <t>S-I01</t>
        </is>
      </c>
      <c r="B648" s="2" t="inlineStr">
        <is>
          <t>Pineapple-ginger fruit popsicle</t>
        </is>
      </c>
      <c r="C648" s="2" t="inlineStr">
        <is>
          <t>Fruit mix</t>
        </is>
      </c>
      <c r="D648" s="2" t="inlineStr">
        <is>
          <t>Water</t>
        </is>
      </c>
      <c r="E648" s="3" t="n">
        <v>290</v>
      </c>
      <c r="F648" s="3" t="n">
        <v>1450</v>
      </c>
      <c r="G648" s="2">
        <f>IF(Prices!B3="","",Prices!B3)</f>
        <v/>
      </c>
      <c r="H648" s="2">
        <f>IF(G648="","",E648/1000*G648)</f>
        <v/>
      </c>
      <c r="I648" s="2" t="inlineStr">
        <is>
          <t>Purchase quote/specification required</t>
        </is>
      </c>
      <c r="J648" s="2" t="inlineStr"/>
    </row>
    <row r="649">
      <c r="A649" s="2" t="inlineStr">
        <is>
          <t>S-I01</t>
        </is>
      </c>
      <c r="B649" s="2" t="inlineStr">
        <is>
          <t>Pineapple-ginger fruit popsicle</t>
        </is>
      </c>
      <c r="C649" s="2" t="inlineStr">
        <is>
          <t>Fruit mix</t>
        </is>
      </c>
      <c r="D649" s="2" t="inlineStr">
        <is>
          <t>Sugar</t>
        </is>
      </c>
      <c r="E649" s="3" t="n">
        <v>250</v>
      </c>
      <c r="F649" s="3" t="n">
        <v>1250</v>
      </c>
      <c r="G649" s="2">
        <f>IF(Prices!B4="","",Prices!B4)</f>
        <v/>
      </c>
      <c r="H649" s="2">
        <f>IF(G649="","",E649/1000*G649)</f>
        <v/>
      </c>
      <c r="I649" s="2" t="inlineStr">
        <is>
          <t>Owner granulated sugar price; grind specification must match</t>
        </is>
      </c>
      <c r="J649" s="2" t="inlineStr"/>
    </row>
    <row r="650">
      <c r="A650" s="2" t="inlineStr">
        <is>
          <t>S-I01</t>
        </is>
      </c>
      <c r="B650" s="2" t="inlineStr">
        <is>
          <t>Pineapple-ginger fruit popsicle</t>
        </is>
      </c>
      <c r="C650" s="2" t="inlineStr">
        <is>
          <t>Fruit mix</t>
        </is>
      </c>
      <c r="D650" s="2" t="inlineStr">
        <is>
          <t>Dextrose anhydrous</t>
        </is>
      </c>
      <c r="E650" s="3" t="n">
        <v>40</v>
      </c>
      <c r="F650" s="3" t="n">
        <v>200</v>
      </c>
      <c r="G650" s="2">
        <f>IF(Prices!B95="","",Prices!B95)</f>
        <v/>
      </c>
      <c r="H650" s="2">
        <f>IF(G650="","",E650/1000*G650)</f>
        <v/>
      </c>
      <c r="I650" s="2" t="inlineStr">
        <is>
          <t>Purchase quote/specification required</t>
        </is>
      </c>
      <c r="J650" s="2" t="inlineStr"/>
    </row>
    <row r="651">
      <c r="A651" s="2" t="inlineStr">
        <is>
          <t>S-I01</t>
        </is>
      </c>
      <c r="B651" s="2" t="inlineStr">
        <is>
          <t>Pineapple-ginger fruit popsicle</t>
        </is>
      </c>
      <c r="C651" s="2" t="inlineStr">
        <is>
          <t>Fruit mix</t>
        </is>
      </c>
      <c r="D651" s="2" t="inlineStr">
        <is>
          <t>Treated ginger juice</t>
        </is>
      </c>
      <c r="E651" s="3" t="n">
        <v>10</v>
      </c>
      <c r="F651" s="3" t="n">
        <v>50</v>
      </c>
      <c r="G651" s="2">
        <f>IF(Prices!B98="","",Prices!B98)</f>
        <v/>
      </c>
      <c r="H651" s="2">
        <f>IF(G651="","",E651/1000*G651)</f>
        <v/>
      </c>
      <c r="I651" s="2" t="inlineStr">
        <is>
          <t>Purchase quote/specification required</t>
        </is>
      </c>
      <c r="J651" s="2" t="inlineStr"/>
    </row>
    <row r="652">
      <c r="A652" s="2" t="inlineStr">
        <is>
          <t>S-I01</t>
        </is>
      </c>
      <c r="B652" s="2" t="inlineStr">
        <is>
          <t>Pineapple-ginger fruit popsicle</t>
        </is>
      </c>
      <c r="C652" s="2" t="inlineStr">
        <is>
          <t>Fruit mix</t>
        </is>
      </c>
      <c r="D652" s="2" t="inlineStr">
        <is>
          <t>Pasteurized lime juice</t>
        </is>
      </c>
      <c r="E652" s="3" t="n">
        <v>4</v>
      </c>
      <c r="F652" s="3" t="n">
        <v>20</v>
      </c>
      <c r="G652" s="2">
        <f>IF(Prices!B99="","",Prices!B99)</f>
        <v/>
      </c>
      <c r="H652" s="2">
        <f>IF(G652="","",E652/1000*G652)</f>
        <v/>
      </c>
      <c r="I652" s="2" t="inlineStr">
        <is>
          <t>Purchase quote/specification required</t>
        </is>
      </c>
      <c r="J652" s="2" t="inlineStr"/>
    </row>
    <row r="653">
      <c r="A653" s="2" t="inlineStr">
        <is>
          <t>S-I01</t>
        </is>
      </c>
      <c r="B653" s="2" t="inlineStr">
        <is>
          <t>Pineapple-ginger fruit popsicle</t>
        </is>
      </c>
      <c r="C653" s="2" t="inlineStr">
        <is>
          <t>Fruit mix</t>
        </is>
      </c>
      <c r="D653" s="2" t="inlineStr">
        <is>
          <t>Super Neutrose</t>
        </is>
      </c>
      <c r="E653" s="3" t="n">
        <v>6</v>
      </c>
      <c r="F653" s="3" t="n">
        <v>30</v>
      </c>
      <c r="G653" s="2">
        <f>IF(Prices!B100="","",Prices!B100)</f>
        <v/>
      </c>
      <c r="H653" s="2">
        <f>IF(G653="","",E653/1000*G653)</f>
        <v/>
      </c>
      <c r="I653" s="2" t="inlineStr">
        <is>
          <t>Purchase quote/specification required</t>
        </is>
      </c>
      <c r="J653" s="2" t="inlineStr"/>
    </row>
    <row r="654">
      <c r="A654" s="2" t="inlineStr">
        <is>
          <t>S-I02</t>
        </is>
      </c>
      <c r="B654" s="2" t="inlineStr">
        <is>
          <t>Bissap-ginger-lime ice stick</t>
        </is>
      </c>
      <c r="C654" s="2" t="inlineStr">
        <is>
          <t>Infusion mix</t>
        </is>
      </c>
      <c r="D654" s="2" t="inlineStr">
        <is>
          <t>Validated hibiscus infusion</t>
        </is>
      </c>
      <c r="E654" s="3" t="n">
        <v>1500</v>
      </c>
      <c r="F654" s="3" t="n">
        <v>7500</v>
      </c>
      <c r="G654" s="2">
        <f>IF(Prices!B101="","",Prices!B101)</f>
        <v/>
      </c>
      <c r="H654" s="2">
        <f>IF(G654="","",E654/1000*G654)</f>
        <v/>
      </c>
      <c r="I654" s="2" t="inlineStr">
        <is>
          <t>Purchase quote/specification required</t>
        </is>
      </c>
      <c r="J654" s="2" t="inlineStr"/>
    </row>
    <row r="655">
      <c r="A655" s="2" t="inlineStr">
        <is>
          <t>S-I02</t>
        </is>
      </c>
      <c r="B655" s="2" t="inlineStr">
        <is>
          <t>Bissap-ginger-lime ice stick</t>
        </is>
      </c>
      <c r="C655" s="2" t="inlineStr">
        <is>
          <t>Infusion mix</t>
        </is>
      </c>
      <c r="D655" s="2" t="inlineStr">
        <is>
          <t>Water</t>
        </is>
      </c>
      <c r="E655" s="3" t="n">
        <v>44</v>
      </c>
      <c r="F655" s="3" t="n">
        <v>220</v>
      </c>
      <c r="G655" s="2">
        <f>IF(Prices!B3="","",Prices!B3)</f>
        <v/>
      </c>
      <c r="H655" s="2">
        <f>IF(G655="","",E655/1000*G655)</f>
        <v/>
      </c>
      <c r="I655" s="2" t="inlineStr">
        <is>
          <t>Purchase quote/specification required</t>
        </is>
      </c>
      <c r="J655" s="2" t="inlineStr"/>
    </row>
    <row r="656">
      <c r="A656" s="2" t="inlineStr">
        <is>
          <t>S-I02</t>
        </is>
      </c>
      <c r="B656" s="2" t="inlineStr">
        <is>
          <t>Bissap-ginger-lime ice stick</t>
        </is>
      </c>
      <c r="C656" s="2" t="inlineStr">
        <is>
          <t>Infusion mix</t>
        </is>
      </c>
      <c r="D656" s="2" t="inlineStr">
        <is>
          <t>Sugar</t>
        </is>
      </c>
      <c r="E656" s="3" t="n">
        <v>380</v>
      </c>
      <c r="F656" s="3" t="n">
        <v>1900</v>
      </c>
      <c r="G656" s="2">
        <f>IF(Prices!B4="","",Prices!B4)</f>
        <v/>
      </c>
      <c r="H656" s="2">
        <f>IF(G656="","",E656/1000*G656)</f>
        <v/>
      </c>
      <c r="I656" s="2" t="inlineStr">
        <is>
          <t>Owner granulated sugar price; grind specification must match</t>
        </is>
      </c>
      <c r="J656" s="2" t="inlineStr"/>
    </row>
    <row r="657">
      <c r="A657" s="2" t="inlineStr">
        <is>
          <t>S-I02</t>
        </is>
      </c>
      <c r="B657" s="2" t="inlineStr">
        <is>
          <t>Bissap-ginger-lime ice stick</t>
        </is>
      </c>
      <c r="C657" s="2" t="inlineStr">
        <is>
          <t>Infusion mix</t>
        </is>
      </c>
      <c r="D657" s="2" t="inlineStr">
        <is>
          <t>Dextrose anhydrous</t>
        </is>
      </c>
      <c r="E657" s="3" t="n">
        <v>50</v>
      </c>
      <c r="F657" s="3" t="n">
        <v>250</v>
      </c>
      <c r="G657" s="2">
        <f>IF(Prices!B95="","",Prices!B95)</f>
        <v/>
      </c>
      <c r="H657" s="2">
        <f>IF(G657="","",E657/1000*G657)</f>
        <v/>
      </c>
      <c r="I657" s="2" t="inlineStr">
        <is>
          <t>Purchase quote/specification required</t>
        </is>
      </c>
      <c r="J657" s="2" t="inlineStr"/>
    </row>
    <row r="658">
      <c r="A658" s="2" t="inlineStr">
        <is>
          <t>S-I02</t>
        </is>
      </c>
      <c r="B658" s="2" t="inlineStr">
        <is>
          <t>Bissap-ginger-lime ice stick</t>
        </is>
      </c>
      <c r="C658" s="2" t="inlineStr">
        <is>
          <t>Infusion mix</t>
        </is>
      </c>
      <c r="D658" s="2" t="inlineStr">
        <is>
          <t>Treated ginger juice</t>
        </is>
      </c>
      <c r="E658" s="3" t="n">
        <v>10</v>
      </c>
      <c r="F658" s="3" t="n">
        <v>50</v>
      </c>
      <c r="G658" s="2">
        <f>IF(Prices!B98="","",Prices!B98)</f>
        <v/>
      </c>
      <c r="H658" s="2">
        <f>IF(G658="","",E658/1000*G658)</f>
        <v/>
      </c>
      <c r="I658" s="2" t="inlineStr">
        <is>
          <t>Purchase quote/specification required</t>
        </is>
      </c>
      <c r="J658" s="2" t="inlineStr"/>
    </row>
    <row r="659">
      <c r="A659" s="2" t="inlineStr">
        <is>
          <t>S-I02</t>
        </is>
      </c>
      <c r="B659" s="2" t="inlineStr">
        <is>
          <t>Bissap-ginger-lime ice stick</t>
        </is>
      </c>
      <c r="C659" s="2" t="inlineStr">
        <is>
          <t>Infusion mix</t>
        </is>
      </c>
      <c r="D659" s="2" t="inlineStr">
        <is>
          <t>Pasteurized lime juice</t>
        </is>
      </c>
      <c r="E659" s="3" t="n">
        <v>10</v>
      </c>
      <c r="F659" s="3" t="n">
        <v>50</v>
      </c>
      <c r="G659" s="2">
        <f>IF(Prices!B99="","",Prices!B99)</f>
        <v/>
      </c>
      <c r="H659" s="2">
        <f>IF(G659="","",E659/1000*G659)</f>
        <v/>
      </c>
      <c r="I659" s="2" t="inlineStr">
        <is>
          <t>Purchase quote/specification required</t>
        </is>
      </c>
      <c r="J659" s="2" t="inlineStr"/>
    </row>
    <row r="660">
      <c r="A660" s="2" t="inlineStr">
        <is>
          <t>S-I02</t>
        </is>
      </c>
      <c r="B660" s="2" t="inlineStr">
        <is>
          <t>Bissap-ginger-lime ice stick</t>
        </is>
      </c>
      <c r="C660" s="2" t="inlineStr">
        <is>
          <t>Infusion mix</t>
        </is>
      </c>
      <c r="D660" s="2" t="inlineStr">
        <is>
          <t>Super Neutrose</t>
        </is>
      </c>
      <c r="E660" s="3" t="n">
        <v>6</v>
      </c>
      <c r="F660" s="3" t="n">
        <v>30</v>
      </c>
      <c r="G660" s="2">
        <f>IF(Prices!B100="","",Prices!B100)</f>
        <v/>
      </c>
      <c r="H660" s="2">
        <f>IF(G660="","",E660/1000*G660)</f>
        <v/>
      </c>
      <c r="I660" s="2" t="inlineStr">
        <is>
          <t>Purchase quote/specification required</t>
        </is>
      </c>
      <c r="J660" s="2" t="inlineStr"/>
    </row>
    <row r="661">
      <c r="A661" s="2" t="inlineStr">
        <is>
          <t>S-I03</t>
        </is>
      </c>
      <c r="B661" s="2" t="inlineStr">
        <is>
          <t>Cocoa milk popsicle</t>
        </is>
      </c>
      <c r="C661" s="2" t="inlineStr">
        <is>
          <t>Cocoa mix</t>
        </is>
      </c>
      <c r="D661" s="2" t="inlineStr">
        <is>
          <t>Whole milk 3.5%</t>
        </is>
      </c>
      <c r="E661" s="3" t="n">
        <v>1450</v>
      </c>
      <c r="F661" s="3" t="n">
        <v>7250</v>
      </c>
      <c r="G661" s="2">
        <f>IF(Prices!B76="","",Prices!B76)</f>
        <v/>
      </c>
      <c r="H661" s="2">
        <f>IF(G661="","",E661/1000*G661)</f>
        <v/>
      </c>
      <c r="I661" s="2" t="inlineStr">
        <is>
          <t>Purchase quote/specification required</t>
        </is>
      </c>
      <c r="J661" s="2" t="inlineStr"/>
    </row>
    <row r="662">
      <c r="A662" s="2" t="inlineStr">
        <is>
          <t>S-I03</t>
        </is>
      </c>
      <c r="B662" s="2" t="inlineStr">
        <is>
          <t>Cocoa milk popsicle</t>
        </is>
      </c>
      <c r="C662" s="2" t="inlineStr">
        <is>
          <t>Cocoa mix</t>
        </is>
      </c>
      <c r="D662" s="2" t="inlineStr">
        <is>
          <t>Water</t>
        </is>
      </c>
      <c r="E662" s="3" t="n">
        <v>150</v>
      </c>
      <c r="F662" s="3" t="n">
        <v>750</v>
      </c>
      <c r="G662" s="2">
        <f>IF(Prices!B3="","",Prices!B3)</f>
        <v/>
      </c>
      <c r="H662" s="2">
        <f>IF(G662="","",E662/1000*G662)</f>
        <v/>
      </c>
      <c r="I662" s="2" t="inlineStr">
        <is>
          <t>Purchase quote/specification required</t>
        </is>
      </c>
      <c r="J662" s="2" t="inlineStr"/>
    </row>
    <row r="663">
      <c r="A663" s="2" t="inlineStr">
        <is>
          <t>S-I03</t>
        </is>
      </c>
      <c r="B663" s="2" t="inlineStr">
        <is>
          <t>Cocoa milk popsicle</t>
        </is>
      </c>
      <c r="C663" s="2" t="inlineStr">
        <is>
          <t>Cocoa mix</t>
        </is>
      </c>
      <c r="D663" s="2" t="inlineStr">
        <is>
          <t>Sugar</t>
        </is>
      </c>
      <c r="E663" s="3" t="n">
        <v>270</v>
      </c>
      <c r="F663" s="3" t="n">
        <v>1350</v>
      </c>
      <c r="G663" s="2">
        <f>IF(Prices!B4="","",Prices!B4)</f>
        <v/>
      </c>
      <c r="H663" s="2">
        <f>IF(G663="","",E663/1000*G663)</f>
        <v/>
      </c>
      <c r="I663" s="2" t="inlineStr">
        <is>
          <t>Owner granulated sugar price; grind specification must match</t>
        </is>
      </c>
      <c r="J663" s="2" t="inlineStr"/>
    </row>
    <row r="664">
      <c r="A664" s="2" t="inlineStr">
        <is>
          <t>S-I03</t>
        </is>
      </c>
      <c r="B664" s="2" t="inlineStr">
        <is>
          <t>Cocoa milk popsicle</t>
        </is>
      </c>
      <c r="C664" s="2" t="inlineStr">
        <is>
          <t>Cocoa mix</t>
        </is>
      </c>
      <c r="D664" s="2" t="inlineStr">
        <is>
          <t>Skim milk powder</t>
        </is>
      </c>
      <c r="E664" s="3" t="n">
        <v>60</v>
      </c>
      <c r="F664" s="3" t="n">
        <v>300</v>
      </c>
      <c r="G664" s="2">
        <f>IF(Prices!B64="","",Prices!B64)</f>
        <v/>
      </c>
      <c r="H664" s="2">
        <f>IF(G664="","",E664/1000*G664)</f>
        <v/>
      </c>
      <c r="I664" s="2" t="inlineStr">
        <is>
          <t>Purchase quote/specification required</t>
        </is>
      </c>
      <c r="J664" s="2" t="inlineStr"/>
    </row>
    <row r="665">
      <c r="A665" s="2" t="inlineStr">
        <is>
          <t>S-I03</t>
        </is>
      </c>
      <c r="B665" s="2" t="inlineStr">
        <is>
          <t>Cocoa milk popsicle</t>
        </is>
      </c>
      <c r="C665" s="2" t="inlineStr">
        <is>
          <t>Cocoa mix</t>
        </is>
      </c>
      <c r="D665" s="2" t="inlineStr">
        <is>
          <t>Cocoa powder</t>
        </is>
      </c>
      <c r="E665" s="3" t="n">
        <v>60</v>
      </c>
      <c r="F665" s="3" t="n">
        <v>300</v>
      </c>
      <c r="G665" s="2">
        <f>IF(Prices!B102="","",Prices!B102)</f>
        <v/>
      </c>
      <c r="H665" s="2">
        <f>IF(G665="","",E665/1000*G665)</f>
        <v/>
      </c>
      <c r="I665" s="2" t="inlineStr">
        <is>
          <t>Purchase quote/specification required</t>
        </is>
      </c>
      <c r="J665" s="2" t="inlineStr"/>
    </row>
    <row r="666">
      <c r="A666" s="2" t="inlineStr">
        <is>
          <t>S-I03</t>
        </is>
      </c>
      <c r="B666" s="2" t="inlineStr">
        <is>
          <t>Cocoa milk popsicle</t>
        </is>
      </c>
      <c r="C666" s="2" t="inlineStr">
        <is>
          <t>Cocoa mix</t>
        </is>
      </c>
      <c r="D666" s="2" t="inlineStr">
        <is>
          <t>STAB 2000</t>
        </is>
      </c>
      <c r="E666" s="3" t="n">
        <v>8</v>
      </c>
      <c r="F666" s="3" t="n">
        <v>40</v>
      </c>
      <c r="G666" s="2">
        <f>IF(Prices!B96="","",Prices!B96)</f>
        <v/>
      </c>
      <c r="H666" s="2">
        <f>IF(G666="","",E666/1000*G666)</f>
        <v/>
      </c>
      <c r="I666" s="2" t="inlineStr">
        <is>
          <t>Purchase quote/specification required</t>
        </is>
      </c>
      <c r="J666" s="2" t="inlineStr"/>
    </row>
    <row r="667">
      <c r="A667" s="2" t="inlineStr">
        <is>
          <t>S-I03</t>
        </is>
      </c>
      <c r="B667" s="2" t="inlineStr">
        <is>
          <t>Cocoa milk popsicle</t>
        </is>
      </c>
      <c r="C667" s="2" t="inlineStr">
        <is>
          <t>Cocoa mix</t>
        </is>
      </c>
      <c r="D667" s="2" t="inlineStr">
        <is>
          <t>Vanilla</t>
        </is>
      </c>
      <c r="E667" s="3" t="n">
        <v>2</v>
      </c>
      <c r="F667" s="3" t="n">
        <v>10</v>
      </c>
      <c r="G667" s="2">
        <f>IF(Prices!B11="","",Prices!B11)</f>
        <v/>
      </c>
      <c r="H667" s="2">
        <f>IF(G667="","",E667/1000*G667)</f>
        <v/>
      </c>
      <c r="I667" s="2" t="inlineStr">
        <is>
          <t>Purchase quote/specification required</t>
        </is>
      </c>
      <c r="J667" s="2" t="inlineStr"/>
    </row>
    <row r="668">
      <c r="A668" s="2" t="inlineStr">
        <is>
          <t>S-I04</t>
        </is>
      </c>
      <c r="B668" s="2" t="inlineStr">
        <is>
          <t>Own-brand premium chocolate-coated ice-cream bar</t>
        </is>
      </c>
      <c r="C668" s="2" t="inlineStr">
        <is>
          <t>Dairy mix</t>
        </is>
      </c>
      <c r="D668" s="2" t="inlineStr">
        <is>
          <t>Whole milk 3.5%</t>
        </is>
      </c>
      <c r="E668" s="3" t="n">
        <v>1170</v>
      </c>
      <c r="F668" s="3" t="n">
        <v>5850</v>
      </c>
      <c r="G668" s="2">
        <f>IF(Prices!B76="","",Prices!B76)</f>
        <v/>
      </c>
      <c r="H668" s="2">
        <f>IF(G668="","",E668/1000*G668)</f>
        <v/>
      </c>
      <c r="I668" s="2" t="inlineStr">
        <is>
          <t>Purchase quote/specification required</t>
        </is>
      </c>
      <c r="J668" s="2" t="inlineStr"/>
    </row>
    <row r="669">
      <c r="A669" s="2" t="inlineStr">
        <is>
          <t>S-I04</t>
        </is>
      </c>
      <c r="B669" s="2" t="inlineStr">
        <is>
          <t>Own-brand premium chocolate-coated ice-cream bar</t>
        </is>
      </c>
      <c r="C669" s="2" t="inlineStr">
        <is>
          <t>Dairy mix</t>
        </is>
      </c>
      <c r="D669" s="2" t="inlineStr">
        <is>
          <t>Cream 35%</t>
        </is>
      </c>
      <c r="E669" s="3" t="n">
        <v>520</v>
      </c>
      <c r="F669" s="3" t="n">
        <v>2600</v>
      </c>
      <c r="G669" s="2">
        <f>IF(Prices!B44="","",Prices!B44)</f>
        <v/>
      </c>
      <c r="H669" s="2">
        <f>IF(G669="","",E669/1000*G669)</f>
        <v/>
      </c>
      <c r="I669" s="2" t="inlineStr">
        <is>
          <t>Purchase quote/specification required</t>
        </is>
      </c>
      <c r="J669" s="2" t="inlineStr"/>
    </row>
    <row r="670">
      <c r="A670" s="2" t="inlineStr">
        <is>
          <t>S-I04</t>
        </is>
      </c>
      <c r="B670" s="2" t="inlineStr">
        <is>
          <t>Own-brand premium chocolate-coated ice-cream bar</t>
        </is>
      </c>
      <c r="C670" s="2" t="inlineStr">
        <is>
          <t>Dairy mix</t>
        </is>
      </c>
      <c r="D670" s="2" t="inlineStr">
        <is>
          <t>Skim milk powder</t>
        </is>
      </c>
      <c r="E670" s="3" t="n">
        <v>90</v>
      </c>
      <c r="F670" s="3" t="n">
        <v>450</v>
      </c>
      <c r="G670" s="2">
        <f>IF(Prices!B64="","",Prices!B64)</f>
        <v/>
      </c>
      <c r="H670" s="2">
        <f>IF(G670="","",E670/1000*G670)</f>
        <v/>
      </c>
      <c r="I670" s="2" t="inlineStr">
        <is>
          <t>Purchase quote/specification required</t>
        </is>
      </c>
      <c r="J670" s="2" t="inlineStr"/>
    </row>
    <row r="671">
      <c r="A671" s="2" t="inlineStr">
        <is>
          <t>S-I04</t>
        </is>
      </c>
      <c r="B671" s="2" t="inlineStr">
        <is>
          <t>Own-brand premium chocolate-coated ice-cream bar</t>
        </is>
      </c>
      <c r="C671" s="2" t="inlineStr">
        <is>
          <t>Dairy mix</t>
        </is>
      </c>
      <c r="D671" s="2" t="inlineStr">
        <is>
          <t>Sugar</t>
        </is>
      </c>
      <c r="E671" s="3" t="n">
        <v>280</v>
      </c>
      <c r="F671" s="3" t="n">
        <v>1400</v>
      </c>
      <c r="G671" s="2">
        <f>IF(Prices!B4="","",Prices!B4)</f>
        <v/>
      </c>
      <c r="H671" s="2">
        <f>IF(G671="","",E671/1000*G671)</f>
        <v/>
      </c>
      <c r="I671" s="2" t="inlineStr">
        <is>
          <t>Owner granulated sugar price; grind specification must match</t>
        </is>
      </c>
      <c r="J671" s="2" t="inlineStr"/>
    </row>
    <row r="672">
      <c r="A672" s="2" t="inlineStr">
        <is>
          <t>S-I04</t>
        </is>
      </c>
      <c r="B672" s="2" t="inlineStr">
        <is>
          <t>Own-brand premium chocolate-coated ice-cream bar</t>
        </is>
      </c>
      <c r="C672" s="2" t="inlineStr">
        <is>
          <t>Dairy mix</t>
        </is>
      </c>
      <c r="D672" s="2" t="inlineStr">
        <is>
          <t>Dextrose anhydrous</t>
        </is>
      </c>
      <c r="E672" s="3" t="n">
        <v>60</v>
      </c>
      <c r="F672" s="3" t="n">
        <v>300</v>
      </c>
      <c r="G672" s="2">
        <f>IF(Prices!B95="","",Prices!B95)</f>
        <v/>
      </c>
      <c r="H672" s="2">
        <f>IF(G672="","",E672/1000*G672)</f>
        <v/>
      </c>
      <c r="I672" s="2" t="inlineStr">
        <is>
          <t>Purchase quote/specification required</t>
        </is>
      </c>
      <c r="J672" s="2" t="inlineStr"/>
    </row>
    <row r="673">
      <c r="A673" s="2" t="inlineStr">
        <is>
          <t>S-I04</t>
        </is>
      </c>
      <c r="B673" s="2" t="inlineStr">
        <is>
          <t>Own-brand premium chocolate-coated ice-cream bar</t>
        </is>
      </c>
      <c r="C673" s="2" t="inlineStr">
        <is>
          <t>Dairy mix</t>
        </is>
      </c>
      <c r="D673" s="2" t="inlineStr">
        <is>
          <t>STAB 2000</t>
        </is>
      </c>
      <c r="E673" s="3" t="n">
        <v>6</v>
      </c>
      <c r="F673" s="3" t="n">
        <v>30</v>
      </c>
      <c r="G673" s="2">
        <f>IF(Prices!B96="","",Prices!B96)</f>
        <v/>
      </c>
      <c r="H673" s="2">
        <f>IF(G673="","",E673/1000*G673)</f>
        <v/>
      </c>
      <c r="I673" s="2" t="inlineStr">
        <is>
          <t>Purchase quote/specification required</t>
        </is>
      </c>
      <c r="J673" s="2" t="inlineStr"/>
    </row>
    <row r="674">
      <c r="A674" s="2" t="inlineStr">
        <is>
          <t>S-I04</t>
        </is>
      </c>
      <c r="B674" s="2" t="inlineStr">
        <is>
          <t>Own-brand premium chocolate-coated ice-cream bar</t>
        </is>
      </c>
      <c r="C674" s="2" t="inlineStr">
        <is>
          <t>Dairy mix</t>
        </is>
      </c>
      <c r="D674" s="2" t="inlineStr">
        <is>
          <t>Vanilla</t>
        </is>
      </c>
      <c r="E674" s="3" t="n">
        <v>8</v>
      </c>
      <c r="F674" s="3" t="n">
        <v>40</v>
      </c>
      <c r="G674" s="2">
        <f>IF(Prices!B11="","",Prices!B11)</f>
        <v/>
      </c>
      <c r="H674" s="2">
        <f>IF(G674="","",E674/1000*G674)</f>
        <v/>
      </c>
      <c r="I674" s="2" t="inlineStr">
        <is>
          <t>Purchase quote/specification required</t>
        </is>
      </c>
      <c r="J674" s="2" t="inlineStr"/>
    </row>
    <row r="675">
      <c r="A675" s="2" t="inlineStr">
        <is>
          <t>S-I04</t>
        </is>
      </c>
      <c r="B675" s="2" t="inlineStr">
        <is>
          <t>Own-brand premium chocolate-coated ice-cream bar</t>
        </is>
      </c>
      <c r="C675" s="2" t="inlineStr">
        <is>
          <t>Dairy mix</t>
        </is>
      </c>
      <c r="D675" s="2" t="inlineStr">
        <is>
          <t>Water</t>
        </is>
      </c>
      <c r="E675" s="3" t="n">
        <v>66</v>
      </c>
      <c r="F675" s="3" t="n">
        <v>330</v>
      </c>
      <c r="G675" s="2">
        <f>IF(Prices!B3="","",Prices!B3)</f>
        <v/>
      </c>
      <c r="H675" s="2">
        <f>IF(G675="","",E675/1000*G675)</f>
        <v/>
      </c>
      <c r="I675" s="2" t="inlineStr">
        <is>
          <t>Purchase quote/specification required</t>
        </is>
      </c>
      <c r="J675" s="2" t="inlineStr"/>
    </row>
    <row r="676">
      <c r="A676" s="2" t="inlineStr">
        <is>
          <t>S-I04</t>
        </is>
      </c>
      <c r="B676" s="2" t="inlineStr">
        <is>
          <t>Own-brand premium chocolate-coated ice-cream bar</t>
        </is>
      </c>
      <c r="C676" s="2" t="inlineStr">
        <is>
          <t>Ice-chocolate shell</t>
        </is>
      </c>
      <c r="D676" s="2" t="inlineStr">
        <is>
          <t>Callebaut Ice Chocolate White</t>
        </is>
      </c>
      <c r="E676" s="3" t="n">
        <v>420</v>
      </c>
      <c r="F676" s="3" t="n">
        <v>2100</v>
      </c>
      <c r="G676" s="2">
        <f>IF(Prices!B103="","",Prices!B103)</f>
        <v/>
      </c>
      <c r="H676" s="2">
        <f>IF(G676="","",E676/1000*G676)</f>
        <v/>
      </c>
      <c r="I676" s="2" t="inlineStr">
        <is>
          <t>Purchase quote/specification required</t>
        </is>
      </c>
      <c r="J676" s="2" t="inlineStr"/>
    </row>
    <row r="677">
      <c r="A677" s="2" t="inlineStr">
        <is>
          <t>S-Y01</t>
        </is>
      </c>
      <c r="B677" s="2" t="inlineStr">
        <is>
          <t>Plain set yogurt</t>
        </is>
      </c>
      <c r="C677" s="2" t="inlineStr">
        <is>
          <t>Yogurt base</t>
        </is>
      </c>
      <c r="D677" s="2" t="inlineStr">
        <is>
          <t>Whole milk 3.5%</t>
        </is>
      </c>
      <c r="E677" s="3" t="n">
        <v>2060</v>
      </c>
      <c r="F677" s="3" t="n">
        <v>20600</v>
      </c>
      <c r="G677" s="2">
        <f>IF(Prices!B76="","",Prices!B76)</f>
        <v/>
      </c>
      <c r="H677" s="2">
        <f>IF(G677="","",E677/1000*G677)</f>
        <v/>
      </c>
      <c r="I677" s="2" t="inlineStr">
        <is>
          <t>Purchase quote/specification required</t>
        </is>
      </c>
      <c r="J677" s="2" t="inlineStr"/>
    </row>
    <row r="678">
      <c r="A678" s="2" t="inlineStr">
        <is>
          <t>S-Y01</t>
        </is>
      </c>
      <c r="B678" s="2" t="inlineStr">
        <is>
          <t>Plain set yogurt</t>
        </is>
      </c>
      <c r="C678" s="2" t="inlineStr">
        <is>
          <t>Yogurt base</t>
        </is>
      </c>
      <c r="D678" s="2" t="inlineStr">
        <is>
          <t>Skim milk powder</t>
        </is>
      </c>
      <c r="E678" s="3" t="n">
        <v>60</v>
      </c>
      <c r="F678" s="3" t="n">
        <v>600</v>
      </c>
      <c r="G678" s="2">
        <f>IF(Prices!B64="","",Prices!B64)</f>
        <v/>
      </c>
      <c r="H678" s="2">
        <f>IF(G678="","",E678/1000*G678)</f>
        <v/>
      </c>
      <c r="I678" s="2" t="inlineStr">
        <is>
          <t>Purchase quote/specification required</t>
        </is>
      </c>
      <c r="J678" s="2" t="inlineStr"/>
    </row>
    <row r="679">
      <c r="A679" s="2" t="inlineStr">
        <is>
          <t>S-Y01</t>
        </is>
      </c>
      <c r="B679" s="2" t="inlineStr">
        <is>
          <t>Plain set yogurt</t>
        </is>
      </c>
      <c r="C679" s="2" t="inlineStr">
        <is>
          <t>Yogurt base</t>
        </is>
      </c>
      <c r="D679" s="2" t="inlineStr">
        <is>
          <t>Yogourmet Original 3g sachet</t>
        </is>
      </c>
      <c r="E679" s="3" t="n">
        <v>6</v>
      </c>
      <c r="F679" s="3" t="n">
        <v>60</v>
      </c>
      <c r="G679" s="2">
        <f>IF(Prices!B104="","",Prices!B104)</f>
        <v/>
      </c>
      <c r="H679" s="2">
        <f>IF(G679="","",E679/1000*G679)</f>
        <v/>
      </c>
      <c r="I679" s="2" t="inlineStr">
        <is>
          <t>Purchase quote/specification required</t>
        </is>
      </c>
      <c r="J679" s="2" t="inlineStr"/>
    </row>
    <row r="680">
      <c r="A680" s="2" t="inlineStr">
        <is>
          <t>S-Y02</t>
        </is>
      </c>
      <c r="B680" s="2" t="inlineStr">
        <is>
          <t>Stirred mango yogurt</t>
        </is>
      </c>
      <c r="C680" s="2" t="inlineStr">
        <is>
          <t>Yogurt base</t>
        </is>
      </c>
      <c r="D680" s="2" t="inlineStr">
        <is>
          <t>Whole milk 3.5%</t>
        </is>
      </c>
      <c r="E680" s="3" t="n">
        <v>2060</v>
      </c>
      <c r="F680" s="3" t="n">
        <v>20600</v>
      </c>
      <c r="G680" s="2">
        <f>IF(Prices!B76="","",Prices!B76)</f>
        <v/>
      </c>
      <c r="H680" s="2">
        <f>IF(G680="","",E680/1000*G680)</f>
        <v/>
      </c>
      <c r="I680" s="2" t="inlineStr">
        <is>
          <t>Purchase quote/specification required</t>
        </is>
      </c>
      <c r="J680" s="2" t="inlineStr"/>
    </row>
    <row r="681">
      <c r="A681" s="2" t="inlineStr">
        <is>
          <t>S-Y02</t>
        </is>
      </c>
      <c r="B681" s="2" t="inlineStr">
        <is>
          <t>Stirred mango yogurt</t>
        </is>
      </c>
      <c r="C681" s="2" t="inlineStr">
        <is>
          <t>Yogurt base</t>
        </is>
      </c>
      <c r="D681" s="2" t="inlineStr">
        <is>
          <t>Skim milk powder</t>
        </is>
      </c>
      <c r="E681" s="3" t="n">
        <v>60</v>
      </c>
      <c r="F681" s="3" t="n">
        <v>600</v>
      </c>
      <c r="G681" s="2">
        <f>IF(Prices!B64="","",Prices!B64)</f>
        <v/>
      </c>
      <c r="H681" s="2">
        <f>IF(G681="","",E681/1000*G681)</f>
        <v/>
      </c>
      <c r="I681" s="2" t="inlineStr">
        <is>
          <t>Purchase quote/specification required</t>
        </is>
      </c>
      <c r="J681" s="2" t="inlineStr"/>
    </row>
    <row r="682">
      <c r="A682" s="2" t="inlineStr">
        <is>
          <t>S-Y02</t>
        </is>
      </c>
      <c r="B682" s="2" t="inlineStr">
        <is>
          <t>Stirred mango yogurt</t>
        </is>
      </c>
      <c r="C682" s="2" t="inlineStr">
        <is>
          <t>Yogurt base</t>
        </is>
      </c>
      <c r="D682" s="2" t="inlineStr">
        <is>
          <t>Yogourmet Original 3g sachet</t>
        </is>
      </c>
      <c r="E682" s="3" t="n">
        <v>6</v>
      </c>
      <c r="F682" s="3" t="n">
        <v>60</v>
      </c>
      <c r="G682" s="2">
        <f>IF(Prices!B104="","",Prices!B104)</f>
        <v/>
      </c>
      <c r="H682" s="2">
        <f>IF(G682="","",E682/1000*G682)</f>
        <v/>
      </c>
      <c r="I682" s="2" t="inlineStr">
        <is>
          <t>Purchase quote/specification required</t>
        </is>
      </c>
      <c r="J682" s="2" t="inlineStr"/>
    </row>
    <row r="683">
      <c r="A683" s="2" t="inlineStr">
        <is>
          <t>S-Y02</t>
        </is>
      </c>
      <c r="B683" s="2" t="inlineStr">
        <is>
          <t>Stirred mango yogurt</t>
        </is>
      </c>
      <c r="C683" s="2" t="inlineStr">
        <is>
          <t>Yogurt base</t>
        </is>
      </c>
      <c r="D683" s="2" t="inlineStr">
        <is>
          <t>Sugar</t>
        </is>
      </c>
      <c r="E683" s="3" t="n">
        <v>100</v>
      </c>
      <c r="F683" s="3" t="n">
        <v>1000</v>
      </c>
      <c r="G683" s="2">
        <f>IF(Prices!B4="","",Prices!B4)</f>
        <v/>
      </c>
      <c r="H683" s="2">
        <f>IF(G683="","",E683/1000*G683)</f>
        <v/>
      </c>
      <c r="I683" s="2" t="inlineStr">
        <is>
          <t>Owner granulated sugar price; grind specification must match</t>
        </is>
      </c>
      <c r="J683" s="2" t="inlineStr"/>
    </row>
    <row r="684">
      <c r="A684" s="2" t="inlineStr">
        <is>
          <t>S-Y02</t>
        </is>
      </c>
      <c r="B684" s="2" t="inlineStr">
        <is>
          <t>Stirred mango yogurt</t>
        </is>
      </c>
      <c r="C684" s="2" t="inlineStr">
        <is>
          <t>Fruit preparation</t>
        </is>
      </c>
      <c r="D684" s="2" t="inlineStr">
        <is>
          <t>Pasteurized mango puree 15 Brix</t>
        </is>
      </c>
      <c r="E684" s="3" t="n">
        <v>200</v>
      </c>
      <c r="F684" s="3" t="n">
        <v>2000</v>
      </c>
      <c r="G684" s="2">
        <f>IF(Prices!B105="","",Prices!B105)</f>
        <v/>
      </c>
      <c r="H684" s="2">
        <f>IF(G684="","",E684/1000*G684)</f>
        <v/>
      </c>
      <c r="I684" s="2" t="inlineStr">
        <is>
          <t>Purchase quote/specification required</t>
        </is>
      </c>
      <c r="J684" s="2" t="inlineStr"/>
    </row>
    <row r="685">
      <c r="A685" s="2" t="inlineStr">
        <is>
          <t>S-Y02</t>
        </is>
      </c>
      <c r="B685" s="2" t="inlineStr">
        <is>
          <t>Stirred mango yogurt</t>
        </is>
      </c>
      <c r="C685" s="2" t="inlineStr">
        <is>
          <t>Fruit preparation</t>
        </is>
      </c>
      <c r="D685" s="2" t="inlineStr">
        <is>
          <t>Sugar</t>
        </is>
      </c>
      <c r="E685" s="3" t="n">
        <v>80</v>
      </c>
      <c r="F685" s="3" t="n">
        <v>800</v>
      </c>
      <c r="G685" s="2">
        <f>IF(Prices!B4="","",Prices!B4)</f>
        <v/>
      </c>
      <c r="H685" s="2">
        <f>IF(G685="","",E685/1000*G685)</f>
        <v/>
      </c>
      <c r="I685" s="2" t="inlineStr">
        <is>
          <t>Owner granulated sugar price; grind specification must match</t>
        </is>
      </c>
      <c r="J685" s="2" t="inlineStr"/>
    </row>
    <row r="686">
      <c r="A686" s="2" t="inlineStr">
        <is>
          <t>S-Y03</t>
        </is>
      </c>
      <c r="B686" s="2" t="inlineStr">
        <is>
          <t>Vanilla drinking yogurt</t>
        </is>
      </c>
      <c r="C686" s="2" t="inlineStr">
        <is>
          <t>Yogurt base</t>
        </is>
      </c>
      <c r="D686" s="2" t="inlineStr">
        <is>
          <t>Whole milk 3.5%</t>
        </is>
      </c>
      <c r="E686" s="3" t="n">
        <v>2060</v>
      </c>
      <c r="F686" s="3" t="n">
        <v>20600</v>
      </c>
      <c r="G686" s="2">
        <f>IF(Prices!B76="","",Prices!B76)</f>
        <v/>
      </c>
      <c r="H686" s="2">
        <f>IF(G686="","",E686/1000*G686)</f>
        <v/>
      </c>
      <c r="I686" s="2" t="inlineStr">
        <is>
          <t>Purchase quote/specification required</t>
        </is>
      </c>
      <c r="J686" s="2" t="inlineStr"/>
    </row>
    <row r="687">
      <c r="A687" s="2" t="inlineStr">
        <is>
          <t>S-Y03</t>
        </is>
      </c>
      <c r="B687" s="2" t="inlineStr">
        <is>
          <t>Vanilla drinking yogurt</t>
        </is>
      </c>
      <c r="C687" s="2" t="inlineStr">
        <is>
          <t>Yogurt base</t>
        </is>
      </c>
      <c r="D687" s="2" t="inlineStr">
        <is>
          <t>Yogourmet Original 3g sachet</t>
        </is>
      </c>
      <c r="E687" s="3" t="n">
        <v>6</v>
      </c>
      <c r="F687" s="3" t="n">
        <v>60</v>
      </c>
      <c r="G687" s="2">
        <f>IF(Prices!B104="","",Prices!B104)</f>
        <v/>
      </c>
      <c r="H687" s="2">
        <f>IF(G687="","",E687/1000*G687)</f>
        <v/>
      </c>
      <c r="I687" s="2" t="inlineStr">
        <is>
          <t>Purchase quote/specification required</t>
        </is>
      </c>
      <c r="J687" s="2" t="inlineStr"/>
    </row>
    <row r="688">
      <c r="A688" s="2" t="inlineStr">
        <is>
          <t>S-Y03</t>
        </is>
      </c>
      <c r="B688" s="2" t="inlineStr">
        <is>
          <t>Vanilla drinking yogurt</t>
        </is>
      </c>
      <c r="C688" s="2" t="inlineStr">
        <is>
          <t>Yogurt base</t>
        </is>
      </c>
      <c r="D688" s="2" t="inlineStr">
        <is>
          <t>Sugar</t>
        </is>
      </c>
      <c r="E688" s="3" t="n">
        <v>140</v>
      </c>
      <c r="F688" s="3" t="n">
        <v>1400</v>
      </c>
      <c r="G688" s="2">
        <f>IF(Prices!B4="","",Prices!B4)</f>
        <v/>
      </c>
      <c r="H688" s="2">
        <f>IF(G688="","",E688/1000*G688)</f>
        <v/>
      </c>
      <c r="I688" s="2" t="inlineStr">
        <is>
          <t>Owner granulated sugar price; grind specification must match</t>
        </is>
      </c>
      <c r="J688" s="2" t="inlineStr"/>
    </row>
    <row r="689">
      <c r="A689" s="2" t="inlineStr">
        <is>
          <t>S-Y03</t>
        </is>
      </c>
      <c r="B689" s="2" t="inlineStr">
        <is>
          <t>Vanilla drinking yogurt</t>
        </is>
      </c>
      <c r="C689" s="2" t="inlineStr">
        <is>
          <t>Yogurt base</t>
        </is>
      </c>
      <c r="D689" s="2" t="inlineStr">
        <is>
          <t>Vanilla</t>
        </is>
      </c>
      <c r="E689" s="3" t="n">
        <v>4</v>
      </c>
      <c r="F689" s="3" t="n">
        <v>40</v>
      </c>
      <c r="G689" s="2">
        <f>IF(Prices!B11="","",Prices!B11)</f>
        <v/>
      </c>
      <c r="H689" s="2">
        <f>IF(G689="","",E689/1000*G689)</f>
        <v/>
      </c>
      <c r="I689" s="2" t="inlineStr">
        <is>
          <t>Purchase quote/specification required</t>
        </is>
      </c>
      <c r="J689" s="2" t="inlineStr"/>
    </row>
    <row r="690">
      <c r="A690" s="2" t="inlineStr">
        <is>
          <t>M1-B01</t>
        </is>
      </c>
      <c r="B690" s="2" t="inlineStr">
        <is>
          <t>Standard English block bread</t>
        </is>
      </c>
      <c r="C690" s="2" t="inlineStr">
        <is>
          <t>Dough</t>
        </is>
      </c>
      <c r="D690" s="2" t="inlineStr">
        <is>
          <t>Le Choix du Boulanger flour</t>
        </is>
      </c>
      <c r="E690" s="3" t="n">
        <v>1000</v>
      </c>
      <c r="F690" s="3" t="n">
        <v>10000</v>
      </c>
      <c r="G690" s="2">
        <f>IF(Prices!B106="","",Prices!B106)</f>
        <v/>
      </c>
      <c r="H690" s="2">
        <f>IF(G690="","",E690/1000*G690)</f>
        <v/>
      </c>
      <c r="I690" s="2" t="inlineStr">
        <is>
          <t>Owner flour price; flour performance requires trial</t>
        </is>
      </c>
      <c r="J690" s="2" t="inlineStr"/>
    </row>
    <row r="691">
      <c r="A691" s="2" t="inlineStr">
        <is>
          <t>M1-B01</t>
        </is>
      </c>
      <c r="B691" s="2" t="inlineStr">
        <is>
          <t>Standard English block bread</t>
        </is>
      </c>
      <c r="C691" s="2" t="inlineStr">
        <is>
          <t>Dough</t>
        </is>
      </c>
      <c r="D691" s="2" t="inlineStr">
        <is>
          <t>Potable water</t>
        </is>
      </c>
      <c r="E691" s="3" t="n">
        <v>600</v>
      </c>
      <c r="F691" s="3" t="n">
        <v>6000</v>
      </c>
      <c r="G691" s="2">
        <f>IF(Prices!B107="","",Prices!B107)</f>
        <v/>
      </c>
      <c r="H691" s="2">
        <f>IF(G691="","",E691/1000*G691)</f>
        <v/>
      </c>
      <c r="I691" s="2" t="inlineStr">
        <is>
          <t>Purchase quote/specification required</t>
        </is>
      </c>
      <c r="J691" s="2" t="inlineStr"/>
    </row>
    <row r="692">
      <c r="A692" s="2" t="inlineStr">
        <is>
          <t>M1-B01</t>
        </is>
      </c>
      <c r="B692" s="2" t="inlineStr">
        <is>
          <t>Standard English block bread</t>
        </is>
      </c>
      <c r="C692" s="2" t="inlineStr">
        <is>
          <t>Dough</t>
        </is>
      </c>
      <c r="D692" s="2" t="inlineStr">
        <is>
          <t>White granulated sugar</t>
        </is>
      </c>
      <c r="E692" s="3" t="n">
        <v>50</v>
      </c>
      <c r="F692" s="3" t="n">
        <v>500</v>
      </c>
      <c r="G692" s="2">
        <f>IF(Prices!B108="","",Prices!B108)</f>
        <v/>
      </c>
      <c r="H692" s="2">
        <f>IF(G692="","",E692/1000*G692)</f>
        <v/>
      </c>
      <c r="I692" s="2" t="inlineStr">
        <is>
          <t>Owner granulated sugar price; grind specification must match</t>
        </is>
      </c>
      <c r="J692" s="2" t="inlineStr"/>
    </row>
    <row r="693">
      <c r="A693" s="2" t="inlineStr">
        <is>
          <t>M1-B01</t>
        </is>
      </c>
      <c r="B693" s="2" t="inlineStr">
        <is>
          <t>Standard English block bread</t>
        </is>
      </c>
      <c r="C693" s="2" t="inlineStr">
        <is>
          <t>Dough</t>
        </is>
      </c>
      <c r="D693" s="2" t="inlineStr">
        <is>
          <t>Millac Premium powder</t>
        </is>
      </c>
      <c r="E693" s="3" t="n">
        <v>20</v>
      </c>
      <c r="F693" s="3" t="n">
        <v>200</v>
      </c>
      <c r="G693" s="2">
        <f>IF(Prices!B109="","",Prices!B109)</f>
        <v/>
      </c>
      <c r="H693" s="2">
        <f>IF(G693="","",E693/1000*G693)</f>
        <v/>
      </c>
      <c r="I693" s="2" t="inlineStr">
        <is>
          <t>Millac fat-filled powder trial; not skim or whole milk powder</t>
        </is>
      </c>
      <c r="J693" s="2" t="inlineStr"/>
    </row>
    <row r="694">
      <c r="A694" s="2" t="inlineStr">
        <is>
          <t>M1-B01</t>
        </is>
      </c>
      <c r="B694" s="2" t="inlineStr">
        <is>
          <t>Standard English block bread</t>
        </is>
      </c>
      <c r="C694" s="2" t="inlineStr">
        <is>
          <t>Dough</t>
        </is>
      </c>
      <c r="D694" s="2" t="inlineStr">
        <is>
          <t>Roma margarine</t>
        </is>
      </c>
      <c r="E694" s="3" t="n">
        <v>40</v>
      </c>
      <c r="F694" s="3" t="n">
        <v>400</v>
      </c>
      <c r="G694" s="2">
        <f>IF(Prices!B110="","",Prices!B110)</f>
        <v/>
      </c>
      <c r="H694" s="2">
        <f>IF(G694="","",E694/1000*G694)</f>
        <v/>
      </c>
      <c r="I694" s="2" t="inlineStr">
        <is>
          <t>Roma; fat, salt and application suitability unconfirmed</t>
        </is>
      </c>
      <c r="J694" s="2" t="inlineStr"/>
    </row>
    <row r="695">
      <c r="A695" s="2" t="inlineStr">
        <is>
          <t>M1-B01</t>
        </is>
      </c>
      <c r="B695" s="2" t="inlineStr">
        <is>
          <t>Standard English block bread</t>
        </is>
      </c>
      <c r="C695" s="2" t="inlineStr">
        <is>
          <t>Dough</t>
        </is>
      </c>
      <c r="D695" s="2" t="inlineStr">
        <is>
          <t>Fine food-grade salt</t>
        </is>
      </c>
      <c r="E695" s="3" t="n">
        <v>20</v>
      </c>
      <c r="F695" s="3" t="n">
        <v>200</v>
      </c>
      <c r="G695" s="2">
        <f>IF(Prices!B111="","",Prices!B111)</f>
        <v/>
      </c>
      <c r="H695" s="2">
        <f>IF(G695="","",E695/1000*G695)</f>
        <v/>
      </c>
      <c r="I695" s="2" t="inlineStr">
        <is>
          <t>Owner price</t>
        </is>
      </c>
      <c r="J695" s="2" t="inlineStr"/>
    </row>
    <row r="696">
      <c r="A696" s="2" t="inlineStr">
        <is>
          <t>M1-B01</t>
        </is>
      </c>
      <c r="B696" s="2" t="inlineStr">
        <is>
          <t>Standard English block bread</t>
        </is>
      </c>
      <c r="C696" s="2" t="inlineStr">
        <is>
          <t>Dough</t>
        </is>
      </c>
      <c r="D696" s="2" t="inlineStr">
        <is>
          <t>Nevada instant dry yeast</t>
        </is>
      </c>
      <c r="E696" s="3" t="n">
        <v>10</v>
      </c>
      <c r="F696" s="3" t="n">
        <v>100</v>
      </c>
      <c r="G696" s="2">
        <f>IF(Prices!B72="","",Prices!B72)</f>
        <v/>
      </c>
      <c r="H696" s="2">
        <f>IF(G696="","",E696/1000*G696)</f>
        <v/>
      </c>
      <c r="I696" s="2" t="inlineStr">
        <is>
          <t>Nevada instant dry; sweet-dough suitability requires trial</t>
        </is>
      </c>
      <c r="J696" s="2" t="inlineStr"/>
    </row>
    <row r="697">
      <c r="A697" s="2" t="inlineStr">
        <is>
          <t>M1-B02</t>
        </is>
      </c>
      <c r="B697" s="2" t="inlineStr">
        <is>
          <t>Golden milk loaf</t>
        </is>
      </c>
      <c r="C697" s="2" t="inlineStr">
        <is>
          <t>Dough</t>
        </is>
      </c>
      <c r="D697" s="2" t="inlineStr">
        <is>
          <t>Le Choix du Boulanger flour</t>
        </is>
      </c>
      <c r="E697" s="3" t="n">
        <v>1000</v>
      </c>
      <c r="F697" s="3" t="n">
        <v>10000</v>
      </c>
      <c r="G697" s="2">
        <f>IF(Prices!B106="","",Prices!B106)</f>
        <v/>
      </c>
      <c r="H697" s="2">
        <f>IF(G697="","",E697/1000*G697)</f>
        <v/>
      </c>
      <c r="I697" s="2" t="inlineStr">
        <is>
          <t>Owner flour price; flour performance requires trial</t>
        </is>
      </c>
      <c r="J697" s="2" t="inlineStr"/>
    </row>
    <row r="698">
      <c r="A698" s="2" t="inlineStr">
        <is>
          <t>M1-B02</t>
        </is>
      </c>
      <c r="B698" s="2" t="inlineStr">
        <is>
          <t>Golden milk loaf</t>
        </is>
      </c>
      <c r="C698" s="2" t="inlineStr">
        <is>
          <t>Dough</t>
        </is>
      </c>
      <c r="D698" s="2" t="inlineStr">
        <is>
          <t>Potable water</t>
        </is>
      </c>
      <c r="E698" s="3" t="n">
        <v>600</v>
      </c>
      <c r="F698" s="3" t="n">
        <v>6000</v>
      </c>
      <c r="G698" s="2">
        <f>IF(Prices!B107="","",Prices!B107)</f>
        <v/>
      </c>
      <c r="H698" s="2">
        <f>IF(G698="","",E698/1000*G698)</f>
        <v/>
      </c>
      <c r="I698" s="2" t="inlineStr">
        <is>
          <t>Purchase quote/specification required</t>
        </is>
      </c>
      <c r="J698" s="2" t="inlineStr"/>
    </row>
    <row r="699">
      <c r="A699" s="2" t="inlineStr">
        <is>
          <t>M1-B02</t>
        </is>
      </c>
      <c r="B699" s="2" t="inlineStr">
        <is>
          <t>Golden milk loaf</t>
        </is>
      </c>
      <c r="C699" s="2" t="inlineStr">
        <is>
          <t>Dough</t>
        </is>
      </c>
      <c r="D699" s="2" t="inlineStr">
        <is>
          <t>White granulated sugar</t>
        </is>
      </c>
      <c r="E699" s="3" t="n">
        <v>100</v>
      </c>
      <c r="F699" s="3" t="n">
        <v>1000</v>
      </c>
      <c r="G699" s="2">
        <f>IF(Prices!B108="","",Prices!B108)</f>
        <v/>
      </c>
      <c r="H699" s="2">
        <f>IF(G699="","",E699/1000*G699)</f>
        <v/>
      </c>
      <c r="I699" s="2" t="inlineStr">
        <is>
          <t>Owner granulated sugar price; grind specification must match</t>
        </is>
      </c>
      <c r="J699" s="2" t="inlineStr"/>
    </row>
    <row r="700">
      <c r="A700" s="2" t="inlineStr">
        <is>
          <t>M1-B02</t>
        </is>
      </c>
      <c r="B700" s="2" t="inlineStr">
        <is>
          <t>Golden milk loaf</t>
        </is>
      </c>
      <c r="C700" s="2" t="inlineStr">
        <is>
          <t>Dough</t>
        </is>
      </c>
      <c r="D700" s="2" t="inlineStr">
        <is>
          <t>Millac Premium powder</t>
        </is>
      </c>
      <c r="E700" s="3" t="n">
        <v>60</v>
      </c>
      <c r="F700" s="3" t="n">
        <v>600</v>
      </c>
      <c r="G700" s="2">
        <f>IF(Prices!B109="","",Prices!B109)</f>
        <v/>
      </c>
      <c r="H700" s="2">
        <f>IF(G700="","",E700/1000*G700)</f>
        <v/>
      </c>
      <c r="I700" s="2" t="inlineStr">
        <is>
          <t>Millac fat-filled powder trial; not skim or whole milk powder</t>
        </is>
      </c>
      <c r="J700" s="2" t="inlineStr"/>
    </row>
    <row r="701">
      <c r="A701" s="2" t="inlineStr">
        <is>
          <t>M1-B02</t>
        </is>
      </c>
      <c r="B701" s="2" t="inlineStr">
        <is>
          <t>Golden milk loaf</t>
        </is>
      </c>
      <c r="C701" s="2" t="inlineStr">
        <is>
          <t>Dough</t>
        </is>
      </c>
      <c r="D701" s="2" t="inlineStr">
        <is>
          <t>Roma margarine</t>
        </is>
      </c>
      <c r="E701" s="3" t="n">
        <v>80</v>
      </c>
      <c r="F701" s="3" t="n">
        <v>800</v>
      </c>
      <c r="G701" s="2">
        <f>IF(Prices!B110="","",Prices!B110)</f>
        <v/>
      </c>
      <c r="H701" s="2">
        <f>IF(G701="","",E701/1000*G701)</f>
        <v/>
      </c>
      <c r="I701" s="2" t="inlineStr">
        <is>
          <t>Roma; fat, salt and application suitability unconfirmed</t>
        </is>
      </c>
      <c r="J701" s="2" t="inlineStr"/>
    </row>
    <row r="702">
      <c r="A702" s="2" t="inlineStr">
        <is>
          <t>M1-B02</t>
        </is>
      </c>
      <c r="B702" s="2" t="inlineStr">
        <is>
          <t>Golden milk loaf</t>
        </is>
      </c>
      <c r="C702" s="2" t="inlineStr">
        <is>
          <t>Dough</t>
        </is>
      </c>
      <c r="D702" s="2" t="inlineStr">
        <is>
          <t>Fine food-grade salt</t>
        </is>
      </c>
      <c r="E702" s="3" t="n">
        <v>20</v>
      </c>
      <c r="F702" s="3" t="n">
        <v>200</v>
      </c>
      <c r="G702" s="2">
        <f>IF(Prices!B111="","",Prices!B111)</f>
        <v/>
      </c>
      <c r="H702" s="2">
        <f>IF(G702="","",E702/1000*G702)</f>
        <v/>
      </c>
      <c r="I702" s="2" t="inlineStr">
        <is>
          <t>Owner price</t>
        </is>
      </c>
      <c r="J702" s="2" t="inlineStr"/>
    </row>
    <row r="703">
      <c r="A703" s="2" t="inlineStr">
        <is>
          <t>M1-B02</t>
        </is>
      </c>
      <c r="B703" s="2" t="inlineStr">
        <is>
          <t>Golden milk loaf</t>
        </is>
      </c>
      <c r="C703" s="2" t="inlineStr">
        <is>
          <t>Dough</t>
        </is>
      </c>
      <c r="D703" s="2" t="inlineStr">
        <is>
          <t>Nevada instant dry yeast</t>
        </is>
      </c>
      <c r="E703" s="3" t="n">
        <v>12</v>
      </c>
      <c r="F703" s="3" t="n">
        <v>120</v>
      </c>
      <c r="G703" s="2">
        <f>IF(Prices!B72="","",Prices!B72)</f>
        <v/>
      </c>
      <c r="H703" s="2">
        <f>IF(G703="","",E703/1000*G703)</f>
        <v/>
      </c>
      <c r="I703" s="2" t="inlineStr">
        <is>
          <t>Nevada instant dry; sweet-dough suitability requires trial</t>
        </is>
      </c>
      <c r="J703" s="2" t="inlineStr"/>
    </row>
    <row r="704">
      <c r="A704" s="2" t="inlineStr">
        <is>
          <t>M1-B03</t>
        </is>
      </c>
      <c r="B704" s="2" t="inlineStr">
        <is>
          <t>Tea rolls with Roma margarine</t>
        </is>
      </c>
      <c r="C704" s="2" t="inlineStr">
        <is>
          <t>Dough</t>
        </is>
      </c>
      <c r="D704" s="2" t="inlineStr">
        <is>
          <t>Le Choix du Boulanger flour</t>
        </is>
      </c>
      <c r="E704" s="3" t="n">
        <v>1000</v>
      </c>
      <c r="F704" s="3" t="n">
        <v>10000</v>
      </c>
      <c r="G704" s="2">
        <f>IF(Prices!B106="","",Prices!B106)</f>
        <v/>
      </c>
      <c r="H704" s="2">
        <f>IF(G704="","",E704/1000*G704)</f>
        <v/>
      </c>
      <c r="I704" s="2" t="inlineStr">
        <is>
          <t>Owner flour price; flour performance requires trial</t>
        </is>
      </c>
      <c r="J704" s="2" t="inlineStr"/>
    </row>
    <row r="705">
      <c r="A705" s="2" t="inlineStr">
        <is>
          <t>M1-B03</t>
        </is>
      </c>
      <c r="B705" s="2" t="inlineStr">
        <is>
          <t>Tea rolls with Roma margarine</t>
        </is>
      </c>
      <c r="C705" s="2" t="inlineStr">
        <is>
          <t>Dough</t>
        </is>
      </c>
      <c r="D705" s="2" t="inlineStr">
        <is>
          <t>Potable water</t>
        </is>
      </c>
      <c r="E705" s="3" t="n">
        <v>580</v>
      </c>
      <c r="F705" s="3" t="n">
        <v>5800</v>
      </c>
      <c r="G705" s="2">
        <f>IF(Prices!B107="","",Prices!B107)</f>
        <v/>
      </c>
      <c r="H705" s="2">
        <f>IF(G705="","",E705/1000*G705)</f>
        <v/>
      </c>
      <c r="I705" s="2" t="inlineStr">
        <is>
          <t>Purchase quote/specification required</t>
        </is>
      </c>
      <c r="J705" s="2" t="inlineStr"/>
    </row>
    <row r="706">
      <c r="A706" s="2" t="inlineStr">
        <is>
          <t>M1-B03</t>
        </is>
      </c>
      <c r="B706" s="2" t="inlineStr">
        <is>
          <t>Tea rolls with Roma margarine</t>
        </is>
      </c>
      <c r="C706" s="2" t="inlineStr">
        <is>
          <t>Dough</t>
        </is>
      </c>
      <c r="D706" s="2" t="inlineStr">
        <is>
          <t>White granulated sugar</t>
        </is>
      </c>
      <c r="E706" s="3" t="n">
        <v>80</v>
      </c>
      <c r="F706" s="3" t="n">
        <v>800</v>
      </c>
      <c r="G706" s="2">
        <f>IF(Prices!B108="","",Prices!B108)</f>
        <v/>
      </c>
      <c r="H706" s="2">
        <f>IF(G706="","",E706/1000*G706)</f>
        <v/>
      </c>
      <c r="I706" s="2" t="inlineStr">
        <is>
          <t>Owner granulated sugar price; grind specification must match</t>
        </is>
      </c>
      <c r="J706" s="2" t="inlineStr"/>
    </row>
    <row r="707">
      <c r="A707" s="2" t="inlineStr">
        <is>
          <t>M1-B03</t>
        </is>
      </c>
      <c r="B707" s="2" t="inlineStr">
        <is>
          <t>Tea rolls with Roma margarine</t>
        </is>
      </c>
      <c r="C707" s="2" t="inlineStr">
        <is>
          <t>Dough</t>
        </is>
      </c>
      <c r="D707" s="2" t="inlineStr">
        <is>
          <t>Millac Premium powder</t>
        </is>
      </c>
      <c r="E707" s="3" t="n">
        <v>40</v>
      </c>
      <c r="F707" s="3" t="n">
        <v>400</v>
      </c>
      <c r="G707" s="2">
        <f>IF(Prices!B109="","",Prices!B109)</f>
        <v/>
      </c>
      <c r="H707" s="2">
        <f>IF(G707="","",E707/1000*G707)</f>
        <v/>
      </c>
      <c r="I707" s="2" t="inlineStr">
        <is>
          <t>Millac fat-filled powder trial; not skim or whole milk powder</t>
        </is>
      </c>
      <c r="J707" s="2" t="inlineStr"/>
    </row>
    <row r="708">
      <c r="A708" s="2" t="inlineStr">
        <is>
          <t>M1-B03</t>
        </is>
      </c>
      <c r="B708" s="2" t="inlineStr">
        <is>
          <t>Tea rolls with Roma margarine</t>
        </is>
      </c>
      <c r="C708" s="2" t="inlineStr">
        <is>
          <t>Dough</t>
        </is>
      </c>
      <c r="D708" s="2" t="inlineStr">
        <is>
          <t>Roma margarine</t>
        </is>
      </c>
      <c r="E708" s="3" t="n">
        <v>100</v>
      </c>
      <c r="F708" s="3" t="n">
        <v>1000</v>
      </c>
      <c r="G708" s="2">
        <f>IF(Prices!B110="","",Prices!B110)</f>
        <v/>
      </c>
      <c r="H708" s="2">
        <f>IF(G708="","",E708/1000*G708)</f>
        <v/>
      </c>
      <c r="I708" s="2" t="inlineStr">
        <is>
          <t>Roma; fat, salt and application suitability unconfirmed</t>
        </is>
      </c>
      <c r="J708" s="2" t="inlineStr"/>
    </row>
    <row r="709">
      <c r="A709" s="2" t="inlineStr">
        <is>
          <t>M1-B03</t>
        </is>
      </c>
      <c r="B709" s="2" t="inlineStr">
        <is>
          <t>Tea rolls with Roma margarine</t>
        </is>
      </c>
      <c r="C709" s="2" t="inlineStr">
        <is>
          <t>Dough</t>
        </is>
      </c>
      <c r="D709" s="2" t="inlineStr">
        <is>
          <t>Fine food-grade salt</t>
        </is>
      </c>
      <c r="E709" s="3" t="n">
        <v>18</v>
      </c>
      <c r="F709" s="3" t="n">
        <v>180</v>
      </c>
      <c r="G709" s="2">
        <f>IF(Prices!B111="","",Prices!B111)</f>
        <v/>
      </c>
      <c r="H709" s="2">
        <f>IF(G709="","",E709/1000*G709)</f>
        <v/>
      </c>
      <c r="I709" s="2" t="inlineStr">
        <is>
          <t>Owner price</t>
        </is>
      </c>
      <c r="J709" s="2" t="inlineStr"/>
    </row>
    <row r="710">
      <c r="A710" s="2" t="inlineStr">
        <is>
          <t>M1-B03</t>
        </is>
      </c>
      <c r="B710" s="2" t="inlineStr">
        <is>
          <t>Tea rolls with Roma margarine</t>
        </is>
      </c>
      <c r="C710" s="2" t="inlineStr">
        <is>
          <t>Dough</t>
        </is>
      </c>
      <c r="D710" s="2" t="inlineStr">
        <is>
          <t>Nevada instant dry yeast</t>
        </is>
      </c>
      <c r="E710" s="3" t="n">
        <v>12</v>
      </c>
      <c r="F710" s="3" t="n">
        <v>120</v>
      </c>
      <c r="G710" s="2">
        <f>IF(Prices!B72="","",Prices!B72)</f>
        <v/>
      </c>
      <c r="H710" s="2">
        <f>IF(G710="","",E710/1000*G710)</f>
        <v/>
      </c>
      <c r="I710" s="2" t="inlineStr">
        <is>
          <t>Nevada instant dry; sweet-dough suitability requires trial</t>
        </is>
      </c>
      <c r="J710" s="2" t="inlineStr"/>
    </row>
    <row r="711">
      <c r="A711" s="2" t="inlineStr">
        <is>
          <t>M1-B04</t>
        </is>
      </c>
      <c r="B711" s="2" t="inlineStr">
        <is>
          <t>Sweet milk buns</t>
        </is>
      </c>
      <c r="C711" s="2" t="inlineStr">
        <is>
          <t>Dough</t>
        </is>
      </c>
      <c r="D711" s="2" t="inlineStr">
        <is>
          <t>Le Choix du Boulanger flour</t>
        </is>
      </c>
      <c r="E711" s="3" t="n">
        <v>1000</v>
      </c>
      <c r="F711" s="3" t="n">
        <v>10000</v>
      </c>
      <c r="G711" s="2">
        <f>IF(Prices!B106="","",Prices!B106)</f>
        <v/>
      </c>
      <c r="H711" s="2">
        <f>IF(G711="","",E711/1000*G711)</f>
        <v/>
      </c>
      <c r="I711" s="2" t="inlineStr">
        <is>
          <t>Owner flour price; flour performance requires trial</t>
        </is>
      </c>
      <c r="J711" s="2" t="inlineStr"/>
    </row>
    <row r="712">
      <c r="A712" s="2" t="inlineStr">
        <is>
          <t>M1-B04</t>
        </is>
      </c>
      <c r="B712" s="2" t="inlineStr">
        <is>
          <t>Sweet milk buns</t>
        </is>
      </c>
      <c r="C712" s="2" t="inlineStr">
        <is>
          <t>Dough</t>
        </is>
      </c>
      <c r="D712" s="2" t="inlineStr">
        <is>
          <t>Potable water</t>
        </is>
      </c>
      <c r="E712" s="3" t="n">
        <v>600</v>
      </c>
      <c r="F712" s="3" t="n">
        <v>6000</v>
      </c>
      <c r="G712" s="2">
        <f>IF(Prices!B107="","",Prices!B107)</f>
        <v/>
      </c>
      <c r="H712" s="2">
        <f>IF(G712="","",E712/1000*G712)</f>
        <v/>
      </c>
      <c r="I712" s="2" t="inlineStr">
        <is>
          <t>Purchase quote/specification required</t>
        </is>
      </c>
      <c r="J712" s="2" t="inlineStr"/>
    </row>
    <row r="713">
      <c r="A713" s="2" t="inlineStr">
        <is>
          <t>M1-B04</t>
        </is>
      </c>
      <c r="B713" s="2" t="inlineStr">
        <is>
          <t>Sweet milk buns</t>
        </is>
      </c>
      <c r="C713" s="2" t="inlineStr">
        <is>
          <t>Dough</t>
        </is>
      </c>
      <c r="D713" s="2" t="inlineStr">
        <is>
          <t>White granulated sugar</t>
        </is>
      </c>
      <c r="E713" s="3" t="n">
        <v>120</v>
      </c>
      <c r="F713" s="3" t="n">
        <v>1200</v>
      </c>
      <c r="G713" s="2">
        <f>IF(Prices!B108="","",Prices!B108)</f>
        <v/>
      </c>
      <c r="H713" s="2">
        <f>IF(G713="","",E713/1000*G713)</f>
        <v/>
      </c>
      <c r="I713" s="2" t="inlineStr">
        <is>
          <t>Owner granulated sugar price; grind specification must match</t>
        </is>
      </c>
      <c r="J713" s="2" t="inlineStr"/>
    </row>
    <row r="714">
      <c r="A714" s="2" t="inlineStr">
        <is>
          <t>M1-B04</t>
        </is>
      </c>
      <c r="B714" s="2" t="inlineStr">
        <is>
          <t>Sweet milk buns</t>
        </is>
      </c>
      <c r="C714" s="2" t="inlineStr">
        <is>
          <t>Dough</t>
        </is>
      </c>
      <c r="D714" s="2" t="inlineStr">
        <is>
          <t>Millac Premium powder</t>
        </is>
      </c>
      <c r="E714" s="3" t="n">
        <v>40</v>
      </c>
      <c r="F714" s="3" t="n">
        <v>400</v>
      </c>
      <c r="G714" s="2">
        <f>IF(Prices!B109="","",Prices!B109)</f>
        <v/>
      </c>
      <c r="H714" s="2">
        <f>IF(G714="","",E714/1000*G714)</f>
        <v/>
      </c>
      <c r="I714" s="2" t="inlineStr">
        <is>
          <t>Millac fat-filled powder trial; not skim or whole milk powder</t>
        </is>
      </c>
      <c r="J714" s="2" t="inlineStr"/>
    </row>
    <row r="715">
      <c r="A715" s="2" t="inlineStr">
        <is>
          <t>M1-B04</t>
        </is>
      </c>
      <c r="B715" s="2" t="inlineStr">
        <is>
          <t>Sweet milk buns</t>
        </is>
      </c>
      <c r="C715" s="2" t="inlineStr">
        <is>
          <t>Dough</t>
        </is>
      </c>
      <c r="D715" s="2" t="inlineStr">
        <is>
          <t>Roma margarine</t>
        </is>
      </c>
      <c r="E715" s="3" t="n">
        <v>60</v>
      </c>
      <c r="F715" s="3" t="n">
        <v>600</v>
      </c>
      <c r="G715" s="2">
        <f>IF(Prices!B110="","",Prices!B110)</f>
        <v/>
      </c>
      <c r="H715" s="2">
        <f>IF(G715="","",E715/1000*G715)</f>
        <v/>
      </c>
      <c r="I715" s="2" t="inlineStr">
        <is>
          <t>Roma; fat, salt and application suitability unconfirmed</t>
        </is>
      </c>
      <c r="J715" s="2" t="inlineStr"/>
    </row>
    <row r="716">
      <c r="A716" s="2" t="inlineStr">
        <is>
          <t>M1-B04</t>
        </is>
      </c>
      <c r="B716" s="2" t="inlineStr">
        <is>
          <t>Sweet milk buns</t>
        </is>
      </c>
      <c r="C716" s="2" t="inlineStr">
        <is>
          <t>Dough</t>
        </is>
      </c>
      <c r="D716" s="2" t="inlineStr">
        <is>
          <t>Fine food-grade salt</t>
        </is>
      </c>
      <c r="E716" s="3" t="n">
        <v>18</v>
      </c>
      <c r="F716" s="3" t="n">
        <v>180</v>
      </c>
      <c r="G716" s="2">
        <f>IF(Prices!B111="","",Prices!B111)</f>
        <v/>
      </c>
      <c r="H716" s="2">
        <f>IF(G716="","",E716/1000*G716)</f>
        <v/>
      </c>
      <c r="I716" s="2" t="inlineStr">
        <is>
          <t>Owner price</t>
        </is>
      </c>
      <c r="J716" s="2" t="inlineStr"/>
    </row>
    <row r="717">
      <c r="A717" s="2" t="inlineStr">
        <is>
          <t>M1-B04</t>
        </is>
      </c>
      <c r="B717" s="2" t="inlineStr">
        <is>
          <t>Sweet milk buns</t>
        </is>
      </c>
      <c r="C717" s="2" t="inlineStr">
        <is>
          <t>Dough</t>
        </is>
      </c>
      <c r="D717" s="2" t="inlineStr">
        <is>
          <t>Nevada instant dry yeast</t>
        </is>
      </c>
      <c r="E717" s="3" t="n">
        <v>12</v>
      </c>
      <c r="F717" s="3" t="n">
        <v>120</v>
      </c>
      <c r="G717" s="2">
        <f>IF(Prices!B72="","",Prices!B72)</f>
        <v/>
      </c>
      <c r="H717" s="2">
        <f>IF(G717="","",E717/1000*G717)</f>
        <v/>
      </c>
      <c r="I717" s="2" t="inlineStr">
        <is>
          <t>Nevada instant dry; sweet-dough suitability requires trial</t>
        </is>
      </c>
      <c r="J717" s="2" t="inlineStr"/>
    </row>
    <row r="718">
      <c r="A718" s="2" t="inlineStr">
        <is>
          <t>M1-B05</t>
        </is>
      </c>
      <c r="B718" s="2" t="inlineStr">
        <is>
          <t>Coconut sweet buns</t>
        </is>
      </c>
      <c r="C718" s="2" t="inlineStr">
        <is>
          <t>Dough</t>
        </is>
      </c>
      <c r="D718" s="2" t="inlineStr">
        <is>
          <t>Le Choix du Boulanger flour</t>
        </is>
      </c>
      <c r="E718" s="3" t="n">
        <v>1000</v>
      </c>
      <c r="F718" s="3" t="n">
        <v>10000</v>
      </c>
      <c r="G718" s="2">
        <f>IF(Prices!B106="","",Prices!B106)</f>
        <v/>
      </c>
      <c r="H718" s="2">
        <f>IF(G718="","",E718/1000*G718)</f>
        <v/>
      </c>
      <c r="I718" s="2" t="inlineStr">
        <is>
          <t>Owner flour price; flour performance requires trial</t>
        </is>
      </c>
      <c r="J718" s="2" t="inlineStr"/>
    </row>
    <row r="719">
      <c r="A719" s="2" t="inlineStr">
        <is>
          <t>M1-B05</t>
        </is>
      </c>
      <c r="B719" s="2" t="inlineStr">
        <is>
          <t>Coconut sweet buns</t>
        </is>
      </c>
      <c r="C719" s="2" t="inlineStr">
        <is>
          <t>Dough</t>
        </is>
      </c>
      <c r="D719" s="2" t="inlineStr">
        <is>
          <t>Potable water</t>
        </is>
      </c>
      <c r="E719" s="3" t="n">
        <v>650</v>
      </c>
      <c r="F719" s="3" t="n">
        <v>6500</v>
      </c>
      <c r="G719" s="2">
        <f>IF(Prices!B107="","",Prices!B107)</f>
        <v/>
      </c>
      <c r="H719" s="2">
        <f>IF(G719="","",E719/1000*G719)</f>
        <v/>
      </c>
      <c r="I719" s="2" t="inlineStr">
        <is>
          <t>Purchase quote/specification required</t>
        </is>
      </c>
      <c r="J719" s="2" t="inlineStr"/>
    </row>
    <row r="720">
      <c r="A720" s="2" t="inlineStr">
        <is>
          <t>M1-B05</t>
        </is>
      </c>
      <c r="B720" s="2" t="inlineStr">
        <is>
          <t>Coconut sweet buns</t>
        </is>
      </c>
      <c r="C720" s="2" t="inlineStr">
        <is>
          <t>Dough</t>
        </is>
      </c>
      <c r="D720" s="2" t="inlineStr">
        <is>
          <t>White granulated sugar</t>
        </is>
      </c>
      <c r="E720" s="3" t="n">
        <v>120</v>
      </c>
      <c r="F720" s="3" t="n">
        <v>1200</v>
      </c>
      <c r="G720" s="2">
        <f>IF(Prices!B108="","",Prices!B108)</f>
        <v/>
      </c>
      <c r="H720" s="2">
        <f>IF(G720="","",E720/1000*G720)</f>
        <v/>
      </c>
      <c r="I720" s="2" t="inlineStr">
        <is>
          <t>Owner granulated sugar price; grind specification must match</t>
        </is>
      </c>
      <c r="J720" s="2" t="inlineStr"/>
    </row>
    <row r="721">
      <c r="A721" s="2" t="inlineStr">
        <is>
          <t>M1-B05</t>
        </is>
      </c>
      <c r="B721" s="2" t="inlineStr">
        <is>
          <t>Coconut sweet buns</t>
        </is>
      </c>
      <c r="C721" s="2" t="inlineStr">
        <is>
          <t>Dough</t>
        </is>
      </c>
      <c r="D721" s="2" t="inlineStr">
        <is>
          <t>Millac Premium powder</t>
        </is>
      </c>
      <c r="E721" s="3" t="n">
        <v>40</v>
      </c>
      <c r="F721" s="3" t="n">
        <v>400</v>
      </c>
      <c r="G721" s="2">
        <f>IF(Prices!B109="","",Prices!B109)</f>
        <v/>
      </c>
      <c r="H721" s="2">
        <f>IF(G721="","",E721/1000*G721)</f>
        <v/>
      </c>
      <c r="I721" s="2" t="inlineStr">
        <is>
          <t>Millac fat-filled powder trial; not skim or whole milk powder</t>
        </is>
      </c>
      <c r="J721" s="2" t="inlineStr"/>
    </row>
    <row r="722">
      <c r="A722" s="2" t="inlineStr">
        <is>
          <t>M1-B05</t>
        </is>
      </c>
      <c r="B722" s="2" t="inlineStr">
        <is>
          <t>Coconut sweet buns</t>
        </is>
      </c>
      <c r="C722" s="2" t="inlineStr">
        <is>
          <t>Dough</t>
        </is>
      </c>
      <c r="D722" s="2" t="inlineStr">
        <is>
          <t>Roma margarine</t>
        </is>
      </c>
      <c r="E722" s="3" t="n">
        <v>60</v>
      </c>
      <c r="F722" s="3" t="n">
        <v>600</v>
      </c>
      <c r="G722" s="2">
        <f>IF(Prices!B110="","",Prices!B110)</f>
        <v/>
      </c>
      <c r="H722" s="2">
        <f>IF(G722="","",E722/1000*G722)</f>
        <v/>
      </c>
      <c r="I722" s="2" t="inlineStr">
        <is>
          <t>Roma; fat, salt and application suitability unconfirmed</t>
        </is>
      </c>
      <c r="J722" s="2" t="inlineStr"/>
    </row>
    <row r="723">
      <c r="A723" s="2" t="inlineStr">
        <is>
          <t>M1-B05</t>
        </is>
      </c>
      <c r="B723" s="2" t="inlineStr">
        <is>
          <t>Coconut sweet buns</t>
        </is>
      </c>
      <c r="C723" s="2" t="inlineStr">
        <is>
          <t>Dough</t>
        </is>
      </c>
      <c r="D723" s="2" t="inlineStr">
        <is>
          <t>Fine food-grade salt</t>
        </is>
      </c>
      <c r="E723" s="3" t="n">
        <v>18</v>
      </c>
      <c r="F723" s="3" t="n">
        <v>180</v>
      </c>
      <c r="G723" s="2">
        <f>IF(Prices!B111="","",Prices!B111)</f>
        <v/>
      </c>
      <c r="H723" s="2">
        <f>IF(G723="","",E723/1000*G723)</f>
        <v/>
      </c>
      <c r="I723" s="2" t="inlineStr">
        <is>
          <t>Owner price</t>
        </is>
      </c>
      <c r="J723" s="2" t="inlineStr"/>
    </row>
    <row r="724">
      <c r="A724" s="2" t="inlineStr">
        <is>
          <t>M1-B05</t>
        </is>
      </c>
      <c r="B724" s="2" t="inlineStr">
        <is>
          <t>Coconut sweet buns</t>
        </is>
      </c>
      <c r="C724" s="2" t="inlineStr">
        <is>
          <t>Dough</t>
        </is>
      </c>
      <c r="D724" s="2" t="inlineStr">
        <is>
          <t>Nevada instant dry yeast</t>
        </is>
      </c>
      <c r="E724" s="3" t="n">
        <v>12</v>
      </c>
      <c r="F724" s="3" t="n">
        <v>120</v>
      </c>
      <c r="G724" s="2">
        <f>IF(Prices!B72="","",Prices!B72)</f>
        <v/>
      </c>
      <c r="H724" s="2">
        <f>IF(G724="","",E724/1000*G724)</f>
        <v/>
      </c>
      <c r="I724" s="2" t="inlineStr">
        <is>
          <t>Nevada instant dry; sweet-dough suitability requires trial</t>
        </is>
      </c>
      <c r="J724" s="2" t="inlineStr"/>
    </row>
    <row r="725">
      <c r="A725" s="2" t="inlineStr">
        <is>
          <t>M1-B05</t>
        </is>
      </c>
      <c r="B725" s="2" t="inlineStr">
        <is>
          <t>Coconut sweet buns</t>
        </is>
      </c>
      <c r="C725" s="2" t="inlineStr">
        <is>
          <t>Dough</t>
        </is>
      </c>
      <c r="D725" s="2" t="inlineStr">
        <is>
          <t>Unsweetened fine desiccated coconut</t>
        </is>
      </c>
      <c r="E725" s="3" t="n">
        <v>100</v>
      </c>
      <c r="F725" s="3" t="n">
        <v>1000</v>
      </c>
      <c r="G725" s="2">
        <f>IF(Prices!B112="","",Prices!B112)</f>
        <v/>
      </c>
      <c r="H725" s="2">
        <f>IF(G725="","",E725/1000*G725)</f>
        <v/>
      </c>
      <c r="I725" s="2" t="inlineStr">
        <is>
          <t>Purchase quote/specification required</t>
        </is>
      </c>
      <c r="J725" s="2" t="inlineStr"/>
    </row>
    <row r="726">
      <c r="A726" s="2" t="inlineStr">
        <is>
          <t>M1-B06</t>
        </is>
      </c>
      <c r="B726" s="2" t="inlineStr">
        <is>
          <t>Raisin milk buns</t>
        </is>
      </c>
      <c r="C726" s="2" t="inlineStr">
        <is>
          <t>Dough</t>
        </is>
      </c>
      <c r="D726" s="2" t="inlineStr">
        <is>
          <t>Le Choix du Boulanger flour</t>
        </is>
      </c>
      <c r="E726" s="3" t="n">
        <v>1000</v>
      </c>
      <c r="F726" s="3" t="n">
        <v>10000</v>
      </c>
      <c r="G726" s="2">
        <f>IF(Prices!B106="","",Prices!B106)</f>
        <v/>
      </c>
      <c r="H726" s="2">
        <f>IF(G726="","",E726/1000*G726)</f>
        <v/>
      </c>
      <c r="I726" s="2" t="inlineStr">
        <is>
          <t>Owner flour price; flour performance requires trial</t>
        </is>
      </c>
      <c r="J726" s="2" t="inlineStr"/>
    </row>
    <row r="727">
      <c r="A727" s="2" t="inlineStr">
        <is>
          <t>M1-B06</t>
        </is>
      </c>
      <c r="B727" s="2" t="inlineStr">
        <is>
          <t>Raisin milk buns</t>
        </is>
      </c>
      <c r="C727" s="2" t="inlineStr">
        <is>
          <t>Dough</t>
        </is>
      </c>
      <c r="D727" s="2" t="inlineStr">
        <is>
          <t>Potable water</t>
        </is>
      </c>
      <c r="E727" s="3" t="n">
        <v>600</v>
      </c>
      <c r="F727" s="3" t="n">
        <v>6000</v>
      </c>
      <c r="G727" s="2">
        <f>IF(Prices!B107="","",Prices!B107)</f>
        <v/>
      </c>
      <c r="H727" s="2">
        <f>IF(G727="","",E727/1000*G727)</f>
        <v/>
      </c>
      <c r="I727" s="2" t="inlineStr">
        <is>
          <t>Purchase quote/specification required</t>
        </is>
      </c>
      <c r="J727" s="2" t="inlineStr"/>
    </row>
    <row r="728">
      <c r="A728" s="2" t="inlineStr">
        <is>
          <t>M1-B06</t>
        </is>
      </c>
      <c r="B728" s="2" t="inlineStr">
        <is>
          <t>Raisin milk buns</t>
        </is>
      </c>
      <c r="C728" s="2" t="inlineStr">
        <is>
          <t>Dough</t>
        </is>
      </c>
      <c r="D728" s="2" t="inlineStr">
        <is>
          <t>White granulated sugar</t>
        </is>
      </c>
      <c r="E728" s="3" t="n">
        <v>100</v>
      </c>
      <c r="F728" s="3" t="n">
        <v>1000</v>
      </c>
      <c r="G728" s="2">
        <f>IF(Prices!B108="","",Prices!B108)</f>
        <v/>
      </c>
      <c r="H728" s="2">
        <f>IF(G728="","",E728/1000*G728)</f>
        <v/>
      </c>
      <c r="I728" s="2" t="inlineStr">
        <is>
          <t>Owner granulated sugar price; grind specification must match</t>
        </is>
      </c>
      <c r="J728" s="2" t="inlineStr"/>
    </row>
    <row r="729">
      <c r="A729" s="2" t="inlineStr">
        <is>
          <t>M1-B06</t>
        </is>
      </c>
      <c r="B729" s="2" t="inlineStr">
        <is>
          <t>Raisin milk buns</t>
        </is>
      </c>
      <c r="C729" s="2" t="inlineStr">
        <is>
          <t>Dough</t>
        </is>
      </c>
      <c r="D729" s="2" t="inlineStr">
        <is>
          <t>Millac Premium powder</t>
        </is>
      </c>
      <c r="E729" s="3" t="n">
        <v>40</v>
      </c>
      <c r="F729" s="3" t="n">
        <v>400</v>
      </c>
      <c r="G729" s="2">
        <f>IF(Prices!B109="","",Prices!B109)</f>
        <v/>
      </c>
      <c r="H729" s="2">
        <f>IF(G729="","",E729/1000*G729)</f>
        <v/>
      </c>
      <c r="I729" s="2" t="inlineStr">
        <is>
          <t>Millac fat-filled powder trial; not skim or whole milk powder</t>
        </is>
      </c>
      <c r="J729" s="2" t="inlineStr"/>
    </row>
    <row r="730">
      <c r="A730" s="2" t="inlineStr">
        <is>
          <t>M1-B06</t>
        </is>
      </c>
      <c r="B730" s="2" t="inlineStr">
        <is>
          <t>Raisin milk buns</t>
        </is>
      </c>
      <c r="C730" s="2" t="inlineStr">
        <is>
          <t>Dough</t>
        </is>
      </c>
      <c r="D730" s="2" t="inlineStr">
        <is>
          <t>Roma margarine</t>
        </is>
      </c>
      <c r="E730" s="3" t="n">
        <v>60</v>
      </c>
      <c r="F730" s="3" t="n">
        <v>600</v>
      </c>
      <c r="G730" s="2">
        <f>IF(Prices!B110="","",Prices!B110)</f>
        <v/>
      </c>
      <c r="H730" s="2">
        <f>IF(G730="","",E730/1000*G730)</f>
        <v/>
      </c>
      <c r="I730" s="2" t="inlineStr">
        <is>
          <t>Roma; fat, salt and application suitability unconfirmed</t>
        </is>
      </c>
      <c r="J730" s="2" t="inlineStr"/>
    </row>
    <row r="731">
      <c r="A731" s="2" t="inlineStr">
        <is>
          <t>M1-B06</t>
        </is>
      </c>
      <c r="B731" s="2" t="inlineStr">
        <is>
          <t>Raisin milk buns</t>
        </is>
      </c>
      <c r="C731" s="2" t="inlineStr">
        <is>
          <t>Dough</t>
        </is>
      </c>
      <c r="D731" s="2" t="inlineStr">
        <is>
          <t>Fine food-grade salt</t>
        </is>
      </c>
      <c r="E731" s="3" t="n">
        <v>18</v>
      </c>
      <c r="F731" s="3" t="n">
        <v>180</v>
      </c>
      <c r="G731" s="2">
        <f>IF(Prices!B111="","",Prices!B111)</f>
        <v/>
      </c>
      <c r="H731" s="2">
        <f>IF(G731="","",E731/1000*G731)</f>
        <v/>
      </c>
      <c r="I731" s="2" t="inlineStr">
        <is>
          <t>Owner price</t>
        </is>
      </c>
      <c r="J731" s="2" t="inlineStr"/>
    </row>
    <row r="732">
      <c r="A732" s="2" t="inlineStr">
        <is>
          <t>M1-B06</t>
        </is>
      </c>
      <c r="B732" s="2" t="inlineStr">
        <is>
          <t>Raisin milk buns</t>
        </is>
      </c>
      <c r="C732" s="2" t="inlineStr">
        <is>
          <t>Dough</t>
        </is>
      </c>
      <c r="D732" s="2" t="inlineStr">
        <is>
          <t>Nevada instant dry yeast</t>
        </is>
      </c>
      <c r="E732" s="3" t="n">
        <v>12</v>
      </c>
      <c r="F732" s="3" t="n">
        <v>120</v>
      </c>
      <c r="G732" s="2">
        <f>IF(Prices!B72="","",Prices!B72)</f>
        <v/>
      </c>
      <c r="H732" s="2">
        <f>IF(G732="","",E732/1000*G732)</f>
        <v/>
      </c>
      <c r="I732" s="2" t="inlineStr">
        <is>
          <t>Nevada instant dry; sweet-dough suitability requires trial</t>
        </is>
      </c>
      <c r="J732" s="2" t="inlineStr"/>
    </row>
    <row r="733">
      <c r="A733" s="2" t="inlineStr">
        <is>
          <t>M1-B06</t>
        </is>
      </c>
      <c r="B733" s="2" t="inlineStr">
        <is>
          <t>Raisin milk buns</t>
        </is>
      </c>
      <c r="C733" s="2" t="inlineStr">
        <is>
          <t>Dough</t>
        </is>
      </c>
      <c r="D733" s="2" t="inlineStr">
        <is>
          <t>Ready-to-use seedless raisins</t>
        </is>
      </c>
      <c r="E733" s="3" t="n">
        <v>200</v>
      </c>
      <c r="F733" s="3" t="n">
        <v>2000</v>
      </c>
      <c r="G733" s="2">
        <f>IF(Prices!B113="","",Prices!B113)</f>
        <v/>
      </c>
      <c r="H733" s="2">
        <f>IF(G733="","",E733/1000*G733)</f>
        <v/>
      </c>
      <c r="I733" s="2" t="inlineStr">
        <is>
          <t>Purchase quote/specification required</t>
        </is>
      </c>
      <c r="J733" s="2" t="inlineStr"/>
    </row>
    <row r="734">
      <c r="A734" s="2" t="inlineStr">
        <is>
          <t>M1-B07</t>
        </is>
      </c>
      <c r="B734" s="2" t="inlineStr">
        <is>
          <t>Cinnamon milk buns</t>
        </is>
      </c>
      <c r="C734" s="2" t="inlineStr">
        <is>
          <t>Dough</t>
        </is>
      </c>
      <c r="D734" s="2" t="inlineStr">
        <is>
          <t>Le Choix du Boulanger flour</t>
        </is>
      </c>
      <c r="E734" s="3" t="n">
        <v>1000</v>
      </c>
      <c r="F734" s="3" t="n">
        <v>10000</v>
      </c>
      <c r="G734" s="2">
        <f>IF(Prices!B106="","",Prices!B106)</f>
        <v/>
      </c>
      <c r="H734" s="2">
        <f>IF(G734="","",E734/1000*G734)</f>
        <v/>
      </c>
      <c r="I734" s="2" t="inlineStr">
        <is>
          <t>Owner flour price; flour performance requires trial</t>
        </is>
      </c>
      <c r="J734" s="2" t="inlineStr"/>
    </row>
    <row r="735">
      <c r="A735" s="2" t="inlineStr">
        <is>
          <t>M1-B07</t>
        </is>
      </c>
      <c r="B735" s="2" t="inlineStr">
        <is>
          <t>Cinnamon milk buns</t>
        </is>
      </c>
      <c r="C735" s="2" t="inlineStr">
        <is>
          <t>Dough</t>
        </is>
      </c>
      <c r="D735" s="2" t="inlineStr">
        <is>
          <t>Potable water</t>
        </is>
      </c>
      <c r="E735" s="3" t="n">
        <v>600</v>
      </c>
      <c r="F735" s="3" t="n">
        <v>6000</v>
      </c>
      <c r="G735" s="2">
        <f>IF(Prices!B107="","",Prices!B107)</f>
        <v/>
      </c>
      <c r="H735" s="2">
        <f>IF(G735="","",E735/1000*G735)</f>
        <v/>
      </c>
      <c r="I735" s="2" t="inlineStr">
        <is>
          <t>Purchase quote/specification required</t>
        </is>
      </c>
      <c r="J735" s="2" t="inlineStr"/>
    </row>
    <row r="736">
      <c r="A736" s="2" t="inlineStr">
        <is>
          <t>M1-B07</t>
        </is>
      </c>
      <c r="B736" s="2" t="inlineStr">
        <is>
          <t>Cinnamon milk buns</t>
        </is>
      </c>
      <c r="C736" s="2" t="inlineStr">
        <is>
          <t>Dough</t>
        </is>
      </c>
      <c r="D736" s="2" t="inlineStr">
        <is>
          <t>White granulated sugar</t>
        </is>
      </c>
      <c r="E736" s="3" t="n">
        <v>120</v>
      </c>
      <c r="F736" s="3" t="n">
        <v>1200</v>
      </c>
      <c r="G736" s="2">
        <f>IF(Prices!B108="","",Prices!B108)</f>
        <v/>
      </c>
      <c r="H736" s="2">
        <f>IF(G736="","",E736/1000*G736)</f>
        <v/>
      </c>
      <c r="I736" s="2" t="inlineStr">
        <is>
          <t>Owner granulated sugar price; grind specification must match</t>
        </is>
      </c>
      <c r="J736" s="2" t="inlineStr"/>
    </row>
    <row r="737">
      <c r="A737" s="2" t="inlineStr">
        <is>
          <t>M1-B07</t>
        </is>
      </c>
      <c r="B737" s="2" t="inlineStr">
        <is>
          <t>Cinnamon milk buns</t>
        </is>
      </c>
      <c r="C737" s="2" t="inlineStr">
        <is>
          <t>Dough</t>
        </is>
      </c>
      <c r="D737" s="2" t="inlineStr">
        <is>
          <t>Millac Premium powder</t>
        </is>
      </c>
      <c r="E737" s="3" t="n">
        <v>40</v>
      </c>
      <c r="F737" s="3" t="n">
        <v>400</v>
      </c>
      <c r="G737" s="2">
        <f>IF(Prices!B109="","",Prices!B109)</f>
        <v/>
      </c>
      <c r="H737" s="2">
        <f>IF(G737="","",E737/1000*G737)</f>
        <v/>
      </c>
      <c r="I737" s="2" t="inlineStr">
        <is>
          <t>Millac fat-filled powder trial; not skim or whole milk powder</t>
        </is>
      </c>
      <c r="J737" s="2" t="inlineStr"/>
    </row>
    <row r="738">
      <c r="A738" s="2" t="inlineStr">
        <is>
          <t>M1-B07</t>
        </is>
      </c>
      <c r="B738" s="2" t="inlineStr">
        <is>
          <t>Cinnamon milk buns</t>
        </is>
      </c>
      <c r="C738" s="2" t="inlineStr">
        <is>
          <t>Dough</t>
        </is>
      </c>
      <c r="D738" s="2" t="inlineStr">
        <is>
          <t>Roma margarine</t>
        </is>
      </c>
      <c r="E738" s="3" t="n">
        <v>60</v>
      </c>
      <c r="F738" s="3" t="n">
        <v>600</v>
      </c>
      <c r="G738" s="2">
        <f>IF(Prices!B110="","",Prices!B110)</f>
        <v/>
      </c>
      <c r="H738" s="2">
        <f>IF(G738="","",E738/1000*G738)</f>
        <v/>
      </c>
      <c r="I738" s="2" t="inlineStr">
        <is>
          <t>Roma; fat, salt and application suitability unconfirmed</t>
        </is>
      </c>
      <c r="J738" s="2" t="inlineStr"/>
    </row>
    <row r="739">
      <c r="A739" s="2" t="inlineStr">
        <is>
          <t>M1-B07</t>
        </is>
      </c>
      <c r="B739" s="2" t="inlineStr">
        <is>
          <t>Cinnamon milk buns</t>
        </is>
      </c>
      <c r="C739" s="2" t="inlineStr">
        <is>
          <t>Dough</t>
        </is>
      </c>
      <c r="D739" s="2" t="inlineStr">
        <is>
          <t>Fine food-grade salt</t>
        </is>
      </c>
      <c r="E739" s="3" t="n">
        <v>18</v>
      </c>
      <c r="F739" s="3" t="n">
        <v>180</v>
      </c>
      <c r="G739" s="2">
        <f>IF(Prices!B111="","",Prices!B111)</f>
        <v/>
      </c>
      <c r="H739" s="2">
        <f>IF(G739="","",E739/1000*G739)</f>
        <v/>
      </c>
      <c r="I739" s="2" t="inlineStr">
        <is>
          <t>Owner price</t>
        </is>
      </c>
      <c r="J739" s="2" t="inlineStr"/>
    </row>
    <row r="740">
      <c r="A740" s="2" t="inlineStr">
        <is>
          <t>M1-B07</t>
        </is>
      </c>
      <c r="B740" s="2" t="inlineStr">
        <is>
          <t>Cinnamon milk buns</t>
        </is>
      </c>
      <c r="C740" s="2" t="inlineStr">
        <is>
          <t>Dough</t>
        </is>
      </c>
      <c r="D740" s="2" t="inlineStr">
        <is>
          <t>Nevada instant dry yeast</t>
        </is>
      </c>
      <c r="E740" s="3" t="n">
        <v>14</v>
      </c>
      <c r="F740" s="3" t="n">
        <v>140</v>
      </c>
      <c r="G740" s="2">
        <f>IF(Prices!B72="","",Prices!B72)</f>
        <v/>
      </c>
      <c r="H740" s="2">
        <f>IF(G740="","",E740/1000*G740)</f>
        <v/>
      </c>
      <c r="I740" s="2" t="inlineStr">
        <is>
          <t>Nevada instant dry; sweet-dough suitability requires trial</t>
        </is>
      </c>
      <c r="J740" s="2" t="inlineStr"/>
    </row>
    <row r="741">
      <c r="A741" s="2" t="inlineStr">
        <is>
          <t>M1-B07</t>
        </is>
      </c>
      <c r="B741" s="2" t="inlineStr">
        <is>
          <t>Cinnamon milk buns</t>
        </is>
      </c>
      <c r="C741" s="2" t="inlineStr">
        <is>
          <t>Dough</t>
        </is>
      </c>
      <c r="D741" s="2" t="inlineStr">
        <is>
          <t>Ground cinnamon</t>
        </is>
      </c>
      <c r="E741" s="3" t="n">
        <v>10</v>
      </c>
      <c r="F741" s="3" t="n">
        <v>100</v>
      </c>
      <c r="G741" s="2">
        <f>IF(Prices!B114="","",Prices!B114)</f>
        <v/>
      </c>
      <c r="H741" s="2">
        <f>IF(G741="","",E741/1000*G741)</f>
        <v/>
      </c>
      <c r="I741" s="2" t="inlineStr">
        <is>
          <t>Purchase quote/specification required</t>
        </is>
      </c>
      <c r="J741" s="2" t="inlineStr"/>
    </row>
    <row r="742">
      <c r="A742" s="2" t="inlineStr">
        <is>
          <t>M1-B08</t>
        </is>
      </c>
      <c r="B742" s="2" t="inlineStr">
        <is>
          <t>Baked garlic and herb bread</t>
        </is>
      </c>
      <c r="C742" s="2" t="inlineStr">
        <is>
          <t>Dough</t>
        </is>
      </c>
      <c r="D742" s="2" t="inlineStr">
        <is>
          <t>Le Choix du Boulanger flour</t>
        </is>
      </c>
      <c r="E742" s="3" t="n">
        <v>1000</v>
      </c>
      <c r="F742" s="3" t="n">
        <v>10000</v>
      </c>
      <c r="G742" s="2">
        <f>IF(Prices!B106="","",Prices!B106)</f>
        <v/>
      </c>
      <c r="H742" s="2">
        <f>IF(G742="","",E742/1000*G742)</f>
        <v/>
      </c>
      <c r="I742" s="2" t="inlineStr">
        <is>
          <t>Owner flour price; flour performance requires trial</t>
        </is>
      </c>
      <c r="J742" s="2" t="inlineStr"/>
    </row>
    <row r="743">
      <c r="A743" s="2" t="inlineStr">
        <is>
          <t>M1-B08</t>
        </is>
      </c>
      <c r="B743" s="2" t="inlineStr">
        <is>
          <t>Baked garlic and herb bread</t>
        </is>
      </c>
      <c r="C743" s="2" t="inlineStr">
        <is>
          <t>Dough</t>
        </is>
      </c>
      <c r="D743" s="2" t="inlineStr">
        <is>
          <t>Potable water</t>
        </is>
      </c>
      <c r="E743" s="3" t="n">
        <v>620</v>
      </c>
      <c r="F743" s="3" t="n">
        <v>6200</v>
      </c>
      <c r="G743" s="2">
        <f>IF(Prices!B107="","",Prices!B107)</f>
        <v/>
      </c>
      <c r="H743" s="2">
        <f>IF(G743="","",E743/1000*G743)</f>
        <v/>
      </c>
      <c r="I743" s="2" t="inlineStr">
        <is>
          <t>Purchase quote/specification required</t>
        </is>
      </c>
      <c r="J743" s="2" t="inlineStr"/>
    </row>
    <row r="744">
      <c r="A744" s="2" t="inlineStr">
        <is>
          <t>M1-B08</t>
        </is>
      </c>
      <c r="B744" s="2" t="inlineStr">
        <is>
          <t>Baked garlic and herb bread</t>
        </is>
      </c>
      <c r="C744" s="2" t="inlineStr">
        <is>
          <t>Dough</t>
        </is>
      </c>
      <c r="D744" s="2" t="inlineStr">
        <is>
          <t>White granulated sugar</t>
        </is>
      </c>
      <c r="E744" s="3" t="n">
        <v>20</v>
      </c>
      <c r="F744" s="3" t="n">
        <v>200</v>
      </c>
      <c r="G744" s="2">
        <f>IF(Prices!B108="","",Prices!B108)</f>
        <v/>
      </c>
      <c r="H744" s="2">
        <f>IF(G744="","",E744/1000*G744)</f>
        <v/>
      </c>
      <c r="I744" s="2" t="inlineStr">
        <is>
          <t>Owner granulated sugar price; grind specification must match</t>
        </is>
      </c>
      <c r="J744" s="2" t="inlineStr"/>
    </row>
    <row r="745">
      <c r="A745" s="2" t="inlineStr">
        <is>
          <t>M1-B08</t>
        </is>
      </c>
      <c r="B745" s="2" t="inlineStr">
        <is>
          <t>Baked garlic and herb bread</t>
        </is>
      </c>
      <c r="C745" s="2" t="inlineStr">
        <is>
          <t>Dough</t>
        </is>
      </c>
      <c r="D745" s="2" t="inlineStr">
        <is>
          <t>Neutral food-grade oil</t>
        </is>
      </c>
      <c r="E745" s="3" t="n">
        <v>40</v>
      </c>
      <c r="F745" s="3" t="n">
        <v>400</v>
      </c>
      <c r="G745" s="2">
        <f>IF(Prices!B115="","",Prices!B115)</f>
        <v/>
      </c>
      <c r="H745" s="2">
        <f>IF(G745="","",E745/1000*G745)</f>
        <v/>
      </c>
      <c r="I745" s="2" t="inlineStr">
        <is>
          <t>PROVISIONAL 0.92 kg/L; correct after weighing</t>
        </is>
      </c>
      <c r="J745" s="2" t="inlineStr"/>
    </row>
    <row r="746">
      <c r="A746" s="2" t="inlineStr">
        <is>
          <t>M1-B08</t>
        </is>
      </c>
      <c r="B746" s="2" t="inlineStr">
        <is>
          <t>Baked garlic and herb bread</t>
        </is>
      </c>
      <c r="C746" s="2" t="inlineStr">
        <is>
          <t>Dough</t>
        </is>
      </c>
      <c r="D746" s="2" t="inlineStr">
        <is>
          <t>Fine food-grade salt</t>
        </is>
      </c>
      <c r="E746" s="3" t="n">
        <v>18</v>
      </c>
      <c r="F746" s="3" t="n">
        <v>180</v>
      </c>
      <c r="G746" s="2">
        <f>IF(Prices!B111="","",Prices!B111)</f>
        <v/>
      </c>
      <c r="H746" s="2">
        <f>IF(G746="","",E746/1000*G746)</f>
        <v/>
      </c>
      <c r="I746" s="2" t="inlineStr">
        <is>
          <t>Owner price</t>
        </is>
      </c>
      <c r="J746" s="2" t="inlineStr"/>
    </row>
    <row r="747">
      <c r="A747" s="2" t="inlineStr">
        <is>
          <t>M1-B08</t>
        </is>
      </c>
      <c r="B747" s="2" t="inlineStr">
        <is>
          <t>Baked garlic and herb bread</t>
        </is>
      </c>
      <c r="C747" s="2" t="inlineStr">
        <is>
          <t>Dough</t>
        </is>
      </c>
      <c r="D747" s="2" t="inlineStr">
        <is>
          <t>Nevada instant dry yeast</t>
        </is>
      </c>
      <c r="E747" s="3" t="n">
        <v>10</v>
      </c>
      <c r="F747" s="3" t="n">
        <v>100</v>
      </c>
      <c r="G747" s="2">
        <f>IF(Prices!B72="","",Prices!B72)</f>
        <v/>
      </c>
      <c r="H747" s="2">
        <f>IF(G747="","",E747/1000*G747)</f>
        <v/>
      </c>
      <c r="I747" s="2" t="inlineStr">
        <is>
          <t>Nevada instant dry; sweet-dough suitability requires trial</t>
        </is>
      </c>
      <c r="J747" s="2" t="inlineStr"/>
    </row>
    <row r="748">
      <c r="A748" s="2" t="inlineStr">
        <is>
          <t>M1-B08</t>
        </is>
      </c>
      <c r="B748" s="2" t="inlineStr">
        <is>
          <t>Baked garlic and herb bread</t>
        </is>
      </c>
      <c r="C748" s="2" t="inlineStr">
        <is>
          <t>Dough</t>
        </is>
      </c>
      <c r="D748" s="2" t="inlineStr">
        <is>
          <t>Food-grade garlic powder</t>
        </is>
      </c>
      <c r="E748" s="3" t="n">
        <v>8</v>
      </c>
      <c r="F748" s="3" t="n">
        <v>80</v>
      </c>
      <c r="G748" s="2">
        <f>IF(Prices!B116="","",Prices!B116)</f>
        <v/>
      </c>
      <c r="H748" s="2">
        <f>IF(G748="","",E748/1000*G748)</f>
        <v/>
      </c>
      <c r="I748" s="2" t="inlineStr">
        <is>
          <t>Purchase quote/specification required</t>
        </is>
      </c>
      <c r="J748" s="2" t="inlineStr"/>
    </row>
    <row r="749">
      <c r="A749" s="2" t="inlineStr">
        <is>
          <t>M1-B08</t>
        </is>
      </c>
      <c r="B749" s="2" t="inlineStr">
        <is>
          <t>Baked garlic and herb bread</t>
        </is>
      </c>
      <c r="C749" s="2" t="inlineStr">
        <is>
          <t>Dough</t>
        </is>
      </c>
      <c r="D749" s="2" t="inlineStr">
        <is>
          <t>Dried mixed herbs</t>
        </is>
      </c>
      <c r="E749" s="3" t="n">
        <v>4</v>
      </c>
      <c r="F749" s="3" t="n">
        <v>40</v>
      </c>
      <c r="G749" s="2">
        <f>IF(Prices!B117="","",Prices!B117)</f>
        <v/>
      </c>
      <c r="H749" s="2">
        <f>IF(G749="","",E749/1000*G749)</f>
        <v/>
      </c>
      <c r="I749" s="2" t="inlineStr">
        <is>
          <t>Purchase quote/specification required</t>
        </is>
      </c>
      <c r="J749" s="2" t="inlineStr"/>
    </row>
    <row r="750">
      <c r="A750" s="2" t="inlineStr">
        <is>
          <t>M1-B09</t>
        </is>
      </c>
      <c r="B750" s="2" t="inlineStr">
        <is>
          <t>Soft burger buns</t>
        </is>
      </c>
      <c r="C750" s="2" t="inlineStr">
        <is>
          <t>Dough</t>
        </is>
      </c>
      <c r="D750" s="2" t="inlineStr">
        <is>
          <t>Le Choix du Boulanger flour</t>
        </is>
      </c>
      <c r="E750" s="3" t="n">
        <v>1000</v>
      </c>
      <c r="F750" s="3" t="n">
        <v>10000</v>
      </c>
      <c r="G750" s="2">
        <f>IF(Prices!B106="","",Prices!B106)</f>
        <v/>
      </c>
      <c r="H750" s="2">
        <f>IF(G750="","",E750/1000*G750)</f>
        <v/>
      </c>
      <c r="I750" s="2" t="inlineStr">
        <is>
          <t>Owner flour price; flour performance requires trial</t>
        </is>
      </c>
      <c r="J750" s="2" t="inlineStr"/>
    </row>
    <row r="751">
      <c r="A751" s="2" t="inlineStr">
        <is>
          <t>M1-B09</t>
        </is>
      </c>
      <c r="B751" s="2" t="inlineStr">
        <is>
          <t>Soft burger buns</t>
        </is>
      </c>
      <c r="C751" s="2" t="inlineStr">
        <is>
          <t>Dough</t>
        </is>
      </c>
      <c r="D751" s="2" t="inlineStr">
        <is>
          <t>Potable water</t>
        </is>
      </c>
      <c r="E751" s="3" t="n">
        <v>600</v>
      </c>
      <c r="F751" s="3" t="n">
        <v>6000</v>
      </c>
      <c r="G751" s="2">
        <f>IF(Prices!B107="","",Prices!B107)</f>
        <v/>
      </c>
      <c r="H751" s="2">
        <f>IF(G751="","",E751/1000*G751)</f>
        <v/>
      </c>
      <c r="I751" s="2" t="inlineStr">
        <is>
          <t>Purchase quote/specification required</t>
        </is>
      </c>
      <c r="J751" s="2" t="inlineStr"/>
    </row>
    <row r="752">
      <c r="A752" s="2" t="inlineStr">
        <is>
          <t>M1-B09</t>
        </is>
      </c>
      <c r="B752" s="2" t="inlineStr">
        <is>
          <t>Soft burger buns</t>
        </is>
      </c>
      <c r="C752" s="2" t="inlineStr">
        <is>
          <t>Dough</t>
        </is>
      </c>
      <c r="D752" s="2" t="inlineStr">
        <is>
          <t>White granulated sugar</t>
        </is>
      </c>
      <c r="E752" s="3" t="n">
        <v>60</v>
      </c>
      <c r="F752" s="3" t="n">
        <v>600</v>
      </c>
      <c r="G752" s="2">
        <f>IF(Prices!B108="","",Prices!B108)</f>
        <v/>
      </c>
      <c r="H752" s="2">
        <f>IF(G752="","",E752/1000*G752)</f>
        <v/>
      </c>
      <c r="I752" s="2" t="inlineStr">
        <is>
          <t>Owner granulated sugar price; grind specification must match</t>
        </is>
      </c>
      <c r="J752" s="2" t="inlineStr"/>
    </row>
    <row r="753">
      <c r="A753" s="2" t="inlineStr">
        <is>
          <t>M1-B09</t>
        </is>
      </c>
      <c r="B753" s="2" t="inlineStr">
        <is>
          <t>Soft burger buns</t>
        </is>
      </c>
      <c r="C753" s="2" t="inlineStr">
        <is>
          <t>Dough</t>
        </is>
      </c>
      <c r="D753" s="2" t="inlineStr">
        <is>
          <t>Millac Premium powder</t>
        </is>
      </c>
      <c r="E753" s="3" t="n">
        <v>30</v>
      </c>
      <c r="F753" s="3" t="n">
        <v>300</v>
      </c>
      <c r="G753" s="2">
        <f>IF(Prices!B109="","",Prices!B109)</f>
        <v/>
      </c>
      <c r="H753" s="2">
        <f>IF(G753="","",E753/1000*G753)</f>
        <v/>
      </c>
      <c r="I753" s="2" t="inlineStr">
        <is>
          <t>Millac fat-filled powder trial; not skim or whole milk powder</t>
        </is>
      </c>
      <c r="J753" s="2" t="inlineStr"/>
    </row>
    <row r="754">
      <c r="A754" s="2" t="inlineStr">
        <is>
          <t>M1-B09</t>
        </is>
      </c>
      <c r="B754" s="2" t="inlineStr">
        <is>
          <t>Soft burger buns</t>
        </is>
      </c>
      <c r="C754" s="2" t="inlineStr">
        <is>
          <t>Dough</t>
        </is>
      </c>
      <c r="D754" s="2" t="inlineStr">
        <is>
          <t>Roma margarine</t>
        </is>
      </c>
      <c r="E754" s="3" t="n">
        <v>60</v>
      </c>
      <c r="F754" s="3" t="n">
        <v>600</v>
      </c>
      <c r="G754" s="2">
        <f>IF(Prices!B110="","",Prices!B110)</f>
        <v/>
      </c>
      <c r="H754" s="2">
        <f>IF(G754="","",E754/1000*G754)</f>
        <v/>
      </c>
      <c r="I754" s="2" t="inlineStr">
        <is>
          <t>Roma; fat, salt and application suitability unconfirmed</t>
        </is>
      </c>
      <c r="J754" s="2" t="inlineStr"/>
    </row>
    <row r="755">
      <c r="A755" s="2" t="inlineStr">
        <is>
          <t>M1-B09</t>
        </is>
      </c>
      <c r="B755" s="2" t="inlineStr">
        <is>
          <t>Soft burger buns</t>
        </is>
      </c>
      <c r="C755" s="2" t="inlineStr">
        <is>
          <t>Dough</t>
        </is>
      </c>
      <c r="D755" s="2" t="inlineStr">
        <is>
          <t>Fine food-grade salt</t>
        </is>
      </c>
      <c r="E755" s="3" t="n">
        <v>20</v>
      </c>
      <c r="F755" s="3" t="n">
        <v>200</v>
      </c>
      <c r="G755" s="2">
        <f>IF(Prices!B111="","",Prices!B111)</f>
        <v/>
      </c>
      <c r="H755" s="2">
        <f>IF(G755="","",E755/1000*G755)</f>
        <v/>
      </c>
      <c r="I755" s="2" t="inlineStr">
        <is>
          <t>Owner price</t>
        </is>
      </c>
      <c r="J755" s="2" t="inlineStr"/>
    </row>
    <row r="756">
      <c r="A756" s="2" t="inlineStr">
        <is>
          <t>M1-B09</t>
        </is>
      </c>
      <c r="B756" s="2" t="inlineStr">
        <is>
          <t>Soft burger buns</t>
        </is>
      </c>
      <c r="C756" s="2" t="inlineStr">
        <is>
          <t>Dough</t>
        </is>
      </c>
      <c r="D756" s="2" t="inlineStr">
        <is>
          <t>Nevada instant dry yeast</t>
        </is>
      </c>
      <c r="E756" s="3" t="n">
        <v>12</v>
      </c>
      <c r="F756" s="3" t="n">
        <v>120</v>
      </c>
      <c r="G756" s="2">
        <f>IF(Prices!B72="","",Prices!B72)</f>
        <v/>
      </c>
      <c r="H756" s="2">
        <f>IF(G756="","",E756/1000*G756)</f>
        <v/>
      </c>
      <c r="I756" s="2" t="inlineStr">
        <is>
          <t>Nevada instant dry; sweet-dough suitability requires trial</t>
        </is>
      </c>
      <c r="J756" s="2" t="inlineStr"/>
    </row>
    <row r="757">
      <c r="A757" s="2" t="inlineStr">
        <is>
          <t>M1-B10</t>
        </is>
      </c>
      <c r="B757" s="2" t="inlineStr">
        <is>
          <t>Soft shawarma flatbreads</t>
        </is>
      </c>
      <c r="C757" s="2" t="inlineStr">
        <is>
          <t>Dough</t>
        </is>
      </c>
      <c r="D757" s="2" t="inlineStr">
        <is>
          <t>Le Choix du Boulanger flour</t>
        </is>
      </c>
      <c r="E757" s="3" t="n">
        <v>1000</v>
      </c>
      <c r="F757" s="3" t="n">
        <v>10000</v>
      </c>
      <c r="G757" s="2">
        <f>IF(Prices!B106="","",Prices!B106)</f>
        <v/>
      </c>
      <c r="H757" s="2">
        <f>IF(G757="","",E757/1000*G757)</f>
        <v/>
      </c>
      <c r="I757" s="2" t="inlineStr">
        <is>
          <t>Owner flour price; flour performance requires trial</t>
        </is>
      </c>
      <c r="J757" s="2" t="inlineStr"/>
    </row>
    <row r="758">
      <c r="A758" s="2" t="inlineStr">
        <is>
          <t>M1-B10</t>
        </is>
      </c>
      <c r="B758" s="2" t="inlineStr">
        <is>
          <t>Soft shawarma flatbreads</t>
        </is>
      </c>
      <c r="C758" s="2" t="inlineStr">
        <is>
          <t>Dough</t>
        </is>
      </c>
      <c r="D758" s="2" t="inlineStr">
        <is>
          <t>Potable water</t>
        </is>
      </c>
      <c r="E758" s="3" t="n">
        <v>580</v>
      </c>
      <c r="F758" s="3" t="n">
        <v>5800</v>
      </c>
      <c r="G758" s="2">
        <f>IF(Prices!B107="","",Prices!B107)</f>
        <v/>
      </c>
      <c r="H758" s="2">
        <f>IF(G758="","",E758/1000*G758)</f>
        <v/>
      </c>
      <c r="I758" s="2" t="inlineStr">
        <is>
          <t>Purchase quote/specification required</t>
        </is>
      </c>
      <c r="J758" s="2" t="inlineStr"/>
    </row>
    <row r="759">
      <c r="A759" s="2" t="inlineStr">
        <is>
          <t>M1-B10</t>
        </is>
      </c>
      <c r="B759" s="2" t="inlineStr">
        <is>
          <t>Soft shawarma flatbreads</t>
        </is>
      </c>
      <c r="C759" s="2" t="inlineStr">
        <is>
          <t>Dough</t>
        </is>
      </c>
      <c r="D759" s="2" t="inlineStr">
        <is>
          <t>White granulated sugar</t>
        </is>
      </c>
      <c r="E759" s="3" t="n">
        <v>20</v>
      </c>
      <c r="F759" s="3" t="n">
        <v>200</v>
      </c>
      <c r="G759" s="2">
        <f>IF(Prices!B108="","",Prices!B108)</f>
        <v/>
      </c>
      <c r="H759" s="2">
        <f>IF(G759="","",E759/1000*G759)</f>
        <v/>
      </c>
      <c r="I759" s="2" t="inlineStr">
        <is>
          <t>Owner granulated sugar price; grind specification must match</t>
        </is>
      </c>
      <c r="J759" s="2" t="inlineStr"/>
    </row>
    <row r="760">
      <c r="A760" s="2" t="inlineStr">
        <is>
          <t>M1-B10</t>
        </is>
      </c>
      <c r="B760" s="2" t="inlineStr">
        <is>
          <t>Soft shawarma flatbreads</t>
        </is>
      </c>
      <c r="C760" s="2" t="inlineStr">
        <is>
          <t>Dough</t>
        </is>
      </c>
      <c r="D760" s="2" t="inlineStr">
        <is>
          <t>Neutral food-grade oil</t>
        </is>
      </c>
      <c r="E760" s="3" t="n">
        <v>50</v>
      </c>
      <c r="F760" s="3" t="n">
        <v>500</v>
      </c>
      <c r="G760" s="2">
        <f>IF(Prices!B115="","",Prices!B115)</f>
        <v/>
      </c>
      <c r="H760" s="2">
        <f>IF(G760="","",E760/1000*G760)</f>
        <v/>
      </c>
      <c r="I760" s="2" t="inlineStr">
        <is>
          <t>PROVISIONAL 0.92 kg/L; correct after weighing</t>
        </is>
      </c>
      <c r="J760" s="2" t="inlineStr"/>
    </row>
    <row r="761">
      <c r="A761" s="2" t="inlineStr">
        <is>
          <t>M1-B10</t>
        </is>
      </c>
      <c r="B761" s="2" t="inlineStr">
        <is>
          <t>Soft shawarma flatbreads</t>
        </is>
      </c>
      <c r="C761" s="2" t="inlineStr">
        <is>
          <t>Dough</t>
        </is>
      </c>
      <c r="D761" s="2" t="inlineStr">
        <is>
          <t>Fine food-grade salt</t>
        </is>
      </c>
      <c r="E761" s="3" t="n">
        <v>18</v>
      </c>
      <c r="F761" s="3" t="n">
        <v>180</v>
      </c>
      <c r="G761" s="2">
        <f>IF(Prices!B111="","",Prices!B111)</f>
        <v/>
      </c>
      <c r="H761" s="2">
        <f>IF(G761="","",E761/1000*G761)</f>
        <v/>
      </c>
      <c r="I761" s="2" t="inlineStr">
        <is>
          <t>Owner price</t>
        </is>
      </c>
      <c r="J761" s="2" t="inlineStr"/>
    </row>
    <row r="762">
      <c r="A762" s="2" t="inlineStr">
        <is>
          <t>M1-B10</t>
        </is>
      </c>
      <c r="B762" s="2" t="inlineStr">
        <is>
          <t>Soft shawarma flatbreads</t>
        </is>
      </c>
      <c r="C762" s="2" t="inlineStr">
        <is>
          <t>Dough</t>
        </is>
      </c>
      <c r="D762" s="2" t="inlineStr">
        <is>
          <t>Nevada instant dry yeast</t>
        </is>
      </c>
      <c r="E762" s="3" t="n">
        <v>5</v>
      </c>
      <c r="F762" s="3" t="n">
        <v>50</v>
      </c>
      <c r="G762" s="2">
        <f>IF(Prices!B72="","",Prices!B72)</f>
        <v/>
      </c>
      <c r="H762" s="2">
        <f>IF(G762="","",E762/1000*G762)</f>
        <v/>
      </c>
      <c r="I762" s="2" t="inlineStr">
        <is>
          <t>Nevada instant dry; sweet-dough suitability requires trial</t>
        </is>
      </c>
      <c r="J762" s="2" t="inlineStr"/>
    </row>
    <row r="763">
      <c r="A763" s="2" t="inlineStr">
        <is>
          <t>M1-B11</t>
        </is>
      </c>
      <c r="B763" s="2" t="inlineStr">
        <is>
          <t>Small sandwich rolls</t>
        </is>
      </c>
      <c r="C763" s="2" t="inlineStr">
        <is>
          <t>Dough</t>
        </is>
      </c>
      <c r="D763" s="2" t="inlineStr">
        <is>
          <t>Le Choix du Boulanger flour</t>
        </is>
      </c>
      <c r="E763" s="3" t="n">
        <v>1000</v>
      </c>
      <c r="F763" s="3" t="n">
        <v>10000</v>
      </c>
      <c r="G763" s="2">
        <f>IF(Prices!B106="","",Prices!B106)</f>
        <v/>
      </c>
      <c r="H763" s="2">
        <f>IF(G763="","",E763/1000*G763)</f>
        <v/>
      </c>
      <c r="I763" s="2" t="inlineStr">
        <is>
          <t>Owner flour price; flour performance requires trial</t>
        </is>
      </c>
      <c r="J763" s="2" t="inlineStr"/>
    </row>
    <row r="764">
      <c r="A764" s="2" t="inlineStr">
        <is>
          <t>M1-B11</t>
        </is>
      </c>
      <c r="B764" s="2" t="inlineStr">
        <is>
          <t>Small sandwich rolls</t>
        </is>
      </c>
      <c r="C764" s="2" t="inlineStr">
        <is>
          <t>Dough</t>
        </is>
      </c>
      <c r="D764" s="2" t="inlineStr">
        <is>
          <t>Potable water</t>
        </is>
      </c>
      <c r="E764" s="3" t="n">
        <v>620</v>
      </c>
      <c r="F764" s="3" t="n">
        <v>6200</v>
      </c>
      <c r="G764" s="2">
        <f>IF(Prices!B107="","",Prices!B107)</f>
        <v/>
      </c>
      <c r="H764" s="2">
        <f>IF(G764="","",E764/1000*G764)</f>
        <v/>
      </c>
      <c r="I764" s="2" t="inlineStr">
        <is>
          <t>Purchase quote/specification required</t>
        </is>
      </c>
      <c r="J764" s="2" t="inlineStr"/>
    </row>
    <row r="765">
      <c r="A765" s="2" t="inlineStr">
        <is>
          <t>M1-B11</t>
        </is>
      </c>
      <c r="B765" s="2" t="inlineStr">
        <is>
          <t>Small sandwich rolls</t>
        </is>
      </c>
      <c r="C765" s="2" t="inlineStr">
        <is>
          <t>Dough</t>
        </is>
      </c>
      <c r="D765" s="2" t="inlineStr">
        <is>
          <t>White granulated sugar</t>
        </is>
      </c>
      <c r="E765" s="3" t="n">
        <v>40</v>
      </c>
      <c r="F765" s="3" t="n">
        <v>400</v>
      </c>
      <c r="G765" s="2">
        <f>IF(Prices!B108="","",Prices!B108)</f>
        <v/>
      </c>
      <c r="H765" s="2">
        <f>IF(G765="","",E765/1000*G765)</f>
        <v/>
      </c>
      <c r="I765" s="2" t="inlineStr">
        <is>
          <t>Owner granulated sugar price; grind specification must match</t>
        </is>
      </c>
      <c r="J765" s="2" t="inlineStr"/>
    </row>
    <row r="766">
      <c r="A766" s="2" t="inlineStr">
        <is>
          <t>M1-B11</t>
        </is>
      </c>
      <c r="B766" s="2" t="inlineStr">
        <is>
          <t>Small sandwich rolls</t>
        </is>
      </c>
      <c r="C766" s="2" t="inlineStr">
        <is>
          <t>Dough</t>
        </is>
      </c>
      <c r="D766" s="2" t="inlineStr">
        <is>
          <t>Neutral food-grade oil</t>
        </is>
      </c>
      <c r="E766" s="3" t="n">
        <v>40</v>
      </c>
      <c r="F766" s="3" t="n">
        <v>400</v>
      </c>
      <c r="G766" s="2">
        <f>IF(Prices!B115="","",Prices!B115)</f>
        <v/>
      </c>
      <c r="H766" s="2">
        <f>IF(G766="","",E766/1000*G766)</f>
        <v/>
      </c>
      <c r="I766" s="2" t="inlineStr">
        <is>
          <t>PROVISIONAL 0.92 kg/L; correct after weighing</t>
        </is>
      </c>
      <c r="J766" s="2" t="inlineStr"/>
    </row>
    <row r="767">
      <c r="A767" s="2" t="inlineStr">
        <is>
          <t>M1-B11</t>
        </is>
      </c>
      <c r="B767" s="2" t="inlineStr">
        <is>
          <t>Small sandwich rolls</t>
        </is>
      </c>
      <c r="C767" s="2" t="inlineStr">
        <is>
          <t>Dough</t>
        </is>
      </c>
      <c r="D767" s="2" t="inlineStr">
        <is>
          <t>Fine food-grade salt</t>
        </is>
      </c>
      <c r="E767" s="3" t="n">
        <v>20</v>
      </c>
      <c r="F767" s="3" t="n">
        <v>200</v>
      </c>
      <c r="G767" s="2">
        <f>IF(Prices!B111="","",Prices!B111)</f>
        <v/>
      </c>
      <c r="H767" s="2">
        <f>IF(G767="","",E767/1000*G767)</f>
        <v/>
      </c>
      <c r="I767" s="2" t="inlineStr">
        <is>
          <t>Owner price</t>
        </is>
      </c>
      <c r="J767" s="2" t="inlineStr"/>
    </row>
    <row r="768">
      <c r="A768" s="2" t="inlineStr">
        <is>
          <t>M1-B11</t>
        </is>
      </c>
      <c r="B768" s="2" t="inlineStr">
        <is>
          <t>Small sandwich rolls</t>
        </is>
      </c>
      <c r="C768" s="2" t="inlineStr">
        <is>
          <t>Dough</t>
        </is>
      </c>
      <c r="D768" s="2" t="inlineStr">
        <is>
          <t>Nevada instant dry yeast</t>
        </is>
      </c>
      <c r="E768" s="3" t="n">
        <v>10</v>
      </c>
      <c r="F768" s="3" t="n">
        <v>100</v>
      </c>
      <c r="G768" s="2">
        <f>IF(Prices!B72="","",Prices!B72)</f>
        <v/>
      </c>
      <c r="H768" s="2">
        <f>IF(G768="","",E768/1000*G768)</f>
        <v/>
      </c>
      <c r="I768" s="2" t="inlineStr">
        <is>
          <t>Nevada instant dry; sweet-dough suitability requires trial</t>
        </is>
      </c>
      <c r="J768" s="2" t="inlineStr"/>
    </row>
    <row r="769">
      <c r="A769" s="2" t="inlineStr">
        <is>
          <t>M1-B12</t>
        </is>
      </c>
      <c r="B769" s="2" t="inlineStr">
        <is>
          <t>French-style poolish baguettes</t>
        </is>
      </c>
      <c r="C769" s="2" t="inlineStr">
        <is>
          <t>Dough</t>
        </is>
      </c>
      <c r="D769" s="2" t="inlineStr">
        <is>
          <t>Le Choix du Boulanger flour</t>
        </is>
      </c>
      <c r="E769" s="3" t="n">
        <v>1000</v>
      </c>
      <c r="F769" s="3" t="n">
        <v>10000</v>
      </c>
      <c r="G769" s="2">
        <f>IF(Prices!B106="","",Prices!B106)</f>
        <v/>
      </c>
      <c r="H769" s="2">
        <f>IF(G769="","",E769/1000*G769)</f>
        <v/>
      </c>
      <c r="I769" s="2" t="inlineStr">
        <is>
          <t>Owner flour price; flour performance requires trial</t>
        </is>
      </c>
      <c r="J769" s="2" t="inlineStr"/>
    </row>
    <row r="770">
      <c r="A770" s="2" t="inlineStr">
        <is>
          <t>M1-B12</t>
        </is>
      </c>
      <c r="B770" s="2" t="inlineStr">
        <is>
          <t>French-style poolish baguettes</t>
        </is>
      </c>
      <c r="C770" s="2" t="inlineStr">
        <is>
          <t>Dough</t>
        </is>
      </c>
      <c r="D770" s="2" t="inlineStr">
        <is>
          <t>Potable water</t>
        </is>
      </c>
      <c r="E770" s="3" t="n">
        <v>680</v>
      </c>
      <c r="F770" s="3" t="n">
        <v>6800</v>
      </c>
      <c r="G770" s="2">
        <f>IF(Prices!B107="","",Prices!B107)</f>
        <v/>
      </c>
      <c r="H770" s="2">
        <f>IF(G770="","",E770/1000*G770)</f>
        <v/>
      </c>
      <c r="I770" s="2" t="inlineStr">
        <is>
          <t>Purchase quote/specification required</t>
        </is>
      </c>
      <c r="J770" s="2" t="inlineStr"/>
    </row>
    <row r="771">
      <c r="A771" s="2" t="inlineStr">
        <is>
          <t>M1-B12</t>
        </is>
      </c>
      <c r="B771" s="2" t="inlineStr">
        <is>
          <t>French-style poolish baguettes</t>
        </is>
      </c>
      <c r="C771" s="2" t="inlineStr">
        <is>
          <t>Dough</t>
        </is>
      </c>
      <c r="D771" s="2" t="inlineStr">
        <is>
          <t>Fine food-grade salt</t>
        </is>
      </c>
      <c r="E771" s="3" t="n">
        <v>20</v>
      </c>
      <c r="F771" s="3" t="n">
        <v>200</v>
      </c>
      <c r="G771" s="2">
        <f>IF(Prices!B111="","",Prices!B111)</f>
        <v/>
      </c>
      <c r="H771" s="2">
        <f>IF(G771="","",E771/1000*G771)</f>
        <v/>
      </c>
      <c r="I771" s="2" t="inlineStr">
        <is>
          <t>Owner price</t>
        </is>
      </c>
      <c r="J771" s="2" t="inlineStr"/>
    </row>
    <row r="772">
      <c r="A772" s="2" t="inlineStr">
        <is>
          <t>M1-B12</t>
        </is>
      </c>
      <c r="B772" s="2" t="inlineStr">
        <is>
          <t>French-style poolish baguettes</t>
        </is>
      </c>
      <c r="C772" s="2" t="inlineStr">
        <is>
          <t>Dough</t>
        </is>
      </c>
      <c r="D772" s="2" t="inlineStr">
        <is>
          <t>Nevada instant dry yeast</t>
        </is>
      </c>
      <c r="E772" s="3" t="n">
        <v>5</v>
      </c>
      <c r="F772" s="3" t="n">
        <v>50</v>
      </c>
      <c r="G772" s="2">
        <f>IF(Prices!B72="","",Prices!B72)</f>
        <v/>
      </c>
      <c r="H772" s="2">
        <f>IF(G772="","",E772/1000*G772)</f>
        <v/>
      </c>
      <c r="I772" s="2" t="inlineStr">
        <is>
          <t>Nevada instant dry; sweet-dough suitability requires trial</t>
        </is>
      </c>
      <c r="J772" s="2" t="inlineStr"/>
    </row>
    <row r="773">
      <c r="A773" s="2" t="inlineStr">
        <is>
          <t>M1-B13</t>
        </is>
      </c>
      <c r="B773" s="2" t="inlineStr">
        <is>
          <t>Soft baguette-style bread</t>
        </is>
      </c>
      <c r="C773" s="2" t="inlineStr">
        <is>
          <t>Dough</t>
        </is>
      </c>
      <c r="D773" s="2" t="inlineStr">
        <is>
          <t>Le Choix du Boulanger flour</t>
        </is>
      </c>
      <c r="E773" s="3" t="n">
        <v>1000</v>
      </c>
      <c r="F773" s="3" t="n">
        <v>10000</v>
      </c>
      <c r="G773" s="2">
        <f>IF(Prices!B106="","",Prices!B106)</f>
        <v/>
      </c>
      <c r="H773" s="2">
        <f>IF(G773="","",E773/1000*G773)</f>
        <v/>
      </c>
      <c r="I773" s="2" t="inlineStr">
        <is>
          <t>Owner flour price; flour performance requires trial</t>
        </is>
      </c>
      <c r="J773" s="2" t="inlineStr"/>
    </row>
    <row r="774">
      <c r="A774" s="2" t="inlineStr">
        <is>
          <t>M1-B13</t>
        </is>
      </c>
      <c r="B774" s="2" t="inlineStr">
        <is>
          <t>Soft baguette-style bread</t>
        </is>
      </c>
      <c r="C774" s="2" t="inlineStr">
        <is>
          <t>Dough</t>
        </is>
      </c>
      <c r="D774" s="2" t="inlineStr">
        <is>
          <t>Potable water</t>
        </is>
      </c>
      <c r="E774" s="3" t="n">
        <v>620</v>
      </c>
      <c r="F774" s="3" t="n">
        <v>6200</v>
      </c>
      <c r="G774" s="2">
        <f>IF(Prices!B107="","",Prices!B107)</f>
        <v/>
      </c>
      <c r="H774" s="2">
        <f>IF(G774="","",E774/1000*G774)</f>
        <v/>
      </c>
      <c r="I774" s="2" t="inlineStr">
        <is>
          <t>Purchase quote/specification required</t>
        </is>
      </c>
      <c r="J774" s="2" t="inlineStr"/>
    </row>
    <row r="775">
      <c r="A775" s="2" t="inlineStr">
        <is>
          <t>M1-B13</t>
        </is>
      </c>
      <c r="B775" s="2" t="inlineStr">
        <is>
          <t>Soft baguette-style bread</t>
        </is>
      </c>
      <c r="C775" s="2" t="inlineStr">
        <is>
          <t>Dough</t>
        </is>
      </c>
      <c r="D775" s="2" t="inlineStr">
        <is>
          <t>White granulated sugar</t>
        </is>
      </c>
      <c r="E775" s="3" t="n">
        <v>30</v>
      </c>
      <c r="F775" s="3" t="n">
        <v>300</v>
      </c>
      <c r="G775" s="2">
        <f>IF(Prices!B108="","",Prices!B108)</f>
        <v/>
      </c>
      <c r="H775" s="2">
        <f>IF(G775="","",E775/1000*G775)</f>
        <v/>
      </c>
      <c r="I775" s="2" t="inlineStr">
        <is>
          <t>Owner granulated sugar price; grind specification must match</t>
        </is>
      </c>
      <c r="J775" s="2" t="inlineStr"/>
    </row>
    <row r="776">
      <c r="A776" s="2" t="inlineStr">
        <is>
          <t>M1-B13</t>
        </is>
      </c>
      <c r="B776" s="2" t="inlineStr">
        <is>
          <t>Soft baguette-style bread</t>
        </is>
      </c>
      <c r="C776" s="2" t="inlineStr">
        <is>
          <t>Dough</t>
        </is>
      </c>
      <c r="D776" s="2" t="inlineStr">
        <is>
          <t>Neutral food-grade oil</t>
        </is>
      </c>
      <c r="E776" s="3" t="n">
        <v>30</v>
      </c>
      <c r="F776" s="3" t="n">
        <v>300</v>
      </c>
      <c r="G776" s="2">
        <f>IF(Prices!B115="","",Prices!B115)</f>
        <v/>
      </c>
      <c r="H776" s="2">
        <f>IF(G776="","",E776/1000*G776)</f>
        <v/>
      </c>
      <c r="I776" s="2" t="inlineStr">
        <is>
          <t>PROVISIONAL 0.92 kg/L; correct after weighing</t>
        </is>
      </c>
      <c r="J776" s="2" t="inlineStr"/>
    </row>
    <row r="777">
      <c r="A777" s="2" t="inlineStr">
        <is>
          <t>M1-B13</t>
        </is>
      </c>
      <c r="B777" s="2" t="inlineStr">
        <is>
          <t>Soft baguette-style bread</t>
        </is>
      </c>
      <c r="C777" s="2" t="inlineStr">
        <is>
          <t>Dough</t>
        </is>
      </c>
      <c r="D777" s="2" t="inlineStr">
        <is>
          <t>Fine food-grade salt</t>
        </is>
      </c>
      <c r="E777" s="3" t="n">
        <v>20</v>
      </c>
      <c r="F777" s="3" t="n">
        <v>200</v>
      </c>
      <c r="G777" s="2">
        <f>IF(Prices!B111="","",Prices!B111)</f>
        <v/>
      </c>
      <c r="H777" s="2">
        <f>IF(G777="","",E777/1000*G777)</f>
        <v/>
      </c>
      <c r="I777" s="2" t="inlineStr">
        <is>
          <t>Owner price</t>
        </is>
      </c>
      <c r="J777" s="2" t="inlineStr"/>
    </row>
    <row r="778">
      <c r="A778" s="2" t="inlineStr">
        <is>
          <t>M1-B13</t>
        </is>
      </c>
      <c r="B778" s="2" t="inlineStr">
        <is>
          <t>Soft baguette-style bread</t>
        </is>
      </c>
      <c r="C778" s="2" t="inlineStr">
        <is>
          <t>Dough</t>
        </is>
      </c>
      <c r="D778" s="2" t="inlineStr">
        <is>
          <t>Nevada instant dry yeast</t>
        </is>
      </c>
      <c r="E778" s="3" t="n">
        <v>10</v>
      </c>
      <c r="F778" s="3" t="n">
        <v>100</v>
      </c>
      <c r="G778" s="2">
        <f>IF(Prices!B72="","",Prices!B72)</f>
        <v/>
      </c>
      <c r="H778" s="2">
        <f>IF(G778="","",E778/1000*G778)</f>
        <v/>
      </c>
      <c r="I778" s="2" t="inlineStr">
        <is>
          <t>Nevada instant dry; sweet-dough suitability requires trial</t>
        </is>
      </c>
      <c r="J778" s="2" t="inlineStr"/>
    </row>
    <row r="779">
      <c r="A779" s="2" t="inlineStr">
        <is>
          <t>T01</t>
        </is>
      </c>
      <c r="B779" s="2" t="inlineStr">
        <is>
          <t>Rolled and cut cake doughnuts</t>
        </is>
      </c>
      <c r="C779" s="2" t="inlineStr">
        <is>
          <t>Main formula</t>
        </is>
      </c>
      <c r="D779" s="2" t="inlineStr">
        <is>
          <t>Bread flour</t>
        </is>
      </c>
      <c r="E779" s="3" t="n">
        <v>1000</v>
      </c>
      <c r="F779" s="3" t="n">
        <v>5000</v>
      </c>
      <c r="G779" s="2">
        <f>IF(Prices!B2="","",Prices!B2)</f>
        <v/>
      </c>
      <c r="H779" s="2">
        <f>IF(G779="","",E779/1000*G779)</f>
        <v/>
      </c>
      <c r="I779" s="2" t="inlineStr">
        <is>
          <t>Owner flour price; flour performance requires trial</t>
        </is>
      </c>
      <c r="J779" s="2" t="inlineStr"/>
    </row>
    <row r="780">
      <c r="A780" s="2" t="inlineStr">
        <is>
          <t>T01</t>
        </is>
      </c>
      <c r="B780" s="2" t="inlineStr">
        <is>
          <t>Rolled and cut cake doughnuts</t>
        </is>
      </c>
      <c r="C780" s="2" t="inlineStr">
        <is>
          <t>Main formula</t>
        </is>
      </c>
      <c r="D780" s="2" t="inlineStr">
        <is>
          <t>Sugar</t>
        </is>
      </c>
      <c r="E780" s="3" t="n">
        <v>166.6666666666667</v>
      </c>
      <c r="F780" s="3" t="n">
        <v>833.3333333333333</v>
      </c>
      <c r="G780" s="2">
        <f>IF(Prices!B4="","",Prices!B4)</f>
        <v/>
      </c>
      <c r="H780" s="2">
        <f>IF(G780="","",E780/1000*G780)</f>
        <v/>
      </c>
      <c r="I780" s="2" t="inlineStr">
        <is>
          <t>Owner granulated sugar price; grind specification must match</t>
        </is>
      </c>
      <c r="J780" s="2" t="inlineStr"/>
    </row>
    <row r="781">
      <c r="A781" s="2" t="inlineStr">
        <is>
          <t>T01</t>
        </is>
      </c>
      <c r="B781" s="2" t="inlineStr">
        <is>
          <t>Rolled and cut cake doughnuts</t>
        </is>
      </c>
      <c r="C781" s="2" t="inlineStr">
        <is>
          <t>Main formula</t>
        </is>
      </c>
      <c r="D781" s="2" t="inlineStr">
        <is>
          <t>Roma margarine</t>
        </is>
      </c>
      <c r="E781" s="3" t="n">
        <v>166.6666666666667</v>
      </c>
      <c r="F781" s="3" t="n">
        <v>833.3333333333333</v>
      </c>
      <c r="G781" s="2">
        <f>IF(Prices!B110="","",Prices!B110)</f>
        <v/>
      </c>
      <c r="H781" s="2">
        <f>IF(G781="","",E781/1000*G781)</f>
        <v/>
      </c>
      <c r="I781" s="2" t="inlineStr">
        <is>
          <t>Roma; fat, salt and application suitability unconfirmed</t>
        </is>
      </c>
      <c r="J781" s="2" t="inlineStr"/>
    </row>
    <row r="782">
      <c r="A782" s="2" t="inlineStr">
        <is>
          <t>T01</t>
        </is>
      </c>
      <c r="B782" s="2" t="inlineStr">
        <is>
          <t>Rolled and cut cake doughnuts</t>
        </is>
      </c>
      <c r="C782" s="2" t="inlineStr">
        <is>
          <t>Main formula</t>
        </is>
      </c>
      <c r="D782" s="2" t="inlineStr">
        <is>
          <t>Baking powder double acting</t>
        </is>
      </c>
      <c r="E782" s="3" t="n">
        <v>13.33333333333333</v>
      </c>
      <c r="F782" s="3" t="n">
        <v>66.66666666666667</v>
      </c>
      <c r="G782" s="2">
        <f>IF(Prices!B118="","",Prices!B118)</f>
        <v/>
      </c>
      <c r="H782" s="2">
        <f>IF(G782="","",E782/1000*G782)</f>
        <v/>
      </c>
      <c r="I782" s="2" t="inlineStr">
        <is>
          <t>Purchase quote/specification required</t>
        </is>
      </c>
      <c r="J782" s="2" t="inlineStr"/>
    </row>
    <row r="783">
      <c r="A783" s="2" t="inlineStr">
        <is>
          <t>T01</t>
        </is>
      </c>
      <c r="B783" s="2" t="inlineStr">
        <is>
          <t>Rolled and cut cake doughnuts</t>
        </is>
      </c>
      <c r="C783" s="2" t="inlineStr">
        <is>
          <t>Main formula</t>
        </is>
      </c>
      <c r="D783" s="2" t="inlineStr">
        <is>
          <t>Egg edible mass</t>
        </is>
      </c>
      <c r="E783" s="3" t="n">
        <v>250</v>
      </c>
      <c r="F783" s="3" t="n">
        <v>1250</v>
      </c>
      <c r="G783" s="2">
        <f>IF(Prices!B119="","",Prices!B119)</f>
        <v/>
      </c>
      <c r="H783" s="2">
        <f>IF(G783="","",E783/1000*G783)</f>
        <v/>
      </c>
      <c r="I783" s="2" t="inlineStr">
        <is>
          <t>Purchase quote/specification required</t>
        </is>
      </c>
      <c r="J783" s="2" t="inlineStr"/>
    </row>
    <row r="784">
      <c r="A784" s="2" t="inlineStr">
        <is>
          <t>T01</t>
        </is>
      </c>
      <c r="B784" s="2" t="inlineStr">
        <is>
          <t>Rolled and cut cake doughnuts</t>
        </is>
      </c>
      <c r="C784" s="2" t="inlineStr">
        <is>
          <t>Main formula</t>
        </is>
      </c>
      <c r="D784" s="2" t="inlineStr">
        <is>
          <t>Water</t>
        </is>
      </c>
      <c r="E784" s="3" t="n">
        <v>250</v>
      </c>
      <c r="F784" s="3" t="n">
        <v>1250</v>
      </c>
      <c r="G784" s="2">
        <f>IF(Prices!B3="","",Prices!B3)</f>
        <v/>
      </c>
      <c r="H784" s="2">
        <f>IF(G784="","",E784/1000*G784)</f>
        <v/>
      </c>
      <c r="I784" s="2" t="inlineStr">
        <is>
          <t>Purchase quote/specification required</t>
        </is>
      </c>
      <c r="J784" s="2" t="inlineStr"/>
    </row>
    <row r="785">
      <c r="A785" s="2" t="inlineStr">
        <is>
          <t>H01</t>
        </is>
      </c>
      <c r="B785" s="2" t="inlineStr">
        <is>
          <t>Agege style soft loaf</t>
        </is>
      </c>
      <c r="C785" s="2" t="inlineStr">
        <is>
          <t>Main formula</t>
        </is>
      </c>
      <c r="D785" s="2" t="inlineStr">
        <is>
          <t>Bread flour</t>
        </is>
      </c>
      <c r="E785" s="3" t="n">
        <v>1000</v>
      </c>
      <c r="F785" s="3" t="n">
        <v>5000</v>
      </c>
      <c r="G785" s="2">
        <f>IF(Prices!B2="","",Prices!B2)</f>
        <v/>
      </c>
      <c r="H785" s="2">
        <f>IF(G785="","",E785/1000*G785)</f>
        <v/>
      </c>
      <c r="I785" s="2" t="inlineStr">
        <is>
          <t>Owner flour price; flour performance requires trial</t>
        </is>
      </c>
      <c r="J785" s="2" t="inlineStr"/>
    </row>
    <row r="786">
      <c r="A786" s="2" t="inlineStr">
        <is>
          <t>H01</t>
        </is>
      </c>
      <c r="B786" s="2" t="inlineStr">
        <is>
          <t>Agege style soft loaf</t>
        </is>
      </c>
      <c r="C786" s="2" t="inlineStr">
        <is>
          <t>Main formula</t>
        </is>
      </c>
      <c r="D786" s="2" t="inlineStr">
        <is>
          <t>Water</t>
        </is>
      </c>
      <c r="E786" s="3" t="n">
        <v>570</v>
      </c>
      <c r="F786" s="3" t="n">
        <v>2850</v>
      </c>
      <c r="G786" s="2">
        <f>IF(Prices!B3="","",Prices!B3)</f>
        <v/>
      </c>
      <c r="H786" s="2">
        <f>IF(G786="","",E786/1000*G786)</f>
        <v/>
      </c>
      <c r="I786" s="2" t="inlineStr">
        <is>
          <t>Purchase quote/specification required</t>
        </is>
      </c>
      <c r="J786" s="2" t="inlineStr"/>
    </row>
    <row r="787">
      <c r="A787" s="2" t="inlineStr">
        <is>
          <t>H01</t>
        </is>
      </c>
      <c r="B787" s="2" t="inlineStr">
        <is>
          <t>Agege style soft loaf</t>
        </is>
      </c>
      <c r="C787" s="2" t="inlineStr">
        <is>
          <t>Main formula</t>
        </is>
      </c>
      <c r="D787" s="2" t="inlineStr">
        <is>
          <t>Sugar</t>
        </is>
      </c>
      <c r="E787" s="3" t="n">
        <v>110</v>
      </c>
      <c r="F787" s="3" t="n">
        <v>550</v>
      </c>
      <c r="G787" s="2">
        <f>IF(Prices!B4="","",Prices!B4)</f>
        <v/>
      </c>
      <c r="H787" s="2">
        <f>IF(G787="","",E787/1000*G787)</f>
        <v/>
      </c>
      <c r="I787" s="2" t="inlineStr">
        <is>
          <t>Owner granulated sugar price; grind specification must match</t>
        </is>
      </c>
      <c r="J787" s="2" t="inlineStr"/>
    </row>
    <row r="788">
      <c r="A788" s="2" t="inlineStr">
        <is>
          <t>H01</t>
        </is>
      </c>
      <c r="B788" s="2" t="inlineStr">
        <is>
          <t>Agege style soft loaf</t>
        </is>
      </c>
      <c r="C788" s="2" t="inlineStr">
        <is>
          <t>Main formula</t>
        </is>
      </c>
      <c r="D788" s="2" t="inlineStr">
        <is>
          <t>Roma margarine</t>
        </is>
      </c>
      <c r="E788" s="3" t="n">
        <v>90</v>
      </c>
      <c r="F788" s="3" t="n">
        <v>450</v>
      </c>
      <c r="G788" s="2">
        <f>IF(Prices!B110="","",Prices!B110)</f>
        <v/>
      </c>
      <c r="H788" s="2">
        <f>IF(G788="","",E788/1000*G788)</f>
        <v/>
      </c>
      <c r="I788" s="2" t="inlineStr">
        <is>
          <t>Roma; fat, salt and application suitability unconfirmed</t>
        </is>
      </c>
      <c r="J788" s="2" t="inlineStr"/>
    </row>
    <row r="789">
      <c r="A789" s="2" t="inlineStr">
        <is>
          <t>H01</t>
        </is>
      </c>
      <c r="B789" s="2" t="inlineStr">
        <is>
          <t>Agege style soft loaf</t>
        </is>
      </c>
      <c r="C789" s="2" t="inlineStr">
        <is>
          <t>Main formula</t>
        </is>
      </c>
      <c r="D789" s="2" t="inlineStr">
        <is>
          <t>Salt</t>
        </is>
      </c>
      <c r="E789" s="3" t="n">
        <v>18</v>
      </c>
      <c r="F789" s="3" t="n">
        <v>90</v>
      </c>
      <c r="G789" s="2">
        <f>IF(Prices!B6="","",Prices!B6)</f>
        <v/>
      </c>
      <c r="H789" s="2">
        <f>IF(G789="","",E789/1000*G789)</f>
        <v/>
      </c>
      <c r="I789" s="2" t="inlineStr">
        <is>
          <t>Owner price</t>
        </is>
      </c>
      <c r="J789" s="2" t="inlineStr"/>
    </row>
    <row r="790">
      <c r="A790" s="2" t="inlineStr">
        <is>
          <t>H01</t>
        </is>
      </c>
      <c r="B790" s="2" t="inlineStr">
        <is>
          <t>Agege style soft loaf</t>
        </is>
      </c>
      <c r="C790" s="2" t="inlineStr">
        <is>
          <t>Main formula</t>
        </is>
      </c>
      <c r="D790" s="2" t="inlineStr">
        <is>
          <t>Nevada instant dry yeast</t>
        </is>
      </c>
      <c r="E790" s="3" t="n">
        <v>12</v>
      </c>
      <c r="F790" s="3" t="n">
        <v>60</v>
      </c>
      <c r="G790" s="2">
        <f>IF(Prices!B72="","",Prices!B72)</f>
        <v/>
      </c>
      <c r="H790" s="2">
        <f>IF(G790="","",E790/1000*G790)</f>
        <v/>
      </c>
      <c r="I790" s="2" t="inlineStr">
        <is>
          <t>Nevada instant dry; sweet-dough suitability requires trial</t>
        </is>
      </c>
      <c r="J790" s="2" t="inlineStr"/>
    </row>
    <row r="791">
      <c r="A791" s="2" t="inlineStr">
        <is>
          <t>H02</t>
        </is>
      </c>
      <c r="B791" s="2" t="inlineStr">
        <is>
          <t>Tangzhong milk loaf</t>
        </is>
      </c>
      <c r="C791" s="2" t="inlineStr">
        <is>
          <t>Main formula</t>
        </is>
      </c>
      <c r="D791" s="2" t="inlineStr">
        <is>
          <t>Bread flour</t>
        </is>
      </c>
      <c r="E791" s="3" t="n">
        <v>1000</v>
      </c>
      <c r="F791" s="3" t="n">
        <v>5000</v>
      </c>
      <c r="G791" s="2">
        <f>IF(Prices!B2="","",Prices!B2)</f>
        <v/>
      </c>
      <c r="H791" s="2">
        <f>IF(G791="","",E791/1000*G791)</f>
        <v/>
      </c>
      <c r="I791" s="2" t="inlineStr">
        <is>
          <t>Owner flour price; flour performance requires trial</t>
        </is>
      </c>
      <c r="J791" s="2" t="inlineStr"/>
    </row>
    <row r="792">
      <c r="A792" s="2" t="inlineStr">
        <is>
          <t>H02</t>
        </is>
      </c>
      <c r="B792" s="2" t="inlineStr">
        <is>
          <t>Tangzhong milk loaf</t>
        </is>
      </c>
      <c r="C792" s="2" t="inlineStr">
        <is>
          <t>Main formula</t>
        </is>
      </c>
      <c r="D792" s="2" t="inlineStr">
        <is>
          <t>Water</t>
        </is>
      </c>
      <c r="E792" s="3" t="n">
        <v>530</v>
      </c>
      <c r="F792" s="3" t="n">
        <v>2650</v>
      </c>
      <c r="G792" s="2">
        <f>IF(Prices!B3="","",Prices!B3)</f>
        <v/>
      </c>
      <c r="H792" s="2">
        <f>IF(G792="","",E792/1000*G792)</f>
        <v/>
      </c>
      <c r="I792" s="2" t="inlineStr">
        <is>
          <t>Purchase quote/specification required</t>
        </is>
      </c>
      <c r="J792" s="2" t="inlineStr"/>
    </row>
    <row r="793">
      <c r="A793" s="2" t="inlineStr">
        <is>
          <t>H02</t>
        </is>
      </c>
      <c r="B793" s="2" t="inlineStr">
        <is>
          <t>Tangzhong milk loaf</t>
        </is>
      </c>
      <c r="C793" s="2" t="inlineStr">
        <is>
          <t>Main formula</t>
        </is>
      </c>
      <c r="D793" s="2" t="inlineStr">
        <is>
          <t>Millac Premium powder</t>
        </is>
      </c>
      <c r="E793" s="3" t="n">
        <v>40</v>
      </c>
      <c r="F793" s="3" t="n">
        <v>200</v>
      </c>
      <c r="G793" s="2">
        <f>IF(Prices!B109="","",Prices!B109)</f>
        <v/>
      </c>
      <c r="H793" s="2">
        <f>IF(G793="","",E793/1000*G793)</f>
        <v/>
      </c>
      <c r="I793" s="2" t="inlineStr">
        <is>
          <t>Millac fat-filled powder trial; not skim or whole milk powder</t>
        </is>
      </c>
      <c r="J793" s="2" t="inlineStr"/>
    </row>
    <row r="794">
      <c r="A794" s="2" t="inlineStr">
        <is>
          <t>H02</t>
        </is>
      </c>
      <c r="B794" s="2" t="inlineStr">
        <is>
          <t>Tangzhong milk loaf</t>
        </is>
      </c>
      <c r="C794" s="2" t="inlineStr">
        <is>
          <t>Main formula</t>
        </is>
      </c>
      <c r="D794" s="2" t="inlineStr">
        <is>
          <t>Sugar</t>
        </is>
      </c>
      <c r="E794" s="3" t="n">
        <v>100</v>
      </c>
      <c r="F794" s="3" t="n">
        <v>500</v>
      </c>
      <c r="G794" s="2">
        <f>IF(Prices!B4="","",Prices!B4)</f>
        <v/>
      </c>
      <c r="H794" s="2">
        <f>IF(G794="","",E794/1000*G794)</f>
        <v/>
      </c>
      <c r="I794" s="2" t="inlineStr">
        <is>
          <t>Owner granulated sugar price; grind specification must match</t>
        </is>
      </c>
      <c r="J794" s="2" t="inlineStr"/>
    </row>
    <row r="795">
      <c r="A795" s="2" t="inlineStr">
        <is>
          <t>H02</t>
        </is>
      </c>
      <c r="B795" s="2" t="inlineStr">
        <is>
          <t>Tangzhong milk loaf</t>
        </is>
      </c>
      <c r="C795" s="2" t="inlineStr">
        <is>
          <t>Main formula</t>
        </is>
      </c>
      <c r="D795" s="2" t="inlineStr">
        <is>
          <t>Roma margarine</t>
        </is>
      </c>
      <c r="E795" s="3" t="n">
        <v>80</v>
      </c>
      <c r="F795" s="3" t="n">
        <v>400</v>
      </c>
      <c r="G795" s="2">
        <f>IF(Prices!B110="","",Prices!B110)</f>
        <v/>
      </c>
      <c r="H795" s="2">
        <f>IF(G795="","",E795/1000*G795)</f>
        <v/>
      </c>
      <c r="I795" s="2" t="inlineStr">
        <is>
          <t>Roma; fat, salt and application suitability unconfirmed</t>
        </is>
      </c>
      <c r="J795" s="2" t="inlineStr"/>
    </row>
    <row r="796">
      <c r="A796" s="2" t="inlineStr">
        <is>
          <t>H02</t>
        </is>
      </c>
      <c r="B796" s="2" t="inlineStr">
        <is>
          <t>Tangzhong milk loaf</t>
        </is>
      </c>
      <c r="C796" s="2" t="inlineStr">
        <is>
          <t>Main formula</t>
        </is>
      </c>
      <c r="D796" s="2" t="inlineStr">
        <is>
          <t>Egg edible mass</t>
        </is>
      </c>
      <c r="E796" s="3" t="n">
        <v>100</v>
      </c>
      <c r="F796" s="3" t="n">
        <v>500</v>
      </c>
      <c r="G796" s="2">
        <f>IF(Prices!B119="","",Prices!B119)</f>
        <v/>
      </c>
      <c r="H796" s="2">
        <f>IF(G796="","",E796/1000*G796)</f>
        <v/>
      </c>
      <c r="I796" s="2" t="inlineStr">
        <is>
          <t>Purchase quote/specification required</t>
        </is>
      </c>
      <c r="J796" s="2" t="inlineStr"/>
    </row>
    <row r="797">
      <c r="A797" s="2" t="inlineStr">
        <is>
          <t>H02</t>
        </is>
      </c>
      <c r="B797" s="2" t="inlineStr">
        <is>
          <t>Tangzhong milk loaf</t>
        </is>
      </c>
      <c r="C797" s="2" t="inlineStr">
        <is>
          <t>Main formula</t>
        </is>
      </c>
      <c r="D797" s="2" t="inlineStr">
        <is>
          <t>Salt</t>
        </is>
      </c>
      <c r="E797" s="3" t="n">
        <v>18</v>
      </c>
      <c r="F797" s="3" t="n">
        <v>90</v>
      </c>
      <c r="G797" s="2">
        <f>IF(Prices!B6="","",Prices!B6)</f>
        <v/>
      </c>
      <c r="H797" s="2">
        <f>IF(G797="","",E797/1000*G797)</f>
        <v/>
      </c>
      <c r="I797" s="2" t="inlineStr">
        <is>
          <t>Owner price</t>
        </is>
      </c>
      <c r="J797" s="2" t="inlineStr"/>
    </row>
    <row r="798">
      <c r="A798" s="2" t="inlineStr">
        <is>
          <t>H02</t>
        </is>
      </c>
      <c r="B798" s="2" t="inlineStr">
        <is>
          <t>Tangzhong milk loaf</t>
        </is>
      </c>
      <c r="C798" s="2" t="inlineStr">
        <is>
          <t>Main formula</t>
        </is>
      </c>
      <c r="D798" s="2" t="inlineStr">
        <is>
          <t>Nevada instant dry yeast</t>
        </is>
      </c>
      <c r="E798" s="3" t="n">
        <v>12</v>
      </c>
      <c r="F798" s="3" t="n">
        <v>60</v>
      </c>
      <c r="G798" s="2">
        <f>IF(Prices!B72="","",Prices!B72)</f>
        <v/>
      </c>
      <c r="H798" s="2">
        <f>IF(G798="","",E798/1000*G798)</f>
        <v/>
      </c>
      <c r="I798" s="2" t="inlineStr">
        <is>
          <t>Nevada instant dry; sweet-dough suitability requires trial</t>
        </is>
      </c>
      <c r="J798" s="2" t="inlineStr"/>
    </row>
    <row r="799">
      <c r="A799" s="2" t="inlineStr">
        <is>
          <t>H03</t>
        </is>
      </c>
      <c r="B799" s="2" t="inlineStr">
        <is>
          <t>Open crumb ciabatta</t>
        </is>
      </c>
      <c r="C799" s="2" t="inlineStr">
        <is>
          <t>Main formula</t>
        </is>
      </c>
      <c r="D799" s="2" t="inlineStr">
        <is>
          <t>Bread flour</t>
        </is>
      </c>
      <c r="E799" s="3" t="n">
        <v>1000</v>
      </c>
      <c r="F799" s="3" t="n">
        <v>5000</v>
      </c>
      <c r="G799" s="2">
        <f>IF(Prices!B2="","",Prices!B2)</f>
        <v/>
      </c>
      <c r="H799" s="2">
        <f>IF(G799="","",E799/1000*G799)</f>
        <v/>
      </c>
      <c r="I799" s="2" t="inlineStr">
        <is>
          <t>Owner flour price; flour performance requires trial</t>
        </is>
      </c>
      <c r="J799" s="2" t="inlineStr"/>
    </row>
    <row r="800">
      <c r="A800" s="2" t="inlineStr">
        <is>
          <t>H03</t>
        </is>
      </c>
      <c r="B800" s="2" t="inlineStr">
        <is>
          <t>Open crumb ciabatta</t>
        </is>
      </c>
      <c r="C800" s="2" t="inlineStr">
        <is>
          <t>Main formula</t>
        </is>
      </c>
      <c r="D800" s="2" t="inlineStr">
        <is>
          <t>Water</t>
        </is>
      </c>
      <c r="E800" s="3" t="n">
        <v>780</v>
      </c>
      <c r="F800" s="3" t="n">
        <v>3900</v>
      </c>
      <c r="G800" s="2">
        <f>IF(Prices!B3="","",Prices!B3)</f>
        <v/>
      </c>
      <c r="H800" s="2">
        <f>IF(G800="","",E800/1000*G800)</f>
        <v/>
      </c>
      <c r="I800" s="2" t="inlineStr">
        <is>
          <t>Purchase quote/specification required</t>
        </is>
      </c>
      <c r="J800" s="2" t="inlineStr"/>
    </row>
    <row r="801">
      <c r="A801" s="2" t="inlineStr">
        <is>
          <t>H03</t>
        </is>
      </c>
      <c r="B801" s="2" t="inlineStr">
        <is>
          <t>Open crumb ciabatta</t>
        </is>
      </c>
      <c r="C801" s="2" t="inlineStr">
        <is>
          <t>Main formula</t>
        </is>
      </c>
      <c r="D801" s="2" t="inlineStr">
        <is>
          <t>Salt</t>
        </is>
      </c>
      <c r="E801" s="3" t="n">
        <v>20</v>
      </c>
      <c r="F801" s="3" t="n">
        <v>100</v>
      </c>
      <c r="G801" s="2">
        <f>IF(Prices!B6="","",Prices!B6)</f>
        <v/>
      </c>
      <c r="H801" s="2">
        <f>IF(G801="","",E801/1000*G801)</f>
        <v/>
      </c>
      <c r="I801" s="2" t="inlineStr">
        <is>
          <t>Owner price</t>
        </is>
      </c>
      <c r="J801" s="2" t="inlineStr"/>
    </row>
    <row r="802">
      <c r="A802" s="2" t="inlineStr">
        <is>
          <t>H03</t>
        </is>
      </c>
      <c r="B802" s="2" t="inlineStr">
        <is>
          <t>Open crumb ciabatta</t>
        </is>
      </c>
      <c r="C802" s="2" t="inlineStr">
        <is>
          <t>Main formula</t>
        </is>
      </c>
      <c r="D802" s="2" t="inlineStr">
        <is>
          <t>Nevada instant dry yeast</t>
        </is>
      </c>
      <c r="E802" s="3" t="n">
        <v>5</v>
      </c>
      <c r="F802" s="3" t="n">
        <v>25</v>
      </c>
      <c r="G802" s="2">
        <f>IF(Prices!B72="","",Prices!B72)</f>
        <v/>
      </c>
      <c r="H802" s="2">
        <f>IF(G802="","",E802/1000*G802)</f>
        <v/>
      </c>
      <c r="I802" s="2" t="inlineStr">
        <is>
          <t>Nevada instant dry; sweet-dough suitability requires trial</t>
        </is>
      </c>
      <c r="J802" s="2" t="inlineStr"/>
    </row>
    <row r="803">
      <c r="A803" s="2" t="inlineStr">
        <is>
          <t>H03</t>
        </is>
      </c>
      <c r="B803" s="2" t="inlineStr">
        <is>
          <t>Open crumb ciabatta</t>
        </is>
      </c>
      <c r="C803" s="2" t="inlineStr">
        <is>
          <t>Main formula</t>
        </is>
      </c>
      <c r="D803" s="2" t="inlineStr">
        <is>
          <t>Neutral food-grade oil</t>
        </is>
      </c>
      <c r="E803" s="3" t="n">
        <v>20</v>
      </c>
      <c r="F803" s="3" t="n">
        <v>100</v>
      </c>
      <c r="G803" s="2">
        <f>IF(Prices!B115="","",Prices!B115)</f>
        <v/>
      </c>
      <c r="H803" s="2">
        <f>IF(G803="","",E803/1000*G803)</f>
        <v/>
      </c>
      <c r="I803" s="2" t="inlineStr">
        <is>
          <t>PROVISIONAL 0.92 kg/L; correct after weighing</t>
        </is>
      </c>
      <c r="J803" s="2" t="inlineStr"/>
    </row>
    <row r="804">
      <c r="A804" s="2" t="inlineStr">
        <is>
          <t>H04</t>
        </is>
      </c>
      <c r="B804" s="2" t="inlineStr">
        <is>
          <t>Fifty percent whole wheat loaf</t>
        </is>
      </c>
      <c r="C804" s="2" t="inlineStr">
        <is>
          <t>Main formula</t>
        </is>
      </c>
      <c r="D804" s="2" t="inlineStr">
        <is>
          <t>Whole wheat flour</t>
        </is>
      </c>
      <c r="E804" s="3" t="n">
        <v>500</v>
      </c>
      <c r="F804" s="3" t="n">
        <v>2500</v>
      </c>
      <c r="G804" s="2">
        <f>IF(Prices!B120="","",Prices!B120)</f>
        <v/>
      </c>
      <c r="H804" s="2">
        <f>IF(G804="","",E804/1000*G804)</f>
        <v/>
      </c>
      <c r="I804" s="2" t="inlineStr">
        <is>
          <t>Purchase quote/specification required</t>
        </is>
      </c>
      <c r="J804" s="2" t="inlineStr"/>
    </row>
    <row r="805">
      <c r="A805" s="2" t="inlineStr">
        <is>
          <t>H04</t>
        </is>
      </c>
      <c r="B805" s="2" t="inlineStr">
        <is>
          <t>Fifty percent whole wheat loaf</t>
        </is>
      </c>
      <c r="C805" s="2" t="inlineStr">
        <is>
          <t>Main formula</t>
        </is>
      </c>
      <c r="D805" s="2" t="inlineStr">
        <is>
          <t>Bread flour</t>
        </is>
      </c>
      <c r="E805" s="3" t="n">
        <v>500</v>
      </c>
      <c r="F805" s="3" t="n">
        <v>2500</v>
      </c>
      <c r="G805" s="2">
        <f>IF(Prices!B2="","",Prices!B2)</f>
        <v/>
      </c>
      <c r="H805" s="2">
        <f>IF(G805="","",E805/1000*G805)</f>
        <v/>
      </c>
      <c r="I805" s="2" t="inlineStr">
        <is>
          <t>Owner flour price; flour performance requires trial</t>
        </is>
      </c>
      <c r="J805" s="2" t="inlineStr"/>
    </row>
    <row r="806">
      <c r="A806" s="2" t="inlineStr">
        <is>
          <t>H04</t>
        </is>
      </c>
      <c r="B806" s="2" t="inlineStr">
        <is>
          <t>Fifty percent whole wheat loaf</t>
        </is>
      </c>
      <c r="C806" s="2" t="inlineStr">
        <is>
          <t>Main formula</t>
        </is>
      </c>
      <c r="D806" s="2" t="inlineStr">
        <is>
          <t>Water</t>
        </is>
      </c>
      <c r="E806" s="3" t="n">
        <v>650</v>
      </c>
      <c r="F806" s="3" t="n">
        <v>3250</v>
      </c>
      <c r="G806" s="2">
        <f>IF(Prices!B3="","",Prices!B3)</f>
        <v/>
      </c>
      <c r="H806" s="2">
        <f>IF(G806="","",E806/1000*G806)</f>
        <v/>
      </c>
      <c r="I806" s="2" t="inlineStr">
        <is>
          <t>Purchase quote/specification required</t>
        </is>
      </c>
      <c r="J806" s="2" t="inlineStr"/>
    </row>
    <row r="807">
      <c r="A807" s="2" t="inlineStr">
        <is>
          <t>H04</t>
        </is>
      </c>
      <c r="B807" s="2" t="inlineStr">
        <is>
          <t>Fifty percent whole wheat loaf</t>
        </is>
      </c>
      <c r="C807" s="2" t="inlineStr">
        <is>
          <t>Main formula</t>
        </is>
      </c>
      <c r="D807" s="2" t="inlineStr">
        <is>
          <t>Honey</t>
        </is>
      </c>
      <c r="E807" s="3" t="n">
        <v>50</v>
      </c>
      <c r="F807" s="3" t="n">
        <v>250</v>
      </c>
      <c r="G807" s="2">
        <f>IF(Prices!B121="","",Prices!B121)</f>
        <v/>
      </c>
      <c r="H807" s="2">
        <f>IF(G807="","",E807/1000*G807)</f>
        <v/>
      </c>
      <c r="I807" s="2" t="inlineStr">
        <is>
          <t>Purchase quote/specification required</t>
        </is>
      </c>
      <c r="J807" s="2" t="inlineStr"/>
    </row>
    <row r="808">
      <c r="A808" s="2" t="inlineStr">
        <is>
          <t>H04</t>
        </is>
      </c>
      <c r="B808" s="2" t="inlineStr">
        <is>
          <t>Fifty percent whole wheat loaf</t>
        </is>
      </c>
      <c r="C808" s="2" t="inlineStr">
        <is>
          <t>Main formula</t>
        </is>
      </c>
      <c r="D808" s="2" t="inlineStr">
        <is>
          <t>Neutral food-grade oil</t>
        </is>
      </c>
      <c r="E808" s="3" t="n">
        <v>40</v>
      </c>
      <c r="F808" s="3" t="n">
        <v>200</v>
      </c>
      <c r="G808" s="2">
        <f>IF(Prices!B115="","",Prices!B115)</f>
        <v/>
      </c>
      <c r="H808" s="2">
        <f>IF(G808="","",E808/1000*G808)</f>
        <v/>
      </c>
      <c r="I808" s="2" t="inlineStr">
        <is>
          <t>PROVISIONAL 0.92 kg/L; correct after weighing</t>
        </is>
      </c>
      <c r="J808" s="2" t="inlineStr"/>
    </row>
    <row r="809">
      <c r="A809" s="2" t="inlineStr">
        <is>
          <t>H04</t>
        </is>
      </c>
      <c r="B809" s="2" t="inlineStr">
        <is>
          <t>Fifty percent whole wheat loaf</t>
        </is>
      </c>
      <c r="C809" s="2" t="inlineStr">
        <is>
          <t>Main formula</t>
        </is>
      </c>
      <c r="D809" s="2" t="inlineStr">
        <is>
          <t>Salt</t>
        </is>
      </c>
      <c r="E809" s="3" t="n">
        <v>20</v>
      </c>
      <c r="F809" s="3" t="n">
        <v>100</v>
      </c>
      <c r="G809" s="2">
        <f>IF(Prices!B6="","",Prices!B6)</f>
        <v/>
      </c>
      <c r="H809" s="2">
        <f>IF(G809="","",E809/1000*G809)</f>
        <v/>
      </c>
      <c r="I809" s="2" t="inlineStr">
        <is>
          <t>Owner price</t>
        </is>
      </c>
      <c r="J809" s="2" t="inlineStr"/>
    </row>
    <row r="810">
      <c r="A810" s="2" t="inlineStr">
        <is>
          <t>H04</t>
        </is>
      </c>
      <c r="B810" s="2" t="inlineStr">
        <is>
          <t>Fifty percent whole wheat loaf</t>
        </is>
      </c>
      <c r="C810" s="2" t="inlineStr">
        <is>
          <t>Main formula</t>
        </is>
      </c>
      <c r="D810" s="2" t="inlineStr">
        <is>
          <t>Nevada instant dry yeast</t>
        </is>
      </c>
      <c r="E810" s="3" t="n">
        <v>7</v>
      </c>
      <c r="F810" s="3" t="n">
        <v>35</v>
      </c>
      <c r="G810" s="2">
        <f>IF(Prices!B72="","",Prices!B72)</f>
        <v/>
      </c>
      <c r="H810" s="2">
        <f>IF(G810="","",E810/1000*G810)</f>
        <v/>
      </c>
      <c r="I810" s="2" t="inlineStr">
        <is>
          <t>Nevada instant dry; sweet-dough suitability requires trial</t>
        </is>
      </c>
      <c r="J810" s="2" t="inlineStr"/>
    </row>
    <row r="811">
      <c r="A811" s="2" t="inlineStr">
        <is>
          <t>H05</t>
        </is>
      </c>
      <c r="B811" s="2" t="inlineStr">
        <is>
          <t>Danisa style margarine biscuits</t>
        </is>
      </c>
      <c r="C811" s="2" t="inlineStr">
        <is>
          <t>Main formula</t>
        </is>
      </c>
      <c r="D811" s="2" t="inlineStr">
        <is>
          <t>Bread flour</t>
        </is>
      </c>
      <c r="E811" s="3" t="n">
        <v>1000</v>
      </c>
      <c r="F811" s="3" t="n">
        <v>5000</v>
      </c>
      <c r="G811" s="2">
        <f>IF(Prices!B2="","",Prices!B2)</f>
        <v/>
      </c>
      <c r="H811" s="2">
        <f>IF(G811="","",E811/1000*G811)</f>
        <v/>
      </c>
      <c r="I811" s="2" t="inlineStr">
        <is>
          <t>Owner flour price; flour performance requires trial</t>
        </is>
      </c>
      <c r="J811" s="2" t="inlineStr"/>
    </row>
    <row r="812">
      <c r="A812" s="2" t="inlineStr">
        <is>
          <t>H05</t>
        </is>
      </c>
      <c r="B812" s="2" t="inlineStr">
        <is>
          <t>Danisa style margarine biscuits</t>
        </is>
      </c>
      <c r="C812" s="2" t="inlineStr">
        <is>
          <t>Main formula</t>
        </is>
      </c>
      <c r="D812" s="2" t="inlineStr">
        <is>
          <t>Roma margarine</t>
        </is>
      </c>
      <c r="E812" s="3" t="n">
        <v>500</v>
      </c>
      <c r="F812" s="3" t="n">
        <v>2500</v>
      </c>
      <c r="G812" s="2">
        <f>IF(Prices!B110="","",Prices!B110)</f>
        <v/>
      </c>
      <c r="H812" s="2">
        <f>IF(G812="","",E812/1000*G812)</f>
        <v/>
      </c>
      <c r="I812" s="2" t="inlineStr">
        <is>
          <t>Roma; fat, salt and application suitability unconfirmed</t>
        </is>
      </c>
      <c r="J812" s="2" t="inlineStr"/>
    </row>
    <row r="813">
      <c r="A813" s="2" t="inlineStr">
        <is>
          <t>H05</t>
        </is>
      </c>
      <c r="B813" s="2" t="inlineStr">
        <is>
          <t>Danisa style margarine biscuits</t>
        </is>
      </c>
      <c r="C813" s="2" t="inlineStr">
        <is>
          <t>Main formula</t>
        </is>
      </c>
      <c r="D813" s="2" t="inlineStr">
        <is>
          <t>Sugar</t>
        </is>
      </c>
      <c r="E813" s="3" t="n">
        <v>278</v>
      </c>
      <c r="F813" s="3" t="n">
        <v>1390</v>
      </c>
      <c r="G813" s="2">
        <f>IF(Prices!B4="","",Prices!B4)</f>
        <v/>
      </c>
      <c r="H813" s="2">
        <f>IF(G813="","",E813/1000*G813)</f>
        <v/>
      </c>
      <c r="I813" s="2" t="inlineStr">
        <is>
          <t>Owner granulated sugar price; grind specification must match</t>
        </is>
      </c>
      <c r="J813" s="2" t="inlineStr"/>
    </row>
    <row r="814">
      <c r="A814" s="2" t="inlineStr">
        <is>
          <t>H05</t>
        </is>
      </c>
      <c r="B814" s="2" t="inlineStr">
        <is>
          <t>Danisa style margarine biscuits</t>
        </is>
      </c>
      <c r="C814" s="2" t="inlineStr">
        <is>
          <t>Main formula</t>
        </is>
      </c>
      <c r="D814" s="2" t="inlineStr">
        <is>
          <t>Millac Premium powder</t>
        </is>
      </c>
      <c r="E814" s="3" t="n">
        <v>50</v>
      </c>
      <c r="F814" s="3" t="n">
        <v>250</v>
      </c>
      <c r="G814" s="2">
        <f>IF(Prices!B109="","",Prices!B109)</f>
        <v/>
      </c>
      <c r="H814" s="2">
        <f>IF(G814="","",E814/1000*G814)</f>
        <v/>
      </c>
      <c r="I814" s="2" t="inlineStr">
        <is>
          <t>Millac fat-filled powder trial; not skim or whole milk powder</t>
        </is>
      </c>
      <c r="J814" s="2" t="inlineStr"/>
    </row>
    <row r="815">
      <c r="A815" s="2" t="inlineStr">
        <is>
          <t>H05</t>
        </is>
      </c>
      <c r="B815" s="2" t="inlineStr">
        <is>
          <t>Danisa style margarine biscuits</t>
        </is>
      </c>
      <c r="C815" s="2" t="inlineStr">
        <is>
          <t>Main formula</t>
        </is>
      </c>
      <c r="D815" s="2" t="inlineStr">
        <is>
          <t>Egg edible mass</t>
        </is>
      </c>
      <c r="E815" s="3" t="n">
        <v>139</v>
      </c>
      <c r="F815" s="3" t="n">
        <v>695</v>
      </c>
      <c r="G815" s="2">
        <f>IF(Prices!B119="","",Prices!B119)</f>
        <v/>
      </c>
      <c r="H815" s="2">
        <f>IF(G815="","",E815/1000*G815)</f>
        <v/>
      </c>
      <c r="I815" s="2" t="inlineStr">
        <is>
          <t>Purchase quote/specification required</t>
        </is>
      </c>
      <c r="J815" s="2" t="inlineStr"/>
    </row>
    <row r="816">
      <c r="A816" s="2" t="inlineStr">
        <is>
          <t>H05</t>
        </is>
      </c>
      <c r="B816" s="2" t="inlineStr">
        <is>
          <t>Danisa style margarine biscuits</t>
        </is>
      </c>
      <c r="C816" s="2" t="inlineStr">
        <is>
          <t>Main formula</t>
        </is>
      </c>
      <c r="D816" s="2" t="inlineStr">
        <is>
          <t>Salt</t>
        </is>
      </c>
      <c r="E816" s="3" t="n">
        <v>6</v>
      </c>
      <c r="F816" s="3" t="n">
        <v>30</v>
      </c>
      <c r="G816" s="2">
        <f>IF(Prices!B6="","",Prices!B6)</f>
        <v/>
      </c>
      <c r="H816" s="2">
        <f>IF(G816="","",E816/1000*G816)</f>
        <v/>
      </c>
      <c r="I816" s="2" t="inlineStr">
        <is>
          <t>Owner price</t>
        </is>
      </c>
      <c r="J816" s="2" t="inlineStr"/>
    </row>
    <row r="817">
      <c r="A817" s="2" t="inlineStr">
        <is>
          <t>H06</t>
        </is>
      </c>
      <c r="B817" s="2" t="inlineStr">
        <is>
          <t>Melto short margarine biscuits</t>
        </is>
      </c>
      <c r="C817" s="2" t="inlineStr">
        <is>
          <t>Main formula</t>
        </is>
      </c>
      <c r="D817" s="2" t="inlineStr">
        <is>
          <t>Bread flour</t>
        </is>
      </c>
      <c r="E817" s="3" t="n">
        <v>1000</v>
      </c>
      <c r="F817" s="3" t="n">
        <v>5000</v>
      </c>
      <c r="G817" s="2">
        <f>IF(Prices!B2="","",Prices!B2)</f>
        <v/>
      </c>
      <c r="H817" s="2">
        <f>IF(G817="","",E817/1000*G817)</f>
        <v/>
      </c>
      <c r="I817" s="2" t="inlineStr">
        <is>
          <t>Owner flour price; flour performance requires trial</t>
        </is>
      </c>
      <c r="J817" s="2" t="inlineStr"/>
    </row>
    <row r="818">
      <c r="A818" s="2" t="inlineStr">
        <is>
          <t>H06</t>
        </is>
      </c>
      <c r="B818" s="2" t="inlineStr">
        <is>
          <t>Melto short margarine biscuits</t>
        </is>
      </c>
      <c r="C818" s="2" t="inlineStr">
        <is>
          <t>Main formula</t>
        </is>
      </c>
      <c r="D818" s="2" t="inlineStr">
        <is>
          <t>Roma margarine</t>
        </is>
      </c>
      <c r="E818" s="3" t="n">
        <v>445</v>
      </c>
      <c r="F818" s="3" t="n">
        <v>2225</v>
      </c>
      <c r="G818" s="2">
        <f>IF(Prices!B110="","",Prices!B110)</f>
        <v/>
      </c>
      <c r="H818" s="2">
        <f>IF(G818="","",E818/1000*G818)</f>
        <v/>
      </c>
      <c r="I818" s="2" t="inlineStr">
        <is>
          <t>Roma; fat, salt and application suitability unconfirmed</t>
        </is>
      </c>
      <c r="J818" s="2" t="inlineStr"/>
    </row>
    <row r="819">
      <c r="A819" s="2" t="inlineStr">
        <is>
          <t>H06</t>
        </is>
      </c>
      <c r="B819" s="2" t="inlineStr">
        <is>
          <t>Melto short margarine biscuits</t>
        </is>
      </c>
      <c r="C819" s="2" t="inlineStr">
        <is>
          <t>Main formula</t>
        </is>
      </c>
      <c r="D819" s="2" t="inlineStr">
        <is>
          <t>Sugar</t>
        </is>
      </c>
      <c r="E819" s="3" t="n">
        <v>90</v>
      </c>
      <c r="F819" s="3" t="n">
        <v>450</v>
      </c>
      <c r="G819" s="2">
        <f>IF(Prices!B4="","",Prices!B4)</f>
        <v/>
      </c>
      <c r="H819" s="2">
        <f>IF(G819="","",E819/1000*G819)</f>
        <v/>
      </c>
      <c r="I819" s="2" t="inlineStr">
        <is>
          <t>Owner granulated sugar price; grind specification must match</t>
        </is>
      </c>
      <c r="J819" s="2" t="inlineStr"/>
    </row>
    <row r="820">
      <c r="A820" s="2" t="inlineStr">
        <is>
          <t>H06</t>
        </is>
      </c>
      <c r="B820" s="2" t="inlineStr">
        <is>
          <t>Melto short margarine biscuits</t>
        </is>
      </c>
      <c r="C820" s="2" t="inlineStr">
        <is>
          <t>Main formula</t>
        </is>
      </c>
      <c r="D820" s="2" t="inlineStr">
        <is>
          <t>Icing sugar</t>
        </is>
      </c>
      <c r="E820" s="3" t="n">
        <v>90</v>
      </c>
      <c r="F820" s="3" t="n">
        <v>450</v>
      </c>
      <c r="G820" s="2">
        <f>IF(Prices!B45="","",Prices!B45)</f>
        <v/>
      </c>
      <c r="H820" s="2">
        <f>IF(G820="","",E820/1000*G820)</f>
        <v/>
      </c>
      <c r="I820" s="2" t="inlineStr">
        <is>
          <t>Purchase quote/specification required</t>
        </is>
      </c>
      <c r="J820" s="2" t="inlineStr"/>
    </row>
    <row r="821">
      <c r="A821" s="2" t="inlineStr">
        <is>
          <t>H06</t>
        </is>
      </c>
      <c r="B821" s="2" t="inlineStr">
        <is>
          <t>Melto short margarine biscuits</t>
        </is>
      </c>
      <c r="C821" s="2" t="inlineStr">
        <is>
          <t>Main formula</t>
        </is>
      </c>
      <c r="D821" s="2" t="inlineStr">
        <is>
          <t>Egg edible mass</t>
        </is>
      </c>
      <c r="E821" s="3" t="n">
        <v>35</v>
      </c>
      <c r="F821" s="3" t="n">
        <v>175</v>
      </c>
      <c r="G821" s="2">
        <f>IF(Prices!B119="","",Prices!B119)</f>
        <v/>
      </c>
      <c r="H821" s="2">
        <f>IF(G821="","",E821/1000*G821)</f>
        <v/>
      </c>
      <c r="I821" s="2" t="inlineStr">
        <is>
          <t>Purchase quote/specification required</t>
        </is>
      </c>
      <c r="J821" s="2" t="inlineStr"/>
    </row>
    <row r="822">
      <c r="A822" s="2" t="inlineStr">
        <is>
          <t>H06</t>
        </is>
      </c>
      <c r="B822" s="2" t="inlineStr">
        <is>
          <t>Melto short margarine biscuits</t>
        </is>
      </c>
      <c r="C822" s="2" t="inlineStr">
        <is>
          <t>Main formula</t>
        </is>
      </c>
      <c r="D822" s="2" t="inlineStr">
        <is>
          <t>Salt</t>
        </is>
      </c>
      <c r="E822" s="3" t="n">
        <v>6</v>
      </c>
      <c r="F822" s="3" t="n">
        <v>30</v>
      </c>
      <c r="G822" s="2">
        <f>IF(Prices!B6="","",Prices!B6)</f>
        <v/>
      </c>
      <c r="H822" s="2">
        <f>IF(G822="","",E822/1000*G822)</f>
        <v/>
      </c>
      <c r="I822" s="2" t="inlineStr">
        <is>
          <t>Owner price</t>
        </is>
      </c>
      <c r="J822" s="2" t="inlineStr"/>
    </row>
    <row r="823">
      <c r="A823" s="2" t="inlineStr">
        <is>
          <t>H07</t>
        </is>
      </c>
      <c r="B823" s="2" t="inlineStr">
        <is>
          <t>Milk shortbread biscuits</t>
        </is>
      </c>
      <c r="C823" s="2" t="inlineStr">
        <is>
          <t>Main formula</t>
        </is>
      </c>
      <c r="D823" s="2" t="inlineStr">
        <is>
          <t>Bread flour</t>
        </is>
      </c>
      <c r="E823" s="3" t="n">
        <v>1000</v>
      </c>
      <c r="F823" s="3" t="n">
        <v>5000</v>
      </c>
      <c r="G823" s="2">
        <f>IF(Prices!B2="","",Prices!B2)</f>
        <v/>
      </c>
      <c r="H823" s="2">
        <f>IF(G823="","",E823/1000*G823)</f>
        <v/>
      </c>
      <c r="I823" s="2" t="inlineStr">
        <is>
          <t>Owner flour price; flour performance requires trial</t>
        </is>
      </c>
      <c r="J823" s="2" t="inlineStr"/>
    </row>
    <row r="824">
      <c r="A824" s="2" t="inlineStr">
        <is>
          <t>H07</t>
        </is>
      </c>
      <c r="B824" s="2" t="inlineStr">
        <is>
          <t>Milk shortbread biscuits</t>
        </is>
      </c>
      <c r="C824" s="2" t="inlineStr">
        <is>
          <t>Main formula</t>
        </is>
      </c>
      <c r="D824" s="2" t="inlineStr">
        <is>
          <t>Roma margarine</t>
        </is>
      </c>
      <c r="E824" s="3" t="n">
        <v>500</v>
      </c>
      <c r="F824" s="3" t="n">
        <v>2500</v>
      </c>
      <c r="G824" s="2">
        <f>IF(Prices!B110="","",Prices!B110)</f>
        <v/>
      </c>
      <c r="H824" s="2">
        <f>IF(G824="","",E824/1000*G824)</f>
        <v/>
      </c>
      <c r="I824" s="2" t="inlineStr">
        <is>
          <t>Roma; fat, salt and application suitability unconfirmed</t>
        </is>
      </c>
      <c r="J824" s="2" t="inlineStr"/>
    </row>
    <row r="825">
      <c r="A825" s="2" t="inlineStr">
        <is>
          <t>H07</t>
        </is>
      </c>
      <c r="B825" s="2" t="inlineStr">
        <is>
          <t>Milk shortbread biscuits</t>
        </is>
      </c>
      <c r="C825" s="2" t="inlineStr">
        <is>
          <t>Main formula</t>
        </is>
      </c>
      <c r="D825" s="2" t="inlineStr">
        <is>
          <t>Sugar</t>
        </is>
      </c>
      <c r="E825" s="3" t="n">
        <v>200</v>
      </c>
      <c r="F825" s="3" t="n">
        <v>1000</v>
      </c>
      <c r="G825" s="2">
        <f>IF(Prices!B4="","",Prices!B4)</f>
        <v/>
      </c>
      <c r="H825" s="2">
        <f>IF(G825="","",E825/1000*G825)</f>
        <v/>
      </c>
      <c r="I825" s="2" t="inlineStr">
        <is>
          <t>Owner granulated sugar price; grind specification must match</t>
        </is>
      </c>
      <c r="J825" s="2" t="inlineStr"/>
    </row>
    <row r="826">
      <c r="A826" s="2" t="inlineStr">
        <is>
          <t>H07</t>
        </is>
      </c>
      <c r="B826" s="2" t="inlineStr">
        <is>
          <t>Milk shortbread biscuits</t>
        </is>
      </c>
      <c r="C826" s="2" t="inlineStr">
        <is>
          <t>Main formula</t>
        </is>
      </c>
      <c r="D826" s="2" t="inlineStr">
        <is>
          <t>Icing sugar</t>
        </is>
      </c>
      <c r="E826" s="3" t="n">
        <v>50</v>
      </c>
      <c r="F826" s="3" t="n">
        <v>250</v>
      </c>
      <c r="G826" s="2">
        <f>IF(Prices!B45="","",Prices!B45)</f>
        <v/>
      </c>
      <c r="H826" s="2">
        <f>IF(G826="","",E826/1000*G826)</f>
        <v/>
      </c>
      <c r="I826" s="2" t="inlineStr">
        <is>
          <t>Purchase quote/specification required</t>
        </is>
      </c>
      <c r="J826" s="2" t="inlineStr"/>
    </row>
    <row r="827">
      <c r="A827" s="2" t="inlineStr">
        <is>
          <t>H07</t>
        </is>
      </c>
      <c r="B827" s="2" t="inlineStr">
        <is>
          <t>Milk shortbread biscuits</t>
        </is>
      </c>
      <c r="C827" s="2" t="inlineStr">
        <is>
          <t>Main formula</t>
        </is>
      </c>
      <c r="D827" s="2" t="inlineStr">
        <is>
          <t>Egg edible mass</t>
        </is>
      </c>
      <c r="E827" s="3" t="n">
        <v>50</v>
      </c>
      <c r="F827" s="3" t="n">
        <v>250</v>
      </c>
      <c r="G827" s="2">
        <f>IF(Prices!B119="","",Prices!B119)</f>
        <v/>
      </c>
      <c r="H827" s="2">
        <f>IF(G827="","",E827/1000*G827)</f>
        <v/>
      </c>
      <c r="I827" s="2" t="inlineStr">
        <is>
          <t>Purchase quote/specification required</t>
        </is>
      </c>
      <c r="J827" s="2" t="inlineStr"/>
    </row>
    <row r="828">
      <c r="A828" s="2" t="inlineStr">
        <is>
          <t>H07</t>
        </is>
      </c>
      <c r="B828" s="2" t="inlineStr">
        <is>
          <t>Milk shortbread biscuits</t>
        </is>
      </c>
      <c r="C828" s="2" t="inlineStr">
        <is>
          <t>Main formula</t>
        </is>
      </c>
      <c r="D828" s="2" t="inlineStr">
        <is>
          <t>Millac Premium powder</t>
        </is>
      </c>
      <c r="E828" s="3" t="n">
        <v>20</v>
      </c>
      <c r="F828" s="3" t="n">
        <v>100</v>
      </c>
      <c r="G828" s="2">
        <f>IF(Prices!B109="","",Prices!B109)</f>
        <v/>
      </c>
      <c r="H828" s="2">
        <f>IF(G828="","",E828/1000*G828)</f>
        <v/>
      </c>
      <c r="I828" s="2" t="inlineStr">
        <is>
          <t>Millac fat-filled powder trial; not skim or whole milk powder</t>
        </is>
      </c>
      <c r="J828" s="2" t="inlineStr"/>
    </row>
    <row r="829">
      <c r="A829" s="2" t="inlineStr">
        <is>
          <t>H07</t>
        </is>
      </c>
      <c r="B829" s="2" t="inlineStr">
        <is>
          <t>Milk shortbread biscuits</t>
        </is>
      </c>
      <c r="C829" s="2" t="inlineStr">
        <is>
          <t>Main formula</t>
        </is>
      </c>
      <c r="D829" s="2" t="inlineStr">
        <is>
          <t>Water</t>
        </is>
      </c>
      <c r="E829" s="3" t="n">
        <v>50</v>
      </c>
      <c r="F829" s="3" t="n">
        <v>250</v>
      </c>
      <c r="G829" s="2">
        <f>IF(Prices!B3="","",Prices!B3)</f>
        <v/>
      </c>
      <c r="H829" s="2">
        <f>IF(G829="","",E829/1000*G829)</f>
        <v/>
      </c>
      <c r="I829" s="2" t="inlineStr">
        <is>
          <t>Purchase quote/specification required</t>
        </is>
      </c>
      <c r="J829" s="2" t="inlineStr"/>
    </row>
    <row r="830">
      <c r="A830" s="2" t="inlineStr">
        <is>
          <t>H07</t>
        </is>
      </c>
      <c r="B830" s="2" t="inlineStr">
        <is>
          <t>Milk shortbread biscuits</t>
        </is>
      </c>
      <c r="C830" s="2" t="inlineStr">
        <is>
          <t>Main formula</t>
        </is>
      </c>
      <c r="D830" s="2" t="inlineStr">
        <is>
          <t>Salt</t>
        </is>
      </c>
      <c r="E830" s="3" t="n">
        <v>6</v>
      </c>
      <c r="F830" s="3" t="n">
        <v>30</v>
      </c>
      <c r="G830" s="2">
        <f>IF(Prices!B6="","",Prices!B6)</f>
        <v/>
      </c>
      <c r="H830" s="2">
        <f>IF(G830="","",E830/1000*G830)</f>
        <v/>
      </c>
      <c r="I830" s="2" t="inlineStr">
        <is>
          <t>Owner price</t>
        </is>
      </c>
      <c r="J830" s="2" t="inlineStr"/>
    </row>
    <row r="831">
      <c r="A831" s="2" t="inlineStr">
        <is>
          <t>H08</t>
        </is>
      </c>
      <c r="B831" s="2" t="inlineStr">
        <is>
          <t>Marble pound cake</t>
        </is>
      </c>
      <c r="C831" s="2" t="inlineStr">
        <is>
          <t>Main formula</t>
        </is>
      </c>
      <c r="D831" s="2" t="inlineStr">
        <is>
          <t>Bread flour</t>
        </is>
      </c>
      <c r="E831" s="3" t="n">
        <v>500</v>
      </c>
      <c r="F831" s="3" t="n">
        <v>2500</v>
      </c>
      <c r="G831" s="2">
        <f>IF(Prices!B2="","",Prices!B2)</f>
        <v/>
      </c>
      <c r="H831" s="2">
        <f>IF(G831="","",E831/1000*G831)</f>
        <v/>
      </c>
      <c r="I831" s="2" t="inlineStr">
        <is>
          <t>Owner flour price; flour performance requires trial</t>
        </is>
      </c>
      <c r="J831" s="2" t="inlineStr"/>
    </row>
    <row r="832">
      <c r="A832" s="2" t="inlineStr">
        <is>
          <t>H08</t>
        </is>
      </c>
      <c r="B832" s="2" t="inlineStr">
        <is>
          <t>Marble pound cake</t>
        </is>
      </c>
      <c r="C832" s="2" t="inlineStr">
        <is>
          <t>Main formula</t>
        </is>
      </c>
      <c r="D832" s="2" t="inlineStr">
        <is>
          <t>Sugar</t>
        </is>
      </c>
      <c r="E832" s="3" t="n">
        <v>500</v>
      </c>
      <c r="F832" s="3" t="n">
        <v>2500</v>
      </c>
      <c r="G832" s="2">
        <f>IF(Prices!B4="","",Prices!B4)</f>
        <v/>
      </c>
      <c r="H832" s="2">
        <f>IF(G832="","",E832/1000*G832)</f>
        <v/>
      </c>
      <c r="I832" s="2" t="inlineStr">
        <is>
          <t>Owner granulated sugar price; grind specification must match</t>
        </is>
      </c>
      <c r="J832" s="2" t="inlineStr"/>
    </row>
    <row r="833">
      <c r="A833" s="2" t="inlineStr">
        <is>
          <t>H08</t>
        </is>
      </c>
      <c r="B833" s="2" t="inlineStr">
        <is>
          <t>Marble pound cake</t>
        </is>
      </c>
      <c r="C833" s="2" t="inlineStr">
        <is>
          <t>Main formula</t>
        </is>
      </c>
      <c r="D833" s="2" t="inlineStr">
        <is>
          <t>Roma margarine</t>
        </is>
      </c>
      <c r="E833" s="3" t="n">
        <v>500</v>
      </c>
      <c r="F833" s="3" t="n">
        <v>2500</v>
      </c>
      <c r="G833" s="2">
        <f>IF(Prices!B110="","",Prices!B110)</f>
        <v/>
      </c>
      <c r="H833" s="2">
        <f>IF(G833="","",E833/1000*G833)</f>
        <v/>
      </c>
      <c r="I833" s="2" t="inlineStr">
        <is>
          <t>Roma; fat, salt and application suitability unconfirmed</t>
        </is>
      </c>
      <c r="J833" s="2" t="inlineStr"/>
    </row>
    <row r="834">
      <c r="A834" s="2" t="inlineStr">
        <is>
          <t>H08</t>
        </is>
      </c>
      <c r="B834" s="2" t="inlineStr">
        <is>
          <t>Marble pound cake</t>
        </is>
      </c>
      <c r="C834" s="2" t="inlineStr">
        <is>
          <t>Main formula</t>
        </is>
      </c>
      <c r="D834" s="2" t="inlineStr">
        <is>
          <t>Egg edible mass</t>
        </is>
      </c>
      <c r="E834" s="3" t="n">
        <v>500</v>
      </c>
      <c r="F834" s="3" t="n">
        <v>2500</v>
      </c>
      <c r="G834" s="2">
        <f>IF(Prices!B119="","",Prices!B119)</f>
        <v/>
      </c>
      <c r="H834" s="2">
        <f>IF(G834="","",E834/1000*G834)</f>
        <v/>
      </c>
      <c r="I834" s="2" t="inlineStr">
        <is>
          <t>Purchase quote/specification required</t>
        </is>
      </c>
      <c r="J834" s="2" t="inlineStr"/>
    </row>
    <row r="835">
      <c r="A835" s="2" t="inlineStr">
        <is>
          <t>H08</t>
        </is>
      </c>
      <c r="B835" s="2" t="inlineStr">
        <is>
          <t>Marble pound cake</t>
        </is>
      </c>
      <c r="C835" s="2" t="inlineStr">
        <is>
          <t>Main formula</t>
        </is>
      </c>
      <c r="D835" s="2" t="inlineStr">
        <is>
          <t>Baking powder double acting</t>
        </is>
      </c>
      <c r="E835" s="3" t="n">
        <v>8</v>
      </c>
      <c r="F835" s="3" t="n">
        <v>40</v>
      </c>
      <c r="G835" s="2">
        <f>IF(Prices!B118="","",Prices!B118)</f>
        <v/>
      </c>
      <c r="H835" s="2">
        <f>IF(G835="","",E835/1000*G835)</f>
        <v/>
      </c>
      <c r="I835" s="2" t="inlineStr">
        <is>
          <t>Purchase quote/specification required</t>
        </is>
      </c>
      <c r="J835" s="2" t="inlineStr"/>
    </row>
    <row r="836">
      <c r="A836" s="2" t="inlineStr">
        <is>
          <t>H08</t>
        </is>
      </c>
      <c r="B836" s="2" t="inlineStr">
        <is>
          <t>Marble pound cake</t>
        </is>
      </c>
      <c r="C836" s="2" t="inlineStr">
        <is>
          <t>Main formula</t>
        </is>
      </c>
      <c r="D836" s="2" t="inlineStr">
        <is>
          <t>Salt</t>
        </is>
      </c>
      <c r="E836" s="3" t="n">
        <v>3</v>
      </c>
      <c r="F836" s="3" t="n">
        <v>15</v>
      </c>
      <c r="G836" s="2">
        <f>IF(Prices!B6="","",Prices!B6)</f>
        <v/>
      </c>
      <c r="H836" s="2">
        <f>IF(G836="","",E836/1000*G836)</f>
        <v/>
      </c>
      <c r="I836" s="2" t="inlineStr">
        <is>
          <t>Owner price</t>
        </is>
      </c>
      <c r="J836" s="2" t="inlineStr"/>
    </row>
    <row r="837">
      <c r="A837" s="2" t="inlineStr">
        <is>
          <t>H08</t>
        </is>
      </c>
      <c r="B837" s="2" t="inlineStr">
        <is>
          <t>Marble pound cake</t>
        </is>
      </c>
      <c r="C837" s="2" t="inlineStr">
        <is>
          <t>Main formula</t>
        </is>
      </c>
      <c r="D837" s="2" t="inlineStr">
        <is>
          <t>Vanilla extract</t>
        </is>
      </c>
      <c r="E837" s="3" t="n">
        <v>3</v>
      </c>
      <c r="F837" s="3" t="n">
        <v>15</v>
      </c>
      <c r="G837" s="2">
        <f>IF(Prices!B122="","",Prices!B122)</f>
        <v/>
      </c>
      <c r="H837" s="2">
        <f>IF(G837="","",E837/1000*G837)</f>
        <v/>
      </c>
      <c r="I837" s="2" t="inlineStr">
        <is>
          <t>Purchase quote/specification required</t>
        </is>
      </c>
      <c r="J837" s="2" t="inlineStr"/>
    </row>
    <row r="838">
      <c r="A838" s="2" t="inlineStr">
        <is>
          <t>H08</t>
        </is>
      </c>
      <c r="B838" s="2" t="inlineStr">
        <is>
          <t>Marble pound cake</t>
        </is>
      </c>
      <c r="C838" s="2" t="inlineStr">
        <is>
          <t>Main formula</t>
        </is>
      </c>
      <c r="D838" s="2" t="inlineStr">
        <is>
          <t>Unsweetened cocoa</t>
        </is>
      </c>
      <c r="E838" s="3" t="n">
        <v>25</v>
      </c>
      <c r="F838" s="3" t="n">
        <v>125</v>
      </c>
      <c r="G838" s="2">
        <f>IF(Prices!B123="","",Prices!B123)</f>
        <v/>
      </c>
      <c r="H838" s="2">
        <f>IF(G838="","",E838/1000*G838)</f>
        <v/>
      </c>
      <c r="I838" s="2" t="inlineStr">
        <is>
          <t>Purchase quote/specification required</t>
        </is>
      </c>
      <c r="J838" s="2" t="inlineStr"/>
    </row>
    <row r="839">
      <c r="A839" s="2" t="inlineStr">
        <is>
          <t>H08</t>
        </is>
      </c>
      <c r="B839" s="2" t="inlineStr">
        <is>
          <t>Marble pound cake</t>
        </is>
      </c>
      <c r="C839" s="2" t="inlineStr">
        <is>
          <t>Main formula</t>
        </is>
      </c>
      <c r="D839" s="2" t="inlineStr">
        <is>
          <t>Water</t>
        </is>
      </c>
      <c r="E839" s="3" t="n">
        <v>25</v>
      </c>
      <c r="F839" s="3" t="n">
        <v>125</v>
      </c>
      <c r="G839" s="2">
        <f>IF(Prices!B3="","",Prices!B3)</f>
        <v/>
      </c>
      <c r="H839" s="2">
        <f>IF(G839="","",E839/1000*G839)</f>
        <v/>
      </c>
      <c r="I839" s="2" t="inlineStr">
        <is>
          <t>Purchase quote/specification required</t>
        </is>
      </c>
      <c r="J839" s="2" t="inlineStr"/>
    </row>
    <row r="840">
      <c r="A840" s="2" t="inlineStr">
        <is>
          <t>H09</t>
        </is>
      </c>
      <c r="B840" s="2" t="inlineStr">
        <is>
          <t>Plain genoise sponge</t>
        </is>
      </c>
      <c r="C840" s="2" t="inlineStr">
        <is>
          <t>Main formula</t>
        </is>
      </c>
      <c r="D840" s="2" t="inlineStr">
        <is>
          <t>Bread flour</t>
        </is>
      </c>
      <c r="E840" s="3" t="n">
        <v>500</v>
      </c>
      <c r="F840" s="3" t="n">
        <v>2500</v>
      </c>
      <c r="G840" s="2">
        <f>IF(Prices!B2="","",Prices!B2)</f>
        <v/>
      </c>
      <c r="H840" s="2">
        <f>IF(G840="","",E840/1000*G840)</f>
        <v/>
      </c>
      <c r="I840" s="2" t="inlineStr">
        <is>
          <t>Owner flour price; flour performance requires trial</t>
        </is>
      </c>
      <c r="J840" s="2" t="inlineStr"/>
    </row>
    <row r="841">
      <c r="A841" s="2" t="inlineStr">
        <is>
          <t>H09</t>
        </is>
      </c>
      <c r="B841" s="2" t="inlineStr">
        <is>
          <t>Plain genoise sponge</t>
        </is>
      </c>
      <c r="C841" s="2" t="inlineStr">
        <is>
          <t>Main formula</t>
        </is>
      </c>
      <c r="D841" s="2" t="inlineStr">
        <is>
          <t>Egg edible mass</t>
        </is>
      </c>
      <c r="E841" s="3" t="n">
        <v>850</v>
      </c>
      <c r="F841" s="3" t="n">
        <v>4250</v>
      </c>
      <c r="G841" s="2">
        <f>IF(Prices!B119="","",Prices!B119)</f>
        <v/>
      </c>
      <c r="H841" s="2">
        <f>IF(G841="","",E841/1000*G841)</f>
        <v/>
      </c>
      <c r="I841" s="2" t="inlineStr">
        <is>
          <t>Purchase quote/specification required</t>
        </is>
      </c>
      <c r="J841" s="2" t="inlineStr"/>
    </row>
    <row r="842">
      <c r="A842" s="2" t="inlineStr">
        <is>
          <t>H09</t>
        </is>
      </c>
      <c r="B842" s="2" t="inlineStr">
        <is>
          <t>Plain genoise sponge</t>
        </is>
      </c>
      <c r="C842" s="2" t="inlineStr">
        <is>
          <t>Main formula</t>
        </is>
      </c>
      <c r="D842" s="2" t="inlineStr">
        <is>
          <t>Sugar</t>
        </is>
      </c>
      <c r="E842" s="3" t="n">
        <v>500</v>
      </c>
      <c r="F842" s="3" t="n">
        <v>2500</v>
      </c>
      <c r="G842" s="2">
        <f>IF(Prices!B4="","",Prices!B4)</f>
        <v/>
      </c>
      <c r="H842" s="2">
        <f>IF(G842="","",E842/1000*G842)</f>
        <v/>
      </c>
      <c r="I842" s="2" t="inlineStr">
        <is>
          <t>Owner granulated sugar price; grind specification must match</t>
        </is>
      </c>
      <c r="J842" s="2" t="inlineStr"/>
    </row>
    <row r="843">
      <c r="A843" s="2" t="inlineStr">
        <is>
          <t>H09</t>
        </is>
      </c>
      <c r="B843" s="2" t="inlineStr">
        <is>
          <t>Plain genoise sponge</t>
        </is>
      </c>
      <c r="C843" s="2" t="inlineStr">
        <is>
          <t>Main formula</t>
        </is>
      </c>
      <c r="D843" s="2" t="inlineStr">
        <is>
          <t>Vanilla extract</t>
        </is>
      </c>
      <c r="E843" s="3" t="n">
        <v>4</v>
      </c>
      <c r="F843" s="3" t="n">
        <v>20</v>
      </c>
      <c r="G843" s="2">
        <f>IF(Prices!B122="","",Prices!B122)</f>
        <v/>
      </c>
      <c r="H843" s="2">
        <f>IF(G843="","",E843/1000*G843)</f>
        <v/>
      </c>
      <c r="I843" s="2" t="inlineStr">
        <is>
          <t>Purchase quote/specification required</t>
        </is>
      </c>
      <c r="J843" s="2" t="inlineStr"/>
    </row>
    <row r="844">
      <c r="A844" s="2" t="inlineStr">
        <is>
          <t>H10</t>
        </is>
      </c>
      <c r="B844" s="2" t="inlineStr">
        <is>
          <t>Crisp chin chin</t>
        </is>
      </c>
      <c r="C844" s="2" t="inlineStr">
        <is>
          <t>Main formula</t>
        </is>
      </c>
      <c r="D844" s="2" t="inlineStr">
        <is>
          <t>Bread flour</t>
        </is>
      </c>
      <c r="E844" s="3" t="n">
        <v>1000</v>
      </c>
      <c r="F844" s="3" t="n">
        <v>5000</v>
      </c>
      <c r="G844" s="2">
        <f>IF(Prices!B2="","",Prices!B2)</f>
        <v/>
      </c>
      <c r="H844" s="2">
        <f>IF(G844="","",E844/1000*G844)</f>
        <v/>
      </c>
      <c r="I844" s="2" t="inlineStr">
        <is>
          <t>Owner flour price; flour performance requires trial</t>
        </is>
      </c>
      <c r="J844" s="2" t="inlineStr"/>
    </row>
    <row r="845">
      <c r="A845" s="2" t="inlineStr">
        <is>
          <t>H10</t>
        </is>
      </c>
      <c r="B845" s="2" t="inlineStr">
        <is>
          <t>Crisp chin chin</t>
        </is>
      </c>
      <c r="C845" s="2" t="inlineStr">
        <is>
          <t>Main formula</t>
        </is>
      </c>
      <c r="D845" s="2" t="inlineStr">
        <is>
          <t>Sugar</t>
        </is>
      </c>
      <c r="E845" s="3" t="n">
        <v>180</v>
      </c>
      <c r="F845" s="3" t="n">
        <v>900</v>
      </c>
      <c r="G845" s="2">
        <f>IF(Prices!B4="","",Prices!B4)</f>
        <v/>
      </c>
      <c r="H845" s="2">
        <f>IF(G845="","",E845/1000*G845)</f>
        <v/>
      </c>
      <c r="I845" s="2" t="inlineStr">
        <is>
          <t>Owner granulated sugar price; grind specification must match</t>
        </is>
      </c>
      <c r="J845" s="2" t="inlineStr"/>
    </row>
    <row r="846">
      <c r="A846" s="2" t="inlineStr">
        <is>
          <t>H10</t>
        </is>
      </c>
      <c r="B846" s="2" t="inlineStr">
        <is>
          <t>Crisp chin chin</t>
        </is>
      </c>
      <c r="C846" s="2" t="inlineStr">
        <is>
          <t>Main formula</t>
        </is>
      </c>
      <c r="D846" s="2" t="inlineStr">
        <is>
          <t>Roma margarine</t>
        </is>
      </c>
      <c r="E846" s="3" t="n">
        <v>160</v>
      </c>
      <c r="F846" s="3" t="n">
        <v>800</v>
      </c>
      <c r="G846" s="2">
        <f>IF(Prices!B110="","",Prices!B110)</f>
        <v/>
      </c>
      <c r="H846" s="2">
        <f>IF(G846="","",E846/1000*G846)</f>
        <v/>
      </c>
      <c r="I846" s="2" t="inlineStr">
        <is>
          <t>Roma; fat, salt and application suitability unconfirmed</t>
        </is>
      </c>
      <c r="J846" s="2" t="inlineStr"/>
    </row>
    <row r="847">
      <c r="A847" s="2" t="inlineStr">
        <is>
          <t>H10</t>
        </is>
      </c>
      <c r="B847" s="2" t="inlineStr">
        <is>
          <t>Crisp chin chin</t>
        </is>
      </c>
      <c r="C847" s="2" t="inlineStr">
        <is>
          <t>Main formula</t>
        </is>
      </c>
      <c r="D847" s="2" t="inlineStr">
        <is>
          <t>Egg edible mass</t>
        </is>
      </c>
      <c r="E847" s="3" t="n">
        <v>300</v>
      </c>
      <c r="F847" s="3" t="n">
        <v>1500</v>
      </c>
      <c r="G847" s="2">
        <f>IF(Prices!B119="","",Prices!B119)</f>
        <v/>
      </c>
      <c r="H847" s="2">
        <f>IF(G847="","",E847/1000*G847)</f>
        <v/>
      </c>
      <c r="I847" s="2" t="inlineStr">
        <is>
          <t>Purchase quote/specification required</t>
        </is>
      </c>
      <c r="J847" s="2" t="inlineStr"/>
    </row>
    <row r="848">
      <c r="A848" s="2" t="inlineStr">
        <is>
          <t>H10</t>
        </is>
      </c>
      <c r="B848" s="2" t="inlineStr">
        <is>
          <t>Crisp chin chin</t>
        </is>
      </c>
      <c r="C848" s="2" t="inlineStr">
        <is>
          <t>Main formula</t>
        </is>
      </c>
      <c r="D848" s="2" t="inlineStr">
        <is>
          <t>Water</t>
        </is>
      </c>
      <c r="E848" s="3" t="n">
        <v>100</v>
      </c>
      <c r="F848" s="3" t="n">
        <v>500</v>
      </c>
      <c r="G848" s="2">
        <f>IF(Prices!B3="","",Prices!B3)</f>
        <v/>
      </c>
      <c r="H848" s="2">
        <f>IF(G848="","",E848/1000*G848)</f>
        <v/>
      </c>
      <c r="I848" s="2" t="inlineStr">
        <is>
          <t>Purchase quote/specification required</t>
        </is>
      </c>
      <c r="J848" s="2" t="inlineStr"/>
    </row>
    <row r="849">
      <c r="A849" s="2" t="inlineStr">
        <is>
          <t>H10</t>
        </is>
      </c>
      <c r="B849" s="2" t="inlineStr">
        <is>
          <t>Crisp chin chin</t>
        </is>
      </c>
      <c r="C849" s="2" t="inlineStr">
        <is>
          <t>Main formula</t>
        </is>
      </c>
      <c r="D849" s="2" t="inlineStr">
        <is>
          <t>Millac Premium powder</t>
        </is>
      </c>
      <c r="E849" s="3" t="n">
        <v>40</v>
      </c>
      <c r="F849" s="3" t="n">
        <v>200</v>
      </c>
      <c r="G849" s="2">
        <f>IF(Prices!B109="","",Prices!B109)</f>
        <v/>
      </c>
      <c r="H849" s="2">
        <f>IF(G849="","",E849/1000*G849)</f>
        <v/>
      </c>
      <c r="I849" s="2" t="inlineStr">
        <is>
          <t>Millac fat-filled powder trial; not skim or whole milk powder</t>
        </is>
      </c>
      <c r="J849" s="2" t="inlineStr"/>
    </row>
    <row r="850">
      <c r="A850" s="2" t="inlineStr">
        <is>
          <t>H10</t>
        </is>
      </c>
      <c r="B850" s="2" t="inlineStr">
        <is>
          <t>Crisp chin chin</t>
        </is>
      </c>
      <c r="C850" s="2" t="inlineStr">
        <is>
          <t>Main formula</t>
        </is>
      </c>
      <c r="D850" s="2" t="inlineStr">
        <is>
          <t>Salt</t>
        </is>
      </c>
      <c r="E850" s="3" t="n">
        <v>8</v>
      </c>
      <c r="F850" s="3" t="n">
        <v>40</v>
      </c>
      <c r="G850" s="2">
        <f>IF(Prices!B6="","",Prices!B6)</f>
        <v/>
      </c>
      <c r="H850" s="2">
        <f>IF(G850="","",E850/1000*G850)</f>
        <v/>
      </c>
      <c r="I850" s="2" t="inlineStr">
        <is>
          <t>Owner price</t>
        </is>
      </c>
      <c r="J850" s="2" t="inlineStr"/>
    </row>
    <row r="851">
      <c r="A851" s="2" t="inlineStr">
        <is>
          <t>H10</t>
        </is>
      </c>
      <c r="B851" s="2" t="inlineStr">
        <is>
          <t>Crisp chin chin</t>
        </is>
      </c>
      <c r="C851" s="2" t="inlineStr">
        <is>
          <t>Main formula</t>
        </is>
      </c>
      <c r="D851" s="2" t="inlineStr">
        <is>
          <t>Baking powder double acting</t>
        </is>
      </c>
      <c r="E851" s="3" t="n">
        <v>20</v>
      </c>
      <c r="F851" s="3" t="n">
        <v>100</v>
      </c>
      <c r="G851" s="2">
        <f>IF(Prices!B118="","",Prices!B118)</f>
        <v/>
      </c>
      <c r="H851" s="2">
        <f>IF(G851="","",E851/1000*G851)</f>
        <v/>
      </c>
      <c r="I851" s="2" t="inlineStr">
        <is>
          <t>Purchase quote/specification required</t>
        </is>
      </c>
      <c r="J851" s="2" t="inlineStr"/>
    </row>
    <row r="852">
      <c r="A852" s="2" t="inlineStr">
        <is>
          <t>H10</t>
        </is>
      </c>
      <c r="B852" s="2" t="inlineStr">
        <is>
          <t>Crisp chin chin</t>
        </is>
      </c>
      <c r="C852" s="2" t="inlineStr">
        <is>
          <t>Main formula</t>
        </is>
      </c>
      <c r="D852" s="2" t="inlineStr">
        <is>
          <t>Ground nutmeg</t>
        </is>
      </c>
      <c r="E852" s="3" t="n">
        <v>2</v>
      </c>
      <c r="F852" s="3" t="n">
        <v>10</v>
      </c>
      <c r="G852" s="2">
        <f>IF(Prices!B124="","",Prices!B124)</f>
        <v/>
      </c>
      <c r="H852" s="2">
        <f>IF(G852="","",E852/1000*G852)</f>
        <v/>
      </c>
      <c r="I852" s="2" t="inlineStr">
        <is>
          <t>Purchase quote/specification required</t>
        </is>
      </c>
      <c r="J852" s="2" t="inlineStr"/>
    </row>
    <row r="853">
      <c r="A853" s="2" t="inlineStr">
        <is>
          <t>H11</t>
        </is>
      </c>
      <c r="B853" s="2" t="inlineStr">
        <is>
          <t>Cake style beignets souffles</t>
        </is>
      </c>
      <c r="C853" s="2" t="inlineStr">
        <is>
          <t>Main formula</t>
        </is>
      </c>
      <c r="D853" s="2" t="inlineStr">
        <is>
          <t>Bread flour</t>
        </is>
      </c>
      <c r="E853" s="3" t="n">
        <v>1000</v>
      </c>
      <c r="F853" s="3" t="n">
        <v>5000</v>
      </c>
      <c r="G853" s="2">
        <f>IF(Prices!B2="","",Prices!B2)</f>
        <v/>
      </c>
      <c r="H853" s="2">
        <f>IF(G853="","",E853/1000*G853)</f>
        <v/>
      </c>
      <c r="I853" s="2" t="inlineStr">
        <is>
          <t>Owner flour price; flour performance requires trial</t>
        </is>
      </c>
      <c r="J853" s="2" t="inlineStr"/>
    </row>
    <row r="854">
      <c r="A854" s="2" t="inlineStr">
        <is>
          <t>H11</t>
        </is>
      </c>
      <c r="B854" s="2" t="inlineStr">
        <is>
          <t>Cake style beignets souffles</t>
        </is>
      </c>
      <c r="C854" s="2" t="inlineStr">
        <is>
          <t>Main formula</t>
        </is>
      </c>
      <c r="D854" s="2" t="inlineStr">
        <is>
          <t>Sugar</t>
        </is>
      </c>
      <c r="E854" s="3" t="n">
        <v>300</v>
      </c>
      <c r="F854" s="3" t="n">
        <v>1500</v>
      </c>
      <c r="G854" s="2">
        <f>IF(Prices!B4="","",Prices!B4)</f>
        <v/>
      </c>
      <c r="H854" s="2">
        <f>IF(G854="","",E854/1000*G854)</f>
        <v/>
      </c>
      <c r="I854" s="2" t="inlineStr">
        <is>
          <t>Owner granulated sugar price; grind specification must match</t>
        </is>
      </c>
      <c r="J854" s="2" t="inlineStr"/>
    </row>
    <row r="855">
      <c r="A855" s="2" t="inlineStr">
        <is>
          <t>H11</t>
        </is>
      </c>
      <c r="B855" s="2" t="inlineStr">
        <is>
          <t>Cake style beignets souffles</t>
        </is>
      </c>
      <c r="C855" s="2" t="inlineStr">
        <is>
          <t>Main formula</t>
        </is>
      </c>
      <c r="D855" s="2" t="inlineStr">
        <is>
          <t>Roma margarine</t>
        </is>
      </c>
      <c r="E855" s="3" t="n">
        <v>200</v>
      </c>
      <c r="F855" s="3" t="n">
        <v>1000</v>
      </c>
      <c r="G855" s="2">
        <f>IF(Prices!B110="","",Prices!B110)</f>
        <v/>
      </c>
      <c r="H855" s="2">
        <f>IF(G855="","",E855/1000*G855)</f>
        <v/>
      </c>
      <c r="I855" s="2" t="inlineStr">
        <is>
          <t>Roma; fat, salt and application suitability unconfirmed</t>
        </is>
      </c>
      <c r="J855" s="2" t="inlineStr"/>
    </row>
    <row r="856">
      <c r="A856" s="2" t="inlineStr">
        <is>
          <t>H11</t>
        </is>
      </c>
      <c r="B856" s="2" t="inlineStr">
        <is>
          <t>Cake style beignets souffles</t>
        </is>
      </c>
      <c r="C856" s="2" t="inlineStr">
        <is>
          <t>Main formula</t>
        </is>
      </c>
      <c r="D856" s="2" t="inlineStr">
        <is>
          <t>Egg edible mass</t>
        </is>
      </c>
      <c r="E856" s="3" t="n">
        <v>500</v>
      </c>
      <c r="F856" s="3" t="n">
        <v>2500</v>
      </c>
      <c r="G856" s="2">
        <f>IF(Prices!B119="","",Prices!B119)</f>
        <v/>
      </c>
      <c r="H856" s="2">
        <f>IF(G856="","",E856/1000*G856)</f>
        <v/>
      </c>
      <c r="I856" s="2" t="inlineStr">
        <is>
          <t>Purchase quote/specification required</t>
        </is>
      </c>
      <c r="J856" s="2" t="inlineStr"/>
    </row>
    <row r="857">
      <c r="A857" s="2" t="inlineStr">
        <is>
          <t>H11</t>
        </is>
      </c>
      <c r="B857" s="2" t="inlineStr">
        <is>
          <t>Cake style beignets souffles</t>
        </is>
      </c>
      <c r="C857" s="2" t="inlineStr">
        <is>
          <t>Main formula</t>
        </is>
      </c>
      <c r="D857" s="2" t="inlineStr">
        <is>
          <t>Pasteurized whole milk</t>
        </is>
      </c>
      <c r="E857" s="3" t="n">
        <v>300</v>
      </c>
      <c r="F857" s="3" t="n">
        <v>1500</v>
      </c>
      <c r="G857" s="2">
        <f>IF(Prices!B125="","",Prices!B125)</f>
        <v/>
      </c>
      <c r="H857" s="2">
        <f>IF(G857="","",E857/1000*G857)</f>
        <v/>
      </c>
      <c r="I857" s="2" t="inlineStr">
        <is>
          <t>Purchase quote/specification required</t>
        </is>
      </c>
      <c r="J857" s="2" t="inlineStr"/>
    </row>
    <row r="858">
      <c r="A858" s="2" t="inlineStr">
        <is>
          <t>H11</t>
        </is>
      </c>
      <c r="B858" s="2" t="inlineStr">
        <is>
          <t>Cake style beignets souffles</t>
        </is>
      </c>
      <c r="C858" s="2" t="inlineStr">
        <is>
          <t>Main formula</t>
        </is>
      </c>
      <c r="D858" s="2" t="inlineStr">
        <is>
          <t>Baking powder double acting</t>
        </is>
      </c>
      <c r="E858" s="3" t="n">
        <v>16</v>
      </c>
      <c r="F858" s="3" t="n">
        <v>80</v>
      </c>
      <c r="G858" s="2">
        <f>IF(Prices!B118="","",Prices!B118)</f>
        <v/>
      </c>
      <c r="H858" s="2">
        <f>IF(G858="","",E858/1000*G858)</f>
        <v/>
      </c>
      <c r="I858" s="2" t="inlineStr">
        <is>
          <t>Purchase quote/specification required</t>
        </is>
      </c>
      <c r="J858" s="2" t="inlineStr"/>
    </row>
    <row r="859">
      <c r="A859" s="2" t="inlineStr">
        <is>
          <t>H11</t>
        </is>
      </c>
      <c r="B859" s="2" t="inlineStr">
        <is>
          <t>Cake style beignets souffles</t>
        </is>
      </c>
      <c r="C859" s="2" t="inlineStr">
        <is>
          <t>Main formula</t>
        </is>
      </c>
      <c r="D859" s="2" t="inlineStr">
        <is>
          <t>Salt</t>
        </is>
      </c>
      <c r="E859" s="3" t="n">
        <v>12</v>
      </c>
      <c r="F859" s="3" t="n">
        <v>60</v>
      </c>
      <c r="G859" s="2">
        <f>IF(Prices!B6="","",Prices!B6)</f>
        <v/>
      </c>
      <c r="H859" s="2">
        <f>IF(G859="","",E859/1000*G859)</f>
        <v/>
      </c>
      <c r="I859" s="2" t="inlineStr">
        <is>
          <t>Owner price</t>
        </is>
      </c>
      <c r="J859" s="2" t="inlineStr"/>
    </row>
    <row r="860">
      <c r="A860" s="2" t="inlineStr">
        <is>
          <t>H11</t>
        </is>
      </c>
      <c r="B860" s="2" t="inlineStr">
        <is>
          <t>Cake style beignets souffles</t>
        </is>
      </c>
      <c r="C860" s="2" t="inlineStr">
        <is>
          <t>Main formula</t>
        </is>
      </c>
      <c r="D860" s="2" t="inlineStr">
        <is>
          <t>Vanilla sugar</t>
        </is>
      </c>
      <c r="E860" s="3" t="n">
        <v>20</v>
      </c>
      <c r="F860" s="3" t="n">
        <v>100</v>
      </c>
      <c r="G860" s="2">
        <f>IF(Prices!B126="","",Prices!B126)</f>
        <v/>
      </c>
      <c r="H860" s="2">
        <f>IF(G860="","",E860/1000*G860)</f>
        <v/>
      </c>
      <c r="I860" s="2" t="inlineStr">
        <is>
          <t>Purchase quote/specification required</t>
        </is>
      </c>
      <c r="J860" s="2" t="inlineStr"/>
    </row>
    <row r="861">
      <c r="A861" s="2" t="inlineStr">
        <is>
          <t>H11</t>
        </is>
      </c>
      <c r="B861" s="2" t="inlineStr">
        <is>
          <t>Cake style beignets souffles</t>
        </is>
      </c>
      <c r="C861" s="2" t="inlineStr">
        <is>
          <t>Main formula</t>
        </is>
      </c>
      <c r="D861" s="2" t="inlineStr">
        <is>
          <t>Fresh lime zest</t>
        </is>
      </c>
      <c r="E861" s="3" t="n">
        <v>4</v>
      </c>
      <c r="F861" s="3" t="n">
        <v>20</v>
      </c>
      <c r="G861" s="2">
        <f>IF(Prices!B127="","",Prices!B127)</f>
        <v/>
      </c>
      <c r="H861" s="2">
        <f>IF(G861="","",E861/1000*G861)</f>
        <v/>
      </c>
      <c r="I861" s="2" t="inlineStr">
        <is>
          <t>Purchase quote/specification required</t>
        </is>
      </c>
      <c r="J861" s="2" t="inlineStr"/>
    </row>
    <row r="862">
      <c r="A862" s="2" t="inlineStr">
        <is>
          <t>H12</t>
        </is>
      </c>
      <c r="B862" s="2" t="inlineStr">
        <is>
          <t>Laminated croissants</t>
        </is>
      </c>
      <c r="C862" s="2" t="inlineStr">
        <is>
          <t>Main formula</t>
        </is>
      </c>
      <c r="D862" s="2" t="inlineStr">
        <is>
          <t>Bread flour</t>
        </is>
      </c>
      <c r="E862" s="3" t="n">
        <v>1000</v>
      </c>
      <c r="F862" s="3" t="n">
        <v>5000</v>
      </c>
      <c r="G862" s="2">
        <f>IF(Prices!B2="","",Prices!B2)</f>
        <v/>
      </c>
      <c r="H862" s="2">
        <f>IF(G862="","",E862/1000*G862)</f>
        <v/>
      </c>
      <c r="I862" s="2" t="inlineStr">
        <is>
          <t>Owner flour price; flour performance requires trial</t>
        </is>
      </c>
      <c r="J862" s="2" t="inlineStr"/>
    </row>
    <row r="863">
      <c r="A863" s="2" t="inlineStr">
        <is>
          <t>H12</t>
        </is>
      </c>
      <c r="B863" s="2" t="inlineStr">
        <is>
          <t>Laminated croissants</t>
        </is>
      </c>
      <c r="C863" s="2" t="inlineStr">
        <is>
          <t>Main formula</t>
        </is>
      </c>
      <c r="D863" s="2" t="inlineStr">
        <is>
          <t>Water</t>
        </is>
      </c>
      <c r="E863" s="3" t="n">
        <v>550</v>
      </c>
      <c r="F863" s="3" t="n">
        <v>2750</v>
      </c>
      <c r="G863" s="2">
        <f>IF(Prices!B3="","",Prices!B3)</f>
        <v/>
      </c>
      <c r="H863" s="2">
        <f>IF(G863="","",E863/1000*G863)</f>
        <v/>
      </c>
      <c r="I863" s="2" t="inlineStr">
        <is>
          <t>Purchase quote/specification required</t>
        </is>
      </c>
      <c r="J863" s="2" t="inlineStr"/>
    </row>
    <row r="864">
      <c r="A864" s="2" t="inlineStr">
        <is>
          <t>H12</t>
        </is>
      </c>
      <c r="B864" s="2" t="inlineStr">
        <is>
          <t>Laminated croissants</t>
        </is>
      </c>
      <c r="C864" s="2" t="inlineStr">
        <is>
          <t>Main formula</t>
        </is>
      </c>
      <c r="D864" s="2" t="inlineStr">
        <is>
          <t>Sugar</t>
        </is>
      </c>
      <c r="E864" s="3" t="n">
        <v>100</v>
      </c>
      <c r="F864" s="3" t="n">
        <v>500</v>
      </c>
      <c r="G864" s="2">
        <f>IF(Prices!B4="","",Prices!B4)</f>
        <v/>
      </c>
      <c r="H864" s="2">
        <f>IF(G864="","",E864/1000*G864)</f>
        <v/>
      </c>
      <c r="I864" s="2" t="inlineStr">
        <is>
          <t>Owner granulated sugar price; grind specification must match</t>
        </is>
      </c>
      <c r="J864" s="2" t="inlineStr"/>
    </row>
    <row r="865">
      <c r="A865" s="2" t="inlineStr">
        <is>
          <t>H12</t>
        </is>
      </c>
      <c r="B865" s="2" t="inlineStr">
        <is>
          <t>Laminated croissants</t>
        </is>
      </c>
      <c r="C865" s="2" t="inlineStr">
        <is>
          <t>Main formula</t>
        </is>
      </c>
      <c r="D865" s="2" t="inlineStr">
        <is>
          <t>Roma margarine</t>
        </is>
      </c>
      <c r="E865" s="3" t="n">
        <v>40</v>
      </c>
      <c r="F865" s="3" t="n">
        <v>200</v>
      </c>
      <c r="G865" s="2">
        <f>IF(Prices!B110="","",Prices!B110)</f>
        <v/>
      </c>
      <c r="H865" s="2">
        <f>IF(G865="","",E865/1000*G865)</f>
        <v/>
      </c>
      <c r="I865" s="2" t="inlineStr">
        <is>
          <t>Roma; fat, salt and application suitability unconfirmed</t>
        </is>
      </c>
      <c r="J865" s="2" t="inlineStr"/>
    </row>
    <row r="866">
      <c r="A866" s="2" t="inlineStr">
        <is>
          <t>H12</t>
        </is>
      </c>
      <c r="B866" s="2" t="inlineStr">
        <is>
          <t>Laminated croissants</t>
        </is>
      </c>
      <c r="C866" s="2" t="inlineStr">
        <is>
          <t>Main formula</t>
        </is>
      </c>
      <c r="D866" s="2" t="inlineStr">
        <is>
          <t>Salt</t>
        </is>
      </c>
      <c r="E866" s="3" t="n">
        <v>20</v>
      </c>
      <c r="F866" s="3" t="n">
        <v>100</v>
      </c>
      <c r="G866" s="2">
        <f>IF(Prices!B6="","",Prices!B6)</f>
        <v/>
      </c>
      <c r="H866" s="2">
        <f>IF(G866="","",E866/1000*G866)</f>
        <v/>
      </c>
      <c r="I866" s="2" t="inlineStr">
        <is>
          <t>Owner price</t>
        </is>
      </c>
      <c r="J866" s="2" t="inlineStr"/>
    </row>
    <row r="867">
      <c r="A867" s="2" t="inlineStr">
        <is>
          <t>H12</t>
        </is>
      </c>
      <c r="B867" s="2" t="inlineStr">
        <is>
          <t>Laminated croissants</t>
        </is>
      </c>
      <c r="C867" s="2" t="inlineStr">
        <is>
          <t>Main formula</t>
        </is>
      </c>
      <c r="D867" s="2" t="inlineStr">
        <is>
          <t>Nevada instant dry yeast</t>
        </is>
      </c>
      <c r="E867" s="3" t="n">
        <v>15</v>
      </c>
      <c r="F867" s="3" t="n">
        <v>75</v>
      </c>
      <c r="G867" s="2">
        <f>IF(Prices!B72="","",Prices!B72)</f>
        <v/>
      </c>
      <c r="H867" s="2">
        <f>IF(G867="","",E867/1000*G867)</f>
        <v/>
      </c>
      <c r="I867" s="2" t="inlineStr">
        <is>
          <t>Nevada instant dry; sweet-dough suitability requires trial</t>
        </is>
      </c>
      <c r="J867" s="2" t="inlineStr"/>
    </row>
    <row r="868">
      <c r="A868" s="2" t="inlineStr">
        <is>
          <t>H12</t>
        </is>
      </c>
      <c r="B868" s="2" t="inlineStr">
        <is>
          <t>Laminated croissants</t>
        </is>
      </c>
      <c r="C868" s="2" t="inlineStr">
        <is>
          <t>Main formula</t>
        </is>
      </c>
      <c r="D868" s="2" t="inlineStr">
        <is>
          <t>Qualified roll-in pastry fat</t>
        </is>
      </c>
      <c r="E868" s="3" t="n">
        <v>250</v>
      </c>
      <c r="F868" s="3" t="n">
        <v>1250</v>
      </c>
      <c r="G868" s="2">
        <f>IF(Prices!B128="","",Prices!B128)</f>
        <v/>
      </c>
      <c r="H868" s="2">
        <f>IF(G868="","",E868/1000*G868)</f>
        <v/>
      </c>
      <c r="I868" s="2" t="inlineStr">
        <is>
          <t>Purchase quote/specification required</t>
        </is>
      </c>
      <c r="J868" s="2" t="inlineStr"/>
    </row>
    <row r="869">
      <c r="A869" s="2" t="inlineStr">
        <is>
          <t>H13</t>
        </is>
      </c>
      <c r="B869" s="2" t="inlineStr">
        <is>
          <t>Chocolate laminated rolls</t>
        </is>
      </c>
      <c r="C869" s="2" t="inlineStr">
        <is>
          <t>Main formula</t>
        </is>
      </c>
      <c r="D869" s="2" t="inlineStr">
        <is>
          <t>H12 Laminated croissant dough</t>
        </is>
      </c>
      <c r="E869" s="3" t="n">
        <v>1000</v>
      </c>
      <c r="F869" s="3" t="n">
        <v>5000</v>
      </c>
      <c r="G869" s="2">
        <f>IF(OR(COUNT(G862:G868)=0,Summary!D130=0),"",SUM(H862:H868)/Summary!D130*1000)</f>
        <v/>
      </c>
      <c r="H869" s="2">
        <f>IF(G869="","",E869/1000*G869)</f>
        <v/>
      </c>
      <c r="I869" s="2" t="inlineStr">
        <is>
          <t>Linked component subtotal; incomplete while any component input is unpriced. Component subtotal only</t>
        </is>
      </c>
      <c r="J869" s="2" t="inlineStr">
        <is>
          <t>H12</t>
        </is>
      </c>
    </row>
    <row r="870">
      <c r="A870" s="2" t="inlineStr">
        <is>
          <t>H13</t>
        </is>
      </c>
      <c r="B870" s="2" t="inlineStr">
        <is>
          <t>Chocolate laminated rolls</t>
        </is>
      </c>
      <c r="C870" s="2" t="inlineStr">
        <is>
          <t>Main formula</t>
        </is>
      </c>
      <c r="D870" s="2" t="inlineStr">
        <is>
          <t>Bake stable chocolate batons</t>
        </is>
      </c>
      <c r="E870" s="3" t="n">
        <v>120</v>
      </c>
      <c r="F870" s="3" t="n">
        <v>600</v>
      </c>
      <c r="G870" s="2">
        <f>IF(Prices!B129="","",Prices!B129)</f>
        <v/>
      </c>
      <c r="H870" s="2">
        <f>IF(G870="","",E870/1000*G870)</f>
        <v/>
      </c>
      <c r="I870" s="2" t="inlineStr">
        <is>
          <t>Purchase quote/specification required</t>
        </is>
      </c>
      <c r="J870" s="2" t="inlineStr"/>
    </row>
    <row r="871">
      <c r="A871" s="2" t="inlineStr">
        <is>
          <t>H14</t>
        </is>
      </c>
      <c r="B871" s="2" t="inlineStr">
        <is>
          <t>Local chocolate galette bread</t>
        </is>
      </c>
      <c r="C871" s="2" t="inlineStr">
        <is>
          <t>Main formula</t>
        </is>
      </c>
      <c r="D871" s="2" t="inlineStr">
        <is>
          <t>Bread flour</t>
        </is>
      </c>
      <c r="E871" s="3" t="n">
        <v>1000</v>
      </c>
      <c r="F871" s="3" t="n">
        <v>5000</v>
      </c>
      <c r="G871" s="2">
        <f>IF(Prices!B2="","",Prices!B2)</f>
        <v/>
      </c>
      <c r="H871" s="2">
        <f>IF(G871="","",E871/1000*G871)</f>
        <v/>
      </c>
      <c r="I871" s="2" t="inlineStr">
        <is>
          <t>Owner flour price; flour performance requires trial</t>
        </is>
      </c>
      <c r="J871" s="2" t="inlineStr"/>
    </row>
    <row r="872">
      <c r="A872" s="2" t="inlineStr">
        <is>
          <t>H14</t>
        </is>
      </c>
      <c r="B872" s="2" t="inlineStr">
        <is>
          <t>Local chocolate galette bread</t>
        </is>
      </c>
      <c r="C872" s="2" t="inlineStr">
        <is>
          <t>Main formula</t>
        </is>
      </c>
      <c r="D872" s="2" t="inlineStr">
        <is>
          <t>Sugar</t>
        </is>
      </c>
      <c r="E872" s="3" t="n">
        <v>120</v>
      </c>
      <c r="F872" s="3" t="n">
        <v>600</v>
      </c>
      <c r="G872" s="2">
        <f>IF(Prices!B4="","",Prices!B4)</f>
        <v/>
      </c>
      <c r="H872" s="2">
        <f>IF(G872="","",E872/1000*G872)</f>
        <v/>
      </c>
      <c r="I872" s="2" t="inlineStr">
        <is>
          <t>Owner granulated sugar price; grind specification must match</t>
        </is>
      </c>
      <c r="J872" s="2" t="inlineStr"/>
    </row>
    <row r="873">
      <c r="A873" s="2" t="inlineStr">
        <is>
          <t>H14</t>
        </is>
      </c>
      <c r="B873" s="2" t="inlineStr">
        <is>
          <t>Local chocolate galette bread</t>
        </is>
      </c>
      <c r="C873" s="2" t="inlineStr">
        <is>
          <t>Main formula</t>
        </is>
      </c>
      <c r="D873" s="2" t="inlineStr">
        <is>
          <t>Roma margarine</t>
        </is>
      </c>
      <c r="E873" s="3" t="n">
        <v>120</v>
      </c>
      <c r="F873" s="3" t="n">
        <v>600</v>
      </c>
      <c r="G873" s="2">
        <f>IF(Prices!B110="","",Prices!B110)</f>
        <v/>
      </c>
      <c r="H873" s="2">
        <f>IF(G873="","",E873/1000*G873)</f>
        <v/>
      </c>
      <c r="I873" s="2" t="inlineStr">
        <is>
          <t>Roma; fat, salt and application suitability unconfirmed</t>
        </is>
      </c>
      <c r="J873" s="2" t="inlineStr"/>
    </row>
    <row r="874">
      <c r="A874" s="2" t="inlineStr">
        <is>
          <t>H14</t>
        </is>
      </c>
      <c r="B874" s="2" t="inlineStr">
        <is>
          <t>Local chocolate galette bread</t>
        </is>
      </c>
      <c r="C874" s="2" t="inlineStr">
        <is>
          <t>Main formula</t>
        </is>
      </c>
      <c r="D874" s="2" t="inlineStr">
        <is>
          <t>Salt</t>
        </is>
      </c>
      <c r="E874" s="3" t="n">
        <v>14</v>
      </c>
      <c r="F874" s="3" t="n">
        <v>70</v>
      </c>
      <c r="G874" s="2">
        <f>IF(Prices!B6="","",Prices!B6)</f>
        <v/>
      </c>
      <c r="H874" s="2">
        <f>IF(G874="","",E874/1000*G874)</f>
        <v/>
      </c>
      <c r="I874" s="2" t="inlineStr">
        <is>
          <t>Owner price</t>
        </is>
      </c>
      <c r="J874" s="2" t="inlineStr"/>
    </row>
    <row r="875">
      <c r="A875" s="2" t="inlineStr">
        <is>
          <t>H14</t>
        </is>
      </c>
      <c r="B875" s="2" t="inlineStr">
        <is>
          <t>Local chocolate galette bread</t>
        </is>
      </c>
      <c r="C875" s="2" t="inlineStr">
        <is>
          <t>Main formula</t>
        </is>
      </c>
      <c r="D875" s="2" t="inlineStr">
        <is>
          <t>Baking powder double acting</t>
        </is>
      </c>
      <c r="E875" s="3" t="n">
        <v>10</v>
      </c>
      <c r="F875" s="3" t="n">
        <v>50</v>
      </c>
      <c r="G875" s="2">
        <f>IF(Prices!B118="","",Prices!B118)</f>
        <v/>
      </c>
      <c r="H875" s="2">
        <f>IF(G875="","",E875/1000*G875)</f>
        <v/>
      </c>
      <c r="I875" s="2" t="inlineStr">
        <is>
          <t>Purchase quote/specification required</t>
        </is>
      </c>
      <c r="J875" s="2" t="inlineStr"/>
    </row>
    <row r="876">
      <c r="A876" s="2" t="inlineStr">
        <is>
          <t>H14</t>
        </is>
      </c>
      <c r="B876" s="2" t="inlineStr">
        <is>
          <t>Local chocolate galette bread</t>
        </is>
      </c>
      <c r="C876" s="2" t="inlineStr">
        <is>
          <t>Main formula</t>
        </is>
      </c>
      <c r="D876" s="2" t="inlineStr">
        <is>
          <t>Nevada instant dry yeast</t>
        </is>
      </c>
      <c r="E876" s="3" t="n">
        <v>10</v>
      </c>
      <c r="F876" s="3" t="n">
        <v>50</v>
      </c>
      <c r="G876" s="2">
        <f>IF(Prices!B72="","",Prices!B72)</f>
        <v/>
      </c>
      <c r="H876" s="2">
        <f>IF(G876="","",E876/1000*G876)</f>
        <v/>
      </c>
      <c r="I876" s="2" t="inlineStr">
        <is>
          <t>Nevada instant dry; sweet-dough suitability requires trial</t>
        </is>
      </c>
      <c r="J876" s="2" t="inlineStr"/>
    </row>
    <row r="877">
      <c r="A877" s="2" t="inlineStr">
        <is>
          <t>H14</t>
        </is>
      </c>
      <c r="B877" s="2" t="inlineStr">
        <is>
          <t>Local chocolate galette bread</t>
        </is>
      </c>
      <c r="C877" s="2" t="inlineStr">
        <is>
          <t>Main formula</t>
        </is>
      </c>
      <c r="D877" s="2" t="inlineStr">
        <is>
          <t>Egg edible mass</t>
        </is>
      </c>
      <c r="E877" s="3" t="n">
        <v>100</v>
      </c>
      <c r="F877" s="3" t="n">
        <v>500</v>
      </c>
      <c r="G877" s="2">
        <f>IF(Prices!B119="","",Prices!B119)</f>
        <v/>
      </c>
      <c r="H877" s="2">
        <f>IF(G877="","",E877/1000*G877)</f>
        <v/>
      </c>
      <c r="I877" s="2" t="inlineStr">
        <is>
          <t>Purchase quote/specification required</t>
        </is>
      </c>
      <c r="J877" s="2" t="inlineStr"/>
    </row>
    <row r="878">
      <c r="A878" s="2" t="inlineStr">
        <is>
          <t>H14</t>
        </is>
      </c>
      <c r="B878" s="2" t="inlineStr">
        <is>
          <t>Local chocolate galette bread</t>
        </is>
      </c>
      <c r="C878" s="2" t="inlineStr">
        <is>
          <t>Main formula</t>
        </is>
      </c>
      <c r="D878" s="2" t="inlineStr">
        <is>
          <t>Water</t>
        </is>
      </c>
      <c r="E878" s="3" t="n">
        <v>450</v>
      </c>
      <c r="F878" s="3" t="n">
        <v>2250</v>
      </c>
      <c r="G878" s="2">
        <f>IF(Prices!B3="","",Prices!B3)</f>
        <v/>
      </c>
      <c r="H878" s="2">
        <f>IF(G878="","",E878/1000*G878)</f>
        <v/>
      </c>
      <c r="I878" s="2" t="inlineStr">
        <is>
          <t>Purchase quote/specification required</t>
        </is>
      </c>
      <c r="J878" s="2" t="inlineStr"/>
    </row>
    <row r="879">
      <c r="A879" s="2" t="inlineStr">
        <is>
          <t>H14</t>
        </is>
      </c>
      <c r="B879" s="2" t="inlineStr">
        <is>
          <t>Local chocolate galette bread</t>
        </is>
      </c>
      <c r="C879" s="2" t="inlineStr">
        <is>
          <t>Main formula</t>
        </is>
      </c>
      <c r="D879" s="2" t="inlineStr">
        <is>
          <t>Bake stable chocolate</t>
        </is>
      </c>
      <c r="E879" s="3" t="n">
        <v>60</v>
      </c>
      <c r="F879" s="3" t="n">
        <v>300</v>
      </c>
      <c r="G879" s="2">
        <f>IF(Prices!B130="","",Prices!B130)</f>
        <v/>
      </c>
      <c r="H879" s="2">
        <f>IF(G879="","",E879/1000*G879)</f>
        <v/>
      </c>
      <c r="I879" s="2" t="inlineStr">
        <is>
          <t>Purchase quote/specification required</t>
        </is>
      </c>
      <c r="J879" s="2" t="inlineStr"/>
    </row>
    <row r="880">
      <c r="A880" s="2" t="inlineStr">
        <is>
          <t>H15</t>
        </is>
      </c>
      <c r="B880" s="2" t="inlineStr">
        <is>
          <t>Zebra chocolate milk loaf</t>
        </is>
      </c>
      <c r="C880" s="2" t="inlineStr">
        <is>
          <t>Main formula</t>
        </is>
      </c>
      <c r="D880" s="2" t="inlineStr">
        <is>
          <t>Bread flour</t>
        </is>
      </c>
      <c r="E880" s="3" t="n">
        <v>1000</v>
      </c>
      <c r="F880" s="3" t="n">
        <v>5000</v>
      </c>
      <c r="G880" s="2">
        <f>IF(Prices!B2="","",Prices!B2)</f>
        <v/>
      </c>
      <c r="H880" s="2">
        <f>IF(G880="","",E880/1000*G880)</f>
        <v/>
      </c>
      <c r="I880" s="2" t="inlineStr">
        <is>
          <t>Owner flour price; flour performance requires trial</t>
        </is>
      </c>
      <c r="J880" s="2" t="inlineStr"/>
    </row>
    <row r="881">
      <c r="A881" s="2" t="inlineStr">
        <is>
          <t>H15</t>
        </is>
      </c>
      <c r="B881" s="2" t="inlineStr">
        <is>
          <t>Zebra chocolate milk loaf</t>
        </is>
      </c>
      <c r="C881" s="2" t="inlineStr">
        <is>
          <t>Main formula</t>
        </is>
      </c>
      <c r="D881" s="2" t="inlineStr">
        <is>
          <t>Water</t>
        </is>
      </c>
      <c r="E881" s="3" t="n">
        <v>610</v>
      </c>
      <c r="F881" s="3" t="n">
        <v>3050</v>
      </c>
      <c r="G881" s="2">
        <f>IF(Prices!B3="","",Prices!B3)</f>
        <v/>
      </c>
      <c r="H881" s="2">
        <f>IF(G881="","",E881/1000*G881)</f>
        <v/>
      </c>
      <c r="I881" s="2" t="inlineStr">
        <is>
          <t>Purchase quote/specification required</t>
        </is>
      </c>
      <c r="J881" s="2" t="inlineStr"/>
    </row>
    <row r="882">
      <c r="A882" s="2" t="inlineStr">
        <is>
          <t>H15</t>
        </is>
      </c>
      <c r="B882" s="2" t="inlineStr">
        <is>
          <t>Zebra chocolate milk loaf</t>
        </is>
      </c>
      <c r="C882" s="2" t="inlineStr">
        <is>
          <t>Main formula</t>
        </is>
      </c>
      <c r="D882" s="2" t="inlineStr">
        <is>
          <t>Millac Premium powder</t>
        </is>
      </c>
      <c r="E882" s="3" t="n">
        <v>40</v>
      </c>
      <c r="F882" s="3" t="n">
        <v>200</v>
      </c>
      <c r="G882" s="2">
        <f>IF(Prices!B109="","",Prices!B109)</f>
        <v/>
      </c>
      <c r="H882" s="2">
        <f>IF(G882="","",E882/1000*G882)</f>
        <v/>
      </c>
      <c r="I882" s="2" t="inlineStr">
        <is>
          <t>Millac fat-filled powder trial; not skim or whole milk powder</t>
        </is>
      </c>
      <c r="J882" s="2" t="inlineStr"/>
    </row>
    <row r="883">
      <c r="A883" s="2" t="inlineStr">
        <is>
          <t>H15</t>
        </is>
      </c>
      <c r="B883" s="2" t="inlineStr">
        <is>
          <t>Zebra chocolate milk loaf</t>
        </is>
      </c>
      <c r="C883" s="2" t="inlineStr">
        <is>
          <t>Main formula</t>
        </is>
      </c>
      <c r="D883" s="2" t="inlineStr">
        <is>
          <t>Egg edible mass</t>
        </is>
      </c>
      <c r="E883" s="3" t="n">
        <v>100</v>
      </c>
      <c r="F883" s="3" t="n">
        <v>500</v>
      </c>
      <c r="G883" s="2">
        <f>IF(Prices!B119="","",Prices!B119)</f>
        <v/>
      </c>
      <c r="H883" s="2">
        <f>IF(G883="","",E883/1000*G883)</f>
        <v/>
      </c>
      <c r="I883" s="2" t="inlineStr">
        <is>
          <t>Purchase quote/specification required</t>
        </is>
      </c>
      <c r="J883" s="2" t="inlineStr"/>
    </row>
    <row r="884">
      <c r="A884" s="2" t="inlineStr">
        <is>
          <t>H15</t>
        </is>
      </c>
      <c r="B884" s="2" t="inlineStr">
        <is>
          <t>Zebra chocolate milk loaf</t>
        </is>
      </c>
      <c r="C884" s="2" t="inlineStr">
        <is>
          <t>Main formula</t>
        </is>
      </c>
      <c r="D884" s="2" t="inlineStr">
        <is>
          <t>Roma margarine</t>
        </is>
      </c>
      <c r="E884" s="3" t="n">
        <v>100</v>
      </c>
      <c r="F884" s="3" t="n">
        <v>500</v>
      </c>
      <c r="G884" s="2">
        <f>IF(Prices!B110="","",Prices!B110)</f>
        <v/>
      </c>
      <c r="H884" s="2">
        <f>IF(G884="","",E884/1000*G884)</f>
        <v/>
      </c>
      <c r="I884" s="2" t="inlineStr">
        <is>
          <t>Roma; fat, salt and application suitability unconfirmed</t>
        </is>
      </c>
      <c r="J884" s="2" t="inlineStr"/>
    </row>
    <row r="885">
      <c r="A885" s="2" t="inlineStr">
        <is>
          <t>H15</t>
        </is>
      </c>
      <c r="B885" s="2" t="inlineStr">
        <is>
          <t>Zebra chocolate milk loaf</t>
        </is>
      </c>
      <c r="C885" s="2" t="inlineStr">
        <is>
          <t>Main formula</t>
        </is>
      </c>
      <c r="D885" s="2" t="inlineStr">
        <is>
          <t>Sugar</t>
        </is>
      </c>
      <c r="E885" s="3" t="n">
        <v>100</v>
      </c>
      <c r="F885" s="3" t="n">
        <v>500</v>
      </c>
      <c r="G885" s="2">
        <f>IF(Prices!B4="","",Prices!B4)</f>
        <v/>
      </c>
      <c r="H885" s="2">
        <f>IF(G885="","",E885/1000*G885)</f>
        <v/>
      </c>
      <c r="I885" s="2" t="inlineStr">
        <is>
          <t>Owner granulated sugar price; grind specification must match</t>
        </is>
      </c>
      <c r="J885" s="2" t="inlineStr"/>
    </row>
    <row r="886">
      <c r="A886" s="2" t="inlineStr">
        <is>
          <t>H15</t>
        </is>
      </c>
      <c r="B886" s="2" t="inlineStr">
        <is>
          <t>Zebra chocolate milk loaf</t>
        </is>
      </c>
      <c r="C886" s="2" t="inlineStr">
        <is>
          <t>Main formula</t>
        </is>
      </c>
      <c r="D886" s="2" t="inlineStr">
        <is>
          <t>Salt</t>
        </is>
      </c>
      <c r="E886" s="3" t="n">
        <v>18</v>
      </c>
      <c r="F886" s="3" t="n">
        <v>90</v>
      </c>
      <c r="G886" s="2">
        <f>IF(Prices!B6="","",Prices!B6)</f>
        <v/>
      </c>
      <c r="H886" s="2">
        <f>IF(G886="","",E886/1000*G886)</f>
        <v/>
      </c>
      <c r="I886" s="2" t="inlineStr">
        <is>
          <t>Owner price</t>
        </is>
      </c>
      <c r="J886" s="2" t="inlineStr"/>
    </row>
    <row r="887">
      <c r="A887" s="2" t="inlineStr">
        <is>
          <t>H15</t>
        </is>
      </c>
      <c r="B887" s="2" t="inlineStr">
        <is>
          <t>Zebra chocolate milk loaf</t>
        </is>
      </c>
      <c r="C887" s="2" t="inlineStr">
        <is>
          <t>Main formula</t>
        </is>
      </c>
      <c r="D887" s="2" t="inlineStr">
        <is>
          <t>Nevada instant dry yeast</t>
        </is>
      </c>
      <c r="E887" s="3" t="n">
        <v>12</v>
      </c>
      <c r="F887" s="3" t="n">
        <v>60</v>
      </c>
      <c r="G887" s="2">
        <f>IF(Prices!B72="","",Prices!B72)</f>
        <v/>
      </c>
      <c r="H887" s="2">
        <f>IF(G887="","",E887/1000*G887)</f>
        <v/>
      </c>
      <c r="I887" s="2" t="inlineStr">
        <is>
          <t>Nevada instant dry; sweet-dough suitability requires trial</t>
        </is>
      </c>
      <c r="J887" s="2" t="inlineStr"/>
    </row>
    <row r="888">
      <c r="A888" s="2" t="inlineStr">
        <is>
          <t>H15</t>
        </is>
      </c>
      <c r="B888" s="2" t="inlineStr">
        <is>
          <t>Zebra chocolate milk loaf</t>
        </is>
      </c>
      <c r="C888" s="2" t="inlineStr">
        <is>
          <t>Main formula</t>
        </is>
      </c>
      <c r="D888" s="2" t="inlineStr">
        <is>
          <t>Unsweetened cocoa</t>
        </is>
      </c>
      <c r="E888" s="3" t="n">
        <v>50</v>
      </c>
      <c r="F888" s="3" t="n">
        <v>250</v>
      </c>
      <c r="G888" s="2">
        <f>IF(Prices!B123="","",Prices!B123)</f>
        <v/>
      </c>
      <c r="H888" s="2">
        <f>IF(G888="","",E888/1000*G888)</f>
        <v/>
      </c>
      <c r="I888" s="2" t="inlineStr">
        <is>
          <t>Purchase quote/specification required</t>
        </is>
      </c>
      <c r="J888" s="2" t="inlineStr"/>
    </row>
    <row r="889">
      <c r="A889" s="2" t="inlineStr">
        <is>
          <t>H16</t>
        </is>
      </c>
      <c r="B889" s="2" t="inlineStr">
        <is>
          <t>Rosemary tray focaccia</t>
        </is>
      </c>
      <c r="C889" s="2" t="inlineStr">
        <is>
          <t>Main formula</t>
        </is>
      </c>
      <c r="D889" s="2" t="inlineStr">
        <is>
          <t>Bread flour</t>
        </is>
      </c>
      <c r="E889" s="3" t="n">
        <v>1000</v>
      </c>
      <c r="F889" s="3" t="n">
        <v>5000</v>
      </c>
      <c r="G889" s="2">
        <f>IF(Prices!B2="","",Prices!B2)</f>
        <v/>
      </c>
      <c r="H889" s="2">
        <f>IF(G889="","",E889/1000*G889)</f>
        <v/>
      </c>
      <c r="I889" s="2" t="inlineStr">
        <is>
          <t>Owner flour price; flour performance requires trial</t>
        </is>
      </c>
      <c r="J889" s="2" t="inlineStr"/>
    </row>
    <row r="890">
      <c r="A890" s="2" t="inlineStr">
        <is>
          <t>H16</t>
        </is>
      </c>
      <c r="B890" s="2" t="inlineStr">
        <is>
          <t>Rosemary tray focaccia</t>
        </is>
      </c>
      <c r="C890" s="2" t="inlineStr">
        <is>
          <t>Main formula</t>
        </is>
      </c>
      <c r="D890" s="2" t="inlineStr">
        <is>
          <t>Water</t>
        </is>
      </c>
      <c r="E890" s="3" t="n">
        <v>750</v>
      </c>
      <c r="F890" s="3" t="n">
        <v>3750</v>
      </c>
      <c r="G890" s="2">
        <f>IF(Prices!B3="","",Prices!B3)</f>
        <v/>
      </c>
      <c r="H890" s="2">
        <f>IF(G890="","",E890/1000*G890)</f>
        <v/>
      </c>
      <c r="I890" s="2" t="inlineStr">
        <is>
          <t>Purchase quote/specification required</t>
        </is>
      </c>
      <c r="J890" s="2" t="inlineStr"/>
    </row>
    <row r="891">
      <c r="A891" s="2" t="inlineStr">
        <is>
          <t>H16</t>
        </is>
      </c>
      <c r="B891" s="2" t="inlineStr">
        <is>
          <t>Rosemary tray focaccia</t>
        </is>
      </c>
      <c r="C891" s="2" t="inlineStr">
        <is>
          <t>Main formula</t>
        </is>
      </c>
      <c r="D891" s="2" t="inlineStr">
        <is>
          <t>Neutral food-grade oil</t>
        </is>
      </c>
      <c r="E891" s="3" t="n">
        <v>80</v>
      </c>
      <c r="F891" s="3" t="n">
        <v>400</v>
      </c>
      <c r="G891" s="2">
        <f>IF(Prices!B115="","",Prices!B115)</f>
        <v/>
      </c>
      <c r="H891" s="2">
        <f>IF(G891="","",E891/1000*G891)</f>
        <v/>
      </c>
      <c r="I891" s="2" t="inlineStr">
        <is>
          <t>PROVISIONAL 0.92 kg/L; correct after weighing</t>
        </is>
      </c>
      <c r="J891" s="2" t="inlineStr"/>
    </row>
    <row r="892">
      <c r="A892" s="2" t="inlineStr">
        <is>
          <t>H16</t>
        </is>
      </c>
      <c r="B892" s="2" t="inlineStr">
        <is>
          <t>Rosemary tray focaccia</t>
        </is>
      </c>
      <c r="C892" s="2" t="inlineStr">
        <is>
          <t>Main formula</t>
        </is>
      </c>
      <c r="D892" s="2" t="inlineStr">
        <is>
          <t>Salt</t>
        </is>
      </c>
      <c r="E892" s="3" t="n">
        <v>20</v>
      </c>
      <c r="F892" s="3" t="n">
        <v>100</v>
      </c>
      <c r="G892" s="2">
        <f>IF(Prices!B6="","",Prices!B6)</f>
        <v/>
      </c>
      <c r="H892" s="2">
        <f>IF(G892="","",E892/1000*G892)</f>
        <v/>
      </c>
      <c r="I892" s="2" t="inlineStr">
        <is>
          <t>Owner price</t>
        </is>
      </c>
      <c r="J892" s="2" t="inlineStr"/>
    </row>
    <row r="893">
      <c r="A893" s="2" t="inlineStr">
        <is>
          <t>H16</t>
        </is>
      </c>
      <c r="B893" s="2" t="inlineStr">
        <is>
          <t>Rosemary tray focaccia</t>
        </is>
      </c>
      <c r="C893" s="2" t="inlineStr">
        <is>
          <t>Main formula</t>
        </is>
      </c>
      <c r="D893" s="2" t="inlineStr">
        <is>
          <t>Nevada instant dry yeast</t>
        </is>
      </c>
      <c r="E893" s="3" t="n">
        <v>7</v>
      </c>
      <c r="F893" s="3" t="n">
        <v>35</v>
      </c>
      <c r="G893" s="2">
        <f>IF(Prices!B72="","",Prices!B72)</f>
        <v/>
      </c>
      <c r="H893" s="2">
        <f>IF(G893="","",E893/1000*G893)</f>
        <v/>
      </c>
      <c r="I893" s="2" t="inlineStr">
        <is>
          <t>Nevada instant dry; sweet-dough suitability requires trial</t>
        </is>
      </c>
      <c r="J893" s="2" t="inlineStr"/>
    </row>
    <row r="894">
      <c r="A894" s="2" t="inlineStr">
        <is>
          <t>H16</t>
        </is>
      </c>
      <c r="B894" s="2" t="inlineStr">
        <is>
          <t>Rosemary tray focaccia</t>
        </is>
      </c>
      <c r="C894" s="2" t="inlineStr">
        <is>
          <t>Main formula</t>
        </is>
      </c>
      <c r="D894" s="2" t="inlineStr">
        <is>
          <t>Dried rosemary</t>
        </is>
      </c>
      <c r="E894" s="3" t="n">
        <v>2</v>
      </c>
      <c r="F894" s="3" t="n">
        <v>10</v>
      </c>
      <c r="G894" s="2">
        <f>IF(Prices!B131="","",Prices!B131)</f>
        <v/>
      </c>
      <c r="H894" s="2">
        <f>IF(G894="","",E894/1000*G894)</f>
        <v/>
      </c>
      <c r="I894" s="2" t="inlineStr">
        <is>
          <t>Purchase quote/specification required</t>
        </is>
      </c>
      <c r="J894" s="2" t="inlineStr"/>
    </row>
    <row r="895">
      <c r="A895" s="2" t="inlineStr">
        <is>
          <t>H17</t>
        </is>
      </c>
      <c r="B895" s="2" t="inlineStr">
        <is>
          <t>Thin plantain chips</t>
        </is>
      </c>
      <c r="C895" s="2" t="inlineStr">
        <is>
          <t>Main formula</t>
        </is>
      </c>
      <c r="D895" s="2" t="inlineStr">
        <is>
          <t>Peeled firm unripe plantain</t>
        </is>
      </c>
      <c r="E895" s="3" t="n">
        <v>1000</v>
      </c>
      <c r="F895" s="3" t="n">
        <v>5000</v>
      </c>
      <c r="G895" s="2">
        <f>IF(Prices!B132="","",Prices!B132)</f>
        <v/>
      </c>
      <c r="H895" s="2">
        <f>IF(G895="","",E895/1000*G895)</f>
        <v/>
      </c>
      <c r="I895" s="2" t="inlineStr">
        <is>
          <t>Purchase quote/specification required</t>
        </is>
      </c>
      <c r="J895" s="2" t="inlineStr"/>
    </row>
    <row r="896">
      <c r="A896" s="2" t="inlineStr">
        <is>
          <t>H17</t>
        </is>
      </c>
      <c r="B896" s="2" t="inlineStr">
        <is>
          <t>Thin plantain chips</t>
        </is>
      </c>
      <c r="C896" s="2" t="inlineStr">
        <is>
          <t>Main formula</t>
        </is>
      </c>
      <c r="D896" s="2" t="inlineStr">
        <is>
          <t>Salt</t>
        </is>
      </c>
      <c r="E896" s="3" t="n">
        <v>6</v>
      </c>
      <c r="F896" s="3" t="n">
        <v>30</v>
      </c>
      <c r="G896" s="2">
        <f>IF(Prices!B6="","",Prices!B6)</f>
        <v/>
      </c>
      <c r="H896" s="2">
        <f>IF(G896="","",E896/1000*G896)</f>
        <v/>
      </c>
      <c r="I896" s="2" t="inlineStr">
        <is>
          <t>Owner price</t>
        </is>
      </c>
      <c r="J896" s="2" t="inlineStr"/>
    </row>
    <row r="897">
      <c r="A897" s="2" t="inlineStr">
        <is>
          <t>H18</t>
        </is>
      </c>
      <c r="B897" s="2" t="inlineStr">
        <is>
          <t>Caramelized onion and cheese filling</t>
        </is>
      </c>
      <c r="C897" s="2" t="inlineStr">
        <is>
          <t>Main formula</t>
        </is>
      </c>
      <c r="D897" s="2" t="inlineStr">
        <is>
          <t>Peeled onions</t>
        </is>
      </c>
      <c r="E897" s="3" t="n">
        <v>1000</v>
      </c>
      <c r="F897" s="3" t="n">
        <v>5000</v>
      </c>
      <c r="G897" s="2">
        <f>IF(Prices!B133="","",Prices!B133)</f>
        <v/>
      </c>
      <c r="H897" s="2">
        <f>IF(G897="","",E897/1000*G897)</f>
        <v/>
      </c>
      <c r="I897" s="2" t="inlineStr">
        <is>
          <t>Purchase quote/specification required</t>
        </is>
      </c>
      <c r="J897" s="2" t="inlineStr"/>
    </row>
    <row r="898">
      <c r="A898" s="2" t="inlineStr">
        <is>
          <t>H18</t>
        </is>
      </c>
      <c r="B898" s="2" t="inlineStr">
        <is>
          <t>Caramelized onion and cheese filling</t>
        </is>
      </c>
      <c r="C898" s="2" t="inlineStr">
        <is>
          <t>Main formula</t>
        </is>
      </c>
      <c r="D898" s="2" t="inlineStr">
        <is>
          <t>Neutral food-grade oil</t>
        </is>
      </c>
      <c r="E898" s="3" t="n">
        <v>40</v>
      </c>
      <c r="F898" s="3" t="n">
        <v>200</v>
      </c>
      <c r="G898" s="2">
        <f>IF(Prices!B115="","",Prices!B115)</f>
        <v/>
      </c>
      <c r="H898" s="2">
        <f>IF(G898="","",E898/1000*G898)</f>
        <v/>
      </c>
      <c r="I898" s="2" t="inlineStr">
        <is>
          <t>PROVISIONAL 0.92 kg/L; correct after weighing</t>
        </is>
      </c>
      <c r="J898" s="2" t="inlineStr"/>
    </row>
    <row r="899">
      <c r="A899" s="2" t="inlineStr">
        <is>
          <t>H18</t>
        </is>
      </c>
      <c r="B899" s="2" t="inlineStr">
        <is>
          <t>Caramelized onion and cheese filling</t>
        </is>
      </c>
      <c r="C899" s="2" t="inlineStr">
        <is>
          <t>Main formula</t>
        </is>
      </c>
      <c r="D899" s="2" t="inlineStr">
        <is>
          <t>Balsamic vinegar</t>
        </is>
      </c>
      <c r="E899" s="3" t="n">
        <v>10</v>
      </c>
      <c r="F899" s="3" t="n">
        <v>50</v>
      </c>
      <c r="G899" s="2">
        <f>IF(Prices!B134="","",Prices!B134)</f>
        <v/>
      </c>
      <c r="H899" s="2">
        <f>IF(G899="","",E899/1000*G899)</f>
        <v/>
      </c>
      <c r="I899" s="2" t="inlineStr">
        <is>
          <t>Purchase quote/specification required</t>
        </is>
      </c>
      <c r="J899" s="2" t="inlineStr"/>
    </row>
    <row r="900">
      <c r="A900" s="2" t="inlineStr">
        <is>
          <t>H18</t>
        </is>
      </c>
      <c r="B900" s="2" t="inlineStr">
        <is>
          <t>Caramelized onion and cheese filling</t>
        </is>
      </c>
      <c r="C900" s="2" t="inlineStr">
        <is>
          <t>Main formula</t>
        </is>
      </c>
      <c r="D900" s="2" t="inlineStr">
        <is>
          <t>Gruyere cheese</t>
        </is>
      </c>
      <c r="E900" s="3" t="n">
        <v>200</v>
      </c>
      <c r="F900" s="3" t="n">
        <v>1000</v>
      </c>
      <c r="G900" s="2">
        <f>IF(Prices!B135="","",Prices!B135)</f>
        <v/>
      </c>
      <c r="H900" s="2">
        <f>IF(G900="","",E900/1000*G900)</f>
        <v/>
      </c>
      <c r="I900" s="2" t="inlineStr">
        <is>
          <t>Purchase quote/specification required</t>
        </is>
      </c>
      <c r="J900" s="2" t="inlineStr"/>
    </row>
    <row r="901">
      <c r="A901" s="2" t="inlineStr">
        <is>
          <t>H18</t>
        </is>
      </c>
      <c r="B901" s="2" t="inlineStr">
        <is>
          <t>Caramelized onion and cheese filling</t>
        </is>
      </c>
      <c r="C901" s="2" t="inlineStr">
        <is>
          <t>Main formula</t>
        </is>
      </c>
      <c r="D901" s="2" t="inlineStr">
        <is>
          <t>Salt</t>
        </is>
      </c>
      <c r="E901" s="3" t="n">
        <v>6</v>
      </c>
      <c r="F901" s="3" t="n">
        <v>30</v>
      </c>
      <c r="G901" s="2">
        <f>IF(Prices!B6="","",Prices!B6)</f>
        <v/>
      </c>
      <c r="H901" s="2">
        <f>IF(G901="","",E901/1000*G901)</f>
        <v/>
      </c>
      <c r="I901" s="2" t="inlineStr">
        <is>
          <t>Owner price</t>
        </is>
      </c>
      <c r="J901" s="2" t="inlineStr"/>
    </row>
    <row r="902">
      <c r="A902" s="2" t="inlineStr">
        <is>
          <t>H18</t>
        </is>
      </c>
      <c r="B902" s="2" t="inlineStr">
        <is>
          <t>Caramelized onion and cheese filling</t>
        </is>
      </c>
      <c r="C902" s="2" t="inlineStr">
        <is>
          <t>Main formula</t>
        </is>
      </c>
      <c r="D902" s="2" t="inlineStr">
        <is>
          <t>Black pepper</t>
        </is>
      </c>
      <c r="E902" s="3" t="n">
        <v>1</v>
      </c>
      <c r="F902" s="3" t="n">
        <v>5</v>
      </c>
      <c r="G902" s="2">
        <f>IF(Prices!B22="","",Prices!B22)</f>
        <v/>
      </c>
      <c r="H902" s="2">
        <f>IF(G902="","",E902/1000*G902)</f>
        <v/>
      </c>
      <c r="I902" s="2" t="inlineStr">
        <is>
          <t>Purchase quote/specification required</t>
        </is>
      </c>
      <c r="J902" s="2" t="inlineStr"/>
    </row>
    <row r="903">
      <c r="A903" s="2" t="inlineStr">
        <is>
          <t>H19</t>
        </is>
      </c>
      <c r="B903" s="2" t="inlineStr">
        <is>
          <t>Vanilla pastry cream</t>
        </is>
      </c>
      <c r="C903" s="2" t="inlineStr">
        <is>
          <t>Main formula</t>
        </is>
      </c>
      <c r="D903" s="2" t="inlineStr">
        <is>
          <t>Pasteurized whole milk</t>
        </is>
      </c>
      <c r="E903" s="3" t="n">
        <v>500</v>
      </c>
      <c r="F903" s="3" t="n">
        <v>2500</v>
      </c>
      <c r="G903" s="2">
        <f>IF(Prices!B125="","",Prices!B125)</f>
        <v/>
      </c>
      <c r="H903" s="2">
        <f>IF(G903="","",E903/1000*G903)</f>
        <v/>
      </c>
      <c r="I903" s="2" t="inlineStr">
        <is>
          <t>Purchase quote/specification required</t>
        </is>
      </c>
      <c r="J903" s="2" t="inlineStr"/>
    </row>
    <row r="904">
      <c r="A904" s="2" t="inlineStr">
        <is>
          <t>H19</t>
        </is>
      </c>
      <c r="B904" s="2" t="inlineStr">
        <is>
          <t>Vanilla pastry cream</t>
        </is>
      </c>
      <c r="C904" s="2" t="inlineStr">
        <is>
          <t>Main formula</t>
        </is>
      </c>
      <c r="D904" s="2" t="inlineStr">
        <is>
          <t>Sugar</t>
        </is>
      </c>
      <c r="E904" s="3" t="n">
        <v>100</v>
      </c>
      <c r="F904" s="3" t="n">
        <v>500</v>
      </c>
      <c r="G904" s="2">
        <f>IF(Prices!B4="","",Prices!B4)</f>
        <v/>
      </c>
      <c r="H904" s="2">
        <f>IF(G904="","",E904/1000*G904)</f>
        <v/>
      </c>
      <c r="I904" s="2" t="inlineStr">
        <is>
          <t>Owner granulated sugar price; grind specification must match</t>
        </is>
      </c>
      <c r="J904" s="2" t="inlineStr"/>
    </row>
    <row r="905">
      <c r="A905" s="2" t="inlineStr">
        <is>
          <t>H19</t>
        </is>
      </c>
      <c r="B905" s="2" t="inlineStr">
        <is>
          <t>Vanilla pastry cream</t>
        </is>
      </c>
      <c r="C905" s="2" t="inlineStr">
        <is>
          <t>Main formula</t>
        </is>
      </c>
      <c r="D905" s="2" t="inlineStr">
        <is>
          <t>Pasteurized egg yolk</t>
        </is>
      </c>
      <c r="E905" s="3" t="n">
        <v>80</v>
      </c>
      <c r="F905" s="3" t="n">
        <v>400</v>
      </c>
      <c r="G905" s="2">
        <f>IF(Prices!B136="","",Prices!B136)</f>
        <v/>
      </c>
      <c r="H905" s="2">
        <f>IF(G905="","",E905/1000*G905)</f>
        <v/>
      </c>
      <c r="I905" s="2" t="inlineStr">
        <is>
          <t>Purchase quote/specification required</t>
        </is>
      </c>
      <c r="J905" s="2" t="inlineStr"/>
    </row>
    <row r="906">
      <c r="A906" s="2" t="inlineStr">
        <is>
          <t>H19</t>
        </is>
      </c>
      <c r="B906" s="2" t="inlineStr">
        <is>
          <t>Vanilla pastry cream</t>
        </is>
      </c>
      <c r="C906" s="2" t="inlineStr">
        <is>
          <t>Main formula</t>
        </is>
      </c>
      <c r="D906" s="2" t="inlineStr">
        <is>
          <t>Cornstarch</t>
        </is>
      </c>
      <c r="E906" s="3" t="n">
        <v>40</v>
      </c>
      <c r="F906" s="3" t="n">
        <v>200</v>
      </c>
      <c r="G906" s="2">
        <f>IF(Prices!B137="","",Prices!B137)</f>
        <v/>
      </c>
      <c r="H906" s="2">
        <f>IF(G906="","",E906/1000*G906)</f>
        <v/>
      </c>
      <c r="I906" s="2" t="inlineStr">
        <is>
          <t>Purchase quote/specification required</t>
        </is>
      </c>
      <c r="J906" s="2" t="inlineStr"/>
    </row>
    <row r="907">
      <c r="A907" s="2" t="inlineStr">
        <is>
          <t>H19</t>
        </is>
      </c>
      <c r="B907" s="2" t="inlineStr">
        <is>
          <t>Vanilla pastry cream</t>
        </is>
      </c>
      <c r="C907" s="2" t="inlineStr">
        <is>
          <t>Main formula</t>
        </is>
      </c>
      <c r="D907" s="2" t="inlineStr">
        <is>
          <t>Unsalted dairy butter</t>
        </is>
      </c>
      <c r="E907" s="3" t="n">
        <v>50</v>
      </c>
      <c r="F907" s="3" t="n">
        <v>250</v>
      </c>
      <c r="G907" s="2">
        <f>IF(Prices!B138="","",Prices!B138)</f>
        <v/>
      </c>
      <c r="H907" s="2">
        <f>IF(G907="","",E907/1000*G907)</f>
        <v/>
      </c>
      <c r="I907" s="2" t="inlineStr">
        <is>
          <t>Purchase quote/specification required</t>
        </is>
      </c>
      <c r="J907" s="2" t="inlineStr"/>
    </row>
    <row r="908">
      <c r="A908" s="2" t="inlineStr">
        <is>
          <t>H19</t>
        </is>
      </c>
      <c r="B908" s="2" t="inlineStr">
        <is>
          <t>Vanilla pastry cream</t>
        </is>
      </c>
      <c r="C908" s="2" t="inlineStr">
        <is>
          <t>Main formula</t>
        </is>
      </c>
      <c r="D908" s="2" t="inlineStr">
        <is>
          <t>Vanilla extract</t>
        </is>
      </c>
      <c r="E908" s="3" t="n">
        <v>2</v>
      </c>
      <c r="F908" s="3" t="n">
        <v>10</v>
      </c>
      <c r="G908" s="2">
        <f>IF(Prices!B122="","",Prices!B122)</f>
        <v/>
      </c>
      <c r="H908" s="2">
        <f>IF(G908="","",E908/1000*G908)</f>
        <v/>
      </c>
      <c r="I908" s="2" t="inlineStr">
        <is>
          <t>Purchase quote/specification required</t>
        </is>
      </c>
      <c r="J908" s="2" t="inlineStr"/>
    </row>
    <row r="909">
      <c r="A909" s="2" t="inlineStr">
        <is>
          <t>H20</t>
        </is>
      </c>
      <c r="B909" s="2" t="inlineStr">
        <is>
          <t>Honey oat and groundnut granola</t>
        </is>
      </c>
      <c r="C909" s="2" t="inlineStr">
        <is>
          <t>Main formula</t>
        </is>
      </c>
      <c r="D909" s="2" t="inlineStr">
        <is>
          <t>Rolled oats</t>
        </is>
      </c>
      <c r="E909" s="3" t="n">
        <v>500</v>
      </c>
      <c r="F909" s="3" t="n">
        <v>2500</v>
      </c>
      <c r="G909" s="2">
        <f>IF(Prices!B139="","",Prices!B139)</f>
        <v/>
      </c>
      <c r="H909" s="2">
        <f>IF(G909="","",E909/1000*G909)</f>
        <v/>
      </c>
      <c r="I909" s="2" t="inlineStr">
        <is>
          <t>Purchase quote/specification required</t>
        </is>
      </c>
      <c r="J909" s="2" t="inlineStr"/>
    </row>
    <row r="910">
      <c r="A910" s="2" t="inlineStr">
        <is>
          <t>H20</t>
        </is>
      </c>
      <c r="B910" s="2" t="inlineStr">
        <is>
          <t>Honey oat and groundnut granola</t>
        </is>
      </c>
      <c r="C910" s="2" t="inlineStr">
        <is>
          <t>Main formula</t>
        </is>
      </c>
      <c r="D910" s="2" t="inlineStr">
        <is>
          <t>Ready-to-eat roasted groundnuts</t>
        </is>
      </c>
      <c r="E910" s="3" t="n">
        <v>150</v>
      </c>
      <c r="F910" s="3" t="n">
        <v>750</v>
      </c>
      <c r="G910" s="2">
        <f>IF(Prices!B140="","",Prices!B140)</f>
        <v/>
      </c>
      <c r="H910" s="2">
        <f>IF(G910="","",E910/1000*G910)</f>
        <v/>
      </c>
      <c r="I910" s="2" t="inlineStr">
        <is>
          <t>Purchase quote/specification required</t>
        </is>
      </c>
      <c r="J910" s="2" t="inlineStr"/>
    </row>
    <row r="911">
      <c r="A911" s="2" t="inlineStr">
        <is>
          <t>H20</t>
        </is>
      </c>
      <c r="B911" s="2" t="inlineStr">
        <is>
          <t>Honey oat and groundnut granola</t>
        </is>
      </c>
      <c r="C911" s="2" t="inlineStr">
        <is>
          <t>Main formula</t>
        </is>
      </c>
      <c r="D911" s="2" t="inlineStr">
        <is>
          <t>Honey</t>
        </is>
      </c>
      <c r="E911" s="3" t="n">
        <v>100</v>
      </c>
      <c r="F911" s="3" t="n">
        <v>500</v>
      </c>
      <c r="G911" s="2">
        <f>IF(Prices!B121="","",Prices!B121)</f>
        <v/>
      </c>
      <c r="H911" s="2">
        <f>IF(G911="","",E911/1000*G911)</f>
        <v/>
      </c>
      <c r="I911" s="2" t="inlineStr">
        <is>
          <t>Purchase quote/specification required</t>
        </is>
      </c>
      <c r="J911" s="2" t="inlineStr"/>
    </row>
    <row r="912">
      <c r="A912" s="2" t="inlineStr">
        <is>
          <t>H20</t>
        </is>
      </c>
      <c r="B912" s="2" t="inlineStr">
        <is>
          <t>Honey oat and groundnut granola</t>
        </is>
      </c>
      <c r="C912" s="2" t="inlineStr">
        <is>
          <t>Main formula</t>
        </is>
      </c>
      <c r="D912" s="2" t="inlineStr">
        <is>
          <t>Sugar</t>
        </is>
      </c>
      <c r="E912" s="3" t="n">
        <v>50</v>
      </c>
      <c r="F912" s="3" t="n">
        <v>250</v>
      </c>
      <c r="G912" s="2">
        <f>IF(Prices!B4="","",Prices!B4)</f>
        <v/>
      </c>
      <c r="H912" s="2">
        <f>IF(G912="","",E912/1000*G912)</f>
        <v/>
      </c>
      <c r="I912" s="2" t="inlineStr">
        <is>
          <t>Owner granulated sugar price; grind specification must match</t>
        </is>
      </c>
      <c r="J912" s="2" t="inlineStr"/>
    </row>
    <row r="913">
      <c r="A913" s="2" t="inlineStr">
        <is>
          <t>H20</t>
        </is>
      </c>
      <c r="B913" s="2" t="inlineStr">
        <is>
          <t>Honey oat and groundnut granola</t>
        </is>
      </c>
      <c r="C913" s="2" t="inlineStr">
        <is>
          <t>Main formula</t>
        </is>
      </c>
      <c r="D913" s="2" t="inlineStr">
        <is>
          <t>Neutral food-grade oil</t>
        </is>
      </c>
      <c r="E913" s="3" t="n">
        <v>50</v>
      </c>
      <c r="F913" s="3" t="n">
        <v>250</v>
      </c>
      <c r="G913" s="2">
        <f>IF(Prices!B115="","",Prices!B115)</f>
        <v/>
      </c>
      <c r="H913" s="2">
        <f>IF(G913="","",E913/1000*G913)</f>
        <v/>
      </c>
      <c r="I913" s="2" t="inlineStr">
        <is>
          <t>PROVISIONAL 0.92 kg/L; correct after weighing</t>
        </is>
      </c>
      <c r="J913" s="2" t="inlineStr"/>
    </row>
    <row r="914">
      <c r="A914" s="2" t="inlineStr">
        <is>
          <t>H20</t>
        </is>
      </c>
      <c r="B914" s="2" t="inlineStr">
        <is>
          <t>Honey oat and groundnut granola</t>
        </is>
      </c>
      <c r="C914" s="2" t="inlineStr">
        <is>
          <t>Main formula</t>
        </is>
      </c>
      <c r="D914" s="2" t="inlineStr">
        <is>
          <t>Salt</t>
        </is>
      </c>
      <c r="E914" s="3" t="n">
        <v>3</v>
      </c>
      <c r="F914" s="3" t="n">
        <v>15</v>
      </c>
      <c r="G914" s="2">
        <f>IF(Prices!B6="","",Prices!B6)</f>
        <v/>
      </c>
      <c r="H914" s="2">
        <f>IF(G914="","",E914/1000*G914)</f>
        <v/>
      </c>
      <c r="I914" s="2" t="inlineStr">
        <is>
          <t>Owner price</t>
        </is>
      </c>
      <c r="J914" s="2" t="inlineStr"/>
    </row>
    <row r="915">
      <c r="A915" s="2" t="inlineStr">
        <is>
          <t>H20</t>
        </is>
      </c>
      <c r="B915" s="2" t="inlineStr">
        <is>
          <t>Honey oat and groundnut granola</t>
        </is>
      </c>
      <c r="C915" s="2" t="inlineStr">
        <is>
          <t>Main formula</t>
        </is>
      </c>
      <c r="D915" s="2" t="inlineStr">
        <is>
          <t>Ground cinnamon</t>
        </is>
      </c>
      <c r="E915" s="3" t="n">
        <v>3</v>
      </c>
      <c r="F915" s="3" t="n">
        <v>15</v>
      </c>
      <c r="G915" s="2">
        <f>IF(Prices!B114="","",Prices!B114)</f>
        <v/>
      </c>
      <c r="H915" s="2">
        <f>IF(G915="","",E915/1000*G915)</f>
        <v/>
      </c>
      <c r="I915" s="2" t="inlineStr">
        <is>
          <t>Purchase quote/specification required</t>
        </is>
      </c>
      <c r="J915" s="2" t="inlineStr"/>
    </row>
    <row r="916">
      <c r="A916" t="inlineStr">
        <is>
          <t>BAG-H2-01</t>
        </is>
      </c>
      <c r="B916" t="inlineStr">
        <is>
          <t>Direct-dough commercial baguette</t>
        </is>
      </c>
      <c r="C916" t="inlineStr">
        <is>
          <t>Dough</t>
        </is>
      </c>
      <c r="D916" t="inlineStr">
        <is>
          <t>H2 flour</t>
        </is>
      </c>
      <c r="E916" t="n">
        <v>7194</v>
      </c>
      <c r="F916" t="n">
        <v>14388</v>
      </c>
      <c r="G916">
        <f>IF(Prices!B142="","",Prices!B142)</f>
        <v/>
      </c>
      <c r="H916">
        <f>IF(G916="","",E916/1000*G916)</f>
        <v/>
      </c>
      <c r="I916" t="inlineStr">
        <is>
          <t>H2 pilot40 / load80; missing price not zero</t>
        </is>
      </c>
    </row>
    <row r="917">
      <c r="A917" t="inlineStr">
        <is>
          <t>BAG-H2-01</t>
        </is>
      </c>
      <c r="B917" t="inlineStr">
        <is>
          <t>Direct-dough commercial baguette</t>
        </is>
      </c>
      <c r="C917" t="inlineStr">
        <is>
          <t>Dough</t>
        </is>
      </c>
      <c r="D917" t="inlineStr">
        <is>
          <t>H2 potable water</t>
        </is>
      </c>
      <c r="E917" t="n">
        <v>4748</v>
      </c>
      <c r="F917" t="n">
        <v>9496</v>
      </c>
      <c r="G917">
        <f>IF(Prices!B143="","",Prices!B143)</f>
        <v/>
      </c>
      <c r="H917">
        <f>IF(G917="","",E917/1000*G917)</f>
        <v/>
      </c>
      <c r="I917" t="inlineStr">
        <is>
          <t>H2 pilot40 / load80; missing price not zero</t>
        </is>
      </c>
    </row>
    <row r="918">
      <c r="A918" t="inlineStr">
        <is>
          <t>BAG-H2-01</t>
        </is>
      </c>
      <c r="B918" t="inlineStr">
        <is>
          <t>Direct-dough commercial baguette</t>
        </is>
      </c>
      <c r="C918" t="inlineStr">
        <is>
          <t>Dough</t>
        </is>
      </c>
      <c r="D918" t="inlineStr">
        <is>
          <t>H2 salt</t>
        </is>
      </c>
      <c r="E918" t="n">
        <v>143.9</v>
      </c>
      <c r="F918" t="n">
        <v>287.8</v>
      </c>
      <c r="G918">
        <f>IF(Prices!B144="","",Prices!B144)</f>
        <v/>
      </c>
      <c r="H918">
        <f>IF(G918="","",E918/1000*G918)</f>
        <v/>
      </c>
      <c r="I918" t="inlineStr">
        <is>
          <t>H2 pilot40 / load80; missing price not zero</t>
        </is>
      </c>
    </row>
    <row r="919">
      <c r="A919" t="inlineStr">
        <is>
          <t>BAG-H2-01</t>
        </is>
      </c>
      <c r="B919" t="inlineStr">
        <is>
          <t>Direct-dough commercial baguette</t>
        </is>
      </c>
      <c r="C919" t="inlineStr">
        <is>
          <t>Dough</t>
        </is>
      </c>
      <c r="D919" t="inlineStr">
        <is>
          <t>H2 Nevada</t>
        </is>
      </c>
      <c r="E919" t="n">
        <v>36</v>
      </c>
      <c r="F919" t="n">
        <v>71.90000000000001</v>
      </c>
      <c r="G919">
        <f>IF(Prices!B145="","",Prices!B145)</f>
        <v/>
      </c>
      <c r="H919">
        <f>IF(G919="","",E919/1000*G919)</f>
        <v/>
      </c>
      <c r="I919" t="inlineStr">
        <is>
          <t>H2 pilot40 / load80; missing price not zero</t>
        </is>
      </c>
    </row>
    <row r="920">
      <c r="A920" t="inlineStr">
        <is>
          <t>T01</t>
        </is>
      </c>
      <c r="B920" t="inlineStr">
        <is>
          <t>Rolled and cut cake doughnuts</t>
        </is>
      </c>
      <c r="C920" t="inlineStr">
        <is>
          <t>Main formula</t>
        </is>
      </c>
      <c r="D920" t="inlineStr">
        <is>
          <t>EDC unidentified HOLD</t>
        </is>
      </c>
      <c r="E920" t="n">
        <v>1.666666666666667</v>
      </c>
      <c r="F920" t="n">
        <v>8.333333333333334</v>
      </c>
      <c r="G920">
        <f>IF(Prices!B146="","",Prices!B146)</f>
        <v/>
      </c>
      <c r="H920">
        <f>IF(G920="","",E920/1000*G920)</f>
        <v/>
      </c>
      <c r="I920" t="inlineStr">
        <is>
          <t>HOLD; historical amount only; confirm identity and permitted application</t>
        </is>
      </c>
    </row>
    <row r="921">
      <c r="A921" t="inlineStr">
        <is>
          <t>H05</t>
        </is>
      </c>
      <c r="B921" t="inlineStr">
        <is>
          <t>Danisa style margarine biscuits</t>
        </is>
      </c>
      <c r="C921" t="inlineStr">
        <is>
          <t>Main formula</t>
        </is>
      </c>
      <c r="D921" t="inlineStr">
        <is>
          <t>EDC unidentified HOLD</t>
        </is>
      </c>
      <c r="E921" t="n">
        <v>2.777777777777778</v>
      </c>
      <c r="F921" t="n">
        <v>13.88888888888889</v>
      </c>
      <c r="G921">
        <f>IF(Prices!B146="","",Prices!B146)</f>
        <v/>
      </c>
      <c r="H921">
        <f>IF(G921="","",E921/1000*G921)</f>
        <v/>
      </c>
      <c r="I921" t="inlineStr">
        <is>
          <t>HOLD; historical amount only; confirm identity and permitted application</t>
        </is>
      </c>
    </row>
  </sheetData>
  <autoFilter ref="A1:J9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9"/>
  <sheetViews>
    <sheetView showGridLines="0" workbookViewId="0">
      <pane ySplit="1" topLeftCell="A2" activePane="bottomLeft" state="frozen"/>
      <selection pane="bottomLeft" activeCell="A1" sqref="A1"/>
    </sheetView>
  </sheetViews>
  <sheetFormatPr baseColWidth="8" defaultRowHeight="15"/>
  <cols>
    <col width="1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s>
  <sheetData>
    <row r="1" ht="32" customHeight="1">
      <c r="A1" s="1" t="inlineStr">
        <is>
          <t>ID</t>
        </is>
      </c>
      <c r="B1" s="1" t="inlineStr">
        <is>
          <t>Recipe</t>
        </is>
      </c>
      <c r="C1" s="1" t="inlineStr">
        <is>
          <t>Input grams</t>
        </is>
      </c>
      <c r="D1" s="1" t="inlineStr">
        <is>
          <t>Usable basis grams</t>
        </is>
      </c>
      <c r="E1" s="1" t="inlineStr">
        <is>
          <t>Planned units</t>
        </is>
      </c>
      <c r="F1" s="1" t="inlineStr">
        <is>
          <t>Known ingredient subtotal</t>
        </is>
      </c>
      <c r="G1" s="1" t="inlineStr">
        <is>
          <t>Missing price line count</t>
        </is>
      </c>
      <c r="H1" s="1" t="inlineStr">
        <is>
          <t>Complete variable batch cost INPUT</t>
        </is>
      </c>
      <c r="I1" s="1" t="inlineStr">
        <is>
          <t>Selling price INPUT</t>
        </is>
      </c>
      <c r="J1" s="1" t="inlineStr">
        <is>
          <t>Full cost per unit</t>
        </is>
      </c>
      <c r="K1" s="1" t="inlineStr">
        <is>
          <t>Contribution per unit</t>
        </is>
      </c>
      <c r="L1" s="1" t="inlineStr">
        <is>
          <t>Original missing inputs</t>
        </is>
      </c>
    </row>
    <row r="2">
      <c r="A2" s="2" t="inlineStr">
        <is>
          <t>O-B01</t>
        </is>
      </c>
      <c r="B2" s="2" t="inlineStr">
        <is>
          <t>Family bread dough</t>
        </is>
      </c>
      <c r="C2" s="3" t="n">
        <v>1715</v>
      </c>
      <c r="D2" s="3" t="n">
        <v>1700</v>
      </c>
      <c r="E2" s="3" t="n"/>
      <c r="F2" s="2">
        <f>SUMIF(Ingredients!A:A,A2,Ingredients!H:H)</f>
        <v/>
      </c>
      <c r="G2" s="2">
        <f>COUNTIFS(Ingredients!A:A,A2,Ingredients!G:G,"")</f>
        <v/>
      </c>
      <c r="H2" s="3" t="n"/>
      <c r="I2" s="3" t="n"/>
      <c r="J2" s="2">
        <f>IF(OR(H2="",E2="",E2=0),"",H2/E2)</f>
        <v/>
      </c>
      <c r="K2" s="2">
        <f>IF(OR(J2="",I2=""),"",I2-J2)</f>
        <v/>
      </c>
      <c r="L2" s="2" t="inlineStr">
        <is>
          <t>Water</t>
        </is>
      </c>
    </row>
    <row r="3">
      <c r="A3" s="2" t="inlineStr">
        <is>
          <t>O-B02</t>
        </is>
      </c>
      <c r="B3" s="2" t="inlineStr">
        <is>
          <t>Condensed milk bun dough</t>
        </is>
      </c>
      <c r="C3" s="3" t="n">
        <v>1895</v>
      </c>
      <c r="D3" s="3" t="n">
        <v>1870</v>
      </c>
      <c r="E3" s="3" t="n"/>
      <c r="F3" s="2">
        <f>SUMIF(Ingredients!A:A,A3,Ingredients!H:H)</f>
        <v/>
      </c>
      <c r="G3" s="2">
        <f>COUNTIFS(Ingredients!A:A,A3,Ingredients!G:G,"")</f>
        <v/>
      </c>
      <c r="H3" s="3" t="n"/>
      <c r="I3" s="3" t="n"/>
      <c r="J3" s="2">
        <f>IF(OR(H3="",E3="",E3=0),"",H3/E3)</f>
        <v/>
      </c>
      <c r="K3" s="2">
        <f>IF(OR(J3="",I3=""),"",I3-J3)</f>
        <v/>
      </c>
      <c r="L3" s="2" t="inlineStr">
        <is>
          <t>Condensed milk; Egg; Vanilla; Water; Whole milk powder</t>
        </is>
      </c>
    </row>
    <row r="4">
      <c r="A4" s="2" t="inlineStr">
        <is>
          <t>O-B03</t>
        </is>
      </c>
      <c r="B4" s="2" t="inlineStr">
        <is>
          <t>Sweet potato milk bread dough</t>
        </is>
      </c>
      <c r="C4" s="3" t="n">
        <v>1812</v>
      </c>
      <c r="D4" s="3" t="n">
        <v>1790</v>
      </c>
      <c r="E4" s="3" t="n"/>
      <c r="F4" s="2">
        <f>SUMIF(Ingredients!A:A,A4,Ingredients!H:H)</f>
        <v/>
      </c>
      <c r="G4" s="2">
        <f>COUNTIFS(Ingredients!A:A,A4,Ingredients!G:G,"")</f>
        <v/>
      </c>
      <c r="H4" s="3" t="n"/>
      <c r="I4" s="3" t="n"/>
      <c r="J4" s="2">
        <f>IF(OR(H4="",E4="",E4=0),"",H4/E4)</f>
        <v/>
      </c>
      <c r="K4" s="2">
        <f>IF(OR(J4="",I4=""),"",I4-J4)</f>
        <v/>
      </c>
      <c r="L4" s="2" t="inlineStr">
        <is>
          <t>Condensed milk; Sweet potato flour; Water; Whole milk powder</t>
        </is>
      </c>
    </row>
    <row r="5">
      <c r="A5" s="2" t="inlineStr">
        <is>
          <t>O-B04</t>
        </is>
      </c>
      <c r="B5" s="2" t="inlineStr">
        <is>
          <t>Yeast doughnut dough</t>
        </is>
      </c>
      <c r="C5" s="3" t="n">
        <v>1808</v>
      </c>
      <c r="D5" s="3" t="n">
        <v>1780</v>
      </c>
      <c r="E5" s="3" t="n"/>
      <c r="F5" s="2">
        <f>SUMIF(Ingredients!A:A,A5,Ingredients!H:H)</f>
        <v/>
      </c>
      <c r="G5" s="2">
        <f>COUNTIFS(Ingredients!A:A,A5,Ingredients!G:G,"")</f>
        <v/>
      </c>
      <c r="H5" s="3" t="n"/>
      <c r="I5" s="3" t="n"/>
      <c r="J5" s="2">
        <f>IF(OR(H5="",E5="",E5=0),"",H5/E5)</f>
        <v/>
      </c>
      <c r="K5" s="2">
        <f>IF(OR(J5="",I5=""),"",I5-J5)</f>
        <v/>
      </c>
      <c r="L5" s="2" t="inlineStr">
        <is>
          <t>Egg; Nutmeg; Vanilla; Water; Whole milk powder</t>
        </is>
      </c>
    </row>
    <row r="6">
      <c r="A6" s="2" t="inlineStr">
        <is>
          <t>O-B05</t>
        </is>
      </c>
      <c r="B6" s="2" t="inlineStr">
        <is>
          <t>Puff puff batter</t>
        </is>
      </c>
      <c r="C6" s="3" t="n">
        <v>1846</v>
      </c>
      <c r="D6" s="3" t="n">
        <v>1830</v>
      </c>
      <c r="E6" s="3" t="n"/>
      <c r="F6" s="2">
        <f>SUMIF(Ingredients!A:A,A6,Ingredients!H:H)</f>
        <v/>
      </c>
      <c r="G6" s="2">
        <f>COUNTIFS(Ingredients!A:A,A6,Ingredients!G:G,"")</f>
        <v/>
      </c>
      <c r="H6" s="3" t="n"/>
      <c r="I6" s="3" t="n"/>
      <c r="J6" s="2">
        <f>IF(OR(H6="",E6="",E6=0),"",H6/E6)</f>
        <v/>
      </c>
      <c r="K6" s="2">
        <f>IF(OR(J6="",I6=""),"",I6-J6)</f>
        <v/>
      </c>
      <c r="L6" s="2" t="inlineStr">
        <is>
          <t>Nutmeg; Plain flour; Water</t>
        </is>
      </c>
    </row>
    <row r="7">
      <c r="A7" s="2" t="inlineStr">
        <is>
          <t>O-B06</t>
        </is>
      </c>
      <c r="B7" s="2" t="inlineStr">
        <is>
          <t>Fish roll dough</t>
        </is>
      </c>
      <c r="C7" s="3" t="n">
        <v>1679</v>
      </c>
      <c r="D7" s="3" t="n">
        <v>1660</v>
      </c>
      <c r="E7" s="3" t="n"/>
      <c r="F7" s="2">
        <f>SUMIF(Ingredients!A:A,A7,Ingredients!H:H)</f>
        <v/>
      </c>
      <c r="G7" s="2">
        <f>COUNTIFS(Ingredients!A:A,A7,Ingredients!G:G,"")</f>
        <v/>
      </c>
      <c r="H7" s="3" t="n"/>
      <c r="I7" s="3" t="n"/>
      <c r="J7" s="2">
        <f>IF(OR(H7="",E7="",E7=0),"",H7/E7)</f>
        <v/>
      </c>
      <c r="K7" s="2">
        <f>IF(OR(J7="",I7=""),"",I7-J7)</f>
        <v/>
      </c>
      <c r="L7" s="2" t="inlineStr">
        <is>
          <t>Nutmeg; Plain flour; Water; Whole milk powder</t>
        </is>
      </c>
    </row>
    <row r="8">
      <c r="A8" s="2" t="inlineStr">
        <is>
          <t>O-B07</t>
        </is>
      </c>
      <c r="B8" s="2" t="inlineStr">
        <is>
          <t>Shortcrust pie pastry</t>
        </is>
      </c>
      <c r="C8" s="3" t="n">
        <v>1773</v>
      </c>
      <c r="D8" s="3" t="n">
        <v>1740</v>
      </c>
      <c r="E8" s="3" t="n"/>
      <c r="F8" s="2">
        <f>SUMIF(Ingredients!A:A,A8,Ingredients!H:H)</f>
        <v/>
      </c>
      <c r="G8" s="2">
        <f>COUNTIFS(Ingredients!A:A,A8,Ingredients!G:G,"")</f>
        <v/>
      </c>
      <c r="H8" s="3" t="n"/>
      <c r="I8" s="3" t="n"/>
      <c r="J8" s="2">
        <f>IF(OR(H8="",E8="",E8=0),"",H8/E8)</f>
        <v/>
      </c>
      <c r="K8" s="2">
        <f>IF(OR(J8="",I8=""),"",I8-J8)</f>
        <v/>
      </c>
      <c r="L8" s="2" t="inlineStr">
        <is>
          <t>Baking powder; Egg; Plain flour; Water</t>
        </is>
      </c>
    </row>
    <row r="9">
      <c r="A9" s="2" t="inlineStr">
        <is>
          <t>O-B08</t>
        </is>
      </c>
      <c r="B9" s="2" t="inlineStr">
        <is>
          <t>Fish filling</t>
        </is>
      </c>
      <c r="C9" s="3" t="n">
        <v>783</v>
      </c>
      <c r="D9" s="3" t="n">
        <v>700</v>
      </c>
      <c r="E9" s="3" t="n"/>
      <c r="F9" s="2">
        <f>SUMIF(Ingredients!A:A,A9,Ingredients!H:H)</f>
        <v/>
      </c>
      <c r="G9" s="2">
        <f>COUNTIFS(Ingredients!A:A,A9,Ingredients!G:G,"")</f>
        <v/>
      </c>
      <c r="H9" s="3" t="n"/>
      <c r="I9" s="3" t="n"/>
      <c r="J9" s="2">
        <f>IF(OR(H9="",E9="",E9=0),"",H9/E9)</f>
        <v/>
      </c>
      <c r="K9" s="2">
        <f>IF(OR(J9="",I9=""),"",I9-J9)</f>
        <v/>
      </c>
      <c r="L9" s="2" t="inlineStr">
        <is>
          <t>Black pepper; Canned fish drained; Carrot trimmed; Garlic peeled; Ginger peeled; Onion trimmed; Paprika</t>
        </is>
      </c>
    </row>
    <row r="10">
      <c r="A10" s="2" t="inlineStr">
        <is>
          <t>O-B09</t>
        </is>
      </c>
      <c r="B10" s="2" t="inlineStr">
        <is>
          <t>Beef pie filling</t>
        </is>
      </c>
      <c r="C10" s="3" t="n">
        <v>1506</v>
      </c>
      <c r="D10" s="3" t="n">
        <v>1300</v>
      </c>
      <c r="E10" s="3" t="n"/>
      <c r="F10" s="2">
        <f>SUMIF(Ingredients!A:A,A10,Ingredients!H:H)</f>
        <v/>
      </c>
      <c r="G10" s="2">
        <f>COUNTIFS(Ingredients!A:A,A10,Ingredients!G:G,"")</f>
        <v/>
      </c>
      <c r="H10" s="3" t="n"/>
      <c r="I10" s="3" t="n"/>
      <c r="J10" s="2">
        <f>IF(OR(H10="",E10="",E10=0),"",H10/E10)</f>
        <v/>
      </c>
      <c r="K10" s="2">
        <f>IF(OR(J10="",I10=""),"",I10-J10)</f>
        <v/>
      </c>
      <c r="L10" s="2" t="inlineStr">
        <is>
          <t>Beef mince; Black pepper; Carrot trimmed; Curry powder; Garlic peeled; Ginger peeled; Onion trimmed; Plain flour; Potato peeled; Thyme; Water</t>
        </is>
      </c>
    </row>
    <row r="11">
      <c r="A11" s="2" t="inlineStr">
        <is>
          <t>O-B10</t>
        </is>
      </c>
      <c r="B11" s="2" t="inlineStr">
        <is>
          <t>Sausage roll filling</t>
        </is>
      </c>
      <c r="C11" s="3" t="n">
        <v>1000</v>
      </c>
      <c r="D11" s="3" t="n">
        <v>980</v>
      </c>
      <c r="E11" s="3" t="n"/>
      <c r="F11" s="2">
        <f>SUMIF(Ingredients!A:A,A11,Ingredients!H:H)</f>
        <v/>
      </c>
      <c r="G11" s="2">
        <f>COUNTIFS(Ingredients!A:A,A11,Ingredients!G:G,"")</f>
        <v/>
      </c>
      <c r="H11" s="3" t="n"/>
      <c r="I11" s="3" t="n"/>
      <c r="J11" s="2">
        <f>IF(OR(H11="",E11="",E11=0),"",H11/E11)</f>
        <v/>
      </c>
      <c r="K11" s="2">
        <f>IF(OR(J11="",I11=""),"",I11-J11)</f>
        <v/>
      </c>
      <c r="L11" s="2" t="inlineStr">
        <is>
          <t>Black pepper; Breadcrumbs; Egg; Garlic peeled; Onion trimmed; Paprika; Sausage meat</t>
        </is>
      </c>
    </row>
    <row r="12">
      <c r="A12" s="2" t="inlineStr">
        <is>
          <t>O-B11</t>
        </is>
      </c>
      <c r="B12" s="2" t="inlineStr">
        <is>
          <t>Creamy chicken filling</t>
        </is>
      </c>
      <c r="C12" s="3" t="n">
        <v>1502</v>
      </c>
      <c r="D12" s="3" t="n">
        <v>1300</v>
      </c>
      <c r="E12" s="3" t="n"/>
      <c r="F12" s="2">
        <f>SUMIF(Ingredients!A:A,A12,Ingredients!H:H)</f>
        <v/>
      </c>
      <c r="G12" s="2">
        <f>COUNTIFS(Ingredients!A:A,A12,Ingredients!G:G,"")</f>
        <v/>
      </c>
      <c r="H12" s="3" t="n"/>
      <c r="I12" s="3" t="n"/>
      <c r="J12" s="2">
        <f>IF(OR(H12="",E12="",E12=0),"",H12/E12)</f>
        <v/>
      </c>
      <c r="K12" s="2">
        <f>IF(OR(J12="",I12=""),"",I12-J12)</f>
        <v/>
      </c>
      <c r="L12" s="2" t="inlineStr">
        <is>
          <t>Black pepper; Carrot trimmed; Chicken boneless; Garlic peeled; Onion trimmed; Pepper trimmed; Plain flour; Potato peeled; Thyme; UHT milk; Water</t>
        </is>
      </c>
    </row>
    <row r="13">
      <c r="A13" s="2" t="inlineStr">
        <is>
          <t>O-B12</t>
        </is>
      </c>
      <c r="B13" s="2" t="inlineStr">
        <is>
          <t>Egg roll dough</t>
        </is>
      </c>
      <c r="C13" s="3" t="n">
        <v>1674</v>
      </c>
      <c r="D13" s="3" t="n">
        <v>1650</v>
      </c>
      <c r="E13" s="3" t="n"/>
      <c r="F13" s="2">
        <f>SUMIF(Ingredients!A:A,A13,Ingredients!H:H)</f>
        <v/>
      </c>
      <c r="G13" s="2">
        <f>COUNTIFS(Ingredients!A:A,A13,Ingredients!G:G,"")</f>
        <v/>
      </c>
      <c r="H13" s="3" t="n"/>
      <c r="I13" s="3" t="n"/>
      <c r="J13" s="2">
        <f>IF(OR(H13="",E13="",E13=0),"",H13/E13)</f>
        <v/>
      </c>
      <c r="K13" s="2">
        <f>IF(OR(J13="",I13=""),"",I13-J13)</f>
        <v/>
      </c>
      <c r="L13" s="2" t="inlineStr">
        <is>
          <t>Nutmeg; Plain flour; Water; Whole milk powder</t>
        </is>
      </c>
    </row>
    <row r="14">
      <c r="A14" s="2" t="inlineStr">
        <is>
          <t>O-B13</t>
        </is>
      </c>
      <c r="B14" s="2" t="inlineStr">
        <is>
          <t>Hard boiled peeled eggs</t>
        </is>
      </c>
      <c r="C14" s="3" t="n">
        <v>1000</v>
      </c>
      <c r="D14" s="3" t="n">
        <v>970</v>
      </c>
      <c r="E14" s="3" t="n"/>
      <c r="F14" s="2">
        <f>SUMIF(Ingredients!A:A,A14,Ingredients!H:H)</f>
        <v/>
      </c>
      <c r="G14" s="2">
        <f>COUNTIFS(Ingredients!A:A,A14,Ingredients!G:G,"")</f>
        <v/>
      </c>
      <c r="H14" s="3" t="n"/>
      <c r="I14" s="3" t="n"/>
      <c r="J14" s="2">
        <f>IF(OR(H14="",E14="",E14=0),"",H14/E14)</f>
        <v/>
      </c>
      <c r="K14" s="2">
        <f>IF(OR(J14="",I14=""),"",I14-J14)</f>
        <v/>
      </c>
      <c r="L14" s="2" t="inlineStr">
        <is>
          <t>Egg</t>
        </is>
      </c>
    </row>
    <row r="15">
      <c r="A15" s="2" t="inlineStr">
        <is>
          <t>O-B14</t>
        </is>
      </c>
      <c r="B15" s="2" t="inlineStr">
        <is>
          <t>Banana condensed milk cake batter</t>
        </is>
      </c>
      <c r="C15" s="3" t="n">
        <v>3061</v>
      </c>
      <c r="D15" s="3" t="n">
        <v>3010</v>
      </c>
      <c r="E15" s="3" t="n"/>
      <c r="F15" s="2">
        <f>SUMIF(Ingredients!A:A,A15,Ingredients!H:H)</f>
        <v/>
      </c>
      <c r="G15" s="2">
        <f>COUNTIFS(Ingredients!A:A,A15,Ingredients!G:G,"")</f>
        <v/>
      </c>
      <c r="H15" s="3" t="n"/>
      <c r="I15" s="3" t="n"/>
      <c r="J15" s="2">
        <f>IF(OR(H15="",E15="",E15=0),"",H15/E15)</f>
        <v/>
      </c>
      <c r="K15" s="2">
        <f>IF(OR(J15="",I15=""),"",I15-J15)</f>
        <v/>
      </c>
      <c r="L15" s="2" t="inlineStr">
        <is>
          <t>Baking powder; Baking soda; Banana peeled; Cinnamon; Condensed milk; Egg; Plain flour; Vanilla</t>
        </is>
      </c>
    </row>
    <row r="16">
      <c r="A16" s="2" t="inlineStr">
        <is>
          <t>O-B15</t>
        </is>
      </c>
      <c r="B16" s="2" t="inlineStr">
        <is>
          <t>Pizza dough</t>
        </is>
      </c>
      <c r="C16" s="3" t="n">
        <v>1708</v>
      </c>
      <c r="D16" s="3" t="n">
        <v>1690</v>
      </c>
      <c r="E16" s="3" t="n"/>
      <c r="F16" s="2">
        <f>SUMIF(Ingredients!A:A,A16,Ingredients!H:H)</f>
        <v/>
      </c>
      <c r="G16" s="2">
        <f>COUNTIFS(Ingredients!A:A,A16,Ingredients!G:G,"")</f>
        <v/>
      </c>
      <c r="H16" s="3" t="n"/>
      <c r="I16" s="3" t="n"/>
      <c r="J16" s="2">
        <f>IF(OR(H16="",E16="",E16=0),"",H16/E16)</f>
        <v/>
      </c>
      <c r="K16" s="2">
        <f>IF(OR(J16="",I16=""),"",I16-J16)</f>
        <v/>
      </c>
      <c r="L16" s="2" t="inlineStr">
        <is>
          <t>Water</t>
        </is>
      </c>
    </row>
    <row r="17">
      <c r="A17" s="2" t="inlineStr">
        <is>
          <t>O-B16</t>
        </is>
      </c>
      <c r="B17" s="2" t="inlineStr">
        <is>
          <t>Pizza tomato sauce</t>
        </is>
      </c>
      <c r="C17" s="3" t="n">
        <v>977</v>
      </c>
      <c r="D17" s="3" t="n">
        <v>750</v>
      </c>
      <c r="E17" s="3" t="n"/>
      <c r="F17" s="2">
        <f>SUMIF(Ingredients!A:A,A17,Ingredients!H:H)</f>
        <v/>
      </c>
      <c r="G17" s="2">
        <f>COUNTIFS(Ingredients!A:A,A17,Ingredients!G:G,"")</f>
        <v/>
      </c>
      <c r="H17" s="3" t="n"/>
      <c r="I17" s="3" t="n"/>
      <c r="J17" s="2">
        <f>IF(OR(H17="",E17="",E17=0),"",H17/E17)</f>
        <v/>
      </c>
      <c r="K17" s="2">
        <f>IF(OR(J17="",I17=""),"",I17-J17)</f>
        <v/>
      </c>
      <c r="L17" s="2" t="inlineStr">
        <is>
          <t>Black pepper; Garlic peeled; Onion trimmed; Oregano; Tomato trimmed</t>
        </is>
      </c>
    </row>
    <row r="18">
      <c r="A18" s="2" t="inlineStr">
        <is>
          <t>O-B25</t>
        </is>
      </c>
      <c r="B18" s="2" t="inlineStr">
        <is>
          <t>Burger buns</t>
        </is>
      </c>
      <c r="C18" s="3" t="n">
        <v>1802</v>
      </c>
      <c r="D18" s="3" t="n">
        <v>1580</v>
      </c>
      <c r="E18" s="3" t="n"/>
      <c r="F18" s="2">
        <f>SUMIF(Ingredients!A:A,A18,Ingredients!H:H)</f>
        <v/>
      </c>
      <c r="G18" s="2">
        <f>COUNTIFS(Ingredients!A:A,A18,Ingredients!G:G,"")</f>
        <v/>
      </c>
      <c r="H18" s="3" t="n"/>
      <c r="I18" s="3" t="n"/>
      <c r="J18" s="2">
        <f>IF(OR(H18="",E18="",E18=0),"",H18/E18)</f>
        <v/>
      </c>
      <c r="K18" s="2">
        <f>IF(OR(J18="",I18=""),"",I18-J18)</f>
        <v/>
      </c>
      <c r="L18" s="2" t="inlineStr">
        <is>
          <t>Egg; Water; Whole milk powder</t>
        </is>
      </c>
    </row>
    <row r="19">
      <c r="A19" s="2" t="inlineStr">
        <is>
          <t>O-B26</t>
        </is>
      </c>
      <c r="B19" s="2" t="inlineStr">
        <is>
          <t>Cooked crispy chicken pieces</t>
        </is>
      </c>
      <c r="C19" s="3" t="n">
        <v>1772</v>
      </c>
      <c r="D19" s="3" t="n">
        <v>1150</v>
      </c>
      <c r="E19" s="3" t="n"/>
      <c r="F19" s="2">
        <f>SUMIF(Ingredients!A:A,A19,Ingredients!H:H)</f>
        <v/>
      </c>
      <c r="G19" s="2">
        <f>COUNTIFS(Ingredients!A:A,A19,Ingredients!G:G,"")</f>
        <v/>
      </c>
      <c r="H19" s="3" t="n"/>
      <c r="I19" s="3" t="n"/>
      <c r="J19" s="2">
        <f>IF(OR(H19="",E19="",E19=0),"",H19/E19)</f>
        <v/>
      </c>
      <c r="K19" s="2">
        <f>IF(OR(J19="",I19=""),"",I19-J19)</f>
        <v/>
      </c>
      <c r="L19" s="2" t="inlineStr">
        <is>
          <t>Black pepper; Chicken boneless; Corn starch; Garlic peeled; Ginger peeled; Paprika; Plain flour; Water; Yogurt plain</t>
        </is>
      </c>
    </row>
    <row r="20">
      <c r="A20" s="2" t="inlineStr">
        <is>
          <t>O-B27</t>
        </is>
      </c>
      <c r="B20" s="2" t="inlineStr">
        <is>
          <t>Cooked beef burger patties</t>
        </is>
      </c>
      <c r="C20" s="3" t="n">
        <v>1028</v>
      </c>
      <c r="D20" s="3" t="n">
        <v>750</v>
      </c>
      <c r="E20" s="3" t="n"/>
      <c r="F20" s="2">
        <f>SUMIF(Ingredients!A:A,A20,Ingredients!H:H)</f>
        <v/>
      </c>
      <c r="G20" s="2">
        <f>COUNTIFS(Ingredients!A:A,A20,Ingredients!G:G,"")</f>
        <v/>
      </c>
      <c r="H20" s="3" t="n"/>
      <c r="I20" s="3" t="n"/>
      <c r="J20" s="2">
        <f>IF(OR(H20="",E20="",E20=0),"",H20/E20)</f>
        <v/>
      </c>
      <c r="K20" s="2">
        <f>IF(OR(J20="",I20=""),"",I20-J20)</f>
        <v/>
      </c>
      <c r="L20" s="2" t="inlineStr">
        <is>
          <t>Beef mince; Black pepper; Paprika</t>
        </is>
      </c>
    </row>
    <row r="21">
      <c r="A21" s="2" t="inlineStr">
        <is>
          <t>O-B28</t>
        </is>
      </c>
      <c r="B21" s="2" t="inlineStr">
        <is>
          <t>Burger sauce</t>
        </is>
      </c>
      <c r="C21" s="3" t="n">
        <v>983</v>
      </c>
      <c r="D21" s="3" t="n">
        <v>975</v>
      </c>
      <c r="E21" s="3" t="n"/>
      <c r="F21" s="2">
        <f>SUMIF(Ingredients!A:A,A21,Ingredients!H:H)</f>
        <v/>
      </c>
      <c r="G21" s="2">
        <f>COUNTIFS(Ingredients!A:A,A21,Ingredients!G:G,"")</f>
        <v/>
      </c>
      <c r="H21" s="3" t="n"/>
      <c r="I21" s="3" t="n"/>
      <c r="J21" s="2">
        <f>IF(OR(H21="",E21="",E21=0),"",H21/E21)</f>
        <v/>
      </c>
      <c r="K21" s="2">
        <f>IF(OR(J21="",I21=""),"",I21-J21)</f>
        <v/>
      </c>
      <c r="L21" s="2" t="inlineStr">
        <is>
          <t>Ketchup; Mayonnaise pasteurized; Mustard; O-B23: Cucumber trimmed; O-B23: Vinegar 5%; O-B23: Water; Paprika</t>
        </is>
      </c>
    </row>
    <row r="22">
      <c r="A22" s="2" t="inlineStr">
        <is>
          <t>O-B29</t>
        </is>
      </c>
      <c r="B22" s="2" t="inlineStr">
        <is>
          <t>Samosa wrapper dough</t>
        </is>
      </c>
      <c r="C22" s="3" t="n">
        <v>1538</v>
      </c>
      <c r="D22" s="3" t="n">
        <v>1510</v>
      </c>
      <c r="E22" s="3" t="n"/>
      <c r="F22" s="2">
        <f>SUMIF(Ingredients!A:A,A22,Ingredients!H:H)</f>
        <v/>
      </c>
      <c r="G22" s="2">
        <f>COUNTIFS(Ingredients!A:A,A22,Ingredients!G:G,"")</f>
        <v/>
      </c>
      <c r="H22" s="3" t="n"/>
      <c r="I22" s="3" t="n"/>
      <c r="J22" s="2">
        <f>IF(OR(H22="",E22="",E22=0),"",H22/E22)</f>
        <v/>
      </c>
      <c r="K22" s="2">
        <f>IF(OR(J22="",I22=""),"",I22-J22)</f>
        <v/>
      </c>
      <c r="L22" s="2" t="inlineStr">
        <is>
          <t>Plain flour; Water</t>
        </is>
      </c>
    </row>
    <row r="23">
      <c r="A23" s="2" t="inlineStr">
        <is>
          <t>O-B30</t>
        </is>
      </c>
      <c r="B23" s="2" t="inlineStr">
        <is>
          <t>Samosa sealing paste</t>
        </is>
      </c>
      <c r="C23" s="3" t="n">
        <v>100</v>
      </c>
      <c r="D23" s="3" t="n">
        <v>98</v>
      </c>
      <c r="E23" s="3" t="n"/>
      <c r="F23" s="2">
        <f>SUMIF(Ingredients!A:A,A23,Ingredients!H:H)</f>
        <v/>
      </c>
      <c r="G23" s="2">
        <f>COUNTIFS(Ingredients!A:A,A23,Ingredients!G:G,"")</f>
        <v/>
      </c>
      <c r="H23" s="3" t="n"/>
      <c r="I23" s="3" t="n"/>
      <c r="J23" s="2">
        <f>IF(OR(H23="",E23="",E23=0),"",H23/E23)</f>
        <v/>
      </c>
      <c r="K23" s="2">
        <f>IF(OR(J23="",I23=""),"",I23-J23)</f>
        <v/>
      </c>
      <c r="L23" s="2" t="inlineStr">
        <is>
          <t>Plain flour; Water</t>
        </is>
      </c>
    </row>
    <row r="24">
      <c r="A24" s="2" t="inlineStr">
        <is>
          <t>O-B31</t>
        </is>
      </c>
      <c r="B24" s="2" t="inlineStr">
        <is>
          <t>Chicken vegetable samosa filling</t>
        </is>
      </c>
      <c r="C24" s="3" t="n">
        <v>1141</v>
      </c>
      <c r="D24" s="3" t="n">
        <v>1000</v>
      </c>
      <c r="E24" s="3" t="n"/>
      <c r="F24" s="2">
        <f>SUMIF(Ingredients!A:A,A24,Ingredients!H:H)</f>
        <v/>
      </c>
      <c r="G24" s="2">
        <f>COUNTIFS(Ingredients!A:A,A24,Ingredients!G:G,"")</f>
        <v/>
      </c>
      <c r="H24" s="3" t="n"/>
      <c r="I24" s="3" t="n"/>
      <c r="J24" s="2">
        <f>IF(OR(H24="",E24="",E24=0),"",H24/E24)</f>
        <v/>
      </c>
      <c r="K24" s="2">
        <f>IF(OR(J24="",I24=""),"",I24-J24)</f>
        <v/>
      </c>
      <c r="L24" s="2" t="inlineStr">
        <is>
          <t>Carrot trimmed; Chicken boneless; Cumin; Curry powder; Garlic peeled; Ginger peeled; Onion trimmed; Potato peeled; Water</t>
        </is>
      </c>
    </row>
    <row r="25">
      <c r="A25" s="2" t="inlineStr">
        <is>
          <t>O-B32</t>
        </is>
      </c>
      <c r="B25" s="2" t="inlineStr">
        <is>
          <t>Milk cake sponge: batter to baked component</t>
        </is>
      </c>
      <c r="C25" s="3" t="n">
        <v>1105</v>
      </c>
      <c r="D25" s="3" t="n">
        <v>950</v>
      </c>
      <c r="E25" s="3" t="n"/>
      <c r="F25" s="2">
        <f>SUMIF(Ingredients!A:A,A25,Ingredients!H:H)</f>
        <v/>
      </c>
      <c r="G25" s="2">
        <f>COUNTIFS(Ingredients!A:A,A25,Ingredients!G:G,"")</f>
        <v/>
      </c>
      <c r="H25" s="3" t="n"/>
      <c r="I25" s="3" t="n"/>
      <c r="J25" s="2">
        <f>IF(OR(H25="",E25="",E25=0),"",H25/E25)</f>
        <v/>
      </c>
      <c r="K25" s="2">
        <f>IF(OR(J25="",I25=""),"",I25-J25)</f>
        <v/>
      </c>
      <c r="L25" s="2" t="inlineStr">
        <is>
          <t>Baking powder; Egg; Plain flour; UHT milk; Vanilla</t>
        </is>
      </c>
    </row>
    <row r="26">
      <c r="A26" s="2" t="inlineStr">
        <is>
          <t>O-B33</t>
        </is>
      </c>
      <c r="B26" s="2" t="inlineStr">
        <is>
          <t>Three milk soak</t>
        </is>
      </c>
      <c r="C26" s="3" t="n">
        <v>1000</v>
      </c>
      <c r="D26" s="3" t="n">
        <v>990</v>
      </c>
      <c r="E26" s="3" t="n"/>
      <c r="F26" s="2">
        <f>SUMIF(Ingredients!A:A,A26,Ingredients!H:H)</f>
        <v/>
      </c>
      <c r="G26" s="2">
        <f>COUNTIFS(Ingredients!A:A,A26,Ingredients!G:G,"")</f>
        <v/>
      </c>
      <c r="H26" s="3" t="n"/>
      <c r="I26" s="3" t="n"/>
      <c r="J26" s="2">
        <f>IF(OR(H26="",E26="",E26=0),"",H26/E26)</f>
        <v/>
      </c>
      <c r="K26" s="2">
        <f>IF(OR(J26="",I26=""),"",I26-J26)</f>
        <v/>
      </c>
      <c r="L26" s="2" t="inlineStr">
        <is>
          <t>Condensed milk; Cream 35%; UHT milk</t>
        </is>
      </c>
    </row>
    <row r="27">
      <c r="A27" s="2" t="inlineStr">
        <is>
          <t>O-B34</t>
        </is>
      </c>
      <c r="B27" s="2" t="inlineStr">
        <is>
          <t>Condensed milk glaze</t>
        </is>
      </c>
      <c r="C27" s="3" t="n">
        <v>342</v>
      </c>
      <c r="D27" s="3" t="n">
        <v>335</v>
      </c>
      <c r="E27" s="3" t="n"/>
      <c r="F27" s="2">
        <f>SUMIF(Ingredients!A:A,A27,Ingredients!H:H)</f>
        <v/>
      </c>
      <c r="G27" s="2">
        <f>COUNTIFS(Ingredients!A:A,A27,Ingredients!G:G,"")</f>
        <v/>
      </c>
      <c r="H27" s="3" t="n"/>
      <c r="I27" s="3" t="n"/>
      <c r="J27" s="2">
        <f>IF(OR(H27="",E27="",E27=0),"",H27/E27)</f>
        <v/>
      </c>
      <c r="K27" s="2">
        <f>IF(OR(J27="",I27=""),"",I27-J27)</f>
        <v/>
      </c>
      <c r="L27" s="2" t="inlineStr">
        <is>
          <t>Butter; Condensed milk; Icing sugar; Vanilla; Water</t>
        </is>
      </c>
    </row>
    <row r="28">
      <c r="A28" s="2" t="inlineStr">
        <is>
          <t>O-B17</t>
        </is>
      </c>
      <c r="B28" s="2" t="inlineStr">
        <is>
          <t>Shawarma flatbread</t>
        </is>
      </c>
      <c r="C28" s="3" t="n">
        <v>1681</v>
      </c>
      <c r="D28" s="3" t="n">
        <v>1500</v>
      </c>
      <c r="E28" s="3" t="n"/>
      <c r="F28" s="2">
        <f>SUMIF(Ingredients!A:A,A28,Ingredients!H:H)</f>
        <v/>
      </c>
      <c r="G28" s="2">
        <f>COUNTIFS(Ingredients!A:A,A28,Ingredients!G:G,"")</f>
        <v/>
      </c>
      <c r="H28" s="3" t="n"/>
      <c r="I28" s="3" t="n"/>
      <c r="J28" s="2">
        <f>IF(OR(H28="",E28="",E28=0),"",H28/E28)</f>
        <v/>
      </c>
      <c r="K28" s="2">
        <f>IF(OR(J28="",I28=""),"",I28-J28)</f>
        <v/>
      </c>
      <c r="L28" s="2" t="inlineStr">
        <is>
          <t>Water</t>
        </is>
      </c>
    </row>
    <row r="29">
      <c r="A29" s="2" t="inlineStr">
        <is>
          <t>O-B18</t>
        </is>
      </c>
      <c r="B29" s="2" t="inlineStr">
        <is>
          <t>Cooked chicken shawarma meat</t>
        </is>
      </c>
      <c r="C29" s="3" t="n">
        <v>1304</v>
      </c>
      <c r="D29" s="3" t="n">
        <v>750</v>
      </c>
      <c r="E29" s="3" t="n"/>
      <c r="F29" s="2">
        <f>SUMIF(Ingredients!A:A,A29,Ingredients!H:H)</f>
        <v/>
      </c>
      <c r="G29" s="2">
        <f>COUNTIFS(Ingredients!A:A,A29,Ingredients!G:G,"")</f>
        <v/>
      </c>
      <c r="H29" s="3" t="n"/>
      <c r="I29" s="3" t="n"/>
      <c r="J29" s="2">
        <f>IF(OR(H29="",E29="",E29=0),"",H29/E29)</f>
        <v/>
      </c>
      <c r="K29" s="2">
        <f>IF(OR(J29="",I29=""),"",I29-J29)</f>
        <v/>
      </c>
      <c r="L29" s="2" t="inlineStr">
        <is>
          <t>Black pepper; Chicken boneless; Chili trimmed; Cinnamon; Coriander; Cumin; Garlic peeled; Lemon juice; Paprika; Vinegar 5%; Yogurt plain</t>
        </is>
      </c>
    </row>
    <row r="30">
      <c r="A30" s="2" t="inlineStr">
        <is>
          <t>O-B19</t>
        </is>
      </c>
      <c r="B30" s="2" t="inlineStr">
        <is>
          <t>Cooked beef shawarma meat</t>
        </is>
      </c>
      <c r="C30" s="3" t="n">
        <v>1231</v>
      </c>
      <c r="D30" s="3" t="n">
        <v>700</v>
      </c>
      <c r="E30" s="3" t="n"/>
      <c r="F30" s="2">
        <f>SUMIF(Ingredients!A:A,A30,Ingredients!H:H)</f>
        <v/>
      </c>
      <c r="G30" s="2">
        <f>COUNTIFS(Ingredients!A:A,A30,Ingredients!G:G,"")</f>
        <v/>
      </c>
      <c r="H30" s="3" t="n"/>
      <c r="I30" s="3" t="n"/>
      <c r="J30" s="2">
        <f>IF(OR(H30="",E30="",E30=0),"",H30/E30)</f>
        <v/>
      </c>
      <c r="K30" s="2">
        <f>IF(OR(J30="",I30=""),"",I30-J30)</f>
        <v/>
      </c>
      <c r="L30" s="2" t="inlineStr">
        <is>
          <t>Beef boneless; Black pepper; Cinnamon; Coriander; Cumin; Garlic peeled; Lemon juice; Onion trimmed; Paprika; Vinegar 5%</t>
        </is>
      </c>
    </row>
    <row r="31">
      <c r="A31" s="2" t="inlineStr">
        <is>
          <t>O-B20</t>
        </is>
      </c>
      <c r="B31" s="2" t="inlineStr">
        <is>
          <t>Garlic mayonnaise sauce</t>
        </is>
      </c>
      <c r="C31" s="3" t="n">
        <v>987</v>
      </c>
      <c r="D31" s="3" t="n">
        <v>975</v>
      </c>
      <c r="E31" s="3" t="n"/>
      <c r="F31" s="2">
        <f>SUMIF(Ingredients!A:A,A31,Ingredients!H:H)</f>
        <v/>
      </c>
      <c r="G31" s="2">
        <f>COUNTIFS(Ingredients!A:A,A31,Ingredients!G:G,"")</f>
        <v/>
      </c>
      <c r="H31" s="3" t="n"/>
      <c r="I31" s="3" t="n"/>
      <c r="J31" s="2">
        <f>IF(OR(H31="",E31="",E31=0),"",H31/E31)</f>
        <v/>
      </c>
      <c r="K31" s="2">
        <f>IF(OR(J31="",I31=""),"",I31-J31)</f>
        <v/>
      </c>
      <c r="L31" s="2" t="inlineStr">
        <is>
          <t>Black pepper; Garlic peeled; Lemon juice; Mayonnaise pasteurized; Water</t>
        </is>
      </c>
    </row>
    <row r="32">
      <c r="A32" s="2" t="inlineStr">
        <is>
          <t>O-B21</t>
        </is>
      </c>
      <c r="B32" s="2" t="inlineStr">
        <is>
          <t>Cooked hot sauce</t>
        </is>
      </c>
      <c r="C32" s="3" t="n">
        <v>880</v>
      </c>
      <c r="D32" s="3" t="n">
        <v>700</v>
      </c>
      <c r="E32" s="3" t="n"/>
      <c r="F32" s="2">
        <f>SUMIF(Ingredients!A:A,A32,Ingredients!H:H)</f>
        <v/>
      </c>
      <c r="G32" s="2">
        <f>COUNTIFS(Ingredients!A:A,A32,Ingredients!G:G,"")</f>
        <v/>
      </c>
      <c r="H32" s="3" t="n"/>
      <c r="I32" s="3" t="n"/>
      <c r="J32" s="2">
        <f>IF(OR(H32="",E32="",E32=0),"",H32/E32)</f>
        <v/>
      </c>
      <c r="K32" s="2">
        <f>IF(OR(J32="",I32=""),"",I32-J32)</f>
        <v/>
      </c>
      <c r="L32" s="2" t="inlineStr">
        <is>
          <t>Chili trimmed; Garlic peeled; Onion trimmed; Tomato trimmed; Vinegar 5%</t>
        </is>
      </c>
    </row>
    <row r="33">
      <c r="A33" s="2" t="inlineStr">
        <is>
          <t>O-B22</t>
        </is>
      </c>
      <c r="B33" s="2" t="inlineStr">
        <is>
          <t>Shawarma slaw</t>
        </is>
      </c>
      <c r="C33" s="3" t="n">
        <v>995</v>
      </c>
      <c r="D33" s="3" t="n">
        <v>975</v>
      </c>
      <c r="E33" s="3" t="n"/>
      <c r="F33" s="2">
        <f>SUMIF(Ingredients!A:A,A33,Ingredients!H:H)</f>
        <v/>
      </c>
      <c r="G33" s="2">
        <f>COUNTIFS(Ingredients!A:A,A33,Ingredients!G:G,"")</f>
        <v/>
      </c>
      <c r="H33" s="3" t="n"/>
      <c r="I33" s="3" t="n"/>
      <c r="J33" s="2">
        <f>IF(OR(H33="",E33="",E33=0),"",H33/E33)</f>
        <v/>
      </c>
      <c r="K33" s="2">
        <f>IF(OR(J33="",I33=""),"",I33-J33)</f>
        <v/>
      </c>
      <c r="L33" s="2" t="inlineStr">
        <is>
          <t>Cabbage trimmed; Carrot trimmed; Onion trimmed; Vinegar 5%</t>
        </is>
      </c>
    </row>
    <row r="34">
      <c r="A34" s="2" t="inlineStr">
        <is>
          <t>O-B23</t>
        </is>
      </c>
      <c r="B34" s="2" t="inlineStr">
        <is>
          <t>Refrigerator cucumber pickles</t>
        </is>
      </c>
      <c r="C34" s="3" t="n">
        <v>1480</v>
      </c>
      <c r="D34" s="3" t="n">
        <v>650</v>
      </c>
      <c r="E34" s="3" t="n"/>
      <c r="F34" s="2">
        <f>SUMIF(Ingredients!A:A,A34,Ingredients!H:H)</f>
        <v/>
      </c>
      <c r="G34" s="2">
        <f>COUNTIFS(Ingredients!A:A,A34,Ingredients!G:G,"")</f>
        <v/>
      </c>
      <c r="H34" s="3" t="n"/>
      <c r="I34" s="3" t="n"/>
      <c r="J34" s="2">
        <f>IF(OR(H34="",E34="",E34=0),"",H34/E34)</f>
        <v/>
      </c>
      <c r="K34" s="2">
        <f>IF(OR(J34="",I34=""),"",I34-J34)</f>
        <v/>
      </c>
      <c r="L34" s="2" t="inlineStr">
        <is>
          <t>Cucumber trimmed; Vinegar 5%; Water</t>
        </is>
      </c>
    </row>
    <row r="35">
      <c r="A35" s="2" t="inlineStr">
        <is>
          <t>O-B24</t>
        </is>
      </c>
      <c r="B35" s="2" t="inlineStr">
        <is>
          <t>Crisp fries</t>
        </is>
      </c>
      <c r="C35" s="3" t="n">
        <v>1128</v>
      </c>
      <c r="D35" s="3" t="n">
        <v>650</v>
      </c>
      <c r="E35" s="3" t="n"/>
      <c r="F35" s="2">
        <f>SUMIF(Ingredients!A:A,A35,Ingredients!H:H)</f>
        <v/>
      </c>
      <c r="G35" s="2">
        <f>COUNTIFS(Ingredients!A:A,A35,Ingredients!G:G,"")</f>
        <v/>
      </c>
      <c r="H35" s="3" t="n"/>
      <c r="I35" s="3" t="n"/>
      <c r="J35" s="2">
        <f>IF(OR(H35="",E35="",E35=0),"",H35/E35)</f>
        <v/>
      </c>
      <c r="K35" s="2">
        <f>IF(OR(J35="",I35=""),"",I35-J35)</f>
        <v/>
      </c>
      <c r="L35" s="2" t="inlineStr">
        <is>
          <t>Potato peeled</t>
        </is>
      </c>
    </row>
    <row r="36">
      <c r="A36" s="2" t="inlineStr">
        <is>
          <t>O-B35</t>
        </is>
      </c>
      <c r="B36" s="2" t="inlineStr">
        <is>
          <t>Beef shawarma sesame sauce</t>
        </is>
      </c>
      <c r="C36" s="3" t="n">
        <v>990</v>
      </c>
      <c r="D36" s="3" t="n">
        <v>975</v>
      </c>
      <c r="E36" s="3" t="n"/>
      <c r="F36" s="2">
        <f>SUMIF(Ingredients!A:A,A36,Ingredients!H:H)</f>
        <v/>
      </c>
      <c r="G36" s="2">
        <f>COUNTIFS(Ingredients!A:A,A36,Ingredients!G:G,"")</f>
        <v/>
      </c>
      <c r="H36" s="3" t="n"/>
      <c r="I36" s="3" t="n"/>
      <c r="J36" s="2">
        <f>IF(OR(H36="",E36="",E36=0),"",H36/E36)</f>
        <v/>
      </c>
      <c r="K36" s="2">
        <f>IF(OR(J36="",I36=""),"",I36-J36)</f>
        <v/>
      </c>
      <c r="L36" s="2" t="inlineStr">
        <is>
          <t>Garlic peeled; Lemon juice; Mayonnaise pasteurized; Tahini; Water</t>
        </is>
      </c>
    </row>
    <row r="37">
      <c r="A37" s="2" t="inlineStr">
        <is>
          <t>O-B36</t>
        </is>
      </c>
      <c r="B37" s="2" t="inlineStr">
        <is>
          <t>lemon-garlic oven fish</t>
        </is>
      </c>
      <c r="C37" s="3" t="n">
        <v>1081</v>
      </c>
      <c r="D37" s="3" t="n">
        <v>800</v>
      </c>
      <c r="E37" s="3" t="n"/>
      <c r="F37" s="2">
        <f>SUMIF(Ingredients!A:A,A37,Ingredients!H:H)</f>
        <v/>
      </c>
      <c r="G37" s="2">
        <f>COUNTIFS(Ingredients!A:A,A37,Ingredients!G:G,"")</f>
        <v/>
      </c>
      <c r="H37" s="3" t="n"/>
      <c r="I37" s="3" t="n"/>
      <c r="J37" s="2">
        <f>IF(OR(H37="",E37="",E37=0),"",H37/E37)</f>
        <v/>
      </c>
      <c r="K37" s="2">
        <f>IF(OR(J37="",I37=""),"",I37-J37)</f>
        <v/>
      </c>
      <c r="L37" s="2" t="inlineStr">
        <is>
          <t>Black pepper; Boneless trimmed white fish; Garlic, finely crushed; Lemon juice; Paprika</t>
        </is>
      </c>
    </row>
    <row r="38">
      <c r="A38" s="2" t="inlineStr">
        <is>
          <t>O-P01</t>
        </is>
      </c>
      <c r="B38" s="2" t="inlineStr">
        <is>
          <t>Soft family bread</t>
        </is>
      </c>
      <c r="C38" s="3" t="n">
        <v>1700</v>
      </c>
      <c r="D38" s="3" t="n">
        <v>1700</v>
      </c>
      <c r="E38" s="3" t="n">
        <v>3</v>
      </c>
      <c r="F38" s="2">
        <f>SUMIF(Ingredients!A:A,A38,Ingredients!H:H)</f>
        <v/>
      </c>
      <c r="G38" s="2">
        <f>COUNTIFS(Ingredients!A:A,A38,Ingredients!G:G,"")</f>
        <v/>
      </c>
      <c r="H38" s="3" t="n"/>
      <c r="I38" s="3" t="n"/>
      <c r="J38" s="2">
        <f>IF(OR(H38="",E38="",E38=0),"",H38/E38)</f>
        <v/>
      </c>
      <c r="K38" s="2">
        <f>IF(OR(J38="",I38=""),"",I38-J38)</f>
        <v/>
      </c>
      <c r="L38" s="2" t="inlineStr">
        <is>
          <t>O-B01: Water</t>
        </is>
      </c>
    </row>
    <row r="39">
      <c r="A39" s="2" t="inlineStr">
        <is>
          <t>O-P02</t>
        </is>
      </c>
      <c r="B39" s="2" t="inlineStr">
        <is>
          <t>Condensed milk breakfast buns</t>
        </is>
      </c>
      <c r="C39" s="3" t="n">
        <v>1910</v>
      </c>
      <c r="D39" s="3" t="n">
        <v>1910</v>
      </c>
      <c r="E39" s="3" t="n">
        <v>20</v>
      </c>
      <c r="F39" s="2">
        <f>SUMIF(Ingredients!A:A,A39,Ingredients!H:H)</f>
        <v/>
      </c>
      <c r="G39" s="2">
        <f>COUNTIFS(Ingredients!A:A,A39,Ingredients!G:G,"")</f>
        <v/>
      </c>
      <c r="H39" s="3" t="n"/>
      <c r="I39" s="3" t="n"/>
      <c r="J39" s="2">
        <f>IF(OR(H39="",E39="",E39=0),"",H39/E39)</f>
        <v/>
      </c>
      <c r="K39" s="2">
        <f>IF(OR(J39="",I39=""),"",I39-J39)</f>
        <v/>
      </c>
      <c r="L39" s="2" t="inlineStr">
        <is>
          <t>Egg; O-B02: Condensed milk; O-B02: Egg; O-B02: Vanilla; O-B02: Water; O-B02: Whole milk powder</t>
        </is>
      </c>
    </row>
    <row r="40">
      <c r="A40" s="2" t="inlineStr">
        <is>
          <t>O-P03</t>
        </is>
      </c>
      <c r="B40" s="2" t="inlineStr">
        <is>
          <t>Nkambe sweet potato milk loaf</t>
        </is>
      </c>
      <c r="C40" s="3" t="n">
        <v>1790</v>
      </c>
      <c r="D40" s="3" t="n">
        <v>1790</v>
      </c>
      <c r="E40" s="3" t="n">
        <v>3</v>
      </c>
      <c r="F40" s="2">
        <f>SUMIF(Ingredients!A:A,A40,Ingredients!H:H)</f>
        <v/>
      </c>
      <c r="G40" s="2">
        <f>COUNTIFS(Ingredients!A:A,A40,Ingredients!G:G,"")</f>
        <v/>
      </c>
      <c r="H40" s="3" t="n"/>
      <c r="I40" s="3" t="n"/>
      <c r="J40" s="2">
        <f>IF(OR(H40="",E40="",E40=0),"",H40/E40)</f>
        <v/>
      </c>
      <c r="K40" s="2">
        <f>IF(OR(J40="",I40=""),"",I40-J40)</f>
        <v/>
      </c>
      <c r="L40" s="2" t="inlineStr">
        <is>
          <t>O-B03: Condensed milk; O-B03: Sweet potato flour; O-B03: Water; O-B03: Whole milk powder</t>
        </is>
      </c>
    </row>
    <row r="41">
      <c r="A41" s="2" t="inlineStr">
        <is>
          <t>O-P04</t>
        </is>
      </c>
      <c r="B41" s="2" t="inlineStr">
        <is>
          <t>Sugar ring doughnuts</t>
        </is>
      </c>
      <c r="C41" s="3" t="n">
        <v>2100</v>
      </c>
      <c r="D41" s="3" t="n">
        <v>2100</v>
      </c>
      <c r="E41" s="3" t="n">
        <v>25</v>
      </c>
      <c r="F41" s="2">
        <f>SUMIF(Ingredients!A:A,A41,Ingredients!H:H)</f>
        <v/>
      </c>
      <c r="G41" s="2">
        <f>COUNTIFS(Ingredients!A:A,A41,Ingredients!G:G,"")</f>
        <v/>
      </c>
      <c r="H41" s="3" t="n"/>
      <c r="I41" s="3" t="n"/>
      <c r="J41" s="2">
        <f>IF(OR(H41="",E41="",E41=0),"",H41/E41)</f>
        <v/>
      </c>
      <c r="K41" s="2">
        <f>IF(OR(J41="",I41=""),"",I41-J41)</f>
        <v/>
      </c>
      <c r="L41" s="2" t="inlineStr">
        <is>
          <t>O-B04: Egg; O-B04: Nutmeg; O-B04: Vanilla; O-B04: Water; O-B04: Whole milk powder</t>
        </is>
      </c>
    </row>
    <row r="42">
      <c r="A42" s="2" t="inlineStr">
        <is>
          <t>O-P05</t>
        </is>
      </c>
      <c r="B42" s="2" t="inlineStr">
        <is>
          <t>Puff puff</t>
        </is>
      </c>
      <c r="C42" s="3" t="n">
        <v>2010</v>
      </c>
      <c r="D42" s="3" t="n">
        <v>2010</v>
      </c>
      <c r="E42" s="3" t="n">
        <v>60</v>
      </c>
      <c r="F42" s="2">
        <f>SUMIF(Ingredients!A:A,A42,Ingredients!H:H)</f>
        <v/>
      </c>
      <c r="G42" s="2">
        <f>COUNTIFS(Ingredients!A:A,A42,Ingredients!G:G,"")</f>
        <v/>
      </c>
      <c r="H42" s="3" t="n"/>
      <c r="I42" s="3" t="n"/>
      <c r="J42" s="2">
        <f>IF(OR(H42="",E42="",E42=0),"",H42/E42)</f>
        <v/>
      </c>
      <c r="K42" s="2">
        <f>IF(OR(J42="",I42=""),"",I42-J42)</f>
        <v/>
      </c>
      <c r="L42" s="2" t="inlineStr">
        <is>
          <t>O-B05: Nutmeg; O-B05: Plain flour; O-B05: Water</t>
        </is>
      </c>
    </row>
    <row r="43">
      <c r="A43" s="2" t="inlineStr">
        <is>
          <t>O-P06</t>
        </is>
      </c>
      <c r="B43" s="2" t="inlineStr">
        <is>
          <t>Cameroon style fish rolls</t>
        </is>
      </c>
      <c r="C43" s="3" t="n">
        <v>2440</v>
      </c>
      <c r="D43" s="3" t="n">
        <v>2440</v>
      </c>
      <c r="E43" s="3" t="n">
        <v>24</v>
      </c>
      <c r="F43" s="2">
        <f>SUMIF(Ingredients!A:A,A43,Ingredients!H:H)</f>
        <v/>
      </c>
      <c r="G43" s="2">
        <f>COUNTIFS(Ingredients!A:A,A43,Ingredients!G:G,"")</f>
        <v/>
      </c>
      <c r="H43" s="3" t="n"/>
      <c r="I43" s="3" t="n"/>
      <c r="J43" s="2">
        <f>IF(OR(H43="",E43="",E43=0),"",H43/E43)</f>
        <v/>
      </c>
      <c r="K43" s="2">
        <f>IF(OR(J43="",I43=""),"",I43-J43)</f>
        <v/>
      </c>
      <c r="L43" s="2" t="inlineStr">
        <is>
          <t>O-B06: Nutmeg; O-B06: Plain flour; O-B06: Water; O-B06: Whole milk powder; O-B08: Black pepper; O-B08: Canned fish drained; O-B08: Carrot trimmed; O-B08: Garlic peeled; O-B08: Ginger peeled; O-B08: Onion trimmed; O-B08: Paprika</t>
        </is>
      </c>
    </row>
    <row r="44">
      <c r="A44" s="2" t="inlineStr">
        <is>
          <t>O-P07</t>
        </is>
      </c>
      <c r="B44" s="2" t="inlineStr">
        <is>
          <t>Beef meat pies</t>
        </is>
      </c>
      <c r="C44" s="3" t="n">
        <v>2885</v>
      </c>
      <c r="D44" s="3" t="n">
        <v>2885</v>
      </c>
      <c r="E44" s="3" t="n">
        <v>22</v>
      </c>
      <c r="F44" s="2">
        <f>SUMIF(Ingredients!A:A,A44,Ingredients!H:H)</f>
        <v/>
      </c>
      <c r="G44" s="2">
        <f>COUNTIFS(Ingredients!A:A,A44,Ingredients!G:G,"")</f>
        <v/>
      </c>
      <c r="H44" s="3" t="n"/>
      <c r="I44" s="3" t="n"/>
      <c r="J44" s="2">
        <f>IF(OR(H44="",E44="",E44=0),"",H44/E44)</f>
        <v/>
      </c>
      <c r="K44" s="2">
        <f>IF(OR(J44="",I44=""),"",I44-J44)</f>
        <v/>
      </c>
      <c r="L44" s="2" t="inlineStr">
        <is>
          <t>Egg; O-B07: Baking powder; O-B07: Egg; O-B07: Plain flour; O-B07: Water; O-B09: Beef mince; O-B09: Black pepper; O-B09: Carrot trimmed; O-B09: Curry powder; O-B09: Garlic peeled; O-B09: Ginger peeled; O-B09: Onion trimmed; O-B09: Plain flour; O-B09: Potato peeled; O-B09: Thyme; O-B09: Water</t>
        </is>
      </c>
    </row>
    <row r="45">
      <c r="A45" s="2" t="inlineStr">
        <is>
          <t>O-P08</t>
        </is>
      </c>
      <c r="B45" s="2" t="inlineStr">
        <is>
          <t>Sausage rolls</t>
        </is>
      </c>
      <c r="C45" s="3" t="n">
        <v>2745</v>
      </c>
      <c r="D45" s="3" t="n">
        <v>2745</v>
      </c>
      <c r="E45" s="3" t="n">
        <v>24</v>
      </c>
      <c r="F45" s="2">
        <f>SUMIF(Ingredients!A:A,A45,Ingredients!H:H)</f>
        <v/>
      </c>
      <c r="G45" s="2">
        <f>COUNTIFS(Ingredients!A:A,A45,Ingredients!G:G,"")</f>
        <v/>
      </c>
      <c r="H45" s="3" t="n"/>
      <c r="I45" s="3" t="n"/>
      <c r="J45" s="2">
        <f>IF(OR(H45="",E45="",E45=0),"",H45/E45)</f>
        <v/>
      </c>
      <c r="K45" s="2">
        <f>IF(OR(J45="",I45=""),"",I45-J45)</f>
        <v/>
      </c>
      <c r="L45" s="2" t="inlineStr">
        <is>
          <t>Egg; O-B07: Baking powder; O-B07: Egg; O-B07: Plain flour; O-B07: Water; O-B10: Black pepper; O-B10: Breadcrumbs; O-B10: Egg; O-B10: Garlic peeled; O-B10: Onion trimmed; O-B10: Paprika; O-B10: Sausage meat</t>
        </is>
      </c>
    </row>
    <row r="46">
      <c r="A46" s="2" t="inlineStr">
        <is>
          <t>O-P09</t>
        </is>
      </c>
      <c r="B46" s="2" t="inlineStr">
        <is>
          <t>Creamy chicken pies</t>
        </is>
      </c>
      <c r="C46" s="3" t="n">
        <v>3045</v>
      </c>
      <c r="D46" s="3" t="n">
        <v>3045</v>
      </c>
      <c r="E46" s="3" t="n">
        <v>21</v>
      </c>
      <c r="F46" s="2">
        <f>SUMIF(Ingredients!A:A,A46,Ingredients!H:H)</f>
        <v/>
      </c>
      <c r="G46" s="2">
        <f>COUNTIFS(Ingredients!A:A,A46,Ingredients!G:G,"")</f>
        <v/>
      </c>
      <c r="H46" s="3" t="n"/>
      <c r="I46" s="3" t="n"/>
      <c r="J46" s="2">
        <f>IF(OR(H46="",E46="",E46=0),"",H46/E46)</f>
        <v/>
      </c>
      <c r="K46" s="2">
        <f>IF(OR(J46="",I46=""),"",I46-J46)</f>
        <v/>
      </c>
      <c r="L46" s="2" t="inlineStr">
        <is>
          <t>Egg; O-B07: Baking powder; O-B07: Egg; O-B07: Plain flour; O-B07: Water; O-B11: Black pepper; O-B11: Carrot trimmed; O-B11: Chicken boneless; O-B11: Garlic peeled; O-B11: Onion trimmed; O-B11: Pepper trimmed; O-B11: Plain flour; O-B11: Potato peeled; O-B11: Thyme; O-B11: UHT milk; O-B11: Water</t>
        </is>
      </c>
    </row>
    <row r="47">
      <c r="A47" s="2" t="inlineStr">
        <is>
          <t>O-P10</t>
        </is>
      </c>
      <c r="B47" s="2" t="inlineStr">
        <is>
          <t>Whole egg dough rolls</t>
        </is>
      </c>
      <c r="C47" s="3" t="n">
        <v>2630</v>
      </c>
      <c r="D47" s="3" t="n">
        <v>2630</v>
      </c>
      <c r="E47" s="3" t="n">
        <v>16</v>
      </c>
      <c r="F47" s="2">
        <f>SUMIF(Ingredients!A:A,A47,Ingredients!H:H)</f>
        <v/>
      </c>
      <c r="G47" s="2">
        <f>COUNTIFS(Ingredients!A:A,A47,Ingredients!G:G,"")</f>
        <v/>
      </c>
      <c r="H47" s="3" t="n"/>
      <c r="I47" s="3" t="n"/>
      <c r="J47" s="2">
        <f>IF(OR(H47="",E47="",E47=0),"",H47/E47)</f>
        <v/>
      </c>
      <c r="K47" s="2">
        <f>IF(OR(J47="",I47=""),"",I47-J47)</f>
        <v/>
      </c>
      <c r="L47" s="2" t="inlineStr">
        <is>
          <t>O-B12: Nutmeg; O-B12: Plain flour; O-B12: Water; O-B12: Whole milk powder; O-B13: Egg</t>
        </is>
      </c>
    </row>
    <row r="48">
      <c r="A48" s="2" t="inlineStr">
        <is>
          <t>O-P11</t>
        </is>
      </c>
      <c r="B48" s="2" t="inlineStr">
        <is>
          <t>Banana condensed milk cake slices</t>
        </is>
      </c>
      <c r="C48" s="3" t="n">
        <v>3010</v>
      </c>
      <c r="D48" s="3" t="n">
        <v>3010</v>
      </c>
      <c r="E48" s="3" t="n">
        <v>24</v>
      </c>
      <c r="F48" s="2">
        <f>SUMIF(Ingredients!A:A,A48,Ingredients!H:H)</f>
        <v/>
      </c>
      <c r="G48" s="2">
        <f>COUNTIFS(Ingredients!A:A,A48,Ingredients!G:G,"")</f>
        <v/>
      </c>
      <c r="H48" s="3" t="n"/>
      <c r="I48" s="3" t="n"/>
      <c r="J48" s="2">
        <f>IF(OR(H48="",E48="",E48=0),"",H48/E48)</f>
        <v/>
      </c>
      <c r="K48" s="2">
        <f>IF(OR(J48="",I48=""),"",I48-J48)</f>
        <v/>
      </c>
      <c r="L48" s="2" t="inlineStr">
        <is>
          <t>O-B14: Baking powder; O-B14: Baking soda; O-B14: Banana peeled; O-B14: Cinnamon; O-B14: Condensed milk; O-B14: Egg; O-B14: Plain flour; O-B14: Vanilla</t>
        </is>
      </c>
    </row>
    <row r="49">
      <c r="A49" s="2" t="inlineStr">
        <is>
          <t>O-P12</t>
        </is>
      </c>
      <c r="B49" s="2" t="inlineStr">
        <is>
          <t>Personal chicken pizza</t>
        </is>
      </c>
      <c r="C49" s="3" t="n">
        <v>3450</v>
      </c>
      <c r="D49" s="3" t="n">
        <v>3450</v>
      </c>
      <c r="E49" s="3" t="n">
        <v>11</v>
      </c>
      <c r="F49" s="2">
        <f>SUMIF(Ingredients!A:A,A49,Ingredients!H:H)</f>
        <v/>
      </c>
      <c r="G49" s="2">
        <f>COUNTIFS(Ingredients!A:A,A49,Ingredients!G:G,"")</f>
        <v/>
      </c>
      <c r="H49" s="3" t="n"/>
      <c r="I49" s="3" t="n"/>
      <c r="J49" s="2">
        <f>IF(OR(H49="",E49="",E49=0),"",H49/E49)</f>
        <v/>
      </c>
      <c r="K49" s="2">
        <f>IF(OR(J49="",I49=""),"",I49-J49)</f>
        <v/>
      </c>
      <c r="L49" s="2" t="inlineStr">
        <is>
          <t>Mozzarella; O-B15: Water; O-B16: Black pepper; O-B16: Garlic peeled; O-B16: Onion trimmed; O-B16: Oregano; O-B16: Tomato trimmed; O-B18: Black pepper; O-B18: Chicken boneless; O-B18: Chili trimmed; O-B18: Cinnamon; O-B18: Coriander; O-B18: Cumin; O-B18: Garlic peeled; O-B18: Lemon juice; O-B18: Paprika; O-B18: Vinegar 5%; O-B18: Yogurt plain; Onion trimmed; Pepper trimmed</t>
        </is>
      </c>
    </row>
    <row r="50">
      <c r="A50" s="2" t="inlineStr">
        <is>
          <t>O-P13</t>
        </is>
      </c>
      <c r="B50" s="2" t="inlineStr">
        <is>
          <t>Complete chicken shawarma</t>
        </is>
      </c>
      <c r="C50" s="3" t="n">
        <v>5580</v>
      </c>
      <c r="D50" s="3" t="n">
        <v>5580</v>
      </c>
      <c r="E50" s="3" t="n">
        <v>16</v>
      </c>
      <c r="F50" s="2">
        <f>SUMIF(Ingredients!A:A,A50,Ingredients!H:H)</f>
        <v/>
      </c>
      <c r="G50" s="2">
        <f>COUNTIFS(Ingredients!A:A,A50,Ingredients!G:G,"")</f>
        <v/>
      </c>
      <c r="H50" s="3" t="n"/>
      <c r="I50" s="3" t="n"/>
      <c r="J50" s="2">
        <f>IF(OR(H50="",E50="",E50=0),"",H50/E50)</f>
        <v/>
      </c>
      <c r="K50" s="2">
        <f>IF(OR(J50="",I50=""),"",I50-J50)</f>
        <v/>
      </c>
      <c r="L50" s="2" t="inlineStr">
        <is>
          <t>O-B17: Water; O-B18: Black pepper; O-B18: Chicken boneless; O-B18: Chili trimmed; O-B18: Cinnamon; O-B18: Coriander; O-B18: Cumin; O-B18: Garlic peeled; O-B18: Lemon juice; O-B18: Paprika; O-B18: Vinegar 5%; O-B18: Yogurt plain; O-B20: Black pepper; O-B20: Garlic peeled; O-B20: Lemon juice; O-B20: Mayonnaise pasteurized; O-B20: Water; O-B21: Chili trimmed; O-B21: Garlic peeled; O-B21: Onion trimmed; O-B21: Tomato trimmed; O-B21: Vinegar 5%; O-B22: Cabbage trimmed; O-B22: Carrot trimmed; O-B22: Onion trimmed; O-B22: Vinegar 5%; O-B23: Cucumber trimmed; O-B23: Vinegar 5%; O-B23: Water; O-B24: Potato peeled</t>
        </is>
      </c>
    </row>
    <row r="51">
      <c r="A51" s="2" t="inlineStr">
        <is>
          <t>O-P14</t>
        </is>
      </c>
      <c r="B51" s="2" t="inlineStr">
        <is>
          <t>Complete beef shawarma</t>
        </is>
      </c>
      <c r="C51" s="3" t="n">
        <v>5580</v>
      </c>
      <c r="D51" s="3" t="n">
        <v>5580</v>
      </c>
      <c r="E51" s="3" t="n">
        <v>16</v>
      </c>
      <c r="F51" s="2">
        <f>SUMIF(Ingredients!A:A,A51,Ingredients!H:H)</f>
        <v/>
      </c>
      <c r="G51" s="2">
        <f>COUNTIFS(Ingredients!A:A,A51,Ingredients!G:G,"")</f>
        <v/>
      </c>
      <c r="H51" s="3" t="n"/>
      <c r="I51" s="3" t="n"/>
      <c r="J51" s="2">
        <f>IF(OR(H51="",E51="",E51=0),"",H51/E51)</f>
        <v/>
      </c>
      <c r="K51" s="2">
        <f>IF(OR(J51="",I51=""),"",I51-J51)</f>
        <v/>
      </c>
      <c r="L51" s="2" t="inlineStr">
        <is>
          <t>O-B17: Water; O-B19: Beef boneless; O-B19: Black pepper; O-B19: Cinnamon; O-B19: Coriander; O-B19: Cumin; O-B19: Garlic peeled; O-B19: Lemon juice; O-B19: Onion trimmed; O-B19: Paprika; O-B19: Vinegar 5%; O-B21: Chili trimmed; O-B21: Garlic peeled; O-B21: Onion trimmed; O-B21: Tomato trimmed; O-B21: Vinegar 5%; O-B22: Cabbage trimmed; O-B22: Carrot trimmed; O-B22: Onion trimmed; O-B22: Vinegar 5%; O-B23: Cucumber trimmed; O-B23: Vinegar 5%; O-B23: Water; O-B24: Potato peeled; O-B35: Garlic peeled; O-B35: Lemon juice; O-B35: Mayonnaise pasteurized; O-B35: Tahini; O-B35: Water</t>
        </is>
      </c>
    </row>
    <row r="52">
      <c r="A52" s="2" t="inlineStr">
        <is>
          <t>O-P15</t>
        </is>
      </c>
      <c r="B52" s="2" t="inlineStr">
        <is>
          <t>Crispy chicken burger</t>
        </is>
      </c>
      <c r="C52" s="3" t="n">
        <v>2720</v>
      </c>
      <c r="D52" s="3" t="n">
        <v>2720</v>
      </c>
      <c r="E52" s="3" t="n">
        <v>10</v>
      </c>
      <c r="F52" s="2">
        <f>SUMIF(Ingredients!A:A,A52,Ingredients!H:H)</f>
        <v/>
      </c>
      <c r="G52" s="2">
        <f>COUNTIFS(Ingredients!A:A,A52,Ingredients!G:G,"")</f>
        <v/>
      </c>
      <c r="H52" s="3" t="n"/>
      <c r="I52" s="3" t="n"/>
      <c r="J52" s="2">
        <f>IF(OR(H52="",E52="",E52=0),"",H52/E52)</f>
        <v/>
      </c>
      <c r="K52" s="2">
        <f>IF(OR(J52="",I52=""),"",I52-J52)</f>
        <v/>
      </c>
      <c r="L52" s="2" t="inlineStr">
        <is>
          <t>Lettuce trimmed; O-B23: Cucumber trimmed; O-B23: Vinegar 5%; O-B23: Water; O-B25: Egg; O-B25: Water; O-B25: Whole milk powder; O-B26: Black pepper; O-B26: Chicken boneless; O-B26: Corn starch; O-B26: Garlic peeled; O-B26: Ginger peeled; O-B26: Paprika; O-B26: Plain flour; O-B26: Water; O-B26: Yogurt plain; O-B28: Ketchup; O-B28: Mayonnaise pasteurized; O-B28: Mustard; O-B28: O-B23: Cucumber trimmed; O-B28: O-B23: Vinegar 5%; O-B28: O-B23: Water; O-B28: Paprika; Tomato trimmed</t>
        </is>
      </c>
    </row>
    <row r="53">
      <c r="A53" s="2" t="inlineStr">
        <is>
          <t>O-P16</t>
        </is>
      </c>
      <c r="B53" s="2" t="inlineStr">
        <is>
          <t>Beef cheeseburger</t>
        </is>
      </c>
      <c r="C53" s="3" t="n">
        <v>2670</v>
      </c>
      <c r="D53" s="3" t="n">
        <v>2670</v>
      </c>
      <c r="E53" s="3" t="n">
        <v>10</v>
      </c>
      <c r="F53" s="2">
        <f>SUMIF(Ingredients!A:A,A53,Ingredients!H:H)</f>
        <v/>
      </c>
      <c r="G53" s="2">
        <f>COUNTIFS(Ingredients!A:A,A53,Ingredients!G:G,"")</f>
        <v/>
      </c>
      <c r="H53" s="3" t="n"/>
      <c r="I53" s="3" t="n"/>
      <c r="J53" s="2">
        <f>IF(OR(H53="",E53="",E53=0),"",H53/E53)</f>
        <v/>
      </c>
      <c r="K53" s="2">
        <f>IF(OR(J53="",I53=""),"",I53-J53)</f>
        <v/>
      </c>
      <c r="L53" s="2" t="inlineStr">
        <is>
          <t>Cheese slices; Lettuce trimmed; O-B23: Cucumber trimmed; O-B23: Vinegar 5%; O-B23: Water; O-B25: Egg; O-B25: Water; O-B25: Whole milk powder; O-B27: Beef mince; O-B27: Black pepper; O-B27: Paprika; O-B28: Ketchup; O-B28: Mayonnaise pasteurized; O-B28: Mustard; O-B28: O-B23: Cucumber trimmed; O-B28: O-B23: Vinegar 5%; O-B28: O-B23: Water; O-B28: Paprika; Onion trimmed; Tomato trimmed</t>
        </is>
      </c>
    </row>
    <row r="54">
      <c r="A54" s="2" t="inlineStr">
        <is>
          <t>O-P17</t>
        </is>
      </c>
      <c r="B54" s="2" t="inlineStr">
        <is>
          <t>Crispy chicken and fries box</t>
        </is>
      </c>
      <c r="C54" s="3" t="n">
        <v>2000</v>
      </c>
      <c r="D54" s="3" t="n">
        <v>2000</v>
      </c>
      <c r="E54" s="3" t="n">
        <v>5</v>
      </c>
      <c r="F54" s="2">
        <f>SUMIF(Ingredients!A:A,A54,Ingredients!H:H)</f>
        <v/>
      </c>
      <c r="G54" s="2">
        <f>COUNTIFS(Ingredients!A:A,A54,Ingredients!G:G,"")</f>
        <v/>
      </c>
      <c r="H54" s="3" t="n"/>
      <c r="I54" s="3" t="n"/>
      <c r="J54" s="2">
        <f>IF(OR(H54="",E54="",E54=0),"",H54/E54)</f>
        <v/>
      </c>
      <c r="K54" s="2">
        <f>IF(OR(J54="",I54=""),"",I54-J54)</f>
        <v/>
      </c>
      <c r="L54" s="2" t="inlineStr">
        <is>
          <t>O-B24: Potato peeled; O-B26: Black pepper; O-B26: Chicken boneless; O-B26: Corn starch; O-B26: Garlic peeled; O-B26: Ginger peeled; O-B26: Paprika; O-B26: Plain flour; O-B26: Water; O-B26: Yogurt plain; O-B28: Ketchup; O-B28: Mayonnaise pasteurized; O-B28: Mustard; O-B28: O-B23: Cucumber trimmed; O-B28: O-B23: Vinegar 5%; O-B28: O-B23: Water; O-B28: Paprika</t>
        </is>
      </c>
    </row>
    <row r="55">
      <c r="A55" s="2" t="inlineStr">
        <is>
          <t>O-P18</t>
        </is>
      </c>
      <c r="B55" s="2" t="inlineStr">
        <is>
          <t>Chicken vegetable samosas</t>
        </is>
      </c>
      <c r="C55" s="3" t="n">
        <v>3810</v>
      </c>
      <c r="D55" s="3" t="n">
        <v>3810</v>
      </c>
      <c r="E55" s="3" t="n">
        <v>50</v>
      </c>
      <c r="F55" s="2">
        <f>SUMIF(Ingredients!A:A,A55,Ingredients!H:H)</f>
        <v/>
      </c>
      <c r="G55" s="2">
        <f>COUNTIFS(Ingredients!A:A,A55,Ingredients!G:G,"")</f>
        <v/>
      </c>
      <c r="H55" s="3" t="n"/>
      <c r="I55" s="3" t="n"/>
      <c r="J55" s="2">
        <f>IF(OR(H55="",E55="",E55=0),"",H55/E55)</f>
        <v/>
      </c>
      <c r="K55" s="2">
        <f>IF(OR(J55="",I55=""),"",I55-J55)</f>
        <v/>
      </c>
      <c r="L55" s="2" t="inlineStr">
        <is>
          <t>O-B29: Plain flour; O-B29: Water; O-B30: Plain flour; O-B30: Water; O-B31: Carrot trimmed; O-B31: Chicken boneless; O-B31: Cumin; O-B31: Curry powder; O-B31: Garlic peeled; O-B31: Ginger peeled; O-B31: Onion trimmed; O-B31: Potato peeled; O-B31: Water</t>
        </is>
      </c>
    </row>
    <row r="56">
      <c r="A56" s="2" t="inlineStr">
        <is>
          <t>O-P19</t>
        </is>
      </c>
      <c r="B56" s="2" t="inlineStr">
        <is>
          <t>Loaded chicken shawarma fries</t>
        </is>
      </c>
      <c r="C56" s="3" t="n">
        <v>1525</v>
      </c>
      <c r="D56" s="3" t="n">
        <v>1525</v>
      </c>
      <c r="E56" s="3" t="n">
        <v>5</v>
      </c>
      <c r="F56" s="2">
        <f>SUMIF(Ingredients!A:A,A56,Ingredients!H:H)</f>
        <v/>
      </c>
      <c r="G56" s="2">
        <f>COUNTIFS(Ingredients!A:A,A56,Ingredients!G:G,"")</f>
        <v/>
      </c>
      <c r="H56" s="3" t="n"/>
      <c r="I56" s="3" t="n"/>
      <c r="J56" s="2">
        <f>IF(OR(H56="",E56="",E56=0),"",H56/E56)</f>
        <v/>
      </c>
      <c r="K56" s="2">
        <f>IF(OR(J56="",I56=""),"",I56-J56)</f>
        <v/>
      </c>
      <c r="L56" s="2" t="inlineStr">
        <is>
          <t>O-B18: Black pepper; O-B18: Chicken boneless; O-B18: Chili trimmed; O-B18: Cinnamon; O-B18: Coriander; O-B18: Cumin; O-B18: Garlic peeled; O-B18: Lemon juice; O-B18: Paprika; O-B18: Vinegar 5%; O-B18: Yogurt plain; O-B20: Black pepper; O-B20: Garlic peeled; O-B20: Lemon juice; O-B20: Mayonnaise pasteurized; O-B20: Water; O-B21: Chili trimmed; O-B21: Garlic peeled; O-B21: Onion trimmed; O-B21: Tomato trimmed; O-B21: Vinegar 5%; O-B23: Cucumber trimmed; O-B23: Vinegar 5%; O-B23: Water; O-B24: Potato peeled</t>
        </is>
      </c>
    </row>
    <row r="57">
      <c r="A57" s="2" t="inlineStr">
        <is>
          <t>O-P20</t>
        </is>
      </c>
      <c r="B57" s="2" t="inlineStr">
        <is>
          <t>Condensed milk soaked cake portions</t>
        </is>
      </c>
      <c r="C57" s="3" t="n">
        <v>1750</v>
      </c>
      <c r="D57" s="3" t="n">
        <v>1750</v>
      </c>
      <c r="E57" s="3" t="n">
        <v>12</v>
      </c>
      <c r="F57" s="2">
        <f>SUMIF(Ingredients!A:A,A57,Ingredients!H:H)</f>
        <v/>
      </c>
      <c r="G57" s="2">
        <f>COUNTIFS(Ingredients!A:A,A57,Ingredients!G:G,"")</f>
        <v/>
      </c>
      <c r="H57" s="3" t="n"/>
      <c r="I57" s="3" t="n"/>
      <c r="J57" s="2">
        <f>IF(OR(H57="",E57="",E57=0),"",H57/E57)</f>
        <v/>
      </c>
      <c r="K57" s="2">
        <f>IF(OR(J57="",I57=""),"",I57-J57)</f>
        <v/>
      </c>
      <c r="L57" s="2" t="inlineStr">
        <is>
          <t>O-B32: Baking powder; O-B32: Egg; O-B32: Plain flour; O-B32: UHT milk; O-B32: Vanilla; O-B33: Condensed milk; O-B33: Cream 35%; O-B33: UHT milk</t>
        </is>
      </c>
    </row>
    <row r="58">
      <c r="A58" s="2" t="inlineStr">
        <is>
          <t>O-A01</t>
        </is>
      </c>
      <c r="B58" s="2" t="inlineStr">
        <is>
          <t>Roast chicken burger — ten-unit pilot</t>
        </is>
      </c>
      <c r="C58" s="3" t="n">
        <v>2777.894736842105</v>
      </c>
      <c r="D58" s="3" t="n">
        <v>2777.894736842105</v>
      </c>
      <c r="E58" s="3" t="n">
        <v>10</v>
      </c>
      <c r="F58" s="2">
        <f>SUMIF(Ingredients!A:A,A58,Ingredients!H:H)</f>
        <v/>
      </c>
      <c r="G58" s="2">
        <f>COUNTIFS(Ingredients!A:A,A58,Ingredients!G:G,"")</f>
        <v/>
      </c>
      <c r="H58" s="3" t="n"/>
      <c r="I58" s="3" t="n"/>
      <c r="J58" s="2">
        <f>IF(OR(H58="",E58="",E58=0),"",H58/E58)</f>
        <v/>
      </c>
      <c r="K58" s="2">
        <f>IF(OR(J58="",I58=""),"",I58-J58)</f>
        <v/>
      </c>
      <c r="L58" s="2" t="inlineStr">
        <is>
          <t>Lettuce; O-B18: Black pepper; O-B18: Chicken boneless; O-B18: Chili trimmed; O-B18: Cinnamon; O-B18: Coriander; O-B18: Cumin; O-B18: Garlic peeled; O-B18: Lemon juice; O-B18: Paprika; O-B18: Vinegar 5%; O-B18: Yogurt plain; O-B23: Cucumber trimmed; O-B23: Vinegar 5%; O-B23: Water; O-B25: Egg; O-B25: Water; O-B25: Whole milk powder; O-B28: Ketchup; O-B28: Mayonnaise pasteurized; O-B28: Mustard; O-B28: O-B23: Cucumber trimmed; O-B28: O-B23: Vinegar 5%; O-B28: O-B23: Water; O-B28: Paprika; Tomato</t>
        </is>
      </c>
    </row>
    <row r="59">
      <c r="A59" s="2" t="inlineStr">
        <is>
          <t>O-A02</t>
        </is>
      </c>
      <c r="B59" s="2" t="inlineStr">
        <is>
          <t>Lemon-garlic fish burger — ten-unit pilot</t>
        </is>
      </c>
      <c r="C59" s="3" t="n">
        <v>2833.157894736842</v>
      </c>
      <c r="D59" s="3" t="n">
        <v>2833.157894736842</v>
      </c>
      <c r="E59" s="3" t="n">
        <v>10</v>
      </c>
      <c r="F59" s="2">
        <f>SUMIF(Ingredients!A:A,A59,Ingredients!H:H)</f>
        <v/>
      </c>
      <c r="G59" s="2">
        <f>COUNTIFS(Ingredients!A:A,A59,Ingredients!G:G,"")</f>
        <v/>
      </c>
      <c r="H59" s="3" t="n"/>
      <c r="I59" s="3" t="n"/>
      <c r="J59" s="2">
        <f>IF(OR(H59="",E59="",E59=0),"",H59/E59)</f>
        <v/>
      </c>
      <c r="K59" s="2">
        <f>IF(OR(J59="",I59=""),"",I59-J59)</f>
        <v/>
      </c>
      <c r="L59" s="2" t="inlineStr">
        <is>
          <t>Lettuce; O-B23: Cucumber trimmed; O-B23: Vinegar 5%; O-B23: Water; O-B25: Egg; O-B25: Water; O-B25: Whole milk powder; O-B28: Ketchup; O-B28: Mayonnaise pasteurized; O-B28: Mustard; O-B28: O-B23: Cucumber trimmed; O-B28: O-B23: Vinegar 5%; O-B28: O-B23: Water; O-B28: Paprika; O-B36: Black pepper; O-B36: Boneless trimmed white fish; O-B36: Garlic, finely crushed; O-B36: Lemon juice; O-B36: Paprika; Tomato</t>
        </is>
      </c>
    </row>
    <row r="60">
      <c r="A60" s="2" t="inlineStr">
        <is>
          <t>O-A03</t>
        </is>
      </c>
      <c r="B60" s="2" t="inlineStr">
        <is>
          <t>Lemon fish wrap — ten-unit pilot</t>
        </is>
      </c>
      <c r="C60" s="3" t="n">
        <v>3202.631578947368</v>
      </c>
      <c r="D60" s="3" t="n">
        <v>3202.631578947368</v>
      </c>
      <c r="E60" s="3" t="n">
        <v>10</v>
      </c>
      <c r="F60" s="2">
        <f>SUMIF(Ingredients!A:A,A60,Ingredients!H:H)</f>
        <v/>
      </c>
      <c r="G60" s="2">
        <f>COUNTIFS(Ingredients!A:A,A60,Ingredients!G:G,"")</f>
        <v/>
      </c>
      <c r="H60" s="3" t="n"/>
      <c r="I60" s="3" t="n"/>
      <c r="J60" s="2">
        <f>IF(OR(H60="",E60="",E60=0),"",H60/E60)</f>
        <v/>
      </c>
      <c r="K60" s="2">
        <f>IF(OR(J60="",I60=""),"",I60-J60)</f>
        <v/>
      </c>
      <c r="L60" s="2" t="inlineStr">
        <is>
          <t>O-B17: Water; O-B20: Black pepper; O-B20: Garlic peeled; O-B20: Lemon juice; O-B20: Mayonnaise pasteurized; O-B20: Water; O-B21: Chili trimmed; O-B21: Garlic peeled; O-B21: Onion trimmed; O-B21: Tomato trimmed; O-B21: Vinegar 5%; O-B22: Cabbage trimmed; O-B22: Carrot trimmed; O-B22: Onion trimmed; O-B22: Vinegar 5%; O-B23: Cucumber trimmed; O-B23: Vinegar 5%; O-B23: Water; O-B24: Potato peeled; O-B36: Black pepper; O-B36: Boneless trimmed white fish; O-B36: Garlic, finely crushed; O-B36: Lemon juice; O-B36: Paprika</t>
        </is>
      </c>
    </row>
    <row r="61">
      <c r="A61" s="2" t="inlineStr">
        <is>
          <t>O-A04</t>
        </is>
      </c>
      <c r="B61" s="2" t="inlineStr">
        <is>
          <t>Beef mini pizza — ten-unit pilot</t>
        </is>
      </c>
      <c r="C61" s="3" t="n">
        <v>3126.315789473684</v>
      </c>
      <c r="D61" s="3" t="n">
        <v>3126.315789473684</v>
      </c>
      <c r="E61" s="3" t="n">
        <v>10</v>
      </c>
      <c r="F61" s="2">
        <f>SUMIF(Ingredients!A:A,A61,Ingredients!H:H)</f>
        <v/>
      </c>
      <c r="G61" s="2">
        <f>COUNTIFS(Ingredients!A:A,A61,Ingredients!G:G,"")</f>
        <v/>
      </c>
      <c r="H61" s="3" t="n"/>
      <c r="I61" s="3" t="n"/>
      <c r="J61" s="2">
        <f>IF(OR(H61="",E61="",E61=0),"",H61/E61)</f>
        <v/>
      </c>
      <c r="K61" s="2">
        <f>IF(OR(J61="",I61=""),"",I61-J61)</f>
        <v/>
      </c>
      <c r="L61" s="2" t="inlineStr">
        <is>
          <t>Mozzarella; O-B15: Water; O-B16: Black pepper; O-B16: Garlic peeled; O-B16: Onion trimmed; O-B16: Oregano; O-B16: Tomato trimmed; O-B19: Beef boneless; O-B19: Black pepper; O-B19: Cinnamon; O-B19: Coriander; O-B19: Cumin; O-B19: Garlic peeled; O-B19: Lemon juice; O-B19: Onion trimmed; O-B19: Paprika; O-B19: Vinegar 5%; Onion; Sweet pepper</t>
        </is>
      </c>
    </row>
    <row r="62">
      <c r="A62" s="2" t="inlineStr">
        <is>
          <t>O-FBASE1</t>
        </is>
      </c>
      <c r="B62" s="2" t="inlineStr">
        <is>
          <t>Gravity soft serve vanilla trial mix</t>
        </is>
      </c>
      <c r="C62" s="3" t="n">
        <v>1000</v>
      </c>
      <c r="D62" s="3" t="n">
        <v>970</v>
      </c>
      <c r="E62" s="3" t="n"/>
      <c r="F62" s="2">
        <f>SUMIF(Ingredients!A:A,A62,Ingredients!H:H)</f>
        <v/>
      </c>
      <c r="G62" s="2">
        <f>COUNTIFS(Ingredients!A:A,A62,Ingredients!G:G,"")</f>
        <v/>
      </c>
      <c r="H62" s="3" t="n"/>
      <c r="I62" s="3" t="n"/>
      <c r="J62" s="2">
        <f>IF(OR(H62="",E62="",E62=0),"",H62/E62)</f>
        <v/>
      </c>
      <c r="K62" s="2">
        <f>IF(OR(J62="",I62=""),"",I62-J62)</f>
        <v/>
      </c>
      <c r="L62" s="2" t="inlineStr">
        <is>
          <t>Condensed milk; Cream 35%; Glucose powder; Ice cream stabilizer blend; Skim milk powder; UHT milk; Vanilla</t>
        </is>
      </c>
    </row>
    <row r="63">
      <c r="A63" s="2" t="inlineStr">
        <is>
          <t>O-FBASE2</t>
        </is>
      </c>
      <c r="B63" s="2" t="inlineStr">
        <is>
          <t>Vanilla condensed milk popsicle mix</t>
        </is>
      </c>
      <c r="C63" s="3" t="n">
        <v>1000</v>
      </c>
      <c r="D63" s="3" t="n">
        <v>970</v>
      </c>
      <c r="E63" s="3" t="n"/>
      <c r="F63" s="2">
        <f>SUMIF(Ingredients!A:A,A63,Ingredients!H:H)</f>
        <v/>
      </c>
      <c r="G63" s="2">
        <f>COUNTIFS(Ingredients!A:A,A63,Ingredients!G:G,"")</f>
        <v/>
      </c>
      <c r="H63" s="3" t="n"/>
      <c r="I63" s="3" t="n"/>
      <c r="J63" s="2">
        <f>IF(OR(H63="",E63="",E63=0),"",H63/E63)</f>
        <v/>
      </c>
      <c r="K63" s="2">
        <f>IF(OR(J63="",I63=""),"",I63-J63)</f>
        <v/>
      </c>
      <c r="L63" s="2" t="inlineStr">
        <is>
          <t>Condensed milk; Cream 35%; Ice cream stabilizer blend; Skim milk powder; UHT milk; Vanilla</t>
        </is>
      </c>
    </row>
    <row r="64">
      <c r="A64" s="2" t="inlineStr">
        <is>
          <t>O-FBASE3</t>
        </is>
      </c>
      <c r="B64" s="2" t="inlineStr">
        <is>
          <t>Pineapple fruit ice mix</t>
        </is>
      </c>
      <c r="C64" s="3" t="n">
        <v>1000</v>
      </c>
      <c r="D64" s="3" t="n">
        <v>970</v>
      </c>
      <c r="E64" s="3" t="n"/>
      <c r="F64" s="2">
        <f>SUMIF(Ingredients!A:A,A64,Ingredients!H:H)</f>
        <v/>
      </c>
      <c r="G64" s="2">
        <f>COUNTIFS(Ingredients!A:A,A64,Ingredients!G:G,"")</f>
        <v/>
      </c>
      <c r="H64" s="3" t="n"/>
      <c r="I64" s="3" t="n"/>
      <c r="J64" s="2">
        <f>IF(OR(H64="",E64="",E64=0),"",H64/E64)</f>
        <v/>
      </c>
      <c r="K64" s="2">
        <f>IF(OR(J64="",I64=""),"",I64-J64)</f>
        <v/>
      </c>
      <c r="L64" s="2" t="inlineStr">
        <is>
          <t>Glucose powder; Ice cream stabilizer blend; Lemon juice; Pineapple puree pasteurized; Water</t>
        </is>
      </c>
    </row>
    <row r="65">
      <c r="A65" s="2" t="inlineStr">
        <is>
          <t>O-FBASE4</t>
        </is>
      </c>
      <c r="B65" s="2" t="inlineStr">
        <is>
          <t>Mango yogurt popsicle mix</t>
        </is>
      </c>
      <c r="C65" s="3" t="n">
        <v>1000</v>
      </c>
      <c r="D65" s="3" t="n">
        <v>970</v>
      </c>
      <c r="E65" s="3" t="n"/>
      <c r="F65" s="2">
        <f>SUMIF(Ingredients!A:A,A65,Ingredients!H:H)</f>
        <v/>
      </c>
      <c r="G65" s="2">
        <f>COUNTIFS(Ingredients!A:A,A65,Ingredients!G:G,"")</f>
        <v/>
      </c>
      <c r="H65" s="3" t="n"/>
      <c r="I65" s="3" t="n"/>
      <c r="J65" s="2">
        <f>IF(OR(H65="",E65="",E65=0),"",H65/E65)</f>
        <v/>
      </c>
      <c r="K65" s="2">
        <f>IF(OR(J65="",I65=""),"",I65-J65)</f>
        <v/>
      </c>
      <c r="L65" s="2" t="inlineStr">
        <is>
          <t>Condensed milk; Ice cream stabilizer blend; Mango puree pasteurized; Water; Yogurt plain</t>
        </is>
      </c>
    </row>
    <row r="66">
      <c r="A66" s="2" t="inlineStr">
        <is>
          <t>O-FBASE5</t>
        </is>
      </c>
      <c r="B66" s="2" t="inlineStr">
        <is>
          <t>Chocolate sundae sauce</t>
        </is>
      </c>
      <c r="C66" s="3" t="n">
        <v>955</v>
      </c>
      <c r="D66" s="3" t="n">
        <v>900</v>
      </c>
      <c r="E66" s="3" t="n"/>
      <c r="F66" s="2">
        <f>SUMIF(Ingredients!A:A,A66,Ingredients!H:H)</f>
        <v/>
      </c>
      <c r="G66" s="2">
        <f>COUNTIFS(Ingredients!A:A,A66,Ingredients!G:G,"")</f>
        <v/>
      </c>
      <c r="H66" s="3" t="n"/>
      <c r="I66" s="3" t="n"/>
      <c r="J66" s="2">
        <f>IF(OR(H66="",E66="",E66=0),"",H66/E66)</f>
        <v/>
      </c>
      <c r="K66" s="2">
        <f>IF(OR(J66="",I66=""),"",I66-J66)</f>
        <v/>
      </c>
      <c r="L66" s="2" t="inlineStr">
        <is>
          <t>Cocoa; Condensed milk; Vanilla; Water</t>
        </is>
      </c>
    </row>
    <row r="67">
      <c r="A67" s="2" t="inlineStr">
        <is>
          <t>O-FBASE6</t>
        </is>
      </c>
      <c r="B67" s="2" t="inlineStr">
        <is>
          <t>Soft sandwich cookies</t>
        </is>
      </c>
      <c r="C67" s="3" t="n">
        <v>1086</v>
      </c>
      <c r="D67" s="3" t="n">
        <v>900</v>
      </c>
      <c r="E67" s="3" t="n"/>
      <c r="F67" s="2">
        <f>SUMIF(Ingredients!A:A,A67,Ingredients!H:H)</f>
        <v/>
      </c>
      <c r="G67" s="2">
        <f>COUNTIFS(Ingredients!A:A,A67,Ingredients!G:G,"")</f>
        <v/>
      </c>
      <c r="H67" s="3" t="n"/>
      <c r="I67" s="3" t="n"/>
      <c r="J67" s="2">
        <f>IF(OR(H67="",E67="",E67=0),"",H67/E67)</f>
        <v/>
      </c>
      <c r="K67" s="2">
        <f>IF(OR(J67="",I67=""),"",I67-J67)</f>
        <v/>
      </c>
      <c r="L67" s="2" t="inlineStr">
        <is>
          <t>Baking powder; Cocoa; Egg; Plain flour; Vanilla</t>
        </is>
      </c>
    </row>
    <row r="68">
      <c r="A68" s="2" t="inlineStr">
        <is>
          <t>O-FBASE7</t>
        </is>
      </c>
      <c r="B68" s="2" t="inlineStr">
        <is>
          <t>Chocolate dipping coating</t>
        </is>
      </c>
      <c r="C68" s="3" t="n">
        <v>1000</v>
      </c>
      <c r="D68" s="3" t="n">
        <v>980</v>
      </c>
      <c r="E68" s="3" t="n"/>
      <c r="F68" s="2">
        <f>SUMIF(Ingredients!A:A,A68,Ingredients!H:H)</f>
        <v/>
      </c>
      <c r="G68" s="2">
        <f>COUNTIFS(Ingredients!A:A,A68,Ingredients!G:G,"")</f>
        <v/>
      </c>
      <c r="H68" s="3" t="n"/>
      <c r="I68" s="3" t="n"/>
      <c r="J68" s="2">
        <f>IF(OR(H68="",E68="",E68=0),"",H68/E68)</f>
        <v/>
      </c>
      <c r="K68" s="2">
        <f>IF(OR(J68="",I68=""),"",I68-J68)</f>
        <v/>
      </c>
      <c r="L68" s="2" t="inlineStr">
        <is>
          <t>Compound chocolate coating</t>
        </is>
      </c>
    </row>
    <row r="69">
      <c r="A69" s="2" t="inlineStr">
        <is>
          <t>O-F01</t>
        </is>
      </c>
      <c r="B69" s="2" t="inlineStr">
        <is>
          <t>Vanilla soft serve cup or cone</t>
        </is>
      </c>
      <c r="C69" s="3" t="n">
        <v>970</v>
      </c>
      <c r="D69" s="3" t="n">
        <v>970</v>
      </c>
      <c r="E69" s="3" t="n"/>
      <c r="F69" s="2">
        <f>SUMIF(Ingredients!A:A,A69,Ingredients!H:H)</f>
        <v/>
      </c>
      <c r="G69" s="2">
        <f>COUNTIFS(Ingredients!A:A,A69,Ingredients!G:G,"")</f>
        <v/>
      </c>
      <c r="H69" s="3" t="n"/>
      <c r="I69" s="3" t="n"/>
      <c r="J69" s="2">
        <f>IF(OR(H69="",E69="",E69=0),"",H69/E69)</f>
        <v/>
      </c>
      <c r="K69" s="2">
        <f>IF(OR(J69="",I69=""),"",I69-J69)</f>
        <v/>
      </c>
      <c r="L69" s="2" t="inlineStr">
        <is>
          <t>O-FBASE1: Condensed milk; O-FBASE1: Cream 35%; O-FBASE1: Glucose powder; O-FBASE1: Ice cream stabilizer blend; O-FBASE1: Skim milk powder; O-FBASE1: UHT milk; O-FBASE1: Vanilla</t>
        </is>
      </c>
    </row>
    <row r="70">
      <c r="A70" s="2" t="inlineStr">
        <is>
          <t>O-F02</t>
        </is>
      </c>
      <c r="B70" s="2" t="inlineStr">
        <is>
          <t>Chocolate peanut sundae</t>
        </is>
      </c>
      <c r="C70" s="3" t="n">
        <v>750</v>
      </c>
      <c r="D70" s="3" t="n">
        <v>750</v>
      </c>
      <c r="E70" s="3" t="n"/>
      <c r="F70" s="2">
        <f>SUMIF(Ingredients!A:A,A70,Ingredients!H:H)</f>
        <v/>
      </c>
      <c r="G70" s="2">
        <f>COUNTIFS(Ingredients!A:A,A70,Ingredients!G:G,"")</f>
        <v/>
      </c>
      <c r="H70" s="3" t="n"/>
      <c r="I70" s="3" t="n"/>
      <c r="J70" s="2">
        <f>IF(OR(H70="",E70="",E70=0),"",H70/E70)</f>
        <v/>
      </c>
      <c r="K70" s="2">
        <f>IF(OR(J70="",I70=""),"",I70-J70)</f>
        <v/>
      </c>
      <c r="L70" s="2" t="inlineStr">
        <is>
          <t>O-FBASE1: Condensed milk; O-FBASE1: Cream 35%; O-FBASE1: Glucose powder; O-FBASE1: Ice cream stabilizer blend; O-FBASE1: Skim milk powder; O-FBASE1: UHT milk; O-FBASE1: Vanilla; O-FBASE5: Cocoa; O-FBASE5: Condensed milk; O-FBASE5: Vanilla; O-FBASE5: Water; Peanut roasted</t>
        </is>
      </c>
    </row>
    <row r="71">
      <c r="A71" s="2" t="inlineStr">
        <is>
          <t>O-F03</t>
        </is>
      </c>
      <c r="B71" s="2" t="inlineStr">
        <is>
          <t>Chocolate milkshake</t>
        </is>
      </c>
      <c r="C71" s="3" t="n">
        <v>1450</v>
      </c>
      <c r="D71" s="3" t="n">
        <v>1450</v>
      </c>
      <c r="E71" s="3" t="n"/>
      <c r="F71" s="2">
        <f>SUMIF(Ingredients!A:A,A71,Ingredients!H:H)</f>
        <v/>
      </c>
      <c r="G71" s="2">
        <f>COUNTIFS(Ingredients!A:A,A71,Ingredients!G:G,"")</f>
        <v/>
      </c>
      <c r="H71" s="3" t="n"/>
      <c r="I71" s="3" t="n"/>
      <c r="J71" s="2">
        <f>IF(OR(H71="",E71="",E71=0),"",H71/E71)</f>
        <v/>
      </c>
      <c r="K71" s="2">
        <f>IF(OR(J71="",I71=""),"",I71-J71)</f>
        <v/>
      </c>
      <c r="L71" s="2" t="inlineStr">
        <is>
          <t>O-FBASE1: Condensed milk; O-FBASE1: Cream 35%; O-FBASE1: Glucose powder; O-FBASE1: Ice cream stabilizer blend; O-FBASE1: Skim milk powder; O-FBASE1: UHT milk; O-FBASE1: Vanilla; O-FBASE5: Cocoa; O-FBASE5: Condensed milk; O-FBASE5: Vanilla; O-FBASE5: Water; UHT milk</t>
        </is>
      </c>
    </row>
    <row r="72">
      <c r="A72" s="2" t="inlineStr">
        <is>
          <t>O-F04</t>
        </is>
      </c>
      <c r="B72" s="2" t="inlineStr">
        <is>
          <t>Chocolate cookie ice cream sandwich</t>
        </is>
      </c>
      <c r="C72" s="3" t="n">
        <v>1100</v>
      </c>
      <c r="D72" s="3" t="n">
        <v>1100</v>
      </c>
      <c r="E72" s="3" t="n"/>
      <c r="F72" s="2">
        <f>SUMIF(Ingredients!A:A,A72,Ingredients!H:H)</f>
        <v/>
      </c>
      <c r="G72" s="2">
        <f>COUNTIFS(Ingredients!A:A,A72,Ingredients!G:G,"")</f>
        <v/>
      </c>
      <c r="H72" s="3" t="n"/>
      <c r="I72" s="3" t="n"/>
      <c r="J72" s="2">
        <f>IF(OR(H72="",E72="",E72=0),"",H72/E72)</f>
        <v/>
      </c>
      <c r="K72" s="2">
        <f>IF(OR(J72="",I72=""),"",I72-J72)</f>
        <v/>
      </c>
      <c r="L72" s="2" t="inlineStr">
        <is>
          <t>O-FBASE1: Condensed milk; O-FBASE1: Cream 35%; O-FBASE1: Glucose powder; O-FBASE1: Ice cream stabilizer blend; O-FBASE1: Skim milk powder; O-FBASE1: UHT milk; O-FBASE1: Vanilla; O-FBASE6: Baking powder; O-FBASE6: Cocoa; O-FBASE6: Egg; O-FBASE6: Plain flour; O-FBASE6: Vanilla</t>
        </is>
      </c>
    </row>
    <row r="73">
      <c r="A73" s="2" t="inlineStr">
        <is>
          <t>O-F05</t>
        </is>
      </c>
      <c r="B73" s="2" t="inlineStr">
        <is>
          <t>Condensed milk popsicles</t>
        </is>
      </c>
      <c r="C73" s="3" t="n">
        <v>970</v>
      </c>
      <c r="D73" s="3" t="n">
        <v>970</v>
      </c>
      <c r="E73" s="3" t="n"/>
      <c r="F73" s="2">
        <f>SUMIF(Ingredients!A:A,A73,Ingredients!H:H)</f>
        <v/>
      </c>
      <c r="G73" s="2">
        <f>COUNTIFS(Ingredients!A:A,A73,Ingredients!G:G,"")</f>
        <v/>
      </c>
      <c r="H73" s="3" t="n"/>
      <c r="I73" s="3" t="n"/>
      <c r="J73" s="2">
        <f>IF(OR(H73="",E73="",E73=0),"",H73/E73)</f>
        <v/>
      </c>
      <c r="K73" s="2">
        <f>IF(OR(J73="",I73=""),"",I73-J73)</f>
        <v/>
      </c>
      <c r="L73" s="2" t="inlineStr">
        <is>
          <t>O-FBASE2: Condensed milk; O-FBASE2: Cream 35%; O-FBASE2: Ice cream stabilizer blend; O-FBASE2: Skim milk powder; O-FBASE2: UHT milk; O-FBASE2: Vanilla</t>
        </is>
      </c>
    </row>
    <row r="74">
      <c r="A74" s="2" t="inlineStr">
        <is>
          <t>O-F06</t>
        </is>
      </c>
      <c r="B74" s="2" t="inlineStr">
        <is>
          <t>Pineapple fruit ice pops</t>
        </is>
      </c>
      <c r="C74" s="3" t="n">
        <v>970</v>
      </c>
      <c r="D74" s="3" t="n">
        <v>970</v>
      </c>
      <c r="E74" s="3" t="n"/>
      <c r="F74" s="2">
        <f>SUMIF(Ingredients!A:A,A74,Ingredients!H:H)</f>
        <v/>
      </c>
      <c r="G74" s="2">
        <f>COUNTIFS(Ingredients!A:A,A74,Ingredients!G:G,"")</f>
        <v/>
      </c>
      <c r="H74" s="3" t="n"/>
      <c r="I74" s="3" t="n"/>
      <c r="J74" s="2">
        <f>IF(OR(H74="",E74="",E74=0),"",H74/E74)</f>
        <v/>
      </c>
      <c r="K74" s="2">
        <f>IF(OR(J74="",I74=""),"",I74-J74)</f>
        <v/>
      </c>
      <c r="L74" s="2" t="inlineStr">
        <is>
          <t>O-FBASE3: Glucose powder; O-FBASE3: Ice cream stabilizer blend; O-FBASE3: Lemon juice; O-FBASE3: Pineapple puree pasteurized; O-FBASE3: Water</t>
        </is>
      </c>
    </row>
    <row r="75">
      <c r="A75" s="2" t="inlineStr">
        <is>
          <t>O-F07</t>
        </is>
      </c>
      <c r="B75" s="2" t="inlineStr">
        <is>
          <t>Mango yogurt frozen bar</t>
        </is>
      </c>
      <c r="C75" s="3" t="n">
        <v>970</v>
      </c>
      <c r="D75" s="3" t="n">
        <v>970</v>
      </c>
      <c r="E75" s="3" t="n"/>
      <c r="F75" s="2">
        <f>SUMIF(Ingredients!A:A,A75,Ingredients!H:H)</f>
        <v/>
      </c>
      <c r="G75" s="2">
        <f>COUNTIFS(Ingredients!A:A,A75,Ingredients!G:G,"")</f>
        <v/>
      </c>
      <c r="H75" s="3" t="n"/>
      <c r="I75" s="3" t="n"/>
      <c r="J75" s="2">
        <f>IF(OR(H75="",E75="",E75=0),"",H75/E75)</f>
        <v/>
      </c>
      <c r="K75" s="2">
        <f>IF(OR(J75="",I75=""),"",I75-J75)</f>
        <v/>
      </c>
      <c r="L75" s="2" t="inlineStr">
        <is>
          <t>O-FBASE4: Condensed milk; O-FBASE4: Ice cream stabilizer blend; O-FBASE4: Mango puree pasteurized; O-FBASE4: Water; O-FBASE4: Yogurt plain</t>
        </is>
      </c>
    </row>
    <row r="76">
      <c r="A76" s="2" t="inlineStr">
        <is>
          <t>O-F08</t>
        </is>
      </c>
      <c r="B76" s="2" t="inlineStr">
        <is>
          <t>Chocolate dipped peanut milk bar</t>
        </is>
      </c>
      <c r="C76" s="3" t="n">
        <v>890</v>
      </c>
      <c r="D76" s="3" t="n">
        <v>890</v>
      </c>
      <c r="E76" s="3" t="n"/>
      <c r="F76" s="2">
        <f>SUMIF(Ingredients!A:A,A76,Ingredients!H:H)</f>
        <v/>
      </c>
      <c r="G76" s="2">
        <f>COUNTIFS(Ingredients!A:A,A76,Ingredients!G:G,"")</f>
        <v/>
      </c>
      <c r="H76" s="3" t="n"/>
      <c r="I76" s="3" t="n"/>
      <c r="J76" s="2">
        <f>IF(OR(H76="",E76="",E76=0),"",H76/E76)</f>
        <v/>
      </c>
      <c r="K76" s="2">
        <f>IF(OR(J76="",I76=""),"",I76-J76)</f>
        <v/>
      </c>
      <c r="L76" s="2" t="inlineStr">
        <is>
          <t>O-FBASE2: Condensed milk; O-FBASE2: Cream 35%; O-FBASE2: Ice cream stabilizer blend; O-FBASE2: Skim milk powder; O-FBASE2: UHT milk; O-FBASE2: Vanilla; O-FBASE7: Compound chocolate coating; Peanut roasted</t>
        </is>
      </c>
    </row>
    <row r="77">
      <c r="A77" s="2" t="inlineStr">
        <is>
          <t>S-B01</t>
        </is>
      </c>
      <c r="B77" s="2" t="inlineStr">
        <is>
          <t>Daily French-style baguette</t>
        </is>
      </c>
      <c r="C77" s="3" t="n">
        <v>1685</v>
      </c>
      <c r="D77" s="3" t="n">
        <v>1403.605</v>
      </c>
      <c r="E77" s="3" t="n">
        <v>5</v>
      </c>
      <c r="F77" s="2">
        <f>SUMIF(Ingredients!A:A,A77,Ingredients!H:H)</f>
        <v/>
      </c>
      <c r="G77" s="2">
        <f>COUNTIFS(Ingredients!A:A,A77,Ingredients!G:G,"")</f>
        <v/>
      </c>
      <c r="H77" s="3" t="n"/>
      <c r="I77" s="3" t="n"/>
      <c r="J77" s="2">
        <f>IF(OR(H77="",E77="",E77=0),"",H77/E77)</f>
        <v/>
      </c>
      <c r="K77" s="2">
        <f>IF(OR(J77="",I77=""),"",I77-J77)</f>
        <v/>
      </c>
      <c r="L77" s="2" t="inlineStr">
        <is>
          <t>Water</t>
        </is>
      </c>
    </row>
    <row r="78">
      <c r="A78" s="2" t="inlineStr">
        <is>
          <t>S-B02</t>
        </is>
      </c>
      <c r="B78" s="2" t="inlineStr">
        <is>
          <t>Kumba-style soft block loaf</t>
        </is>
      </c>
      <c r="C78" s="3" t="n">
        <v>1772</v>
      </c>
      <c r="D78" s="3" t="n">
        <v>1528.173</v>
      </c>
      <c r="E78" s="3" t="n">
        <v>4</v>
      </c>
      <c r="F78" s="2">
        <f>SUMIF(Ingredients!A:A,A78,Ingredients!H:H)</f>
        <v/>
      </c>
      <c r="G78" s="2">
        <f>COUNTIFS(Ingredients!A:A,A78,Ingredients!G:G,"")</f>
        <v/>
      </c>
      <c r="H78" s="3" t="n"/>
      <c r="I78" s="3" t="n"/>
      <c r="J78" s="2">
        <f>IF(OR(H78="",E78="",E78=0),"",H78/E78)</f>
        <v/>
      </c>
      <c r="K78" s="2">
        <f>IF(OR(J78="",I78=""),"",I78-J78)</f>
        <v/>
      </c>
      <c r="L78" s="2" t="inlineStr">
        <is>
          <t>Margarine 80%; Nutmeg; Skim milk powder; Water</t>
        </is>
      </c>
    </row>
    <row r="79">
      <c r="A79" s="2" t="inlineStr">
        <is>
          <t>S-B03</t>
        </is>
      </c>
      <c r="B79" s="2" t="inlineStr">
        <is>
          <t>True-butter pain beurre</t>
        </is>
      </c>
      <c r="C79" s="3" t="n">
        <v>1782</v>
      </c>
      <c r="D79" s="3" t="n">
        <v>1536.797</v>
      </c>
      <c r="E79" s="3" t="n">
        <v>6</v>
      </c>
      <c r="F79" s="2">
        <f>SUMIF(Ingredients!A:A,A79,Ingredients!H:H)</f>
        <v/>
      </c>
      <c r="G79" s="2">
        <f>COUNTIFS(Ingredients!A:A,A79,Ingredients!G:G,"")</f>
        <v/>
      </c>
      <c r="H79" s="3" t="n"/>
      <c r="I79" s="3" t="n"/>
      <c r="J79" s="2">
        <f>IF(OR(H79="",E79="",E79=0),"",H79/E79)</f>
        <v/>
      </c>
      <c r="K79" s="2">
        <f>IF(OR(J79="",I79=""),"",I79-J79)</f>
        <v/>
      </c>
      <c r="L79" s="2" t="inlineStr">
        <is>
          <t>Butter 82%; Water</t>
        </is>
      </c>
    </row>
    <row r="80">
      <c r="A80" s="2" t="inlineStr">
        <is>
          <t>S-B04</t>
        </is>
      </c>
      <c r="B80" s="2" t="inlineStr">
        <is>
          <t>Sandwich pan loaf / pain de mie</t>
        </is>
      </c>
      <c r="C80" s="3" t="n">
        <v>1770</v>
      </c>
      <c r="D80" s="3" t="n">
        <v>1561.14</v>
      </c>
      <c r="E80" s="3" t="n">
        <v>3</v>
      </c>
      <c r="F80" s="2">
        <f>SUMIF(Ingredients!A:A,A80,Ingredients!H:H)</f>
        <v/>
      </c>
      <c r="G80" s="2">
        <f>COUNTIFS(Ingredients!A:A,A80,Ingredients!G:G,"")</f>
        <v/>
      </c>
      <c r="H80" s="3" t="n"/>
      <c r="I80" s="3" t="n"/>
      <c r="J80" s="2">
        <f>IF(OR(H80="",E80="",E80=0),"",H80/E80)</f>
        <v/>
      </c>
      <c r="K80" s="2">
        <f>IF(OR(J80="",I80=""),"",I80-J80)</f>
        <v/>
      </c>
      <c r="L80" s="2" t="inlineStr">
        <is>
          <t>Skim milk powder; Water</t>
        </is>
      </c>
    </row>
    <row r="81">
      <c r="A81" s="2" t="inlineStr">
        <is>
          <t>S-B05</t>
        </is>
      </c>
      <c r="B81" s="2" t="inlineStr">
        <is>
          <t>Soft burger buns</t>
        </is>
      </c>
      <c r="C81" s="3" t="n">
        <v>1840</v>
      </c>
      <c r="D81" s="3" t="n">
        <v>1586.816</v>
      </c>
      <c r="E81" s="3" t="n">
        <v>20</v>
      </c>
      <c r="F81" s="2">
        <f>SUMIF(Ingredients!A:A,A81,Ingredients!H:H)</f>
        <v/>
      </c>
      <c r="G81" s="2">
        <f>COUNTIFS(Ingredients!A:A,A81,Ingredients!G:G,"")</f>
        <v/>
      </c>
      <c r="H81" s="3" t="n"/>
      <c r="I81" s="3" t="n"/>
      <c r="J81" s="2">
        <f>IF(OR(H81="",E81="",E81=0),"",H81/E81)</f>
        <v/>
      </c>
      <c r="K81" s="2">
        <f>IF(OR(J81="",I81=""),"",I81-J81)</f>
        <v/>
      </c>
      <c r="L81" s="2" t="inlineStr">
        <is>
          <t>Skim milk powder; Water; Whole egg</t>
        </is>
      </c>
    </row>
    <row r="82">
      <c r="A82" s="2" t="inlineStr">
        <is>
          <t>S-B06</t>
        </is>
      </c>
      <c r="B82" s="2" t="inlineStr">
        <is>
          <t>Professional 50%-butter brioche</t>
        </is>
      </c>
      <c r="C82" s="3" t="n">
        <v>2290</v>
      </c>
      <c r="D82" s="3" t="n">
        <v>1974.896</v>
      </c>
      <c r="E82" s="3" t="n">
        <v>5</v>
      </c>
      <c r="F82" s="2">
        <f>SUMIF(Ingredients!A:A,A82,Ingredients!H:H)</f>
        <v/>
      </c>
      <c r="G82" s="2">
        <f>COUNTIFS(Ingredients!A:A,A82,Ingredients!G:G,"")</f>
        <v/>
      </c>
      <c r="H82" s="3" t="n"/>
      <c r="I82" s="3" t="n"/>
      <c r="J82" s="2">
        <f>IF(OR(H82="",E82="",E82=0),"",H82/E82)</f>
        <v/>
      </c>
      <c r="K82" s="2">
        <f>IF(OR(J82="",I82=""),"",I82-J82)</f>
        <v/>
      </c>
      <c r="L82" s="2" t="inlineStr">
        <is>
          <t>Butter 82%; Vanilla; Whole egg; Whole milk 3.5%</t>
        </is>
      </c>
    </row>
    <row r="83">
      <c r="A83" s="2" t="inlineStr">
        <is>
          <t>S-B07</t>
        </is>
      </c>
      <c r="B83" s="2" t="inlineStr">
        <is>
          <t>Milk bread finger rolls / pain au lait</t>
        </is>
      </c>
      <c r="C83" s="3" t="n">
        <v>1870</v>
      </c>
      <c r="D83" s="3" t="n">
        <v>1612.688</v>
      </c>
      <c r="E83" s="3" t="n">
        <v>24</v>
      </c>
      <c r="F83" s="2">
        <f>SUMIF(Ingredients!A:A,A83,Ingredients!H:H)</f>
        <v/>
      </c>
      <c r="G83" s="2">
        <f>COUNTIFS(Ingredients!A:A,A83,Ingredients!G:G,"")</f>
        <v/>
      </c>
      <c r="H83" s="3" t="n"/>
      <c r="I83" s="3" t="n"/>
      <c r="J83" s="2">
        <f>IF(OR(H83="",E83="",E83=0),"",H83/E83)</f>
        <v/>
      </c>
      <c r="K83" s="2">
        <f>IF(OR(J83="",I83=""),"",I83-J83)</f>
        <v/>
      </c>
      <c r="L83" s="2" t="inlineStr">
        <is>
          <t>Butter 82%; Whole milk 3.5%</t>
        </is>
      </c>
    </row>
    <row r="84">
      <c r="A84" s="2" t="inlineStr">
        <is>
          <t>S-P01</t>
        </is>
      </c>
      <c r="B84" s="2" t="inlineStr">
        <is>
          <t>Yeast donuts: plain, glazed and beignets sucrés</t>
        </is>
      </c>
      <c r="C84" s="3" t="n">
        <v>1958</v>
      </c>
      <c r="D84" s="3" t="n">
        <v>1705.091</v>
      </c>
      <c r="E84" s="3" t="n">
        <v>30</v>
      </c>
      <c r="F84" s="2">
        <f>SUMIF(Ingredients!A:A,A84,Ingredients!H:H)</f>
        <v/>
      </c>
      <c r="G84" s="2">
        <f>COUNTIFS(Ingredients!A:A,A84,Ingredients!G:G,"")</f>
        <v/>
      </c>
      <c r="H84" s="3" t="n"/>
      <c r="I84" s="3" t="n"/>
      <c r="J84" s="2">
        <f>IF(OR(H84="",E84="",E84=0),"",H84/E84)</f>
        <v/>
      </c>
      <c r="K84" s="2">
        <f>IF(OR(J84="",I84=""),"",I84-J84)</f>
        <v/>
      </c>
      <c r="L84" s="2" t="inlineStr">
        <is>
          <t>Butter 82%; Skim milk powder; Vanilla; Water; Whole egg</t>
        </is>
      </c>
    </row>
    <row r="85">
      <c r="A85" s="2" t="inlineStr">
        <is>
          <t>S-P02</t>
        </is>
      </c>
      <c r="B85" s="2" t="inlineStr">
        <is>
          <t>Yeast puff-puff / beignets farine</t>
        </is>
      </c>
      <c r="C85" s="3" t="n">
        <v>1946</v>
      </c>
      <c r="D85" s="3" t="n">
        <v>1663.669</v>
      </c>
      <c r="E85" s="3" t="n">
        <v>60</v>
      </c>
      <c r="F85" s="2">
        <f>SUMIF(Ingredients!A:A,A85,Ingredients!H:H)</f>
        <v/>
      </c>
      <c r="G85" s="2">
        <f>COUNTIFS(Ingredients!A:A,A85,Ingredients!G:G,"")</f>
        <v/>
      </c>
      <c r="H85" s="3" t="n"/>
      <c r="I85" s="3" t="n"/>
      <c r="J85" s="2">
        <f>IF(OR(H85="",E85="",E85=0),"",H85/E85)</f>
        <v/>
      </c>
      <c r="K85" s="2">
        <f>IF(OR(J85="",I85=""),"",I85-J85)</f>
        <v/>
      </c>
      <c r="L85" s="2" t="inlineStr">
        <is>
          <t>Nutmeg; Water</t>
        </is>
      </c>
    </row>
    <row r="86">
      <c r="A86" s="2" t="inlineStr">
        <is>
          <t>S-P03</t>
        </is>
      </c>
      <c r="B86" s="2" t="inlineStr">
        <is>
          <t>Cameroonian cake-style beignets soufflés</t>
        </is>
      </c>
      <c r="C86" s="3" t="n">
        <v>2398</v>
      </c>
      <c r="D86" s="3" t="n">
        <v>2046.186</v>
      </c>
      <c r="E86" s="3" t="n">
        <v>40</v>
      </c>
      <c r="F86" s="2">
        <f>SUMIF(Ingredients!A:A,A86,Ingredients!H:H)</f>
        <v/>
      </c>
      <c r="G86" s="2">
        <f>COUNTIFS(Ingredients!A:A,A86,Ingredients!G:G,"")</f>
        <v/>
      </c>
      <c r="H86" s="3" t="n"/>
      <c r="I86" s="3" t="n"/>
      <c r="J86" s="2">
        <f>IF(OR(H86="",E86="",E86=0),"",H86/E86)</f>
        <v/>
      </c>
      <c r="K86" s="2">
        <f>IF(OR(J86="",I86=""),"",I86-J86)</f>
        <v/>
      </c>
      <c r="L86" s="2" t="inlineStr">
        <is>
          <t>Baking powder; Nutmeg; Plain flour; Vanilla; Whole egg; Whole milk 3.5%</t>
        </is>
      </c>
    </row>
    <row r="87">
      <c r="A87" s="2" t="inlineStr">
        <is>
          <t>S-P04</t>
        </is>
      </c>
      <c r="B87" s="2" t="inlineStr">
        <is>
          <t>Coconut butter biscuits</t>
        </is>
      </c>
      <c r="C87" s="3" t="n">
        <v>2160</v>
      </c>
      <c r="D87" s="3" t="n">
        <v>1905.12</v>
      </c>
      <c r="E87" s="3" t="n">
        <v>80</v>
      </c>
      <c r="F87" s="2">
        <f>SUMIF(Ingredients!A:A,A87,Ingredients!H:H)</f>
        <v/>
      </c>
      <c r="G87" s="2">
        <f>COUNTIFS(Ingredients!A:A,A87,Ingredients!G:G,"")</f>
        <v/>
      </c>
      <c r="H87" s="3" t="n"/>
      <c r="I87" s="3" t="n"/>
      <c r="J87" s="2">
        <f>IF(OR(H87="",E87="",E87=0),"",H87/E87)</f>
        <v/>
      </c>
      <c r="K87" s="2">
        <f>IF(OR(J87="",I87=""),"",I87-J87)</f>
        <v/>
      </c>
      <c r="L87" s="2" t="inlineStr">
        <is>
          <t>Butter 82%; Desiccated coconut; Icing sugar; Plain flour; Vanilla; Whole egg</t>
        </is>
      </c>
    </row>
    <row r="88">
      <c r="A88" s="2" t="inlineStr">
        <is>
          <t>S-P05</t>
        </is>
      </c>
      <c r="B88" s="2" t="inlineStr">
        <is>
          <t>Banana snack cake</t>
        </is>
      </c>
      <c r="C88" s="3" t="n">
        <v>3595</v>
      </c>
      <c r="D88" s="3" t="n">
        <v>3100.328</v>
      </c>
      <c r="E88" s="3" t="n">
        <v>32</v>
      </c>
      <c r="F88" s="2">
        <f>SUMIF(Ingredients!A:A,A88,Ingredients!H:H)</f>
        <v/>
      </c>
      <c r="G88" s="2">
        <f>COUNTIFS(Ingredients!A:A,A88,Ingredients!G:G,"")</f>
        <v/>
      </c>
      <c r="H88" s="3" t="n"/>
      <c r="I88" s="3" t="n"/>
      <c r="J88" s="2">
        <f>IF(OR(H88="",E88="",E88=0),"",H88/E88)</f>
        <v/>
      </c>
      <c r="K88" s="2">
        <f>IF(OR(J88="",I88=""),"",I88-J88)</f>
        <v/>
      </c>
      <c r="L88" s="2" t="inlineStr">
        <is>
          <t>Baking powder; Banana pulp; Cinnamon; Plain flour; Vanilla; Whole egg; Whole milk 3.5%</t>
        </is>
      </c>
    </row>
    <row r="89">
      <c r="A89" s="2" t="inlineStr">
        <is>
          <t>S-P06</t>
        </is>
      </c>
      <c r="B89" s="2" t="inlineStr">
        <is>
          <t>Cinnamon breakfast rolls</t>
        </is>
      </c>
      <c r="C89" s="3" t="n">
        <v>2259</v>
      </c>
      <c r="D89" s="3" t="n">
        <v>1948.162</v>
      </c>
      <c r="E89" s="3" t="n">
        <v>24</v>
      </c>
      <c r="F89" s="2">
        <f>SUMIF(Ingredients!A:A,A89,Ingredients!H:H)</f>
        <v/>
      </c>
      <c r="G89" s="2">
        <f>COUNTIFS(Ingredients!A:A,A89,Ingredients!G:G,"")</f>
        <v/>
      </c>
      <c r="H89" s="3" t="n"/>
      <c r="I89" s="3" t="n"/>
      <c r="J89" s="2">
        <f>IF(OR(H89="",E89="",E89=0),"",H89/E89)</f>
        <v/>
      </c>
      <c r="K89" s="2">
        <f>IF(OR(J89="",I89=""),"",I89-J89)</f>
        <v/>
      </c>
      <c r="L89" s="2" t="inlineStr">
        <is>
          <t>Butter 82%; Cinnamon; Whole egg; Whole milk 3.5%</t>
        </is>
      </c>
    </row>
    <row r="90">
      <c r="A90" s="2" t="inlineStr">
        <is>
          <t>S-F01</t>
        </is>
      </c>
      <c r="B90" s="2" t="inlineStr">
        <is>
          <t>Complete beef hamburger</t>
        </is>
      </c>
      <c r="C90" s="3" t="n">
        <v>2632</v>
      </c>
      <c r="D90" s="3" t="n">
        <v>2252.408</v>
      </c>
      <c r="E90" s="3" t="n">
        <v>10</v>
      </c>
      <c r="F90" s="2">
        <f>SUMIF(Ingredients!A:A,A90,Ingredients!H:H)</f>
        <v/>
      </c>
      <c r="G90" s="2">
        <f>COUNTIFS(Ingredients!A:A,A90,Ingredients!G:G,"")</f>
        <v/>
      </c>
      <c r="H90" s="3" t="n"/>
      <c r="I90" s="3" t="n"/>
      <c r="J90" s="2">
        <f>IF(OR(H90="",E90="",E90=0),"",H90/E90)</f>
        <v/>
      </c>
      <c r="K90" s="2">
        <f>IF(OR(J90="",I90=""),"",I90-J90)</f>
        <v/>
      </c>
      <c r="L90" s="2" t="inlineStr">
        <is>
          <t>Black pepper; Drained pickle; Ketchup; Lettuce; Mustard; Onion; Pasteurized-egg mayonnaise; Raw beef mince; Skim milk powder; Tomato; Water; Whole egg</t>
        </is>
      </c>
    </row>
    <row r="91">
      <c r="A91" s="2" t="inlineStr">
        <is>
          <t>S-F02</t>
        </is>
      </c>
      <c r="B91" s="2" t="inlineStr">
        <is>
          <t>Pain omelette with sardines</t>
        </is>
      </c>
      <c r="C91" s="3" t="n">
        <v>1897.5</v>
      </c>
      <c r="D91" s="3" t="n">
        <v>1642.202</v>
      </c>
      <c r="E91" s="3" t="n">
        <v>10</v>
      </c>
      <c r="F91" s="2">
        <f>SUMIF(Ingredients!A:A,A91,Ingredients!H:H)</f>
        <v/>
      </c>
      <c r="G91" s="2">
        <f>COUNTIFS(Ingredients!A:A,A91,Ingredients!G:G,"")</f>
        <v/>
      </c>
      <c r="H91" s="3" t="n"/>
      <c r="I91" s="3" t="n"/>
      <c r="J91" s="2">
        <f>IF(OR(H91="",E91="",E91=0),"",H91/E91)</f>
        <v/>
      </c>
      <c r="K91" s="2">
        <f>IF(OR(J91="",I91=""),"",I91-J91)</f>
        <v/>
      </c>
      <c r="L91" s="2" t="inlineStr">
        <is>
          <t>Black pepper; Drained sardines; Ketchup; Onion; Pasteurized-egg mayonnaise; Sweet pepper; Tomato; Water; Whole egg</t>
        </is>
      </c>
    </row>
    <row r="92">
      <c r="A92" s="2" t="inlineStr">
        <is>
          <t>S-F03</t>
        </is>
      </c>
      <c r="B92" s="2" t="inlineStr">
        <is>
          <t>Beef-and-cheese filled bread</t>
        </is>
      </c>
      <c r="C92" s="3" t="n">
        <v>1901</v>
      </c>
      <c r="D92" s="3" t="n">
        <v>1554.158</v>
      </c>
      <c r="E92" s="3" t="n">
        <v>10</v>
      </c>
      <c r="F92" s="2">
        <f>SUMIF(Ingredients!A:A,A92,Ingredients!H:H)</f>
        <v/>
      </c>
      <c r="G92" s="2">
        <f>COUNTIFS(Ingredients!A:A,A92,Ingredients!G:G,"")</f>
        <v/>
      </c>
      <c r="H92" s="3" t="n"/>
      <c r="I92" s="3" t="n"/>
      <c r="J92" s="2">
        <f>IF(OR(H92="",E92="",E92=0),"",H92/E92)</f>
        <v/>
      </c>
      <c r="K92" s="2">
        <f>IF(OR(J92="",I92=""),"",I92-J92)</f>
        <v/>
      </c>
      <c r="L92" s="2" t="inlineStr">
        <is>
          <t>Carrot; Garlic; Low-moisture cheese; Onion; Paprika; Raw beef mince; Skim milk powder; Sweet pepper; Tomato paste; Water; Whole egg</t>
        </is>
      </c>
    </row>
    <row r="93">
      <c r="A93" s="2" t="inlineStr">
        <is>
          <t>S-F04</t>
        </is>
      </c>
      <c r="B93" s="2" t="inlineStr">
        <is>
          <t>Chicken shawarma wrap</t>
        </is>
      </c>
      <c r="C93" s="3" t="n">
        <v>3007</v>
      </c>
      <c r="D93" s="3" t="n">
        <v>2446.804</v>
      </c>
      <c r="E93" s="3" t="n">
        <v>10</v>
      </c>
      <c r="F93" s="2">
        <f>SUMIF(Ingredients!A:A,A93,Ingredients!H:H)</f>
        <v/>
      </c>
      <c r="G93" s="2">
        <f>COUNTIFS(Ingredients!A:A,A93,Ingredients!G:G,"")</f>
        <v/>
      </c>
      <c r="H93" s="3" t="n"/>
      <c r="I93" s="3" t="n"/>
      <c r="J93" s="2">
        <f>IF(OR(H93="",E93="",E93=0),"",H93/E93)</f>
        <v/>
      </c>
      <c r="K93" s="2">
        <f>IF(OR(J93="",I93=""),"",I93-J93)</f>
        <v/>
      </c>
      <c r="L93" s="2" t="inlineStr">
        <is>
          <t>Black pepper; Cabbage; Carrot; Cooked garlic puree; Cumin; Garlic; Ginger; Lime juice; Onion; Paprika; Pasteurized-egg mayonnaise; Plain pasteurized yogurt; Raw chicken thigh; Tomato; Water</t>
        </is>
      </c>
    </row>
    <row r="94">
      <c r="A94" s="2" t="inlineStr">
        <is>
          <t>S-F05</t>
        </is>
      </c>
      <c r="B94" s="2" t="inlineStr">
        <is>
          <t>Vegetable samosas</t>
        </is>
      </c>
      <c r="C94" s="3" t="n">
        <v>2287</v>
      </c>
      <c r="D94" s="3" t="n">
        <v>2032.746</v>
      </c>
      <c r="E94" s="3" t="n">
        <v>30</v>
      </c>
      <c r="F94" s="2">
        <f>SUMIF(Ingredients!A:A,A94,Ingredients!H:H)</f>
        <v/>
      </c>
      <c r="G94" s="2">
        <f>COUNTIFS(Ingredients!A:A,A94,Ingredients!G:G,"")</f>
        <v/>
      </c>
      <c r="H94" s="3" t="n"/>
      <c r="I94" s="3" t="n"/>
      <c r="J94" s="2">
        <f>IF(OR(H94="",E94="",E94=0),"",H94/E94)</f>
        <v/>
      </c>
      <c r="K94" s="2">
        <f>IF(OR(J94="",I94=""),"",I94-J94)</f>
        <v/>
      </c>
      <c r="L94" s="2" t="inlineStr">
        <is>
          <t>Carrot; Cumin; Garlic; Ginger; Onion; Peas; Peeled potato; Plain flour; Water</t>
        </is>
      </c>
    </row>
    <row r="95">
      <c r="A95" s="2" t="inlineStr">
        <is>
          <t>S-F06</t>
        </is>
      </c>
      <c r="B95" s="2" t="inlineStr">
        <is>
          <t>Mini chicken pizzas</t>
        </is>
      </c>
      <c r="C95" s="3" t="n">
        <v>2144</v>
      </c>
      <c r="D95" s="3" t="n">
        <v>1822.64</v>
      </c>
      <c r="E95" s="3" t="n">
        <v>12</v>
      </c>
      <c r="F95" s="2">
        <f>SUMIF(Ingredients!A:A,A95,Ingredients!H:H)</f>
        <v/>
      </c>
      <c r="G95" s="2">
        <f>COUNTIFS(Ingredients!A:A,A95,Ingredients!G:G,"")</f>
        <v/>
      </c>
      <c r="H95" s="3" t="n"/>
      <c r="I95" s="3" t="n"/>
      <c r="J95" s="2">
        <f>IF(OR(H95="",E95="",E95=0),"",H95/E95)</f>
        <v/>
      </c>
      <c r="K95" s="2">
        <f>IF(OR(J95="",I95=""),"",I95-J95)</f>
        <v/>
      </c>
      <c r="L95" s="2" t="inlineStr">
        <is>
          <t>Garlic; Low-moisture cheese; Onion; Oregano; Paprika; Raw chicken thigh; Sweet pepper; Tomato; Water</t>
        </is>
      </c>
    </row>
    <row r="96">
      <c r="A96" s="2" t="inlineStr">
        <is>
          <t>S-D01</t>
        </is>
      </c>
      <c r="B96" s="2" t="inlineStr">
        <is>
          <t>Vanilla dairy soft serve</t>
        </is>
      </c>
      <c r="C96" s="3" t="n">
        <v>2000</v>
      </c>
      <c r="D96" s="3" t="n">
        <v>1960</v>
      </c>
      <c r="E96" s="3" t="n">
        <v>20</v>
      </c>
      <c r="F96" s="2">
        <f>SUMIF(Ingredients!A:A,A96,Ingredients!H:H)</f>
        <v/>
      </c>
      <c r="G96" s="2">
        <f>COUNTIFS(Ingredients!A:A,A96,Ingredients!G:G,"")</f>
        <v/>
      </c>
      <c r="H96" s="3" t="n"/>
      <c r="I96" s="3" t="n"/>
      <c r="J96" s="2">
        <f>IF(OR(H96="",E96="",E96=0),"",H96/E96)</f>
        <v/>
      </c>
      <c r="K96" s="2">
        <f>IF(OR(J96="",I96=""),"",I96-J96)</f>
        <v/>
      </c>
      <c r="L96" s="2" t="inlineStr">
        <is>
          <t>Cream 35%; Dextrose anhydrous; STAB 2000; Skim milk powder; Vanilla; Water; Whole milk 3.5%</t>
        </is>
      </c>
    </row>
    <row r="97">
      <c r="A97" s="2" t="inlineStr">
        <is>
          <t>S-D02</t>
        </is>
      </c>
      <c r="B97" s="2" t="inlineStr">
        <is>
          <t>Scoopable vanilla ice cream</t>
        </is>
      </c>
      <c r="C97" s="3" t="n">
        <v>2200</v>
      </c>
      <c r="D97" s="3" t="n">
        <v>2156</v>
      </c>
      <c r="E97" s="3" t="n">
        <v>22</v>
      </c>
      <c r="F97" s="2">
        <f>SUMIF(Ingredients!A:A,A97,Ingredients!H:H)</f>
        <v/>
      </c>
      <c r="G97" s="2">
        <f>COUNTIFS(Ingredients!A:A,A97,Ingredients!G:G,"")</f>
        <v/>
      </c>
      <c r="H97" s="3" t="n"/>
      <c r="I97" s="3" t="n"/>
      <c r="J97" s="2">
        <f>IF(OR(H97="",E97="",E97=0),"",H97/E97)</f>
        <v/>
      </c>
      <c r="K97" s="2">
        <f>IF(OR(J97="",I97=""),"",I97-J97)</f>
        <v/>
      </c>
      <c r="L97" s="2" t="inlineStr">
        <is>
          <t>Cream 35%; Dextrose anhydrous; STAB 2000; Skim milk powder; Vanilla; Water; Whole milk 3.5%</t>
        </is>
      </c>
    </row>
    <row r="98">
      <c r="A98" s="2" t="inlineStr">
        <is>
          <t>S-I01</t>
        </is>
      </c>
      <c r="B98" s="2" t="inlineStr">
        <is>
          <t>Pineapple-ginger fruit popsicle</t>
        </is>
      </c>
      <c r="C98" s="3" t="n">
        <v>2000</v>
      </c>
      <c r="D98" s="3" t="n">
        <v>1960</v>
      </c>
      <c r="E98" s="3" t="n">
        <v>25</v>
      </c>
      <c r="F98" s="2">
        <f>SUMIF(Ingredients!A:A,A98,Ingredients!H:H)</f>
        <v/>
      </c>
      <c r="G98" s="2">
        <f>COUNTIFS(Ingredients!A:A,A98,Ingredients!G:G,"")</f>
        <v/>
      </c>
      <c r="H98" s="3" t="n"/>
      <c r="I98" s="3" t="n"/>
      <c r="J98" s="2">
        <f>IF(OR(H98="",E98="",E98=0),"",H98/E98)</f>
        <v/>
      </c>
      <c r="K98" s="2">
        <f>IF(OR(J98="",I98=""),"",I98-J98)</f>
        <v/>
      </c>
      <c r="L98" s="2" t="inlineStr">
        <is>
          <t>Dextrose anhydrous; Pasteurized lime juice; Pasteurized pineapple juice 12 Brix; Super Neutrose; Treated ginger juice; Water</t>
        </is>
      </c>
    </row>
    <row r="99">
      <c r="A99" s="2" t="inlineStr">
        <is>
          <t>S-I02</t>
        </is>
      </c>
      <c r="B99" s="2" t="inlineStr">
        <is>
          <t>Bissap-ginger-lime ice stick</t>
        </is>
      </c>
      <c r="C99" s="3" t="n">
        <v>2000</v>
      </c>
      <c r="D99" s="3" t="n">
        <v>1960</v>
      </c>
      <c r="E99" s="3" t="n">
        <v>25</v>
      </c>
      <c r="F99" s="2">
        <f>SUMIF(Ingredients!A:A,A99,Ingredients!H:H)</f>
        <v/>
      </c>
      <c r="G99" s="2">
        <f>COUNTIFS(Ingredients!A:A,A99,Ingredients!G:G,"")</f>
        <v/>
      </c>
      <c r="H99" s="3" t="n"/>
      <c r="I99" s="3" t="n"/>
      <c r="J99" s="2">
        <f>IF(OR(H99="",E99="",E99=0),"",H99/E99)</f>
        <v/>
      </c>
      <c r="K99" s="2">
        <f>IF(OR(J99="",I99=""),"",I99-J99)</f>
        <v/>
      </c>
      <c r="L99" s="2" t="inlineStr">
        <is>
          <t>Dextrose anhydrous; Pasteurized lime juice; Super Neutrose; Treated ginger juice; Validated hibiscus infusion; Water</t>
        </is>
      </c>
    </row>
    <row r="100">
      <c r="A100" s="2" t="inlineStr">
        <is>
          <t>S-I03</t>
        </is>
      </c>
      <c r="B100" s="2" t="inlineStr">
        <is>
          <t>Cocoa milk popsicle</t>
        </is>
      </c>
      <c r="C100" s="3" t="n">
        <v>2000</v>
      </c>
      <c r="D100" s="3" t="n">
        <v>1960</v>
      </c>
      <c r="E100" s="3" t="n">
        <v>25</v>
      </c>
      <c r="F100" s="2">
        <f>SUMIF(Ingredients!A:A,A100,Ingredients!H:H)</f>
        <v/>
      </c>
      <c r="G100" s="2">
        <f>COUNTIFS(Ingredients!A:A,A100,Ingredients!G:G,"")</f>
        <v/>
      </c>
      <c r="H100" s="3" t="n"/>
      <c r="I100" s="3" t="n"/>
      <c r="J100" s="2">
        <f>IF(OR(H100="",E100="",E100=0),"",H100/E100)</f>
        <v/>
      </c>
      <c r="K100" s="2">
        <f>IF(OR(J100="",I100=""),"",I100-J100)</f>
        <v/>
      </c>
      <c r="L100" s="2" t="inlineStr">
        <is>
          <t>Cocoa powder; STAB 2000; Skim milk powder; Vanilla; Water; Whole milk 3.5%</t>
        </is>
      </c>
    </row>
    <row r="101">
      <c r="A101" s="2" t="inlineStr">
        <is>
          <t>S-I04</t>
        </is>
      </c>
      <c r="B101" s="2" t="inlineStr">
        <is>
          <t>Own-brand premium chocolate-coated ice-cream bar</t>
        </is>
      </c>
      <c r="C101" s="3" t="n">
        <v>2620</v>
      </c>
      <c r="D101" s="3" t="n">
        <v>2534</v>
      </c>
      <c r="E101" s="3" t="n">
        <v>28</v>
      </c>
      <c r="F101" s="2">
        <f>SUMIF(Ingredients!A:A,A101,Ingredients!H:H)</f>
        <v/>
      </c>
      <c r="G101" s="2">
        <f>COUNTIFS(Ingredients!A:A,A101,Ingredients!G:G,"")</f>
        <v/>
      </c>
      <c r="H101" s="3" t="n"/>
      <c r="I101" s="3" t="n"/>
      <c r="J101" s="2">
        <f>IF(OR(H101="",E101="",E101=0),"",H101/E101)</f>
        <v/>
      </c>
      <c r="K101" s="2">
        <f>IF(OR(J101="",I101=""),"",I101-J101)</f>
        <v/>
      </c>
      <c r="L101" s="2" t="inlineStr">
        <is>
          <t>Callebaut Ice Chocolate White; Cream 35%; Dextrose anhydrous; STAB 2000; Skim milk powder; Vanilla; Water; Whole milk 3.5%</t>
        </is>
      </c>
    </row>
    <row r="102">
      <c r="A102" s="2" t="inlineStr">
        <is>
          <t>S-Y01</t>
        </is>
      </c>
      <c r="B102" s="2" t="inlineStr">
        <is>
          <t>Plain set yogurt</t>
        </is>
      </c>
      <c r="C102" s="3" t="n">
        <v>2126</v>
      </c>
      <c r="D102" s="3" t="n">
        <v>2083.48</v>
      </c>
      <c r="E102" s="3" t="n">
        <v>20</v>
      </c>
      <c r="F102" s="2">
        <f>SUMIF(Ingredients!A:A,A102,Ingredients!H:H)</f>
        <v/>
      </c>
      <c r="G102" s="2">
        <f>COUNTIFS(Ingredients!A:A,A102,Ingredients!G:G,"")</f>
        <v/>
      </c>
      <c r="H102" s="3" t="n"/>
      <c r="I102" s="3" t="n"/>
      <c r="J102" s="2">
        <f>IF(OR(H102="",E102="",E102=0),"",H102/E102)</f>
        <v/>
      </c>
      <c r="K102" s="2">
        <f>IF(OR(J102="",I102=""),"",I102-J102)</f>
        <v/>
      </c>
      <c r="L102" s="2" t="inlineStr">
        <is>
          <t>Skim milk powder; Whole milk 3.5%; Yogourmet Original 3g sachet</t>
        </is>
      </c>
    </row>
    <row r="103">
      <c r="A103" s="2" t="inlineStr">
        <is>
          <t>S-Y02</t>
        </is>
      </c>
      <c r="B103" s="2" t="inlineStr">
        <is>
          <t>Stirred mango yogurt</t>
        </is>
      </c>
      <c r="C103" s="3" t="n">
        <v>2506</v>
      </c>
      <c r="D103" s="3" t="n">
        <v>2461.48</v>
      </c>
      <c r="E103" s="3" t="n">
        <v>20</v>
      </c>
      <c r="F103" s="2">
        <f>SUMIF(Ingredients!A:A,A103,Ingredients!H:H)</f>
        <v/>
      </c>
      <c r="G103" s="2">
        <f>COUNTIFS(Ingredients!A:A,A103,Ingredients!G:G,"")</f>
        <v/>
      </c>
      <c r="H103" s="3" t="n"/>
      <c r="I103" s="3" t="n"/>
      <c r="J103" s="2">
        <f>IF(OR(H103="",E103="",E103=0),"",H103/E103)</f>
        <v/>
      </c>
      <c r="K103" s="2">
        <f>IF(OR(J103="",I103=""),"",I103-J103)</f>
        <v/>
      </c>
      <c r="L103" s="2" t="inlineStr">
        <is>
          <t>Pasteurized mango puree 15 Brix; Skim milk powder; Whole milk 3.5%; Yogourmet Original 3g sachet</t>
        </is>
      </c>
    </row>
    <row r="104">
      <c r="A104" s="2" t="inlineStr">
        <is>
          <t>S-Y03</t>
        </is>
      </c>
      <c r="B104" s="2" t="inlineStr">
        <is>
          <t>Vanilla drinking yogurt</t>
        </is>
      </c>
      <c r="C104" s="3" t="n">
        <v>2210</v>
      </c>
      <c r="D104" s="3" t="n">
        <v>2165.8</v>
      </c>
      <c r="E104" s="3" t="n">
        <v>10</v>
      </c>
      <c r="F104" s="2">
        <f>SUMIF(Ingredients!A:A,A104,Ingredients!H:H)</f>
        <v/>
      </c>
      <c r="G104" s="2">
        <f>COUNTIFS(Ingredients!A:A,A104,Ingredients!G:G,"")</f>
        <v/>
      </c>
      <c r="H104" s="3" t="n"/>
      <c r="I104" s="3" t="n"/>
      <c r="J104" s="2">
        <f>IF(OR(H104="",E104="",E104=0),"",H104/E104)</f>
        <v/>
      </c>
      <c r="K104" s="2">
        <f>IF(OR(J104="",I104=""),"",I104-J104)</f>
        <v/>
      </c>
      <c r="L104" s="2" t="inlineStr">
        <is>
          <t>Vanilla; Whole milk 3.5%; Yogourmet Original 3g sachet</t>
        </is>
      </c>
    </row>
    <row r="105">
      <c r="A105" s="2" t="inlineStr">
        <is>
          <t>M1-B01</t>
        </is>
      </c>
      <c r="B105" s="2" t="inlineStr">
        <is>
          <t>Standard English block bread</t>
        </is>
      </c>
      <c r="C105" s="3" t="n">
        <v>1740</v>
      </c>
      <c r="D105" s="3" t="n">
        <v>1722.6</v>
      </c>
      <c r="E105" s="3" t="n">
        <v>3</v>
      </c>
      <c r="F105" s="2">
        <f>SUMIF(Ingredients!A:A,A105,Ingredients!H:H)</f>
        <v/>
      </c>
      <c r="G105" s="2">
        <f>COUNTIFS(Ingredients!A:A,A105,Ingredients!G:G,"")</f>
        <v/>
      </c>
      <c r="H105" s="3" t="n"/>
      <c r="I105" s="3" t="n"/>
      <c r="J105" s="2">
        <f>IF(OR(H105="",E105="",E105=0),"",H105/E105)</f>
        <v/>
      </c>
      <c r="K105" s="2">
        <f>IF(OR(J105="",I105=""),"",I105-J105)</f>
        <v/>
      </c>
      <c r="L105" s="2" t="inlineStr">
        <is>
          <t>Potable water</t>
        </is>
      </c>
    </row>
    <row r="106">
      <c r="A106" s="2" t="inlineStr">
        <is>
          <t>M1-B02</t>
        </is>
      </c>
      <c r="B106" s="2" t="inlineStr">
        <is>
          <t>Golden milk loaf</t>
        </is>
      </c>
      <c r="C106" s="3" t="n">
        <v>1872</v>
      </c>
      <c r="D106" s="3" t="n">
        <v>1853.28</v>
      </c>
      <c r="E106" s="3" t="n">
        <v>3</v>
      </c>
      <c r="F106" s="2">
        <f>SUMIF(Ingredients!A:A,A106,Ingredients!H:H)</f>
        <v/>
      </c>
      <c r="G106" s="2">
        <f>COUNTIFS(Ingredients!A:A,A106,Ingredients!G:G,"")</f>
        <v/>
      </c>
      <c r="H106" s="3" t="n"/>
      <c r="I106" s="3" t="n"/>
      <c r="J106" s="2">
        <f>IF(OR(H106="",E106="",E106=0),"",H106/E106)</f>
        <v/>
      </c>
      <c r="K106" s="2">
        <f>IF(OR(J106="",I106=""),"",I106-J106)</f>
        <v/>
      </c>
      <c r="L106" s="2" t="inlineStr">
        <is>
          <t>Potable water</t>
        </is>
      </c>
    </row>
    <row r="107">
      <c r="A107" s="2" t="inlineStr">
        <is>
          <t>M1-B03</t>
        </is>
      </c>
      <c r="B107" s="2" t="inlineStr">
        <is>
          <t>Tea rolls with Roma margarine</t>
        </is>
      </c>
      <c r="C107" s="3" t="n">
        <v>1830</v>
      </c>
      <c r="D107" s="3" t="n">
        <v>1811.7</v>
      </c>
      <c r="E107" s="3" t="n">
        <v>30</v>
      </c>
      <c r="F107" s="2">
        <f>SUMIF(Ingredients!A:A,A107,Ingredients!H:H)</f>
        <v/>
      </c>
      <c r="G107" s="2">
        <f>COUNTIFS(Ingredients!A:A,A107,Ingredients!G:G,"")</f>
        <v/>
      </c>
      <c r="H107" s="3" t="n"/>
      <c r="I107" s="3" t="n"/>
      <c r="J107" s="2">
        <f>IF(OR(H107="",E107="",E107=0),"",H107/E107)</f>
        <v/>
      </c>
      <c r="K107" s="2">
        <f>IF(OR(J107="",I107=""),"",I107-J107)</f>
        <v/>
      </c>
      <c r="L107" s="2" t="inlineStr">
        <is>
          <t>Potable water</t>
        </is>
      </c>
    </row>
    <row r="108">
      <c r="A108" s="2" t="inlineStr">
        <is>
          <t>M1-B04</t>
        </is>
      </c>
      <c r="B108" s="2" t="inlineStr">
        <is>
          <t>Sweet milk buns</t>
        </is>
      </c>
      <c r="C108" s="3" t="n">
        <v>1850</v>
      </c>
      <c r="D108" s="3" t="n">
        <v>1831.5</v>
      </c>
      <c r="E108" s="3" t="n">
        <v>22</v>
      </c>
      <c r="F108" s="2">
        <f>SUMIF(Ingredients!A:A,A108,Ingredients!H:H)</f>
        <v/>
      </c>
      <c r="G108" s="2">
        <f>COUNTIFS(Ingredients!A:A,A108,Ingredients!G:G,"")</f>
        <v/>
      </c>
      <c r="H108" s="3" t="n"/>
      <c r="I108" s="3" t="n"/>
      <c r="J108" s="2">
        <f>IF(OR(H108="",E108="",E108=0),"",H108/E108)</f>
        <v/>
      </c>
      <c r="K108" s="2">
        <f>IF(OR(J108="",I108=""),"",I108-J108)</f>
        <v/>
      </c>
      <c r="L108" s="2" t="inlineStr">
        <is>
          <t>Potable water</t>
        </is>
      </c>
    </row>
    <row r="109">
      <c r="A109" s="2" t="inlineStr">
        <is>
          <t>M1-B05</t>
        </is>
      </c>
      <c r="B109" s="2" t="inlineStr">
        <is>
          <t>Coconut sweet buns</t>
        </is>
      </c>
      <c r="C109" s="3" t="n">
        <v>2000</v>
      </c>
      <c r="D109" s="3" t="n">
        <v>1980</v>
      </c>
      <c r="E109" s="3" t="n">
        <v>22</v>
      </c>
      <c r="F109" s="2">
        <f>SUMIF(Ingredients!A:A,A109,Ingredients!H:H)</f>
        <v/>
      </c>
      <c r="G109" s="2">
        <f>COUNTIFS(Ingredients!A:A,A109,Ingredients!G:G,"")</f>
        <v/>
      </c>
      <c r="H109" s="3" t="n"/>
      <c r="I109" s="3" t="n"/>
      <c r="J109" s="2">
        <f>IF(OR(H109="",E109="",E109=0),"",H109/E109)</f>
        <v/>
      </c>
      <c r="K109" s="2">
        <f>IF(OR(J109="",I109=""),"",I109-J109)</f>
        <v/>
      </c>
      <c r="L109" s="2" t="inlineStr">
        <is>
          <t>Potable water; Unsweetened fine desiccated coconut</t>
        </is>
      </c>
    </row>
    <row r="110">
      <c r="A110" s="2" t="inlineStr">
        <is>
          <t>M1-B06</t>
        </is>
      </c>
      <c r="B110" s="2" t="inlineStr">
        <is>
          <t>Raisin milk buns</t>
        </is>
      </c>
      <c r="C110" s="3" t="n">
        <v>2030</v>
      </c>
      <c r="D110" s="3" t="n">
        <v>2009.7</v>
      </c>
      <c r="E110" s="3" t="n">
        <v>20</v>
      </c>
      <c r="F110" s="2">
        <f>SUMIF(Ingredients!A:A,A110,Ingredients!H:H)</f>
        <v/>
      </c>
      <c r="G110" s="2">
        <f>COUNTIFS(Ingredients!A:A,A110,Ingredients!G:G,"")</f>
        <v/>
      </c>
      <c r="H110" s="3" t="n"/>
      <c r="I110" s="3" t="n"/>
      <c r="J110" s="2">
        <f>IF(OR(H110="",E110="",E110=0),"",H110/E110)</f>
        <v/>
      </c>
      <c r="K110" s="2">
        <f>IF(OR(J110="",I110=""),"",I110-J110)</f>
        <v/>
      </c>
      <c r="L110" s="2" t="inlineStr">
        <is>
          <t>Potable water; Ready-to-use seedless raisins</t>
        </is>
      </c>
    </row>
    <row r="111">
      <c r="A111" s="2" t="inlineStr">
        <is>
          <t>M1-B07</t>
        </is>
      </c>
      <c r="B111" s="2" t="inlineStr">
        <is>
          <t>Cinnamon milk buns</t>
        </is>
      </c>
      <c r="C111" s="3" t="n">
        <v>1862</v>
      </c>
      <c r="D111" s="3" t="n">
        <v>1843.38</v>
      </c>
      <c r="E111" s="3" t="n">
        <v>23</v>
      </c>
      <c r="F111" s="2">
        <f>SUMIF(Ingredients!A:A,A111,Ingredients!H:H)</f>
        <v/>
      </c>
      <c r="G111" s="2">
        <f>COUNTIFS(Ingredients!A:A,A111,Ingredients!G:G,"")</f>
        <v/>
      </c>
      <c r="H111" s="3" t="n"/>
      <c r="I111" s="3" t="n"/>
      <c r="J111" s="2">
        <f>IF(OR(H111="",E111="",E111=0),"",H111/E111)</f>
        <v/>
      </c>
      <c r="K111" s="2">
        <f>IF(OR(J111="",I111=""),"",I111-J111)</f>
        <v/>
      </c>
      <c r="L111" s="2" t="inlineStr">
        <is>
          <t>Ground cinnamon; Potable water</t>
        </is>
      </c>
    </row>
    <row r="112">
      <c r="A112" s="2" t="inlineStr">
        <is>
          <t>M1-B08</t>
        </is>
      </c>
      <c r="B112" s="2" t="inlineStr">
        <is>
          <t>Baked garlic and herb bread</t>
        </is>
      </c>
      <c r="C112" s="3" t="n">
        <v>1720</v>
      </c>
      <c r="D112" s="3" t="n">
        <v>1702.8</v>
      </c>
      <c r="E112" s="3" t="n">
        <v>6</v>
      </c>
      <c r="F112" s="2">
        <f>SUMIF(Ingredients!A:A,A112,Ingredients!H:H)</f>
        <v/>
      </c>
      <c r="G112" s="2">
        <f>COUNTIFS(Ingredients!A:A,A112,Ingredients!G:G,"")</f>
        <v/>
      </c>
      <c r="H112" s="3" t="n"/>
      <c r="I112" s="3" t="n"/>
      <c r="J112" s="2">
        <f>IF(OR(H112="",E112="",E112=0),"",H112/E112)</f>
        <v/>
      </c>
      <c r="K112" s="2">
        <f>IF(OR(J112="",I112=""),"",I112-J112)</f>
        <v/>
      </c>
      <c r="L112" s="2" t="inlineStr">
        <is>
          <t>Dried mixed herbs; Food-grade garlic powder; Potable water</t>
        </is>
      </c>
    </row>
    <row r="113">
      <c r="A113" s="2" t="inlineStr">
        <is>
          <t>M1-B09</t>
        </is>
      </c>
      <c r="B113" s="2" t="inlineStr">
        <is>
          <t>Soft burger buns</t>
        </is>
      </c>
      <c r="C113" s="3" t="n">
        <v>1782</v>
      </c>
      <c r="D113" s="3" t="n">
        <v>1764.18</v>
      </c>
      <c r="E113" s="3" t="n">
        <v>19</v>
      </c>
      <c r="F113" s="2">
        <f>SUMIF(Ingredients!A:A,A113,Ingredients!H:H)</f>
        <v/>
      </c>
      <c r="G113" s="2">
        <f>COUNTIFS(Ingredients!A:A,A113,Ingredients!G:G,"")</f>
        <v/>
      </c>
      <c r="H113" s="3" t="n"/>
      <c r="I113" s="3" t="n"/>
      <c r="J113" s="2">
        <f>IF(OR(H113="",E113="",E113=0),"",H113/E113)</f>
        <v/>
      </c>
      <c r="K113" s="2">
        <f>IF(OR(J113="",I113=""),"",I113-J113)</f>
        <v/>
      </c>
      <c r="L113" s="2" t="inlineStr">
        <is>
          <t>Potable water</t>
        </is>
      </c>
    </row>
    <row r="114">
      <c r="A114" s="2" t="inlineStr">
        <is>
          <t>M1-B10</t>
        </is>
      </c>
      <c r="B114" s="2" t="inlineStr">
        <is>
          <t>Soft shawarma flatbreads</t>
        </is>
      </c>
      <c r="C114" s="3" t="n">
        <v>1673</v>
      </c>
      <c r="D114" s="3" t="n">
        <v>1656.27</v>
      </c>
      <c r="E114" s="3" t="n">
        <v>18</v>
      </c>
      <c r="F114" s="2">
        <f>SUMIF(Ingredients!A:A,A114,Ingredients!H:H)</f>
        <v/>
      </c>
      <c r="G114" s="2">
        <f>COUNTIFS(Ingredients!A:A,A114,Ingredients!G:G,"")</f>
        <v/>
      </c>
      <c r="H114" s="3" t="n"/>
      <c r="I114" s="3" t="n"/>
      <c r="J114" s="2">
        <f>IF(OR(H114="",E114="",E114=0),"",H114/E114)</f>
        <v/>
      </c>
      <c r="K114" s="2">
        <f>IF(OR(J114="",I114=""),"",I114-J114)</f>
        <v/>
      </c>
      <c r="L114" s="2" t="inlineStr">
        <is>
          <t>Potable water</t>
        </is>
      </c>
    </row>
    <row r="115">
      <c r="A115" s="2" t="inlineStr">
        <is>
          <t>M1-B11</t>
        </is>
      </c>
      <c r="B115" s="2" t="inlineStr">
        <is>
          <t>Small sandwich rolls</t>
        </is>
      </c>
      <c r="C115" s="3" t="n">
        <v>1730</v>
      </c>
      <c r="D115" s="3" t="n">
        <v>1712.7</v>
      </c>
      <c r="E115" s="3" t="n">
        <v>17</v>
      </c>
      <c r="F115" s="2">
        <f>SUMIF(Ingredients!A:A,A115,Ingredients!H:H)</f>
        <v/>
      </c>
      <c r="G115" s="2">
        <f>COUNTIFS(Ingredients!A:A,A115,Ingredients!G:G,"")</f>
        <v/>
      </c>
      <c r="H115" s="3" t="n"/>
      <c r="I115" s="3" t="n"/>
      <c r="J115" s="2">
        <f>IF(OR(H115="",E115="",E115=0),"",H115/E115)</f>
        <v/>
      </c>
      <c r="K115" s="2">
        <f>IF(OR(J115="",I115=""),"",I115-J115)</f>
        <v/>
      </c>
      <c r="L115" s="2" t="inlineStr">
        <is>
          <t>Potable water</t>
        </is>
      </c>
    </row>
    <row r="116">
      <c r="A116" s="2" t="inlineStr">
        <is>
          <t>M1-B12</t>
        </is>
      </c>
      <c r="B116" s="2" t="inlineStr">
        <is>
          <t>French-style poolish baguettes</t>
        </is>
      </c>
      <c r="C116" s="3" t="n">
        <v>1705</v>
      </c>
      <c r="D116" s="3" t="n">
        <v>1687.95</v>
      </c>
      <c r="E116" s="3" t="n">
        <v>5</v>
      </c>
      <c r="F116" s="2">
        <f>SUMIF(Ingredients!A:A,A116,Ingredients!H:H)</f>
        <v/>
      </c>
      <c r="G116" s="2">
        <f>COUNTIFS(Ingredients!A:A,A116,Ingredients!G:G,"")</f>
        <v/>
      </c>
      <c r="H116" s="3" t="n"/>
      <c r="I116" s="3" t="n"/>
      <c r="J116" s="2">
        <f>IF(OR(H116="",E116="",E116=0),"",H116/E116)</f>
        <v/>
      </c>
      <c r="K116" s="2">
        <f>IF(OR(J116="",I116=""),"",I116-J116)</f>
        <v/>
      </c>
      <c r="L116" s="2" t="inlineStr">
        <is>
          <t>Potable water</t>
        </is>
      </c>
    </row>
    <row r="117">
      <c r="A117" s="2" t="inlineStr">
        <is>
          <t>M1-B13</t>
        </is>
      </c>
      <c r="B117" s="2" t="inlineStr">
        <is>
          <t>Soft baguette-style bread</t>
        </is>
      </c>
      <c r="C117" s="3" t="n">
        <v>1710</v>
      </c>
      <c r="D117" s="3" t="n">
        <v>1692.9</v>
      </c>
      <c r="E117" s="3" t="n">
        <v>5</v>
      </c>
      <c r="F117" s="2">
        <f>SUMIF(Ingredients!A:A,A117,Ingredients!H:H)</f>
        <v/>
      </c>
      <c r="G117" s="2">
        <f>COUNTIFS(Ingredients!A:A,A117,Ingredients!G:G,"")</f>
        <v/>
      </c>
      <c r="H117" s="3" t="n"/>
      <c r="I117" s="3" t="n"/>
      <c r="J117" s="2">
        <f>IF(OR(H117="",E117="",E117=0),"",H117/E117)</f>
        <v/>
      </c>
      <c r="K117" s="2">
        <f>IF(OR(J117="",I117=""),"",I117-J117)</f>
        <v/>
      </c>
      <c r="L117" s="2" t="inlineStr">
        <is>
          <t>Potable water</t>
        </is>
      </c>
    </row>
    <row r="118">
      <c r="A118" s="2" t="inlineStr">
        <is>
          <t>T01</t>
        </is>
      </c>
      <c r="B118" s="2" t="inlineStr">
        <is>
          <t>Rolled and cut cake doughnuts</t>
        </is>
      </c>
      <c r="C118" s="3" t="n">
        <v>1848.333333333333</v>
      </c>
      <c r="D118" s="3" t="n"/>
      <c r="E118" s="3" t="n"/>
      <c r="F118" s="2">
        <f>SUMIF(Ingredients!A:A,A118,Ingredients!H:H)</f>
        <v/>
      </c>
      <c r="G118" s="2">
        <f>COUNTIFS(Ingredients!A:A,A118,Ingredients!G:G,"")</f>
        <v/>
      </c>
      <c r="H118" s="3" t="n"/>
      <c r="I118" s="3" t="n"/>
      <c r="J118" s="2">
        <f>IF(OR(H118="",E118="",E118=0),"",H118/E118)</f>
        <v/>
      </c>
      <c r="K118" s="2">
        <f>IF(OR(J118="",I118=""),"",I118-J118)</f>
        <v/>
      </c>
      <c r="L118" s="2" t="inlineStr">
        <is>
          <t>HOLD; EDC unidentified; Baking powder double acting, EDC unidentified HOLD, Egg edible mass, Water</t>
        </is>
      </c>
    </row>
    <row r="119">
      <c r="A119" s="2" t="inlineStr">
        <is>
          <t>H01</t>
        </is>
      </c>
      <c r="B119" s="2" t="inlineStr">
        <is>
          <t>Agege style soft loaf</t>
        </is>
      </c>
      <c r="C119" s="3" t="n">
        <v>1800</v>
      </c>
      <c r="D119" s="3" t="n">
        <v>1764</v>
      </c>
      <c r="E119" s="3" t="n">
        <v>3</v>
      </c>
      <c r="F119" s="2">
        <f>SUMIF(Ingredients!A:A,A119,Ingredients!H:H)</f>
        <v/>
      </c>
      <c r="G119" s="2">
        <f>COUNTIFS(Ingredients!A:A,A119,Ingredients!G:G,"")</f>
        <v/>
      </c>
      <c r="H119" s="3" t="n"/>
      <c r="I119" s="3" t="n"/>
      <c r="J119" s="2">
        <f>IF(OR(H119="",E119="",E119=0),"",H119/E119)</f>
        <v/>
      </c>
      <c r="K119" s="2">
        <f>IF(OR(J119="",I119=""),"",I119-J119)</f>
        <v/>
      </c>
      <c r="L119" s="2" t="inlineStr">
        <is>
          <t>Water</t>
        </is>
      </c>
    </row>
    <row r="120">
      <c r="A120" s="2" t="inlineStr">
        <is>
          <t>H02</t>
        </is>
      </c>
      <c r="B120" s="2" t="inlineStr">
        <is>
          <t>Tangzhong milk loaf</t>
        </is>
      </c>
      <c r="C120" s="3" t="n">
        <v>1880</v>
      </c>
      <c r="D120" s="3" t="n">
        <v>1842.4</v>
      </c>
      <c r="E120" s="3" t="n">
        <v>3</v>
      </c>
      <c r="F120" s="2">
        <f>SUMIF(Ingredients!A:A,A120,Ingredients!H:H)</f>
        <v/>
      </c>
      <c r="G120" s="2">
        <f>COUNTIFS(Ingredients!A:A,A120,Ingredients!G:G,"")</f>
        <v/>
      </c>
      <c r="H120" s="3" t="n"/>
      <c r="I120" s="3" t="n"/>
      <c r="J120" s="2">
        <f>IF(OR(H120="",E120="",E120=0),"",H120/E120)</f>
        <v/>
      </c>
      <c r="K120" s="2">
        <f>IF(OR(J120="",I120=""),"",I120-J120)</f>
        <v/>
      </c>
      <c r="L120" s="2" t="inlineStr">
        <is>
          <t>Egg edible mass; Water</t>
        </is>
      </c>
    </row>
    <row r="121">
      <c r="A121" s="2" t="inlineStr">
        <is>
          <t>H03</t>
        </is>
      </c>
      <c r="B121" s="2" t="inlineStr">
        <is>
          <t>Open crumb ciabatta</t>
        </is>
      </c>
      <c r="C121" s="3" t="n">
        <v>1825</v>
      </c>
      <c r="D121" s="3" t="n">
        <v>1788.5</v>
      </c>
      <c r="E121" s="3" t="n">
        <v>7</v>
      </c>
      <c r="F121" s="2">
        <f>SUMIF(Ingredients!A:A,A121,Ingredients!H:H)</f>
        <v/>
      </c>
      <c r="G121" s="2">
        <f>COUNTIFS(Ingredients!A:A,A121,Ingredients!G:G,"")</f>
        <v/>
      </c>
      <c r="H121" s="3" t="n"/>
      <c r="I121" s="3" t="n"/>
      <c r="J121" s="2">
        <f>IF(OR(H121="",E121="",E121=0),"",H121/E121)</f>
        <v/>
      </c>
      <c r="K121" s="2">
        <f>IF(OR(J121="",I121=""),"",I121-J121)</f>
        <v/>
      </c>
      <c r="L121" s="2" t="inlineStr">
        <is>
          <t>Water</t>
        </is>
      </c>
    </row>
    <row r="122">
      <c r="A122" s="2" t="inlineStr">
        <is>
          <t>H04</t>
        </is>
      </c>
      <c r="B122" s="2" t="inlineStr">
        <is>
          <t>Fifty percent whole wheat loaf</t>
        </is>
      </c>
      <c r="C122" s="3" t="n">
        <v>1767</v>
      </c>
      <c r="D122" s="3" t="n">
        <v>1731.66</v>
      </c>
      <c r="E122" s="3" t="n">
        <v>3</v>
      </c>
      <c r="F122" s="2">
        <f>SUMIF(Ingredients!A:A,A122,Ingredients!H:H)</f>
        <v/>
      </c>
      <c r="G122" s="2">
        <f>COUNTIFS(Ingredients!A:A,A122,Ingredients!G:G,"")</f>
        <v/>
      </c>
      <c r="H122" s="3" t="n"/>
      <c r="I122" s="3" t="n"/>
      <c r="J122" s="2">
        <f>IF(OR(H122="",E122="",E122=0),"",H122/E122)</f>
        <v/>
      </c>
      <c r="K122" s="2">
        <f>IF(OR(J122="",I122=""),"",I122-J122)</f>
        <v/>
      </c>
      <c r="L122" s="2" t="inlineStr">
        <is>
          <t>Honey; Water; Whole wheat flour</t>
        </is>
      </c>
    </row>
    <row r="123">
      <c r="A123" s="2" t="inlineStr">
        <is>
          <t>H05</t>
        </is>
      </c>
      <c r="B123" s="2" t="inlineStr">
        <is>
          <t>Danisa style margarine biscuits</t>
        </is>
      </c>
      <c r="C123" s="3" t="n">
        <v>1975.777777777778</v>
      </c>
      <c r="D123" s="3" t="n"/>
      <c r="E123" s="3" t="n"/>
      <c r="F123" s="2">
        <f>SUMIF(Ingredients!A:A,A123,Ingredients!H:H)</f>
        <v/>
      </c>
      <c r="G123" s="2">
        <f>COUNTIFS(Ingredients!A:A,A123,Ingredients!G:G,"")</f>
        <v/>
      </c>
      <c r="H123" s="3" t="n"/>
      <c r="I123" s="3" t="n"/>
      <c r="J123" s="2">
        <f>IF(OR(H123="",E123="",E123=0),"",H123/E123)</f>
        <v/>
      </c>
      <c r="K123" s="2">
        <f>IF(OR(J123="",I123=""),"",I123-J123)</f>
        <v/>
      </c>
      <c r="L123" s="2" t="inlineStr">
        <is>
          <t>HOLD; EDC unidentified; EDC unidentified HOLD, Egg edible mass</t>
        </is>
      </c>
    </row>
    <row r="124">
      <c r="A124" s="2" t="inlineStr">
        <is>
          <t>H06</t>
        </is>
      </c>
      <c r="B124" s="2" t="inlineStr">
        <is>
          <t>Melto short margarine biscuits</t>
        </is>
      </c>
      <c r="C124" s="3" t="n">
        <v>1666</v>
      </c>
      <c r="D124" s="3" t="n">
        <v>1632.68</v>
      </c>
      <c r="E124" s="3" t="n">
        <v>65</v>
      </c>
      <c r="F124" s="2">
        <f>SUMIF(Ingredients!A:A,A124,Ingredients!H:H)</f>
        <v/>
      </c>
      <c r="G124" s="2">
        <f>COUNTIFS(Ingredients!A:A,A124,Ingredients!G:G,"")</f>
        <v/>
      </c>
      <c r="H124" s="3" t="n"/>
      <c r="I124" s="3" t="n"/>
      <c r="J124" s="2">
        <f>IF(OR(H124="",E124="",E124=0),"",H124/E124)</f>
        <v/>
      </c>
      <c r="K124" s="2">
        <f>IF(OR(J124="",I124=""),"",I124-J124)</f>
        <v/>
      </c>
      <c r="L124" s="2" t="inlineStr">
        <is>
          <t>Egg edible mass; Icing sugar</t>
        </is>
      </c>
    </row>
    <row r="125">
      <c r="A125" s="2" t="inlineStr">
        <is>
          <t>H07</t>
        </is>
      </c>
      <c r="B125" s="2" t="inlineStr">
        <is>
          <t>Milk shortbread biscuits</t>
        </is>
      </c>
      <c r="C125" s="3" t="n">
        <v>1876</v>
      </c>
      <c r="D125" s="3" t="n">
        <v>1838.48</v>
      </c>
      <c r="E125" s="3" t="n">
        <v>61</v>
      </c>
      <c r="F125" s="2">
        <f>SUMIF(Ingredients!A:A,A125,Ingredients!H:H)</f>
        <v/>
      </c>
      <c r="G125" s="2">
        <f>COUNTIFS(Ingredients!A:A,A125,Ingredients!G:G,"")</f>
        <v/>
      </c>
      <c r="H125" s="3" t="n"/>
      <c r="I125" s="3" t="n"/>
      <c r="J125" s="2">
        <f>IF(OR(H125="",E125="",E125=0),"",H125/E125)</f>
        <v/>
      </c>
      <c r="K125" s="2">
        <f>IF(OR(J125="",I125=""),"",I125-J125)</f>
        <v/>
      </c>
      <c r="L125" s="2" t="inlineStr">
        <is>
          <t>Egg edible mass; Icing sugar; Water</t>
        </is>
      </c>
    </row>
    <row r="126">
      <c r="A126" s="2" t="inlineStr">
        <is>
          <t>H08</t>
        </is>
      </c>
      <c r="B126" s="2" t="inlineStr">
        <is>
          <t>Marble pound cake</t>
        </is>
      </c>
      <c r="C126" s="3" t="n">
        <v>2064</v>
      </c>
      <c r="D126" s="3" t="n">
        <v>2022.72</v>
      </c>
      <c r="E126" s="3" t="n">
        <v>4</v>
      </c>
      <c r="F126" s="2">
        <f>SUMIF(Ingredients!A:A,A126,Ingredients!H:H)</f>
        <v/>
      </c>
      <c r="G126" s="2">
        <f>COUNTIFS(Ingredients!A:A,A126,Ingredients!G:G,"")</f>
        <v/>
      </c>
      <c r="H126" s="3" t="n"/>
      <c r="I126" s="3" t="n"/>
      <c r="J126" s="2">
        <f>IF(OR(H126="",E126="",E126=0),"",H126/E126)</f>
        <v/>
      </c>
      <c r="K126" s="2">
        <f>IF(OR(J126="",I126=""),"",I126-J126)</f>
        <v/>
      </c>
      <c r="L126" s="2" t="inlineStr">
        <is>
          <t>Baking powder double acting; Egg edible mass; Unsweetened cocoa; Vanilla extract; Water</t>
        </is>
      </c>
    </row>
    <row r="127">
      <c r="A127" s="2" t="inlineStr">
        <is>
          <t>H09</t>
        </is>
      </c>
      <c r="B127" s="2" t="inlineStr">
        <is>
          <t>Plain genoise sponge</t>
        </is>
      </c>
      <c r="C127" s="3" t="n">
        <v>1854</v>
      </c>
      <c r="D127" s="3" t="n">
        <v>1816.92</v>
      </c>
      <c r="E127" s="3" t="n">
        <v>4</v>
      </c>
      <c r="F127" s="2">
        <f>SUMIF(Ingredients!A:A,A127,Ingredients!H:H)</f>
        <v/>
      </c>
      <c r="G127" s="2">
        <f>COUNTIFS(Ingredients!A:A,A127,Ingredients!G:G,"")</f>
        <v/>
      </c>
      <c r="H127" s="3" t="n"/>
      <c r="I127" s="3" t="n"/>
      <c r="J127" s="2">
        <f>IF(OR(H127="",E127="",E127=0),"",H127/E127)</f>
        <v/>
      </c>
      <c r="K127" s="2">
        <f>IF(OR(J127="",I127=""),"",I127-J127)</f>
        <v/>
      </c>
      <c r="L127" s="2" t="inlineStr">
        <is>
          <t>Egg edible mass; Vanilla extract</t>
        </is>
      </c>
    </row>
    <row r="128">
      <c r="A128" s="2" t="inlineStr">
        <is>
          <t>H10</t>
        </is>
      </c>
      <c r="B128" s="2" t="inlineStr">
        <is>
          <t>Crisp chin chin</t>
        </is>
      </c>
      <c r="C128" s="3" t="n">
        <v>1810</v>
      </c>
      <c r="D128" s="3" t="n">
        <v>1773.8</v>
      </c>
      <c r="E128" s="3" t="n">
        <v>88</v>
      </c>
      <c r="F128" s="2">
        <f>SUMIF(Ingredients!A:A,A128,Ingredients!H:H)</f>
        <v/>
      </c>
      <c r="G128" s="2">
        <f>COUNTIFS(Ingredients!A:A,A128,Ingredients!G:G,"")</f>
        <v/>
      </c>
      <c r="H128" s="3" t="n"/>
      <c r="I128" s="3" t="n"/>
      <c r="J128" s="2">
        <f>IF(OR(H128="",E128="",E128=0),"",H128/E128)</f>
        <v/>
      </c>
      <c r="K128" s="2">
        <f>IF(OR(J128="",I128=""),"",I128-J128)</f>
        <v/>
      </c>
      <c r="L128" s="2" t="inlineStr">
        <is>
          <t>Baking powder double acting; Egg edible mass; Ground nutmeg; Water</t>
        </is>
      </c>
    </row>
    <row r="129">
      <c r="A129" s="2" t="inlineStr">
        <is>
          <t>H11</t>
        </is>
      </c>
      <c r="B129" s="2" t="inlineStr">
        <is>
          <t>Cake style beignets souffles</t>
        </is>
      </c>
      <c r="C129" s="3" t="n">
        <v>2352</v>
      </c>
      <c r="D129" s="3" t="n">
        <v>2304.96</v>
      </c>
      <c r="E129" s="3" t="n">
        <v>65</v>
      </c>
      <c r="F129" s="2">
        <f>SUMIF(Ingredients!A:A,A129,Ingredients!H:H)</f>
        <v/>
      </c>
      <c r="G129" s="2">
        <f>COUNTIFS(Ingredients!A:A,A129,Ingredients!G:G,"")</f>
        <v/>
      </c>
      <c r="H129" s="3" t="n"/>
      <c r="I129" s="3" t="n"/>
      <c r="J129" s="2">
        <f>IF(OR(H129="",E129="",E129=0),"",H129/E129)</f>
        <v/>
      </c>
      <c r="K129" s="2">
        <f>IF(OR(J129="",I129=""),"",I129-J129)</f>
        <v/>
      </c>
      <c r="L129" s="2" t="inlineStr">
        <is>
          <t>Baking powder double acting; Egg edible mass; Fresh lime zest; Pasteurized whole milk; Vanilla sugar</t>
        </is>
      </c>
    </row>
    <row r="130">
      <c r="A130" s="2" t="inlineStr">
        <is>
          <t>H12</t>
        </is>
      </c>
      <c r="B130" s="2" t="inlineStr">
        <is>
          <t>Laminated croissants</t>
        </is>
      </c>
      <c r="C130" s="3" t="n">
        <v>1975</v>
      </c>
      <c r="D130" s="3" t="n">
        <v>1935.5</v>
      </c>
      <c r="E130" s="3" t="n">
        <v>24</v>
      </c>
      <c r="F130" s="2">
        <f>SUMIF(Ingredients!A:A,A130,Ingredients!H:H)</f>
        <v/>
      </c>
      <c r="G130" s="2">
        <f>COUNTIFS(Ingredients!A:A,A130,Ingredients!G:G,"")</f>
        <v/>
      </c>
      <c r="H130" s="3" t="n"/>
      <c r="I130" s="3" t="n"/>
      <c r="J130" s="2">
        <f>IF(OR(H130="",E130="",E130=0),"",H130/E130)</f>
        <v/>
      </c>
      <c r="K130" s="2">
        <f>IF(OR(J130="",I130=""),"",I130-J130)</f>
        <v/>
      </c>
      <c r="L130" s="2" t="inlineStr">
        <is>
          <t>Qualified roll-in pastry fat; Water</t>
        </is>
      </c>
    </row>
    <row r="131">
      <c r="A131" s="2" t="inlineStr">
        <is>
          <t>H13</t>
        </is>
      </c>
      <c r="B131" s="2" t="inlineStr">
        <is>
          <t>Chocolate laminated rolls</t>
        </is>
      </c>
      <c r="C131" s="3" t="n">
        <v>1120</v>
      </c>
      <c r="D131" s="3" t="n">
        <v>1097.6</v>
      </c>
      <c r="E131" s="3" t="n">
        <v>9</v>
      </c>
      <c r="F131" s="2">
        <f>SUMIF(Ingredients!A:A,A131,Ingredients!H:H)</f>
        <v/>
      </c>
      <c r="G131" s="2">
        <f>COUNTIFS(Ingredients!A:A,A131,Ingredients!G:G,"")</f>
        <v/>
      </c>
      <c r="H131" s="3" t="n"/>
      <c r="I131" s="3" t="n"/>
      <c r="J131" s="2">
        <f>IF(OR(H131="",E131="",E131=0),"",H131/E131)</f>
        <v/>
      </c>
      <c r="K131" s="2">
        <f>IF(OR(J131="",I131=""),"",I131-J131)</f>
        <v/>
      </c>
      <c r="L131" s="2" t="inlineStr">
        <is>
          <t>Bake stable chocolate batons; H12: Qualified roll-in pastry fat; H12: Water</t>
        </is>
      </c>
    </row>
    <row r="132">
      <c r="A132" s="2" t="inlineStr">
        <is>
          <t>H14</t>
        </is>
      </c>
      <c r="B132" s="2" t="inlineStr">
        <is>
          <t>Local chocolate galette bread</t>
        </is>
      </c>
      <c r="C132" s="3" t="n">
        <v>1884</v>
      </c>
      <c r="D132" s="3" t="n">
        <v>1846.32</v>
      </c>
      <c r="E132" s="3" t="n">
        <v>18</v>
      </c>
      <c r="F132" s="2">
        <f>SUMIF(Ingredients!A:A,A132,Ingredients!H:H)</f>
        <v/>
      </c>
      <c r="G132" s="2">
        <f>COUNTIFS(Ingredients!A:A,A132,Ingredients!G:G,"")</f>
        <v/>
      </c>
      <c r="H132" s="3" t="n"/>
      <c r="I132" s="3" t="n"/>
      <c r="J132" s="2">
        <f>IF(OR(H132="",E132="",E132=0),"",H132/E132)</f>
        <v/>
      </c>
      <c r="K132" s="2">
        <f>IF(OR(J132="",I132=""),"",I132-J132)</f>
        <v/>
      </c>
      <c r="L132" s="2" t="inlineStr">
        <is>
          <t>Bake stable chocolate; Baking powder double acting; Egg edible mass; Water</t>
        </is>
      </c>
    </row>
    <row r="133">
      <c r="A133" s="2" t="inlineStr">
        <is>
          <t>H15</t>
        </is>
      </c>
      <c r="B133" s="2" t="inlineStr">
        <is>
          <t>Zebra chocolate milk loaf</t>
        </is>
      </c>
      <c r="C133" s="3" t="n">
        <v>2030</v>
      </c>
      <c r="D133" s="3" t="n">
        <v>1989.4</v>
      </c>
      <c r="E133" s="3" t="n">
        <v>3</v>
      </c>
      <c r="F133" s="2">
        <f>SUMIF(Ingredients!A:A,A133,Ingredients!H:H)</f>
        <v/>
      </c>
      <c r="G133" s="2">
        <f>COUNTIFS(Ingredients!A:A,A133,Ingredients!G:G,"")</f>
        <v/>
      </c>
      <c r="H133" s="3" t="n"/>
      <c r="I133" s="3" t="n"/>
      <c r="J133" s="2">
        <f>IF(OR(H133="",E133="",E133=0),"",H133/E133)</f>
        <v/>
      </c>
      <c r="K133" s="2">
        <f>IF(OR(J133="",I133=""),"",I133-J133)</f>
        <v/>
      </c>
      <c r="L133" s="2" t="inlineStr">
        <is>
          <t>Egg edible mass; Unsweetened cocoa; Water</t>
        </is>
      </c>
    </row>
    <row r="134">
      <c r="A134" s="2" t="inlineStr">
        <is>
          <t>H16</t>
        </is>
      </c>
      <c r="B134" s="2" t="inlineStr">
        <is>
          <t>Rosemary tray focaccia</t>
        </is>
      </c>
      <c r="C134" s="3" t="n">
        <v>1859</v>
      </c>
      <c r="D134" s="3" t="n">
        <v>1617.33</v>
      </c>
      <c r="E134" s="3" t="n">
        <v>10</v>
      </c>
      <c r="F134" s="2">
        <f>SUMIF(Ingredients!A:A,A134,Ingredients!H:H)</f>
        <v/>
      </c>
      <c r="G134" s="2">
        <f>COUNTIFS(Ingredients!A:A,A134,Ingredients!G:G,"")</f>
        <v/>
      </c>
      <c r="H134" s="3" t="n"/>
      <c r="I134" s="3" t="n"/>
      <c r="J134" s="2">
        <f>IF(OR(H134="",E134="",E134=0),"",H134/E134)</f>
        <v/>
      </c>
      <c r="K134" s="2">
        <f>IF(OR(J134="",I134=""),"",I134-J134)</f>
        <v/>
      </c>
      <c r="L134" s="2" t="inlineStr">
        <is>
          <t>Dried rosemary; Water</t>
        </is>
      </c>
    </row>
    <row r="135">
      <c r="A135" s="2" t="inlineStr">
        <is>
          <t>H17</t>
        </is>
      </c>
      <c r="B135" s="2" t="inlineStr">
        <is>
          <t>Thin plantain chips</t>
        </is>
      </c>
      <c r="C135" s="3" t="n">
        <v>1006</v>
      </c>
      <c r="D135" s="3" t="n">
        <v>452.6999999999999</v>
      </c>
      <c r="E135" s="3" t="n">
        <v>9</v>
      </c>
      <c r="F135" s="2">
        <f>SUMIF(Ingredients!A:A,A135,Ingredients!H:H)</f>
        <v/>
      </c>
      <c r="G135" s="2">
        <f>COUNTIFS(Ingredients!A:A,A135,Ingredients!G:G,"")</f>
        <v/>
      </c>
      <c r="H135" s="3" t="n"/>
      <c r="I135" s="3" t="n"/>
      <c r="J135" s="2">
        <f>IF(OR(H135="",E135="",E135=0),"",H135/E135)</f>
        <v/>
      </c>
      <c r="K135" s="2">
        <f>IF(OR(J135="",I135=""),"",I135-J135)</f>
        <v/>
      </c>
      <c r="L135" s="2" t="inlineStr">
        <is>
          <t>Peeled firm unripe plantain</t>
        </is>
      </c>
    </row>
    <row r="136">
      <c r="A136" s="2" t="inlineStr">
        <is>
          <t>H18</t>
        </is>
      </c>
      <c r="B136" s="2" t="inlineStr">
        <is>
          <t>Caramelized onion and cheese filling</t>
        </is>
      </c>
      <c r="C136" s="3" t="n">
        <v>1257</v>
      </c>
      <c r="D136" s="3" t="n">
        <v>905.04</v>
      </c>
      <c r="E136" s="3" t="n"/>
      <c r="F136" s="2">
        <f>SUMIF(Ingredients!A:A,A136,Ingredients!H:H)</f>
        <v/>
      </c>
      <c r="G136" s="2">
        <f>COUNTIFS(Ingredients!A:A,A136,Ingredients!G:G,"")</f>
        <v/>
      </c>
      <c r="H136" s="3" t="n"/>
      <c r="I136" s="3" t="n"/>
      <c r="J136" s="2">
        <f>IF(OR(H136="",E136="",E136=0),"",H136/E136)</f>
        <v/>
      </c>
      <c r="K136" s="2">
        <f>IF(OR(J136="",I136=""),"",I136-J136)</f>
        <v/>
      </c>
      <c r="L136" s="2" t="inlineStr">
        <is>
          <t>Balsamic vinegar; Black pepper; Gruyere cheese; Peeled onions</t>
        </is>
      </c>
    </row>
    <row r="137">
      <c r="A137" s="2" t="inlineStr">
        <is>
          <t>H19</t>
        </is>
      </c>
      <c r="B137" s="2" t="inlineStr">
        <is>
          <t>Vanilla pastry cream</t>
        </is>
      </c>
      <c r="C137" s="3" t="n">
        <v>772</v>
      </c>
      <c r="D137" s="3" t="n">
        <v>748.84</v>
      </c>
      <c r="E137" s="3" t="n"/>
      <c r="F137" s="2">
        <f>SUMIF(Ingredients!A:A,A137,Ingredients!H:H)</f>
        <v/>
      </c>
      <c r="G137" s="2">
        <f>COUNTIFS(Ingredients!A:A,A137,Ingredients!G:G,"")</f>
        <v/>
      </c>
      <c r="H137" s="3" t="n"/>
      <c r="I137" s="3" t="n"/>
      <c r="J137" s="2">
        <f>IF(OR(H137="",E137="",E137=0),"",H137/E137)</f>
        <v/>
      </c>
      <c r="K137" s="2">
        <f>IF(OR(J137="",I137=""),"",I137-J137)</f>
        <v/>
      </c>
      <c r="L137" s="2" t="inlineStr">
        <is>
          <t>Cornstarch; Pasteurized egg yolk; Pasteurized whole milk; Unsalted dairy butter; Vanilla extract</t>
        </is>
      </c>
    </row>
    <row r="138">
      <c r="A138" s="2" t="inlineStr">
        <is>
          <t>H20</t>
        </is>
      </c>
      <c r="B138" s="2" t="inlineStr">
        <is>
          <t>Honey oat and groundnut granola</t>
        </is>
      </c>
      <c r="C138" s="3" t="n">
        <v>856</v>
      </c>
      <c r="D138" s="3" t="n">
        <v>804.64</v>
      </c>
      <c r="E138" s="3" t="n">
        <v>26</v>
      </c>
      <c r="F138" s="2">
        <f>SUMIF(Ingredients!A:A,A138,Ingredients!H:H)</f>
        <v/>
      </c>
      <c r="G138" s="2">
        <f>COUNTIFS(Ingredients!A:A,A138,Ingredients!G:G,"")</f>
        <v/>
      </c>
      <c r="H138" s="3" t="n"/>
      <c r="I138" s="3" t="n"/>
      <c r="J138" s="2">
        <f>IF(OR(H138="",E138="",E138=0),"",H138/E138)</f>
        <v/>
      </c>
      <c r="K138" s="2">
        <f>IF(OR(J138="",I138=""),"",I138-J138)</f>
        <v/>
      </c>
      <c r="L138" s="2" t="inlineStr">
        <is>
          <t>Ground cinnamon; Honey; Ready-to-eat roasted groundnuts; Rolled oats</t>
        </is>
      </c>
    </row>
    <row r="139">
      <c r="A139" t="inlineStr">
        <is>
          <t>BAG-H2-01</t>
        </is>
      </c>
      <c r="B139" t="inlineStr">
        <is>
          <t>Direct-dough commercial baguette</t>
        </is>
      </c>
      <c r="C139" t="n">
        <v>12121.9</v>
      </c>
      <c r="D139" t="n">
        <v>12000.681</v>
      </c>
      <c r="E139" t="n">
        <v>39</v>
      </c>
      <c r="F139">
        <f>SUMIF(Ingredients!A:A,A139,Ingredients!H:H)</f>
        <v/>
      </c>
      <c r="G139">
        <f>COUNTIFS(Ingredients!A:A,A139,Ingredients!G:G,"")</f>
        <v/>
      </c>
      <c r="J139">
        <f>IF(OR(H139="",E139="",E139=0),"",H139/E139)</f>
        <v/>
      </c>
      <c r="K139">
        <f>IF(OR(J139="",I139=""),"",I139-J139)</f>
        <v/>
      </c>
      <c r="L139" t="inlineStr">
        <is>
          <t>Water; dusting and operating costs; pilot retained units include reject allowance</t>
        </is>
      </c>
    </row>
  </sheetData>
  <autoFilter ref="A1:L1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97"/>
  <sheetViews>
    <sheetView showGridLines="0" workbookViewId="0">
      <pane ySplit="1" topLeftCell="A2" activePane="bottomLeft" state="frozen"/>
      <selection pane="bottomLeft" activeCell="A1" sqref="A1"/>
    </sheetView>
  </sheetViews>
  <sheetFormatPr baseColWidth="8" defaultRowHeight="15"/>
  <cols>
    <col width="18" customWidth="1" min="1" max="1"/>
    <col width="36" customWidth="1" min="2" max="2"/>
    <col width="36" customWidth="1" min="3" max="3"/>
    <col width="36" customWidth="1" min="4" max="4"/>
    <col width="36" customWidth="1" min="5" max="5"/>
    <col width="36" customWidth="1" min="6" max="6"/>
    <col width="36" customWidth="1" min="7" max="7"/>
  </cols>
  <sheetData>
    <row r="1" ht="32" customHeight="1">
      <c r="A1" t="inlineStr">
        <is>
          <t>ID</t>
        </is>
      </c>
      <c r="B1" t="inlineStr">
        <is>
          <t>Name</t>
        </is>
      </c>
      <c r="C1" t="inlineStr">
        <is>
          <t>Record type</t>
        </is>
      </c>
      <c r="D1" t="inlineStr">
        <is>
          <t>Source</t>
        </is>
      </c>
      <c r="E1" t="inlineStr">
        <is>
          <t>Locator</t>
        </is>
      </c>
      <c r="F1" t="inlineStr">
        <is>
          <t>Status</t>
        </is>
      </c>
      <c r="G1" t="inlineStr">
        <is>
          <t>Decision or issue</t>
        </is>
      </c>
    </row>
    <row r="2">
      <c r="A2" t="inlineStr">
        <is>
          <t>O-B01</t>
        </is>
      </c>
      <c r="B2" t="inlineStr">
        <is>
          <t>Family bread dough</t>
        </is>
      </c>
      <c r="C2" t="inlineStr">
        <is>
          <t>Working card</t>
        </is>
      </c>
      <c r="D2" t="inlineStr">
        <is>
          <t>S163</t>
        </is>
      </c>
      <c r="E2" t="inlineStr">
        <is>
          <t>lines 186-212</t>
        </is>
      </c>
      <c r="F2" t="inlineStr">
        <is>
          <t>Harmonized source formulation — production trial required</t>
        </is>
      </c>
      <c r="G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
      <c r="A3" t="inlineStr">
        <is>
          <t>O-B02</t>
        </is>
      </c>
      <c r="B3" t="inlineStr">
        <is>
          <t>Condensed milk bun dough</t>
        </is>
      </c>
      <c r="C3" t="inlineStr">
        <is>
          <t>Working card</t>
        </is>
      </c>
      <c r="D3" t="inlineStr">
        <is>
          <t>S163</t>
        </is>
      </c>
      <c r="E3" t="inlineStr">
        <is>
          <t>lines 213-243</t>
        </is>
      </c>
      <c r="F3" t="inlineStr">
        <is>
          <t>Harmonized source formulation — production trial required</t>
        </is>
      </c>
      <c r="G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
      <c r="A4" t="inlineStr">
        <is>
          <t>O-B03</t>
        </is>
      </c>
      <c r="B4" t="inlineStr">
        <is>
          <t>Sweet potato milk bread dough</t>
        </is>
      </c>
      <c r="C4" t="inlineStr">
        <is>
          <t>Working card</t>
        </is>
      </c>
      <c r="D4" t="inlineStr">
        <is>
          <t>S163</t>
        </is>
      </c>
      <c r="E4" t="inlineStr">
        <is>
          <t>lines 244-273</t>
        </is>
      </c>
      <c r="F4" t="inlineStr">
        <is>
          <t>Harmonized source formulation — production trial required</t>
        </is>
      </c>
      <c r="G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
      <c r="A5" t="inlineStr">
        <is>
          <t>O-B04</t>
        </is>
      </c>
      <c r="B5" t="inlineStr">
        <is>
          <t>Yeast doughnut dough</t>
        </is>
      </c>
      <c r="C5" t="inlineStr">
        <is>
          <t>Working card</t>
        </is>
      </c>
      <c r="D5" t="inlineStr">
        <is>
          <t>S163</t>
        </is>
      </c>
      <c r="E5" t="inlineStr">
        <is>
          <t>lines 274-304</t>
        </is>
      </c>
      <c r="F5" t="inlineStr">
        <is>
          <t>Harmonized source formulation — production trial required</t>
        </is>
      </c>
      <c r="G5"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
      <c r="A6" t="inlineStr">
        <is>
          <t>O-B05</t>
        </is>
      </c>
      <c r="B6" t="inlineStr">
        <is>
          <t>Puff puff batter</t>
        </is>
      </c>
      <c r="C6" t="inlineStr">
        <is>
          <t>Working card</t>
        </is>
      </c>
      <c r="D6" t="inlineStr">
        <is>
          <t>S163</t>
        </is>
      </c>
      <c r="E6" t="inlineStr">
        <is>
          <t>lines 305-331</t>
        </is>
      </c>
      <c r="F6" t="inlineStr">
        <is>
          <t>Harmonized source formulation — production trial required</t>
        </is>
      </c>
      <c r="G6"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
      <c r="A7" t="inlineStr">
        <is>
          <t>O-B06</t>
        </is>
      </c>
      <c r="B7" t="inlineStr">
        <is>
          <t>Fish roll dough</t>
        </is>
      </c>
      <c r="C7" t="inlineStr">
        <is>
          <t>Working card</t>
        </is>
      </c>
      <c r="D7" t="inlineStr">
        <is>
          <t>S163</t>
        </is>
      </c>
      <c r="E7" t="inlineStr">
        <is>
          <t>lines 332-360</t>
        </is>
      </c>
      <c r="F7" t="inlineStr">
        <is>
          <t>Harmonized source formulation — production trial required</t>
        </is>
      </c>
      <c r="G7"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
      <c r="A8" t="inlineStr">
        <is>
          <t>O-B07</t>
        </is>
      </c>
      <c r="B8" t="inlineStr">
        <is>
          <t>Shortcrust pie pastry</t>
        </is>
      </c>
      <c r="C8" t="inlineStr">
        <is>
          <t>Working card</t>
        </is>
      </c>
      <c r="D8" t="inlineStr">
        <is>
          <t>S163</t>
        </is>
      </c>
      <c r="E8" t="inlineStr">
        <is>
          <t>lines 361-387</t>
        </is>
      </c>
      <c r="F8" t="inlineStr">
        <is>
          <t>Harmonized source formulation — production trial required</t>
        </is>
      </c>
      <c r="G8"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
      <c r="A9" t="inlineStr">
        <is>
          <t>O-B08</t>
        </is>
      </c>
      <c r="B9" t="inlineStr">
        <is>
          <t>Fish filling</t>
        </is>
      </c>
      <c r="C9" t="inlineStr">
        <is>
          <t>Working card</t>
        </is>
      </c>
      <c r="D9" t="inlineStr">
        <is>
          <t>S163</t>
        </is>
      </c>
      <c r="E9" t="inlineStr">
        <is>
          <t>lines 388-415</t>
        </is>
      </c>
      <c r="F9" t="inlineStr">
        <is>
          <t>Harmonized source formulation — production trial required</t>
        </is>
      </c>
      <c r="G9"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0">
      <c r="A10" t="inlineStr">
        <is>
          <t>O-B09</t>
        </is>
      </c>
      <c r="B10" t="inlineStr">
        <is>
          <t>Beef pie filling</t>
        </is>
      </c>
      <c r="C10" t="inlineStr">
        <is>
          <t>Working card</t>
        </is>
      </c>
      <c r="D10" t="inlineStr">
        <is>
          <t>S163</t>
        </is>
      </c>
      <c r="E10" t="inlineStr">
        <is>
          <t>lines 416-447</t>
        </is>
      </c>
      <c r="F10" t="inlineStr">
        <is>
          <t>Harmonized source formulation — production trial required</t>
        </is>
      </c>
      <c r="G10"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1">
      <c r="A11" t="inlineStr">
        <is>
          <t>O-B10</t>
        </is>
      </c>
      <c r="B11" t="inlineStr">
        <is>
          <t>Sausage roll filling</t>
        </is>
      </c>
      <c r="C11" t="inlineStr">
        <is>
          <t>Working card</t>
        </is>
      </c>
      <c r="D11" t="inlineStr">
        <is>
          <t>S163</t>
        </is>
      </c>
      <c r="E11" t="inlineStr">
        <is>
          <t>lines 448-474</t>
        </is>
      </c>
      <c r="F11" t="inlineStr">
        <is>
          <t>Harmonized source formulation — production trial required</t>
        </is>
      </c>
      <c r="G11"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2">
      <c r="A12" t="inlineStr">
        <is>
          <t>O-B11</t>
        </is>
      </c>
      <c r="B12" t="inlineStr">
        <is>
          <t>Creamy chicken filling</t>
        </is>
      </c>
      <c r="C12" t="inlineStr">
        <is>
          <t>Working card</t>
        </is>
      </c>
      <c r="D12" t="inlineStr">
        <is>
          <t>S163</t>
        </is>
      </c>
      <c r="E12" t="inlineStr">
        <is>
          <t>lines 475-506</t>
        </is>
      </c>
      <c r="F12" t="inlineStr">
        <is>
          <t>Harmonized source formulation — production trial required</t>
        </is>
      </c>
      <c r="G1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3">
      <c r="A13" t="inlineStr">
        <is>
          <t>O-B12</t>
        </is>
      </c>
      <c r="B13" t="inlineStr">
        <is>
          <t>Egg roll dough</t>
        </is>
      </c>
      <c r="C13" t="inlineStr">
        <is>
          <t>Working card</t>
        </is>
      </c>
      <c r="D13" t="inlineStr">
        <is>
          <t>S163</t>
        </is>
      </c>
      <c r="E13" t="inlineStr">
        <is>
          <t>lines 507-535</t>
        </is>
      </c>
      <c r="F13" t="inlineStr">
        <is>
          <t>Harmonized source formulation — production trial required</t>
        </is>
      </c>
      <c r="G1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4">
      <c r="A14" t="inlineStr">
        <is>
          <t>O-B13</t>
        </is>
      </c>
      <c r="B14" t="inlineStr">
        <is>
          <t>Hard boiled peeled eggs</t>
        </is>
      </c>
      <c r="C14" t="inlineStr">
        <is>
          <t>Working card</t>
        </is>
      </c>
      <c r="D14" t="inlineStr">
        <is>
          <t>S163</t>
        </is>
      </c>
      <c r="E14" t="inlineStr">
        <is>
          <t>lines 536-555</t>
        </is>
      </c>
      <c r="F14" t="inlineStr">
        <is>
          <t>Harmonized source formulation — production trial required</t>
        </is>
      </c>
      <c r="G1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5">
      <c r="A15" t="inlineStr">
        <is>
          <t>O-B14</t>
        </is>
      </c>
      <c r="B15" t="inlineStr">
        <is>
          <t>Banana condensed milk cake batter</t>
        </is>
      </c>
      <c r="C15" t="inlineStr">
        <is>
          <t>Working card</t>
        </is>
      </c>
      <c r="D15" t="inlineStr">
        <is>
          <t>S163</t>
        </is>
      </c>
      <c r="E15" t="inlineStr">
        <is>
          <t>lines 556-585</t>
        </is>
      </c>
      <c r="F15" t="inlineStr">
        <is>
          <t>Harmonized source formulation — production trial required</t>
        </is>
      </c>
      <c r="G15"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6">
      <c r="A16" t="inlineStr">
        <is>
          <t>O-B15</t>
        </is>
      </c>
      <c r="B16" t="inlineStr">
        <is>
          <t>Pizza dough</t>
        </is>
      </c>
      <c r="C16" t="inlineStr">
        <is>
          <t>Working card</t>
        </is>
      </c>
      <c r="D16" t="inlineStr">
        <is>
          <t>S163</t>
        </is>
      </c>
      <c r="E16" t="inlineStr">
        <is>
          <t>lines 586-612</t>
        </is>
      </c>
      <c r="F16" t="inlineStr">
        <is>
          <t>Harmonized source formulation — production trial required</t>
        </is>
      </c>
      <c r="G16"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7">
      <c r="A17" t="inlineStr">
        <is>
          <t>O-B16</t>
        </is>
      </c>
      <c r="B17" t="inlineStr">
        <is>
          <t>Pizza tomato sauce</t>
        </is>
      </c>
      <c r="C17" t="inlineStr">
        <is>
          <t>Working card</t>
        </is>
      </c>
      <c r="D17" t="inlineStr">
        <is>
          <t>S163</t>
        </is>
      </c>
      <c r="E17" t="inlineStr">
        <is>
          <t>lines 613-639</t>
        </is>
      </c>
      <c r="F17" t="inlineStr">
        <is>
          <t>Harmonized source formulation — production trial required</t>
        </is>
      </c>
      <c r="G17"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8">
      <c r="A18" t="inlineStr">
        <is>
          <t>O-B25</t>
        </is>
      </c>
      <c r="B18" t="inlineStr">
        <is>
          <t>Burger buns</t>
        </is>
      </c>
      <c r="C18" t="inlineStr">
        <is>
          <t>Working card</t>
        </is>
      </c>
      <c r="D18" t="inlineStr">
        <is>
          <t>S163</t>
        </is>
      </c>
      <c r="E18" t="inlineStr">
        <is>
          <t>lines 640-668</t>
        </is>
      </c>
      <c r="F18" t="inlineStr">
        <is>
          <t>Harmonized source formulation — production trial required</t>
        </is>
      </c>
      <c r="G18"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9">
      <c r="A19" t="inlineStr">
        <is>
          <t>O-B26</t>
        </is>
      </c>
      <c r="B19" t="inlineStr">
        <is>
          <t>Cooked crispy chicken pieces</t>
        </is>
      </c>
      <c r="C19" t="inlineStr">
        <is>
          <t>Working card</t>
        </is>
      </c>
      <c r="D19" t="inlineStr">
        <is>
          <t>S163</t>
        </is>
      </c>
      <c r="E19" t="inlineStr">
        <is>
          <t>lines 669-698</t>
        </is>
      </c>
      <c r="F19" t="inlineStr">
        <is>
          <t>Harmonized source formulation — production trial required</t>
        </is>
      </c>
      <c r="G19"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20">
      <c r="A20" t="inlineStr">
        <is>
          <t>O-B27</t>
        </is>
      </c>
      <c r="B20" t="inlineStr">
        <is>
          <t>Cooked beef burger patties</t>
        </is>
      </c>
      <c r="C20" t="inlineStr">
        <is>
          <t>Working card</t>
        </is>
      </c>
      <c r="D20" t="inlineStr">
        <is>
          <t>S163</t>
        </is>
      </c>
      <c r="E20" t="inlineStr">
        <is>
          <t>lines 699-724</t>
        </is>
      </c>
      <c r="F20" t="inlineStr">
        <is>
          <t>Harmonized source formulation — production trial required</t>
        </is>
      </c>
      <c r="G20"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21">
      <c r="A21" t="inlineStr">
        <is>
          <t>O-B28</t>
        </is>
      </c>
      <c r="B21" t="inlineStr">
        <is>
          <t>Burger sauce</t>
        </is>
      </c>
      <c r="C21" t="inlineStr">
        <is>
          <t>Working card</t>
        </is>
      </c>
      <c r="D21" t="inlineStr">
        <is>
          <t>S163</t>
        </is>
      </c>
      <c r="E21" t="inlineStr">
        <is>
          <t>lines 725-748</t>
        </is>
      </c>
      <c r="F21" t="inlineStr">
        <is>
          <t>Harmonized source formulation — production trial required</t>
        </is>
      </c>
      <c r="G21"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22">
      <c r="A22" t="inlineStr">
        <is>
          <t>O-B29</t>
        </is>
      </c>
      <c r="B22" t="inlineStr">
        <is>
          <t>Samosa wrapper dough</t>
        </is>
      </c>
      <c r="C22" t="inlineStr">
        <is>
          <t>Working card</t>
        </is>
      </c>
      <c r="D22" t="inlineStr">
        <is>
          <t>S163</t>
        </is>
      </c>
      <c r="E22" t="inlineStr">
        <is>
          <t>lines 749-773</t>
        </is>
      </c>
      <c r="F22" t="inlineStr">
        <is>
          <t>Harmonized source formulation — production trial required</t>
        </is>
      </c>
      <c r="G2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23">
      <c r="A23" t="inlineStr">
        <is>
          <t>O-B30</t>
        </is>
      </c>
      <c r="B23" t="inlineStr">
        <is>
          <t>Samosa sealing paste</t>
        </is>
      </c>
      <c r="C23" t="inlineStr">
        <is>
          <t>Working card</t>
        </is>
      </c>
      <c r="D23" t="inlineStr">
        <is>
          <t>S163</t>
        </is>
      </c>
      <c r="E23" t="inlineStr">
        <is>
          <t>lines 774-794</t>
        </is>
      </c>
      <c r="F23" t="inlineStr">
        <is>
          <t>Harmonized source formulation — production trial required</t>
        </is>
      </c>
      <c r="G2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24">
      <c r="A24" t="inlineStr">
        <is>
          <t>O-B31</t>
        </is>
      </c>
      <c r="B24" t="inlineStr">
        <is>
          <t>Chicken vegetable samosa filling</t>
        </is>
      </c>
      <c r="C24" t="inlineStr">
        <is>
          <t>Working card</t>
        </is>
      </c>
      <c r="D24" t="inlineStr">
        <is>
          <t>S163</t>
        </is>
      </c>
      <c r="E24" t="inlineStr">
        <is>
          <t>lines 795-824</t>
        </is>
      </c>
      <c r="F24" t="inlineStr">
        <is>
          <t>Harmonized source formulation — production trial required</t>
        </is>
      </c>
      <c r="G2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25">
      <c r="A25" t="inlineStr">
        <is>
          <t>O-B32</t>
        </is>
      </c>
      <c r="B25" t="inlineStr">
        <is>
          <t>Milk cake sponge: batter to baked component</t>
        </is>
      </c>
      <c r="C25" t="inlineStr">
        <is>
          <t>Working card</t>
        </is>
      </c>
      <c r="D25" t="inlineStr">
        <is>
          <t>S163</t>
        </is>
      </c>
      <c r="E25" t="inlineStr">
        <is>
          <t>lines 825-851</t>
        </is>
      </c>
      <c r="F25" t="inlineStr">
        <is>
          <t>Harmonized source formulation — production trial required</t>
        </is>
      </c>
      <c r="G25"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26">
      <c r="A26" t="inlineStr">
        <is>
          <t>O-B33</t>
        </is>
      </c>
      <c r="B26" t="inlineStr">
        <is>
          <t>Three milk soak</t>
        </is>
      </c>
      <c r="C26" t="inlineStr">
        <is>
          <t>Working card</t>
        </is>
      </c>
      <c r="D26" t="inlineStr">
        <is>
          <t>S163</t>
        </is>
      </c>
      <c r="E26" t="inlineStr">
        <is>
          <t>lines 852-873</t>
        </is>
      </c>
      <c r="F26" t="inlineStr">
        <is>
          <t>Harmonized source formulation — production trial required</t>
        </is>
      </c>
      <c r="G26"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27">
      <c r="A27" t="inlineStr">
        <is>
          <t>O-B34</t>
        </is>
      </c>
      <c r="B27" t="inlineStr">
        <is>
          <t>Condensed milk glaze</t>
        </is>
      </c>
      <c r="C27" t="inlineStr">
        <is>
          <t>Working card</t>
        </is>
      </c>
      <c r="D27" t="inlineStr">
        <is>
          <t>S163</t>
        </is>
      </c>
      <c r="E27" t="inlineStr">
        <is>
          <t>lines 874-897</t>
        </is>
      </c>
      <c r="F27" t="inlineStr">
        <is>
          <t>Harmonized source formulation — production trial required</t>
        </is>
      </c>
      <c r="G27"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28">
      <c r="A28" t="inlineStr">
        <is>
          <t>O-B17</t>
        </is>
      </c>
      <c r="B28" t="inlineStr">
        <is>
          <t>Shawarma flatbread</t>
        </is>
      </c>
      <c r="C28" t="inlineStr">
        <is>
          <t>Working card</t>
        </is>
      </c>
      <c r="D28" t="inlineStr">
        <is>
          <t>S163</t>
        </is>
      </c>
      <c r="E28" t="inlineStr">
        <is>
          <t>lines 898-924</t>
        </is>
      </c>
      <c r="F28" t="inlineStr">
        <is>
          <t>Harmonized source formulation — production trial required</t>
        </is>
      </c>
      <c r="G28"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29">
      <c r="A29" t="inlineStr">
        <is>
          <t>O-B18</t>
        </is>
      </c>
      <c r="B29" t="inlineStr">
        <is>
          <t>Cooked chicken shawarma meat</t>
        </is>
      </c>
      <c r="C29" t="inlineStr">
        <is>
          <t>Working card</t>
        </is>
      </c>
      <c r="D29" t="inlineStr">
        <is>
          <t>S163</t>
        </is>
      </c>
      <c r="E29" t="inlineStr">
        <is>
          <t>lines 925-958</t>
        </is>
      </c>
      <c r="F29" t="inlineStr">
        <is>
          <t>Harmonized source formulation — production trial required</t>
        </is>
      </c>
      <c r="G29"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0">
      <c r="A30" t="inlineStr">
        <is>
          <t>O-B19</t>
        </is>
      </c>
      <c r="B30" t="inlineStr">
        <is>
          <t>Cooked beef shawarma meat</t>
        </is>
      </c>
      <c r="C30" t="inlineStr">
        <is>
          <t>Working card</t>
        </is>
      </c>
      <c r="D30" t="inlineStr">
        <is>
          <t>S163</t>
        </is>
      </c>
      <c r="E30" t="inlineStr">
        <is>
          <t>lines 959-991</t>
        </is>
      </c>
      <c r="F30" t="inlineStr">
        <is>
          <t>Harmonized source formulation — production trial required</t>
        </is>
      </c>
      <c r="G30"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1">
      <c r="A31" t="inlineStr">
        <is>
          <t>O-B20</t>
        </is>
      </c>
      <c r="B31" t="inlineStr">
        <is>
          <t>Garlic mayonnaise sauce</t>
        </is>
      </c>
      <c r="C31" t="inlineStr">
        <is>
          <t>Working card</t>
        </is>
      </c>
      <c r="D31" t="inlineStr">
        <is>
          <t>S163</t>
        </is>
      </c>
      <c r="E31" t="inlineStr">
        <is>
          <t>lines 992-1016</t>
        </is>
      </c>
      <c r="F31" t="inlineStr">
        <is>
          <t>Harmonized source formulation — production trial required</t>
        </is>
      </c>
      <c r="G31"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2">
      <c r="A32" t="inlineStr">
        <is>
          <t>O-B21</t>
        </is>
      </c>
      <c r="B32" t="inlineStr">
        <is>
          <t>Cooked hot sauce</t>
        </is>
      </c>
      <c r="C32" t="inlineStr">
        <is>
          <t>Working card</t>
        </is>
      </c>
      <c r="D32" t="inlineStr">
        <is>
          <t>S163</t>
        </is>
      </c>
      <c r="E32" t="inlineStr">
        <is>
          <t>lines 1017-1043</t>
        </is>
      </c>
      <c r="F32" t="inlineStr">
        <is>
          <t>Harmonized source formulation — production trial required</t>
        </is>
      </c>
      <c r="G3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3">
      <c r="A33" t="inlineStr">
        <is>
          <t>O-B22</t>
        </is>
      </c>
      <c r="B33" t="inlineStr">
        <is>
          <t>Shawarma slaw</t>
        </is>
      </c>
      <c r="C33" t="inlineStr">
        <is>
          <t>Working card</t>
        </is>
      </c>
      <c r="D33" t="inlineStr">
        <is>
          <t>S163</t>
        </is>
      </c>
      <c r="E33" t="inlineStr">
        <is>
          <t>lines 1044-1068</t>
        </is>
      </c>
      <c r="F33" t="inlineStr">
        <is>
          <t>Harmonized source formulation — production trial required</t>
        </is>
      </c>
      <c r="G3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4">
      <c r="A34" t="inlineStr">
        <is>
          <t>O-B23</t>
        </is>
      </c>
      <c r="B34" t="inlineStr">
        <is>
          <t>Refrigerator cucumber pickles</t>
        </is>
      </c>
      <c r="C34" t="inlineStr">
        <is>
          <t>Working card</t>
        </is>
      </c>
      <c r="D34" t="inlineStr">
        <is>
          <t>S163</t>
        </is>
      </c>
      <c r="E34" t="inlineStr">
        <is>
          <t>lines 1069-1092</t>
        </is>
      </c>
      <c r="F34" t="inlineStr">
        <is>
          <t>Harmonized source formulation — production trial required</t>
        </is>
      </c>
      <c r="G3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5">
      <c r="A35" t="inlineStr">
        <is>
          <t>O-B24</t>
        </is>
      </c>
      <c r="B35" t="inlineStr">
        <is>
          <t>Crisp fries</t>
        </is>
      </c>
      <c r="C35" t="inlineStr">
        <is>
          <t>Working card</t>
        </is>
      </c>
      <c r="D35" t="inlineStr">
        <is>
          <t>S163</t>
        </is>
      </c>
      <c r="E35" t="inlineStr">
        <is>
          <t>lines 1093-1114</t>
        </is>
      </c>
      <c r="F35" t="inlineStr">
        <is>
          <t>Harmonized source formulation — production trial required</t>
        </is>
      </c>
      <c r="G35"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6">
      <c r="A36" t="inlineStr">
        <is>
          <t>O-B35</t>
        </is>
      </c>
      <c r="B36" t="inlineStr">
        <is>
          <t>Beef shawarma sesame sauce</t>
        </is>
      </c>
      <c r="C36" t="inlineStr">
        <is>
          <t>Working card</t>
        </is>
      </c>
      <c r="D36" t="inlineStr">
        <is>
          <t>S163</t>
        </is>
      </c>
      <c r="E36" t="inlineStr">
        <is>
          <t>lines 1115-1139</t>
        </is>
      </c>
      <c r="F36" t="inlineStr">
        <is>
          <t>Harmonized source formulation — production trial required</t>
        </is>
      </c>
      <c r="G36"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7">
      <c r="A37" t="inlineStr">
        <is>
          <t>O-B36</t>
        </is>
      </c>
      <c r="B37" t="inlineStr">
        <is>
          <t>lemon-garlic oven fish</t>
        </is>
      </c>
      <c r="C37" t="inlineStr">
        <is>
          <t>Working card</t>
        </is>
      </c>
      <c r="D37" t="inlineStr">
        <is>
          <t>S163</t>
        </is>
      </c>
      <c r="E37" t="inlineStr">
        <is>
          <t>lines 1140-1164</t>
        </is>
      </c>
      <c r="F37" t="inlineStr">
        <is>
          <t>Harmonized source formulation — production trial required</t>
        </is>
      </c>
      <c r="G37"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8">
      <c r="A38" t="inlineStr">
        <is>
          <t>O-P01</t>
        </is>
      </c>
      <c r="B38" t="inlineStr">
        <is>
          <t>Soft family bread</t>
        </is>
      </c>
      <c r="C38" t="inlineStr">
        <is>
          <t>Working card</t>
        </is>
      </c>
      <c r="D38" t="inlineStr">
        <is>
          <t>S163</t>
        </is>
      </c>
      <c r="E38" t="inlineStr">
        <is>
          <t>lines 1169-1198</t>
        </is>
      </c>
      <c r="F38" t="inlineStr">
        <is>
          <t>Harmonized source formulation — production trial required</t>
        </is>
      </c>
      <c r="G38"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39">
      <c r="A39" t="inlineStr">
        <is>
          <t>O-P02</t>
        </is>
      </c>
      <c r="B39" t="inlineStr">
        <is>
          <t>Condensed milk breakfast buns</t>
        </is>
      </c>
      <c r="C39" t="inlineStr">
        <is>
          <t>Working card</t>
        </is>
      </c>
      <c r="D39" t="inlineStr">
        <is>
          <t>S163</t>
        </is>
      </c>
      <c r="E39" t="inlineStr">
        <is>
          <t>lines 1199-1229</t>
        </is>
      </c>
      <c r="F39" t="inlineStr">
        <is>
          <t>Harmonized source formulation — production trial required</t>
        </is>
      </c>
      <c r="G39"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0">
      <c r="A40" t="inlineStr">
        <is>
          <t>O-P03</t>
        </is>
      </c>
      <c r="B40" t="inlineStr">
        <is>
          <t>Nkambe sweet potato milk loaf</t>
        </is>
      </c>
      <c r="C40" t="inlineStr">
        <is>
          <t>Working card</t>
        </is>
      </c>
      <c r="D40" t="inlineStr">
        <is>
          <t>S163</t>
        </is>
      </c>
      <c r="E40" t="inlineStr">
        <is>
          <t>lines 1230-1259</t>
        </is>
      </c>
      <c r="F40" t="inlineStr">
        <is>
          <t>Harmonized source formulation — production trial required</t>
        </is>
      </c>
      <c r="G40"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1">
      <c r="A41" t="inlineStr">
        <is>
          <t>O-P04</t>
        </is>
      </c>
      <c r="B41" t="inlineStr">
        <is>
          <t>Sugar ring doughnuts</t>
        </is>
      </c>
      <c r="C41" t="inlineStr">
        <is>
          <t>Working card</t>
        </is>
      </c>
      <c r="D41" t="inlineStr">
        <is>
          <t>S163</t>
        </is>
      </c>
      <c r="E41" t="inlineStr">
        <is>
          <t>lines 1260-1291</t>
        </is>
      </c>
      <c r="F41" t="inlineStr">
        <is>
          <t>Harmonized source formulation — production trial required</t>
        </is>
      </c>
      <c r="G41"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2">
      <c r="A42" t="inlineStr">
        <is>
          <t>O-P05</t>
        </is>
      </c>
      <c r="B42" t="inlineStr">
        <is>
          <t>Puff puff</t>
        </is>
      </c>
      <c r="C42" t="inlineStr">
        <is>
          <t>Working card</t>
        </is>
      </c>
      <c r="D42" t="inlineStr">
        <is>
          <t>S163</t>
        </is>
      </c>
      <c r="E42" t="inlineStr">
        <is>
          <t>lines 1292-1322</t>
        </is>
      </c>
      <c r="F42" t="inlineStr">
        <is>
          <t>Harmonized source formulation — production trial required</t>
        </is>
      </c>
      <c r="G4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3">
      <c r="A43" t="inlineStr">
        <is>
          <t>O-P06</t>
        </is>
      </c>
      <c r="B43" t="inlineStr">
        <is>
          <t>Cameroon style fish rolls</t>
        </is>
      </c>
      <c r="C43" t="inlineStr">
        <is>
          <t>Working card</t>
        </is>
      </c>
      <c r="D43" t="inlineStr">
        <is>
          <t>S163</t>
        </is>
      </c>
      <c r="E43" t="inlineStr">
        <is>
          <t>lines 1323-1354</t>
        </is>
      </c>
      <c r="F43" t="inlineStr">
        <is>
          <t>Harmonized source formulation — production trial required</t>
        </is>
      </c>
      <c r="G4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4">
      <c r="A44" t="inlineStr">
        <is>
          <t>O-P07</t>
        </is>
      </c>
      <c r="B44" t="inlineStr">
        <is>
          <t>Beef meat pies</t>
        </is>
      </c>
      <c r="C44" t="inlineStr">
        <is>
          <t>Working card</t>
        </is>
      </c>
      <c r="D44" t="inlineStr">
        <is>
          <t>S163</t>
        </is>
      </c>
      <c r="E44" t="inlineStr">
        <is>
          <t>lines 1355-1386</t>
        </is>
      </c>
      <c r="F44" t="inlineStr">
        <is>
          <t>Harmonized source formulation — production trial required</t>
        </is>
      </c>
      <c r="G4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5">
      <c r="A45" t="inlineStr">
        <is>
          <t>O-P08</t>
        </is>
      </c>
      <c r="B45" t="inlineStr">
        <is>
          <t>Sausage rolls</t>
        </is>
      </c>
      <c r="C45" t="inlineStr">
        <is>
          <t>Working card</t>
        </is>
      </c>
      <c r="D45" t="inlineStr">
        <is>
          <t>S163</t>
        </is>
      </c>
      <c r="E45" t="inlineStr">
        <is>
          <t>lines 1387-1418</t>
        </is>
      </c>
      <c r="F45" t="inlineStr">
        <is>
          <t>Harmonized source formulation — production trial required</t>
        </is>
      </c>
      <c r="G45"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6">
      <c r="A46" t="inlineStr">
        <is>
          <t>O-P09</t>
        </is>
      </c>
      <c r="B46" t="inlineStr">
        <is>
          <t>Creamy chicken pies</t>
        </is>
      </c>
      <c r="C46" t="inlineStr">
        <is>
          <t>Working card</t>
        </is>
      </c>
      <c r="D46" t="inlineStr">
        <is>
          <t>S163</t>
        </is>
      </c>
      <c r="E46" t="inlineStr">
        <is>
          <t>lines 1419-1450</t>
        </is>
      </c>
      <c r="F46" t="inlineStr">
        <is>
          <t>Harmonized source formulation — production trial required</t>
        </is>
      </c>
      <c r="G46"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7">
      <c r="A47" t="inlineStr">
        <is>
          <t>O-P10</t>
        </is>
      </c>
      <c r="B47" t="inlineStr">
        <is>
          <t>Whole egg dough rolls</t>
        </is>
      </c>
      <c r="C47" t="inlineStr">
        <is>
          <t>Working card</t>
        </is>
      </c>
      <c r="D47" t="inlineStr">
        <is>
          <t>S163</t>
        </is>
      </c>
      <c r="E47" t="inlineStr">
        <is>
          <t>lines 1451-1482</t>
        </is>
      </c>
      <c r="F47" t="inlineStr">
        <is>
          <t>Harmonized source formulation — production trial required</t>
        </is>
      </c>
      <c r="G47"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8">
      <c r="A48" t="inlineStr">
        <is>
          <t>O-P11</t>
        </is>
      </c>
      <c r="B48" t="inlineStr">
        <is>
          <t>Banana condensed milk cake slices</t>
        </is>
      </c>
      <c r="C48" t="inlineStr">
        <is>
          <t>Working card</t>
        </is>
      </c>
      <c r="D48" t="inlineStr">
        <is>
          <t>S163</t>
        </is>
      </c>
      <c r="E48" t="inlineStr">
        <is>
          <t>lines 1483-1512</t>
        </is>
      </c>
      <c r="F48" t="inlineStr">
        <is>
          <t>Harmonized source formulation — production trial required</t>
        </is>
      </c>
      <c r="G48"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49">
      <c r="A49" t="inlineStr">
        <is>
          <t>O-P12</t>
        </is>
      </c>
      <c r="B49" t="inlineStr">
        <is>
          <t>Personal chicken pizza</t>
        </is>
      </c>
      <c r="C49" t="inlineStr">
        <is>
          <t>Working card</t>
        </is>
      </c>
      <c r="D49" t="inlineStr">
        <is>
          <t>S163</t>
        </is>
      </c>
      <c r="E49" t="inlineStr">
        <is>
          <t>lines 1513-1547</t>
        </is>
      </c>
      <c r="F49" t="inlineStr">
        <is>
          <t>Harmonized source formulation — production trial required</t>
        </is>
      </c>
      <c r="G49"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0">
      <c r="A50" t="inlineStr">
        <is>
          <t>O-P13</t>
        </is>
      </c>
      <c r="B50" t="inlineStr">
        <is>
          <t>Complete chicken shawarma</t>
        </is>
      </c>
      <c r="C50" t="inlineStr">
        <is>
          <t>Working card</t>
        </is>
      </c>
      <c r="D50" t="inlineStr">
        <is>
          <t>S163</t>
        </is>
      </c>
      <c r="E50" t="inlineStr">
        <is>
          <t>lines 1548-1583</t>
        </is>
      </c>
      <c r="F50" t="inlineStr">
        <is>
          <t>Harmonized source formulation — production trial required</t>
        </is>
      </c>
      <c r="G50"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1">
      <c r="A51" t="inlineStr">
        <is>
          <t>O-P14</t>
        </is>
      </c>
      <c r="B51" t="inlineStr">
        <is>
          <t>Complete beef shawarma</t>
        </is>
      </c>
      <c r="C51" t="inlineStr">
        <is>
          <t>Working card</t>
        </is>
      </c>
      <c r="D51" t="inlineStr">
        <is>
          <t>S163</t>
        </is>
      </c>
      <c r="E51" t="inlineStr">
        <is>
          <t>lines 1584-1619</t>
        </is>
      </c>
      <c r="F51" t="inlineStr">
        <is>
          <t>Harmonized source formulation — production trial required</t>
        </is>
      </c>
      <c r="G51"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2">
      <c r="A52" t="inlineStr">
        <is>
          <t>O-P15</t>
        </is>
      </c>
      <c r="B52" t="inlineStr">
        <is>
          <t>Crispy chicken burger</t>
        </is>
      </c>
      <c r="C52" t="inlineStr">
        <is>
          <t>Working card</t>
        </is>
      </c>
      <c r="D52" t="inlineStr">
        <is>
          <t>S163</t>
        </is>
      </c>
      <c r="E52" t="inlineStr">
        <is>
          <t>lines 1620-1654</t>
        </is>
      </c>
      <c r="F52" t="inlineStr">
        <is>
          <t>Harmonized source formulation — production trial required</t>
        </is>
      </c>
      <c r="G5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3">
      <c r="A53" t="inlineStr">
        <is>
          <t>O-P16</t>
        </is>
      </c>
      <c r="B53" t="inlineStr">
        <is>
          <t>Beef cheeseburger</t>
        </is>
      </c>
      <c r="C53" t="inlineStr">
        <is>
          <t>Working card</t>
        </is>
      </c>
      <c r="D53" t="inlineStr">
        <is>
          <t>S163</t>
        </is>
      </c>
      <c r="E53" t="inlineStr">
        <is>
          <t>lines 1655-1691</t>
        </is>
      </c>
      <c r="F53" t="inlineStr">
        <is>
          <t>Harmonized source formulation — production trial required</t>
        </is>
      </c>
      <c r="G5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4">
      <c r="A54" t="inlineStr">
        <is>
          <t>O-P17</t>
        </is>
      </c>
      <c r="B54" t="inlineStr">
        <is>
          <t>Crispy chicken and fries box</t>
        </is>
      </c>
      <c r="C54" t="inlineStr">
        <is>
          <t>Working card</t>
        </is>
      </c>
      <c r="D54" t="inlineStr">
        <is>
          <t>S163</t>
        </is>
      </c>
      <c r="E54" t="inlineStr">
        <is>
          <t>lines 1692-1723</t>
        </is>
      </c>
      <c r="F54" t="inlineStr">
        <is>
          <t>Harmonized source formulation — production trial required</t>
        </is>
      </c>
      <c r="G5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5">
      <c r="A55" t="inlineStr">
        <is>
          <t>O-P18</t>
        </is>
      </c>
      <c r="B55" t="inlineStr">
        <is>
          <t>Chicken vegetable samosas</t>
        </is>
      </c>
      <c r="C55" t="inlineStr">
        <is>
          <t>Working card</t>
        </is>
      </c>
      <c r="D55" t="inlineStr">
        <is>
          <t>S163</t>
        </is>
      </c>
      <c r="E55" t="inlineStr">
        <is>
          <t>lines 1724-1756</t>
        </is>
      </c>
      <c r="F55" t="inlineStr">
        <is>
          <t>Harmonized source formulation — production trial required</t>
        </is>
      </c>
      <c r="G55"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6">
      <c r="A56" t="inlineStr">
        <is>
          <t>O-P19</t>
        </is>
      </c>
      <c r="B56" t="inlineStr">
        <is>
          <t>Loaded chicken shawarma fries</t>
        </is>
      </c>
      <c r="C56" t="inlineStr">
        <is>
          <t>Working card</t>
        </is>
      </c>
      <c r="D56" t="inlineStr">
        <is>
          <t>S163</t>
        </is>
      </c>
      <c r="E56" t="inlineStr">
        <is>
          <t>lines 1757-1790</t>
        </is>
      </c>
      <c r="F56" t="inlineStr">
        <is>
          <t>Harmonized source formulation — production trial required</t>
        </is>
      </c>
      <c r="G56"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7">
      <c r="A57" t="inlineStr">
        <is>
          <t>O-P20</t>
        </is>
      </c>
      <c r="B57" t="inlineStr">
        <is>
          <t>Condensed milk soaked cake portions</t>
        </is>
      </c>
      <c r="C57" t="inlineStr">
        <is>
          <t>Working card</t>
        </is>
      </c>
      <c r="D57" t="inlineStr">
        <is>
          <t>S163</t>
        </is>
      </c>
      <c r="E57" t="inlineStr">
        <is>
          <t>lines 1791-1821</t>
        </is>
      </c>
      <c r="F57" t="inlineStr">
        <is>
          <t>Harmonized source formulation — production trial required</t>
        </is>
      </c>
      <c r="G57"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8">
      <c r="A58" t="inlineStr">
        <is>
          <t>O-A01</t>
        </is>
      </c>
      <c r="B58" t="inlineStr">
        <is>
          <t>Roast chicken burger — ten-unit pilot</t>
        </is>
      </c>
      <c r="C58" t="inlineStr">
        <is>
          <t>Working card</t>
        </is>
      </c>
      <c r="D58" t="inlineStr">
        <is>
          <t>S163</t>
        </is>
      </c>
      <c r="E58" t="inlineStr">
        <is>
          <t>lines 1822-1837</t>
        </is>
      </c>
      <c r="F58" t="inlineStr">
        <is>
          <t>Harmonized source formulation — production trial required</t>
        </is>
      </c>
      <c r="G58"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59">
      <c r="A59" t="inlineStr">
        <is>
          <t>O-A02</t>
        </is>
      </c>
      <c r="B59" t="inlineStr">
        <is>
          <t>Lemon-garlic fish burger — ten-unit pilot</t>
        </is>
      </c>
      <c r="C59" t="inlineStr">
        <is>
          <t>Working card</t>
        </is>
      </c>
      <c r="D59" t="inlineStr">
        <is>
          <t>S163</t>
        </is>
      </c>
      <c r="E59" t="inlineStr">
        <is>
          <t>lines 1838-1851</t>
        </is>
      </c>
      <c r="F59" t="inlineStr">
        <is>
          <t>Harmonized source formulation — production trial required</t>
        </is>
      </c>
      <c r="G59"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0">
      <c r="A60" t="inlineStr">
        <is>
          <t>O-A03</t>
        </is>
      </c>
      <c r="B60" t="inlineStr">
        <is>
          <t>Lemon fish wrap — ten-unit pilot</t>
        </is>
      </c>
      <c r="C60" t="inlineStr">
        <is>
          <t>Working card</t>
        </is>
      </c>
      <c r="D60" t="inlineStr">
        <is>
          <t>S163</t>
        </is>
      </c>
      <c r="E60" t="inlineStr">
        <is>
          <t>lines 1852-1866</t>
        </is>
      </c>
      <c r="F60" t="inlineStr">
        <is>
          <t>Harmonized source formulation — production trial required</t>
        </is>
      </c>
      <c r="G60"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1">
      <c r="A61" t="inlineStr">
        <is>
          <t>O-A04</t>
        </is>
      </c>
      <c r="B61" t="inlineStr">
        <is>
          <t>Beef mini pizza — ten-unit pilot</t>
        </is>
      </c>
      <c r="C61" t="inlineStr">
        <is>
          <t>Working card</t>
        </is>
      </c>
      <c r="D61" t="inlineStr">
        <is>
          <t>S163</t>
        </is>
      </c>
      <c r="E61" t="inlineStr">
        <is>
          <t>lines 1867-1879</t>
        </is>
      </c>
      <c r="F61" t="inlineStr">
        <is>
          <t>Harmonized source formulation — production trial required</t>
        </is>
      </c>
      <c r="G61"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2">
      <c r="A62" t="inlineStr">
        <is>
          <t>O-FBASE1</t>
        </is>
      </c>
      <c r="B62" t="inlineStr">
        <is>
          <t>Gravity soft serve vanilla trial mix</t>
        </is>
      </c>
      <c r="C62" t="inlineStr">
        <is>
          <t>Working card</t>
        </is>
      </c>
      <c r="D62" t="inlineStr">
        <is>
          <t>S163</t>
        </is>
      </c>
      <c r="E62" t="inlineStr">
        <is>
          <t>lines 2052-2080</t>
        </is>
      </c>
      <c r="F62" t="inlineStr">
        <is>
          <t>Harmonized source formulation — production trial required</t>
        </is>
      </c>
      <c r="G6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3">
      <c r="A63" t="inlineStr">
        <is>
          <t>O-FBASE2</t>
        </is>
      </c>
      <c r="B63" t="inlineStr">
        <is>
          <t>Vanilla condensed milk popsicle mix</t>
        </is>
      </c>
      <c r="C63" t="inlineStr">
        <is>
          <t>Working card</t>
        </is>
      </c>
      <c r="D63" t="inlineStr">
        <is>
          <t>S163</t>
        </is>
      </c>
      <c r="E63" t="inlineStr">
        <is>
          <t>lines 2081-2106</t>
        </is>
      </c>
      <c r="F63" t="inlineStr">
        <is>
          <t>Harmonized source formulation — production trial required</t>
        </is>
      </c>
      <c r="G6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4">
      <c r="A64" t="inlineStr">
        <is>
          <t>O-FBASE3</t>
        </is>
      </c>
      <c r="B64" t="inlineStr">
        <is>
          <t>Pineapple fruit ice mix</t>
        </is>
      </c>
      <c r="C64" t="inlineStr">
        <is>
          <t>Working card</t>
        </is>
      </c>
      <c r="D64" t="inlineStr">
        <is>
          <t>S163</t>
        </is>
      </c>
      <c r="E64" t="inlineStr">
        <is>
          <t>lines 2107-2131</t>
        </is>
      </c>
      <c r="F64" t="inlineStr">
        <is>
          <t>Harmonized source formulation — production trial required</t>
        </is>
      </c>
      <c r="G6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5">
      <c r="A65" t="inlineStr">
        <is>
          <t>O-FBASE4</t>
        </is>
      </c>
      <c r="B65" t="inlineStr">
        <is>
          <t>Mango yogurt popsicle mix</t>
        </is>
      </c>
      <c r="C65" t="inlineStr">
        <is>
          <t>Working card</t>
        </is>
      </c>
      <c r="D65" t="inlineStr">
        <is>
          <t>S163</t>
        </is>
      </c>
      <c r="E65" t="inlineStr">
        <is>
          <t>lines 2132-2156</t>
        </is>
      </c>
      <c r="F65" t="inlineStr">
        <is>
          <t>Harmonized source formulation — production trial required</t>
        </is>
      </c>
      <c r="G65"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6">
      <c r="A66" t="inlineStr">
        <is>
          <t>O-FBASE5</t>
        </is>
      </c>
      <c r="B66" t="inlineStr">
        <is>
          <t>Chocolate sundae sauce</t>
        </is>
      </c>
      <c r="C66" t="inlineStr">
        <is>
          <t>Working card</t>
        </is>
      </c>
      <c r="D66" t="inlineStr">
        <is>
          <t>S163</t>
        </is>
      </c>
      <c r="E66" t="inlineStr">
        <is>
          <t>lines 2157-2181</t>
        </is>
      </c>
      <c r="F66" t="inlineStr">
        <is>
          <t>Harmonized source formulation — production trial required</t>
        </is>
      </c>
      <c r="G66"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7">
      <c r="A67" t="inlineStr">
        <is>
          <t>O-FBASE6</t>
        </is>
      </c>
      <c r="B67" t="inlineStr">
        <is>
          <t>Soft sandwich cookies</t>
        </is>
      </c>
      <c r="C67" t="inlineStr">
        <is>
          <t>Working card</t>
        </is>
      </c>
      <c r="D67" t="inlineStr">
        <is>
          <t>S163</t>
        </is>
      </c>
      <c r="E67" t="inlineStr">
        <is>
          <t>lines 2182-2208</t>
        </is>
      </c>
      <c r="F67" t="inlineStr">
        <is>
          <t>Harmonized source formulation — production trial required</t>
        </is>
      </c>
      <c r="G67"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8">
      <c r="A68" t="inlineStr">
        <is>
          <t>O-FBASE7</t>
        </is>
      </c>
      <c r="B68" t="inlineStr">
        <is>
          <t>Chocolate dipping coating</t>
        </is>
      </c>
      <c r="C68" t="inlineStr">
        <is>
          <t>Working card</t>
        </is>
      </c>
      <c r="D68" t="inlineStr">
        <is>
          <t>S163</t>
        </is>
      </c>
      <c r="E68" t="inlineStr">
        <is>
          <t>lines 2209-2229</t>
        </is>
      </c>
      <c r="F68" t="inlineStr">
        <is>
          <t>Harmonized source formulation — production trial required</t>
        </is>
      </c>
      <c r="G68"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69">
      <c r="A69" t="inlineStr">
        <is>
          <t>O-F01</t>
        </is>
      </c>
      <c r="B69" t="inlineStr">
        <is>
          <t>Vanilla soft serve cup or cone</t>
        </is>
      </c>
      <c r="C69" t="inlineStr">
        <is>
          <t>Working card</t>
        </is>
      </c>
      <c r="D69" t="inlineStr">
        <is>
          <t>S163</t>
        </is>
      </c>
      <c r="E69" t="inlineStr">
        <is>
          <t>lines 2230-2257</t>
        </is>
      </c>
      <c r="F69" t="inlineStr">
        <is>
          <t>Harmonized source formulation — production trial required</t>
        </is>
      </c>
      <c r="G69"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0">
      <c r="A70" t="inlineStr">
        <is>
          <t>O-F02</t>
        </is>
      </c>
      <c r="B70" t="inlineStr">
        <is>
          <t>Chocolate peanut sundae</t>
        </is>
      </c>
      <c r="C70" t="inlineStr">
        <is>
          <t>Working card</t>
        </is>
      </c>
      <c r="D70" t="inlineStr">
        <is>
          <t>S163</t>
        </is>
      </c>
      <c r="E70" t="inlineStr">
        <is>
          <t>lines 2258-2287</t>
        </is>
      </c>
      <c r="F70" t="inlineStr">
        <is>
          <t>Harmonized source formulation — production trial required</t>
        </is>
      </c>
      <c r="G70"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1">
      <c r="A71" t="inlineStr">
        <is>
          <t>O-F03</t>
        </is>
      </c>
      <c r="B71" t="inlineStr">
        <is>
          <t>Chocolate milkshake</t>
        </is>
      </c>
      <c r="C71" t="inlineStr">
        <is>
          <t>Working card</t>
        </is>
      </c>
      <c r="D71" t="inlineStr">
        <is>
          <t>S163</t>
        </is>
      </c>
      <c r="E71" t="inlineStr">
        <is>
          <t>lines 2288-2317</t>
        </is>
      </c>
      <c r="F71" t="inlineStr">
        <is>
          <t>Harmonized source formulation — production trial required</t>
        </is>
      </c>
      <c r="G71"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2">
      <c r="A72" t="inlineStr">
        <is>
          <t>O-F04</t>
        </is>
      </c>
      <c r="B72" t="inlineStr">
        <is>
          <t>Chocolate cookie ice cream sandwich</t>
        </is>
      </c>
      <c r="C72" t="inlineStr">
        <is>
          <t>Working card</t>
        </is>
      </c>
      <c r="D72" t="inlineStr">
        <is>
          <t>S163</t>
        </is>
      </c>
      <c r="E72" t="inlineStr">
        <is>
          <t>lines 2318-2346</t>
        </is>
      </c>
      <c r="F72" t="inlineStr">
        <is>
          <t>Harmonized source formulation — production trial required</t>
        </is>
      </c>
      <c r="G7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3">
      <c r="A73" t="inlineStr">
        <is>
          <t>O-F05</t>
        </is>
      </c>
      <c r="B73" t="inlineStr">
        <is>
          <t>Condensed milk popsicles</t>
        </is>
      </c>
      <c r="C73" t="inlineStr">
        <is>
          <t>Working card</t>
        </is>
      </c>
      <c r="D73" t="inlineStr">
        <is>
          <t>S163</t>
        </is>
      </c>
      <c r="E73" t="inlineStr">
        <is>
          <t>lines 2347-2374</t>
        </is>
      </c>
      <c r="F73" t="inlineStr">
        <is>
          <t>Harmonized source formulation — production trial required</t>
        </is>
      </c>
      <c r="G7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4">
      <c r="A74" t="inlineStr">
        <is>
          <t>O-F06</t>
        </is>
      </c>
      <c r="B74" t="inlineStr">
        <is>
          <t>Pineapple fruit ice pops</t>
        </is>
      </c>
      <c r="C74" t="inlineStr">
        <is>
          <t>Working card</t>
        </is>
      </c>
      <c r="D74" t="inlineStr">
        <is>
          <t>S163</t>
        </is>
      </c>
      <c r="E74" t="inlineStr">
        <is>
          <t>lines 2375-2402</t>
        </is>
      </c>
      <c r="F74" t="inlineStr">
        <is>
          <t>Harmonized source formulation — production trial required</t>
        </is>
      </c>
      <c r="G7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5">
      <c r="A75" t="inlineStr">
        <is>
          <t>O-F07</t>
        </is>
      </c>
      <c r="B75" t="inlineStr">
        <is>
          <t>Mango yogurt frozen bar</t>
        </is>
      </c>
      <c r="C75" t="inlineStr">
        <is>
          <t>Working card</t>
        </is>
      </c>
      <c r="D75" t="inlineStr">
        <is>
          <t>S163</t>
        </is>
      </c>
      <c r="E75" t="inlineStr">
        <is>
          <t>lines 2403-2432</t>
        </is>
      </c>
      <c r="F75" t="inlineStr">
        <is>
          <t>Harmonized source formulation — production trial required</t>
        </is>
      </c>
      <c r="G75"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6">
      <c r="A76" t="inlineStr">
        <is>
          <t>O-F08</t>
        </is>
      </c>
      <c r="B76" t="inlineStr">
        <is>
          <t>Chocolate dipped peanut milk bar</t>
        </is>
      </c>
      <c r="C76" t="inlineStr">
        <is>
          <t>Working card</t>
        </is>
      </c>
      <c r="D76" t="inlineStr">
        <is>
          <t>S163</t>
        </is>
      </c>
      <c r="E76" t="inlineStr">
        <is>
          <t>lines 2433-2462</t>
        </is>
      </c>
      <c r="F76" t="inlineStr">
        <is>
          <t>Harmonized source formulation — production trial required</t>
        </is>
      </c>
      <c r="G76"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7">
      <c r="A77" t="inlineStr">
        <is>
          <t>S-B01</t>
        </is>
      </c>
      <c r="B77" t="inlineStr">
        <is>
          <t>Daily French-style baguette</t>
        </is>
      </c>
      <c r="C77" t="inlineStr">
        <is>
          <t>Working card</t>
        </is>
      </c>
      <c r="D77" t="inlineStr">
        <is>
          <t>S163</t>
        </is>
      </c>
      <c r="E77" t="inlineStr">
        <is>
          <t>lines 2469-2521</t>
        </is>
      </c>
      <c r="F77" t="inlineStr">
        <is>
          <t>Harmonized source formulation — production trial required</t>
        </is>
      </c>
      <c r="G77"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8">
      <c r="A78" t="inlineStr">
        <is>
          <t>S-B02</t>
        </is>
      </c>
      <c r="B78" t="inlineStr">
        <is>
          <t>Kumba-style soft block loaf</t>
        </is>
      </c>
      <c r="C78" t="inlineStr">
        <is>
          <t>Working card</t>
        </is>
      </c>
      <c r="D78" t="inlineStr">
        <is>
          <t>S163</t>
        </is>
      </c>
      <c r="E78" t="inlineStr">
        <is>
          <t>lines 2522-2577</t>
        </is>
      </c>
      <c r="F78" t="inlineStr">
        <is>
          <t>Harmonized source formulation — production trial required</t>
        </is>
      </c>
      <c r="G78"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79">
      <c r="A79" t="inlineStr">
        <is>
          <t>S-B03</t>
        </is>
      </c>
      <c r="B79" t="inlineStr">
        <is>
          <t>True-butter pain beurre</t>
        </is>
      </c>
      <c r="C79" t="inlineStr">
        <is>
          <t>Working card</t>
        </is>
      </c>
      <c r="D79" t="inlineStr">
        <is>
          <t>S163</t>
        </is>
      </c>
      <c r="E79" t="inlineStr">
        <is>
          <t>lines 2578-2631</t>
        </is>
      </c>
      <c r="F79" t="inlineStr">
        <is>
          <t>Harmonized source formulation — production trial required</t>
        </is>
      </c>
      <c r="G79"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0">
      <c r="A80" t="inlineStr">
        <is>
          <t>S-B04</t>
        </is>
      </c>
      <c r="B80" t="inlineStr">
        <is>
          <t>Sandwich pan loaf / pain de mie</t>
        </is>
      </c>
      <c r="C80" t="inlineStr">
        <is>
          <t>Working card</t>
        </is>
      </c>
      <c r="D80" t="inlineStr">
        <is>
          <t>S163</t>
        </is>
      </c>
      <c r="E80" t="inlineStr">
        <is>
          <t>lines 2632-2686</t>
        </is>
      </c>
      <c r="F80" t="inlineStr">
        <is>
          <t>Harmonized source formulation — production trial required</t>
        </is>
      </c>
      <c r="G80"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1">
      <c r="A81" t="inlineStr">
        <is>
          <t>S-B05</t>
        </is>
      </c>
      <c r="B81" t="inlineStr">
        <is>
          <t>Soft burger buns</t>
        </is>
      </c>
      <c r="C81" t="inlineStr">
        <is>
          <t>Working card</t>
        </is>
      </c>
      <c r="D81" t="inlineStr">
        <is>
          <t>S163</t>
        </is>
      </c>
      <c r="E81" t="inlineStr">
        <is>
          <t>lines 2687-2742</t>
        </is>
      </c>
      <c r="F81" t="inlineStr">
        <is>
          <t>Harmonized source formulation — production trial required</t>
        </is>
      </c>
      <c r="G81"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2">
      <c r="A82" t="inlineStr">
        <is>
          <t>S-B06</t>
        </is>
      </c>
      <c r="B82" t="inlineStr">
        <is>
          <t>Professional 50%-butter brioche</t>
        </is>
      </c>
      <c r="C82" t="inlineStr">
        <is>
          <t>Working card</t>
        </is>
      </c>
      <c r="D82" t="inlineStr">
        <is>
          <t>S163</t>
        </is>
      </c>
      <c r="E82" t="inlineStr">
        <is>
          <t>lines 2743-2801</t>
        </is>
      </c>
      <c r="F82" t="inlineStr">
        <is>
          <t>Harmonized source formulation — production trial required</t>
        </is>
      </c>
      <c r="G8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3">
      <c r="A83" t="inlineStr">
        <is>
          <t>S-B07</t>
        </is>
      </c>
      <c r="B83" t="inlineStr">
        <is>
          <t>Milk bread finger rolls / pain au lait</t>
        </is>
      </c>
      <c r="C83" t="inlineStr">
        <is>
          <t>Working card</t>
        </is>
      </c>
      <c r="D83" t="inlineStr">
        <is>
          <t>S163</t>
        </is>
      </c>
      <c r="E83" t="inlineStr">
        <is>
          <t>lines 2802-2855</t>
        </is>
      </c>
      <c r="F83" t="inlineStr">
        <is>
          <t>Harmonized source formulation — production trial required</t>
        </is>
      </c>
      <c r="G8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4">
      <c r="A84" t="inlineStr">
        <is>
          <t>S-P01</t>
        </is>
      </c>
      <c r="B84" t="inlineStr">
        <is>
          <t>Yeast donuts: plain, glazed and beignets sucrés</t>
        </is>
      </c>
      <c r="C84" t="inlineStr">
        <is>
          <t>Working card</t>
        </is>
      </c>
      <c r="D84" t="inlineStr">
        <is>
          <t>S163</t>
        </is>
      </c>
      <c r="E84" t="inlineStr">
        <is>
          <t>lines 2856-2924</t>
        </is>
      </c>
      <c r="F84" t="inlineStr">
        <is>
          <t>Harmonized source formulation — production trial required</t>
        </is>
      </c>
      <c r="G8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5">
      <c r="A85" t="inlineStr">
        <is>
          <t>S-P02</t>
        </is>
      </c>
      <c r="B85" t="inlineStr">
        <is>
          <t>Yeast puff-puff / beignets farine</t>
        </is>
      </c>
      <c r="C85" t="inlineStr">
        <is>
          <t>Working card</t>
        </is>
      </c>
      <c r="D85" t="inlineStr">
        <is>
          <t>S163</t>
        </is>
      </c>
      <c r="E85" t="inlineStr">
        <is>
          <t>lines 2925-2989</t>
        </is>
      </c>
      <c r="F85" t="inlineStr">
        <is>
          <t>Harmonized source formulation — production trial required</t>
        </is>
      </c>
      <c r="G85"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6">
      <c r="A86" t="inlineStr">
        <is>
          <t>S-P03</t>
        </is>
      </c>
      <c r="B86" t="inlineStr">
        <is>
          <t>Cameroonian cake-style beignets soufflés</t>
        </is>
      </c>
      <c r="C86" t="inlineStr">
        <is>
          <t>Working card</t>
        </is>
      </c>
      <c r="D86" t="inlineStr">
        <is>
          <t>S163</t>
        </is>
      </c>
      <c r="E86" t="inlineStr">
        <is>
          <t>lines 2990-3057</t>
        </is>
      </c>
      <c r="F86" t="inlineStr">
        <is>
          <t>Harmonized source formulation — production trial required</t>
        </is>
      </c>
      <c r="G86"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7">
      <c r="A87" t="inlineStr">
        <is>
          <t>S-P04</t>
        </is>
      </c>
      <c r="B87" t="inlineStr">
        <is>
          <t>Coconut butter biscuits</t>
        </is>
      </c>
      <c r="C87" t="inlineStr">
        <is>
          <t>Working card</t>
        </is>
      </c>
      <c r="D87" t="inlineStr">
        <is>
          <t>S163</t>
        </is>
      </c>
      <c r="E87" t="inlineStr">
        <is>
          <t>lines 3058-3112</t>
        </is>
      </c>
      <c r="F87" t="inlineStr">
        <is>
          <t>Harmonized source formulation — production trial required</t>
        </is>
      </c>
      <c r="G87"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8">
      <c r="A88" t="inlineStr">
        <is>
          <t>S-P05</t>
        </is>
      </c>
      <c r="B88" t="inlineStr">
        <is>
          <t>Banana snack cake</t>
        </is>
      </c>
      <c r="C88" t="inlineStr">
        <is>
          <t>Working card</t>
        </is>
      </c>
      <c r="D88" t="inlineStr">
        <is>
          <t>S163</t>
        </is>
      </c>
      <c r="E88" t="inlineStr">
        <is>
          <t>lines 3113-3170</t>
        </is>
      </c>
      <c r="F88" t="inlineStr">
        <is>
          <t>Harmonized source formulation — production trial required</t>
        </is>
      </c>
      <c r="G88"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89">
      <c r="A89" t="inlineStr">
        <is>
          <t>S-P06</t>
        </is>
      </c>
      <c r="B89" t="inlineStr">
        <is>
          <t>Cinnamon breakfast rolls</t>
        </is>
      </c>
      <c r="C89" t="inlineStr">
        <is>
          <t>Working card</t>
        </is>
      </c>
      <c r="D89" t="inlineStr">
        <is>
          <t>S163</t>
        </is>
      </c>
      <c r="E89" t="inlineStr">
        <is>
          <t>lines 3171-3238</t>
        </is>
      </c>
      <c r="F89" t="inlineStr">
        <is>
          <t>Harmonized source formulation — production trial required</t>
        </is>
      </c>
      <c r="G89"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0">
      <c r="A90" t="inlineStr">
        <is>
          <t>S-F01</t>
        </is>
      </c>
      <c r="B90" t="inlineStr">
        <is>
          <t>Complete beef hamburger</t>
        </is>
      </c>
      <c r="C90" t="inlineStr">
        <is>
          <t>Working card</t>
        </is>
      </c>
      <c r="D90" t="inlineStr">
        <is>
          <t>S163</t>
        </is>
      </c>
      <c r="E90" t="inlineStr">
        <is>
          <t>lines 3239-3336</t>
        </is>
      </c>
      <c r="F90" t="inlineStr">
        <is>
          <t>Harmonized source formulation — production trial required</t>
        </is>
      </c>
      <c r="G90"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1">
      <c r="A91" t="inlineStr">
        <is>
          <t>S-F02</t>
        </is>
      </c>
      <c r="B91" t="inlineStr">
        <is>
          <t>Pain omelette with sardines</t>
        </is>
      </c>
      <c r="C91" t="inlineStr">
        <is>
          <t>Working card</t>
        </is>
      </c>
      <c r="D91" t="inlineStr">
        <is>
          <t>S163</t>
        </is>
      </c>
      <c r="E91" t="inlineStr">
        <is>
          <t>lines 3337-3418</t>
        </is>
      </c>
      <c r="F91" t="inlineStr">
        <is>
          <t>Harmonized source formulation — production trial required</t>
        </is>
      </c>
      <c r="G91"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2">
      <c r="A92" t="inlineStr">
        <is>
          <t>S-F03</t>
        </is>
      </c>
      <c r="B92" t="inlineStr">
        <is>
          <t>Beef-and-cheese filled bread</t>
        </is>
      </c>
      <c r="C92" t="inlineStr">
        <is>
          <t>Working card</t>
        </is>
      </c>
      <c r="D92" t="inlineStr">
        <is>
          <t>S163</t>
        </is>
      </c>
      <c r="E92" t="inlineStr">
        <is>
          <t>lines 3419-3506</t>
        </is>
      </c>
      <c r="F92" t="inlineStr">
        <is>
          <t>Harmonized source formulation — production trial required</t>
        </is>
      </c>
      <c r="G9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3">
      <c r="A93" t="inlineStr">
        <is>
          <t>S-F04</t>
        </is>
      </c>
      <c r="B93" t="inlineStr">
        <is>
          <t>Chicken shawarma wrap</t>
        </is>
      </c>
      <c r="C93" t="inlineStr">
        <is>
          <t>Working card</t>
        </is>
      </c>
      <c r="D93" t="inlineStr">
        <is>
          <t>S163</t>
        </is>
      </c>
      <c r="E93" t="inlineStr">
        <is>
          <t>lines 3507-3606</t>
        </is>
      </c>
      <c r="F93" t="inlineStr">
        <is>
          <t>Harmonized source formulation — production trial required</t>
        </is>
      </c>
      <c r="G9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4">
      <c r="A94" t="inlineStr">
        <is>
          <t>S-F05</t>
        </is>
      </c>
      <c r="B94" t="inlineStr">
        <is>
          <t>Vegetable samosas</t>
        </is>
      </c>
      <c r="C94" t="inlineStr">
        <is>
          <t>Working card</t>
        </is>
      </c>
      <c r="D94" t="inlineStr">
        <is>
          <t>S163</t>
        </is>
      </c>
      <c r="E94" t="inlineStr">
        <is>
          <t>lines 3607-3689</t>
        </is>
      </c>
      <c r="F94" t="inlineStr">
        <is>
          <t>Harmonized source formulation — production trial required</t>
        </is>
      </c>
      <c r="G9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5">
      <c r="A95" t="inlineStr">
        <is>
          <t>S-F06</t>
        </is>
      </c>
      <c r="B95" t="inlineStr">
        <is>
          <t>Mini chicken pizzas</t>
        </is>
      </c>
      <c r="C95" t="inlineStr">
        <is>
          <t>Working card</t>
        </is>
      </c>
      <c r="D95" t="inlineStr">
        <is>
          <t>S163</t>
        </is>
      </c>
      <c r="E95" t="inlineStr">
        <is>
          <t>lines 3690-3796</t>
        </is>
      </c>
      <c r="F95" t="inlineStr">
        <is>
          <t>Harmonized source formulation — production trial required</t>
        </is>
      </c>
      <c r="G95"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6">
      <c r="A96" t="inlineStr">
        <is>
          <t>S-D01</t>
        </is>
      </c>
      <c r="B96" t="inlineStr">
        <is>
          <t>Vanilla dairy soft serve</t>
        </is>
      </c>
      <c r="C96" t="inlineStr">
        <is>
          <t>Working card</t>
        </is>
      </c>
      <c r="D96" t="inlineStr">
        <is>
          <t>S163</t>
        </is>
      </c>
      <c r="E96" t="inlineStr">
        <is>
          <t>lines 3797-3855</t>
        </is>
      </c>
      <c r="F96" t="inlineStr">
        <is>
          <t>Harmonized source formulation — production trial required</t>
        </is>
      </c>
      <c r="G96"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7">
      <c r="A97" t="inlineStr">
        <is>
          <t>S-D02</t>
        </is>
      </c>
      <c r="B97" t="inlineStr">
        <is>
          <t>Scoopable vanilla ice cream</t>
        </is>
      </c>
      <c r="C97" t="inlineStr">
        <is>
          <t>Working card</t>
        </is>
      </c>
      <c r="D97" t="inlineStr">
        <is>
          <t>S163</t>
        </is>
      </c>
      <c r="E97" t="inlineStr">
        <is>
          <t>lines 3856-3913</t>
        </is>
      </c>
      <c r="F97" t="inlineStr">
        <is>
          <t>Harmonized source formulation — production trial required</t>
        </is>
      </c>
      <c r="G97"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8">
      <c r="A98" t="inlineStr">
        <is>
          <t>S-I01</t>
        </is>
      </c>
      <c r="B98" t="inlineStr">
        <is>
          <t>Pineapple-ginger fruit popsicle</t>
        </is>
      </c>
      <c r="C98" t="inlineStr">
        <is>
          <t>Working card</t>
        </is>
      </c>
      <c r="D98" t="inlineStr">
        <is>
          <t>S163</t>
        </is>
      </c>
      <c r="E98" t="inlineStr">
        <is>
          <t>lines 3914-3970</t>
        </is>
      </c>
      <c r="F98" t="inlineStr">
        <is>
          <t>Harmonized source formulation — production trial required</t>
        </is>
      </c>
      <c r="G98"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99">
      <c r="A99" t="inlineStr">
        <is>
          <t>S-I02</t>
        </is>
      </c>
      <c r="B99" t="inlineStr">
        <is>
          <t>Bissap-ginger-lime ice stick</t>
        </is>
      </c>
      <c r="C99" t="inlineStr">
        <is>
          <t>Working card</t>
        </is>
      </c>
      <c r="D99" t="inlineStr">
        <is>
          <t>S163</t>
        </is>
      </c>
      <c r="E99" t="inlineStr">
        <is>
          <t>lines 3971-4027</t>
        </is>
      </c>
      <c r="F99" t="inlineStr">
        <is>
          <t>Harmonized source formulation — production trial required</t>
        </is>
      </c>
      <c r="G99"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00">
      <c r="A100" t="inlineStr">
        <is>
          <t>S-I03</t>
        </is>
      </c>
      <c r="B100" t="inlineStr">
        <is>
          <t>Cocoa milk popsicle</t>
        </is>
      </c>
      <c r="C100" t="inlineStr">
        <is>
          <t>Working card</t>
        </is>
      </c>
      <c r="D100" t="inlineStr">
        <is>
          <t>S163</t>
        </is>
      </c>
      <c r="E100" t="inlineStr">
        <is>
          <t>lines 4028-4084</t>
        </is>
      </c>
      <c r="F100" t="inlineStr">
        <is>
          <t>Harmonized source formulation — production trial required</t>
        </is>
      </c>
      <c r="G100"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01">
      <c r="A101" t="inlineStr">
        <is>
          <t>S-I04</t>
        </is>
      </c>
      <c r="B101" t="inlineStr">
        <is>
          <t>Own-brand premium chocolate-coated ice-cream bar</t>
        </is>
      </c>
      <c r="C101" t="inlineStr">
        <is>
          <t>Working card</t>
        </is>
      </c>
      <c r="D101" t="inlineStr">
        <is>
          <t>S163</t>
        </is>
      </c>
      <c r="E101" t="inlineStr">
        <is>
          <t>lines 4085-4155</t>
        </is>
      </c>
      <c r="F101" t="inlineStr">
        <is>
          <t>Harmonized source formulation — production trial required</t>
        </is>
      </c>
      <c r="G101"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02">
      <c r="A102" t="inlineStr">
        <is>
          <t>S-Y01</t>
        </is>
      </c>
      <c r="B102" t="inlineStr">
        <is>
          <t>Plain set yogurt</t>
        </is>
      </c>
      <c r="C102" t="inlineStr">
        <is>
          <t>Working card</t>
        </is>
      </c>
      <c r="D102" t="inlineStr">
        <is>
          <t>S163</t>
        </is>
      </c>
      <c r="E102" t="inlineStr">
        <is>
          <t>lines 4156-4211</t>
        </is>
      </c>
      <c r="F102" t="inlineStr">
        <is>
          <t>Harmonized source formulation — production trial required</t>
        </is>
      </c>
      <c r="G102"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03">
      <c r="A103" t="inlineStr">
        <is>
          <t>S-Y02</t>
        </is>
      </c>
      <c r="B103" t="inlineStr">
        <is>
          <t>Stirred mango yogurt</t>
        </is>
      </c>
      <c r="C103" t="inlineStr">
        <is>
          <t>Working card</t>
        </is>
      </c>
      <c r="D103" t="inlineStr">
        <is>
          <t>S163</t>
        </is>
      </c>
      <c r="E103" t="inlineStr">
        <is>
          <t>lines 4212-4279</t>
        </is>
      </c>
      <c r="F103" t="inlineStr">
        <is>
          <t>Harmonized source formulation — production trial required</t>
        </is>
      </c>
      <c r="G103"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04">
      <c r="A104" t="inlineStr">
        <is>
          <t>S-Y03</t>
        </is>
      </c>
      <c r="B104" t="inlineStr">
        <is>
          <t>Vanilla drinking yogurt</t>
        </is>
      </c>
      <c r="C104" t="inlineStr">
        <is>
          <t>Working card</t>
        </is>
      </c>
      <c r="D104" t="inlineStr">
        <is>
          <t>S163</t>
        </is>
      </c>
      <c r="E104" t="inlineStr">
        <is>
          <t>lines 4280-4335</t>
        </is>
      </c>
      <c r="F104" t="inlineStr">
        <is>
          <t>Harmonized source formulation — production trial required</t>
        </is>
      </c>
      <c r="G104" t="inlineStr">
        <is>
          <t>Retain the specified source formula because its ingredients, process and component routing are more explicit than the earlier drafts. Replace obsolete costs; use Nevada for the named instant yeast at the stated trial dose. Keep true butter, skim powder, whole powder and sweetened condensed milk specifications separate from the owner’s stocked substitutes.</t>
        </is>
      </c>
    </row>
    <row r="105">
      <c r="A105" t="inlineStr">
        <is>
          <t>M1-B01</t>
        </is>
      </c>
      <c r="B105" t="inlineStr">
        <is>
          <t>Standard English block bread</t>
        </is>
      </c>
      <c r="C105" t="inlineStr">
        <is>
          <t>Working card</t>
        </is>
      </c>
      <c r="D105" t="inlineStr">
        <is>
          <t>S016</t>
        </is>
      </c>
      <c r="E105" t="inlineStr">
        <is>
          <t>recipe B01</t>
        </is>
      </c>
      <c r="F105" t="inlineStr">
        <is>
          <t>Retained Module 1 formulation — production trial required</t>
        </is>
      </c>
      <c r="G105" t="inlineStr">
        <is>
          <t>Preserve this owner-priced v0.2 recipe as a distinct variant. New cost audit includes every ingredient; no unmeasured operating expense is assumed to be zero.</t>
        </is>
      </c>
    </row>
    <row r="106">
      <c r="A106" t="inlineStr">
        <is>
          <t>M1-B02</t>
        </is>
      </c>
      <c r="B106" t="inlineStr">
        <is>
          <t>Golden milk loaf</t>
        </is>
      </c>
      <c r="C106" t="inlineStr">
        <is>
          <t>Working card</t>
        </is>
      </c>
      <c r="D106" t="inlineStr">
        <is>
          <t>S016</t>
        </is>
      </c>
      <c r="E106" t="inlineStr">
        <is>
          <t>recipe B02</t>
        </is>
      </c>
      <c r="F106" t="inlineStr">
        <is>
          <t>Retained Module 1 formulation — production trial required</t>
        </is>
      </c>
      <c r="G106" t="inlineStr">
        <is>
          <t>Preserve this owner-priced v0.2 recipe as a distinct variant. New cost audit includes every ingredient; no unmeasured operating expense is assumed to be zero.</t>
        </is>
      </c>
    </row>
    <row r="107">
      <c r="A107" t="inlineStr">
        <is>
          <t>M1-B03</t>
        </is>
      </c>
      <c r="B107" t="inlineStr">
        <is>
          <t>Tea rolls with Roma margarine</t>
        </is>
      </c>
      <c r="C107" t="inlineStr">
        <is>
          <t>Working card</t>
        </is>
      </c>
      <c r="D107" t="inlineStr">
        <is>
          <t>S016</t>
        </is>
      </c>
      <c r="E107" t="inlineStr">
        <is>
          <t>recipe B03</t>
        </is>
      </c>
      <c r="F107" t="inlineStr">
        <is>
          <t>Retained Module 1 formulation — production trial required</t>
        </is>
      </c>
      <c r="G107" t="inlineStr">
        <is>
          <t>Preserve this owner-priced v0.2 recipe as a distinct variant. New cost audit includes every ingredient; no unmeasured operating expense is assumed to be zero.</t>
        </is>
      </c>
    </row>
    <row r="108">
      <c r="A108" t="inlineStr">
        <is>
          <t>M1-B04</t>
        </is>
      </c>
      <c r="B108" t="inlineStr">
        <is>
          <t>Sweet milk buns</t>
        </is>
      </c>
      <c r="C108" t="inlineStr">
        <is>
          <t>Working card</t>
        </is>
      </c>
      <c r="D108" t="inlineStr">
        <is>
          <t>S016</t>
        </is>
      </c>
      <c r="E108" t="inlineStr">
        <is>
          <t>recipe B04</t>
        </is>
      </c>
      <c r="F108" t="inlineStr">
        <is>
          <t>Retained Module 1 formulation — production trial required</t>
        </is>
      </c>
      <c r="G108" t="inlineStr">
        <is>
          <t>Preserve this owner-priced v0.2 recipe as a distinct variant. New cost audit includes every ingredient; no unmeasured operating expense is assumed to be zero.</t>
        </is>
      </c>
    </row>
    <row r="109">
      <c r="A109" t="inlineStr">
        <is>
          <t>M1-B05</t>
        </is>
      </c>
      <c r="B109" t="inlineStr">
        <is>
          <t>Coconut sweet buns</t>
        </is>
      </c>
      <c r="C109" t="inlineStr">
        <is>
          <t>Working card</t>
        </is>
      </c>
      <c r="D109" t="inlineStr">
        <is>
          <t>S016</t>
        </is>
      </c>
      <c r="E109" t="inlineStr">
        <is>
          <t>recipe B05</t>
        </is>
      </c>
      <c r="F109" t="inlineStr">
        <is>
          <t>Retained Module 1 formulation — production trial required</t>
        </is>
      </c>
      <c r="G109" t="inlineStr">
        <is>
          <t>Preserve this owner-priced v0.2 recipe as a distinct variant. New cost audit includes every ingredient; no unmeasured operating expense is assumed to be zero.</t>
        </is>
      </c>
    </row>
    <row r="110">
      <c r="A110" t="inlineStr">
        <is>
          <t>M1-B06</t>
        </is>
      </c>
      <c r="B110" t="inlineStr">
        <is>
          <t>Raisin milk buns</t>
        </is>
      </c>
      <c r="C110" t="inlineStr">
        <is>
          <t>Working card</t>
        </is>
      </c>
      <c r="D110" t="inlineStr">
        <is>
          <t>S016</t>
        </is>
      </c>
      <c r="E110" t="inlineStr">
        <is>
          <t>recipe B06</t>
        </is>
      </c>
      <c r="F110" t="inlineStr">
        <is>
          <t>Retained Module 1 formulation — production trial required</t>
        </is>
      </c>
      <c r="G110" t="inlineStr">
        <is>
          <t>Preserve this owner-priced v0.2 recipe as a distinct variant. New cost audit includes every ingredient; no unmeasured operating expense is assumed to be zero.</t>
        </is>
      </c>
    </row>
    <row r="111">
      <c r="A111" t="inlineStr">
        <is>
          <t>M1-B07</t>
        </is>
      </c>
      <c r="B111" t="inlineStr">
        <is>
          <t>Cinnamon milk buns</t>
        </is>
      </c>
      <c r="C111" t="inlineStr">
        <is>
          <t>Working card</t>
        </is>
      </c>
      <c r="D111" t="inlineStr">
        <is>
          <t>S016</t>
        </is>
      </c>
      <c r="E111" t="inlineStr">
        <is>
          <t>recipe B07</t>
        </is>
      </c>
      <c r="F111" t="inlineStr">
        <is>
          <t>Retained Module 1 formulation — production trial required</t>
        </is>
      </c>
      <c r="G111" t="inlineStr">
        <is>
          <t>Preserve this owner-priced v0.2 recipe as a distinct variant. New cost audit includes every ingredient; no unmeasured operating expense is assumed to be zero.</t>
        </is>
      </c>
    </row>
    <row r="112">
      <c r="A112" t="inlineStr">
        <is>
          <t>M1-B08</t>
        </is>
      </c>
      <c r="B112" t="inlineStr">
        <is>
          <t>Baked garlic and herb bread</t>
        </is>
      </c>
      <c r="C112" t="inlineStr">
        <is>
          <t>Working card</t>
        </is>
      </c>
      <c r="D112" t="inlineStr">
        <is>
          <t>S016</t>
        </is>
      </c>
      <c r="E112" t="inlineStr">
        <is>
          <t>recipe B08</t>
        </is>
      </c>
      <c r="F112" t="inlineStr">
        <is>
          <t>Retained Module 1 formulation — production trial required</t>
        </is>
      </c>
      <c r="G112" t="inlineStr">
        <is>
          <t>Preserve this owner-priced v0.2 recipe as a distinct variant. New cost audit includes every ingredient; no unmeasured operating expense is assumed to be zero.</t>
        </is>
      </c>
    </row>
    <row r="113">
      <c r="A113" t="inlineStr">
        <is>
          <t>M1-B09</t>
        </is>
      </c>
      <c r="B113" t="inlineStr">
        <is>
          <t>Soft burger buns</t>
        </is>
      </c>
      <c r="C113" t="inlineStr">
        <is>
          <t>Working card</t>
        </is>
      </c>
      <c r="D113" t="inlineStr">
        <is>
          <t>S016</t>
        </is>
      </c>
      <c r="E113" t="inlineStr">
        <is>
          <t>recipe B09</t>
        </is>
      </c>
      <c r="F113" t="inlineStr">
        <is>
          <t>Retained Module 1 formulation — production trial required</t>
        </is>
      </c>
      <c r="G113" t="inlineStr">
        <is>
          <t>Preserve this owner-priced v0.2 recipe as a distinct variant. New cost audit includes every ingredient; no unmeasured operating expense is assumed to be zero.</t>
        </is>
      </c>
    </row>
    <row r="114">
      <c r="A114" t="inlineStr">
        <is>
          <t>M1-B10</t>
        </is>
      </c>
      <c r="B114" t="inlineStr">
        <is>
          <t>Soft shawarma flatbreads</t>
        </is>
      </c>
      <c r="C114" t="inlineStr">
        <is>
          <t>Working card</t>
        </is>
      </c>
      <c r="D114" t="inlineStr">
        <is>
          <t>S016</t>
        </is>
      </c>
      <c r="E114" t="inlineStr">
        <is>
          <t>recipe B10</t>
        </is>
      </c>
      <c r="F114" t="inlineStr">
        <is>
          <t>Retained Module 1 formulation — production trial required</t>
        </is>
      </c>
      <c r="G114" t="inlineStr">
        <is>
          <t>Preserve this owner-priced v0.2 recipe as a distinct variant. New cost audit includes every ingredient; no unmeasured operating expense is assumed to be zero.</t>
        </is>
      </c>
    </row>
    <row r="115">
      <c r="A115" t="inlineStr">
        <is>
          <t>M1-B11</t>
        </is>
      </c>
      <c r="B115" t="inlineStr">
        <is>
          <t>Small sandwich rolls</t>
        </is>
      </c>
      <c r="C115" t="inlineStr">
        <is>
          <t>Working card</t>
        </is>
      </c>
      <c r="D115" t="inlineStr">
        <is>
          <t>S016</t>
        </is>
      </c>
      <c r="E115" t="inlineStr">
        <is>
          <t>recipe B11</t>
        </is>
      </c>
      <c r="F115" t="inlineStr">
        <is>
          <t>Retained Module 1 formulation — production trial required</t>
        </is>
      </c>
      <c r="G115" t="inlineStr">
        <is>
          <t>Preserve this owner-priced v0.2 recipe as a distinct variant. New cost audit includes every ingredient; no unmeasured operating expense is assumed to be zero.</t>
        </is>
      </c>
    </row>
    <row r="116">
      <c r="A116" t="inlineStr">
        <is>
          <t>M1-B12</t>
        </is>
      </c>
      <c r="B116" t="inlineStr">
        <is>
          <t>French-style poolish baguettes</t>
        </is>
      </c>
      <c r="C116" t="inlineStr">
        <is>
          <t>Working card</t>
        </is>
      </c>
      <c r="D116" t="inlineStr">
        <is>
          <t>S016</t>
        </is>
      </c>
      <c r="E116" t="inlineStr">
        <is>
          <t>recipe B12</t>
        </is>
      </c>
      <c r="F116" t="inlineStr">
        <is>
          <t>Retained Module 1 formulation — production trial required</t>
        </is>
      </c>
      <c r="G116" t="inlineStr">
        <is>
          <t>Preserve this owner-priced v0.2 recipe as a distinct variant. New cost audit includes every ingredient; no unmeasured operating expense is assumed to be zero.</t>
        </is>
      </c>
    </row>
    <row r="117">
      <c r="A117" t="inlineStr">
        <is>
          <t>M1-B13</t>
        </is>
      </c>
      <c r="B117" t="inlineStr">
        <is>
          <t>Soft baguette-style bread</t>
        </is>
      </c>
      <c r="C117" t="inlineStr">
        <is>
          <t>Working card</t>
        </is>
      </c>
      <c r="D117" t="inlineStr">
        <is>
          <t>S016</t>
        </is>
      </c>
      <c r="E117" t="inlineStr">
        <is>
          <t>recipe B13</t>
        </is>
      </c>
      <c r="F117" t="inlineStr">
        <is>
          <t>Retained Module 1 formulation — production trial required</t>
        </is>
      </c>
      <c r="G117" t="inlineStr">
        <is>
          <t>Preserve this owner-priced v0.2 recipe as a distinct variant. New cost audit includes every ingredient; no unmeasured operating expense is assumed to be zero.</t>
        </is>
      </c>
    </row>
    <row r="118">
      <c r="A118" t="inlineStr">
        <is>
          <t>T01</t>
        </is>
      </c>
      <c r="B118" t="inlineStr">
        <is>
          <t>Rolled and cut cake doughnuts</t>
        </is>
      </c>
      <c r="C118" t="inlineStr">
        <is>
          <t>Working card</t>
        </is>
      </c>
      <c r="D118" t="inlineStr">
        <is>
          <t>S163 T01 and owner clarification 8 October 2026</t>
        </is>
      </c>
      <c r="E118" t="inlineStr">
        <is>
          <t>named source section / workbook sheet</t>
        </is>
      </c>
      <c r="F118" t="inlineStr">
        <is>
          <t>HOLD; EDC unidentified</t>
        </is>
      </c>
      <c r="G118" t="inlineStr">
        <is>
          <t>The source lists 1,000 g workbook butter and 10 g EDC per 6 kg flour. Roma margarine is 166.6667 g and EDC is 1.6667 g per 1 kg flour. The EDC amount is historical evidence, not an approved dose. EDC is not butter and must not be treated or priced as margarine. Its identity, specification, permitted application, dose and purchase price remain unresolved. Keep EDC as a separate historical ingredient and hold affected formulas until it is identified. The earlier owner-workbook butter-to-margarine instruction remains separate; true dairy butter in independent recipes retains its specification. Milk tantalizer and improver remain omitted from revised recipes.</t>
        </is>
      </c>
    </row>
    <row r="119">
      <c r="A119" t="inlineStr">
        <is>
          <t>H01</t>
        </is>
      </c>
      <c r="B119" t="inlineStr">
        <is>
          <t>Agege style soft loaf</t>
        </is>
      </c>
      <c r="C119" t="inlineStr">
        <is>
          <t>Working card</t>
        </is>
      </c>
      <c r="D119" t="inlineStr">
        <is>
          <t>S163 V01; S003 Agege section</t>
        </is>
      </c>
      <c r="E119" t="inlineStr">
        <is>
          <t>named source section / workbook sheet</t>
        </is>
      </c>
      <c r="F119" t="inlineStr">
        <is>
          <t>Proposed adaptation — trial required</t>
        </is>
      </c>
      <c r="G119" t="inlineStr">
        <is>
          <t>Select fixed points within the archived ranges; salt set at 1.8% and instant yeast at 1.2%. Improver omitted. This preserves the sweet, close-crumb style without assuming improver-driven keeping quality.</t>
        </is>
      </c>
    </row>
    <row r="120">
      <c r="A120" t="inlineStr">
        <is>
          <t>H02</t>
        </is>
      </c>
      <c r="B120" t="inlineStr">
        <is>
          <t>Tangzhong milk loaf</t>
        </is>
      </c>
      <c r="C120" t="inlineStr">
        <is>
          <t>Working card</t>
        </is>
      </c>
      <c r="D120" t="inlineStr">
        <is>
          <t>S163 V01; S081 Japanese milk bread</t>
        </is>
      </c>
      <c r="E120" t="inlineStr">
        <is>
          <t>named source section / workbook sheet</t>
        </is>
      </c>
      <c r="F120" t="inlineStr">
        <is>
          <t>Proposed adaptation — trial required</t>
        </is>
      </c>
      <c r="G120" t="inlineStr">
        <is>
          <t>Resolve the archived double-counted roux liquid by counting every gram of roux flour and water inside the total. This is a new Millac and Roma adaptation, not an assertion that fat-filled powder equals whole milk.</t>
        </is>
      </c>
    </row>
    <row r="121">
      <c r="A121" t="inlineStr">
        <is>
          <t>H03</t>
        </is>
      </c>
      <c r="B121" t="inlineStr">
        <is>
          <t>Open crumb ciabatta</t>
        </is>
      </c>
      <c r="C121" t="inlineStr">
        <is>
          <t>Working card</t>
        </is>
      </c>
      <c r="D121" t="inlineStr">
        <is>
          <t>S081 ciabatta recipe</t>
        </is>
      </c>
      <c r="E121" t="inlineStr">
        <is>
          <t>named source section / workbook sheet</t>
        </is>
      </c>
      <c r="F121" t="inlineStr">
        <is>
          <t>Proposed adaptation — trial required</t>
        </is>
      </c>
      <c r="G121" t="inlineStr">
        <is>
          <t>Retain a distinct high-hydration style. Fix water at 78% for the first flour trial; do not force this dough through the moulder. Small bowls may be more suitable than the large spiral mixer.</t>
        </is>
      </c>
    </row>
    <row r="122">
      <c r="A122" t="inlineStr">
        <is>
          <t>H04</t>
        </is>
      </c>
      <c r="B122" t="inlineStr">
        <is>
          <t>Fifty percent whole wheat loaf</t>
        </is>
      </c>
      <c r="C122" t="inlineStr">
        <is>
          <t>Working card</t>
        </is>
      </c>
      <c r="D122" t="inlineStr">
        <is>
          <t>S163 V02 whole wheat loaf</t>
        </is>
      </c>
      <c r="E122" t="inlineStr">
        <is>
          <t>named source section / workbook sheet</t>
        </is>
      </c>
      <c r="F122" t="inlineStr">
        <is>
          <t>Proposed adaptation — trial required</t>
        </is>
      </c>
      <c r="G122" t="inlineStr">
        <is>
          <t>Choose honey explicitly from the archived honey/molasses alternative. No optional seeds are included. Keep this separate from the archived 60% whole-wheat version.</t>
        </is>
      </c>
    </row>
    <row r="123">
      <c r="A123" t="inlineStr">
        <is>
          <t>H05</t>
        </is>
      </c>
      <c r="B123" t="inlineStr">
        <is>
          <t>Danisa style margarine biscuits</t>
        </is>
      </c>
      <c r="C123" t="inlineStr">
        <is>
          <t>Working card</t>
        </is>
      </c>
      <c r="D123" t="inlineStr">
        <is>
          <t>S132 Danisa biscuits C5:D14; S096</t>
        </is>
      </c>
      <c r="E123" t="inlineStr">
        <is>
          <t>named source section / workbook sheet</t>
        </is>
      </c>
      <c r="F123" t="inlineStr">
        <is>
          <t>HOLD; EDC unidentified</t>
        </is>
      </c>
      <c r="G123" t="inlineStr">
        <is>
          <t>S132 Danisa lists 9,000 g workbook butter and 50 g EDC per 18 kg flour. Roma margarine is 500 g and EDC is 2.7778 g per 1 kg flour. Other rounded H2 inputs are retained. The former 503 g margarine combined and rounded two different ingredients. EDC is not butter and must not be treated or priced as margarine. Its identity, specification, permitted application, dose and purchase price remain unresolved. Keep EDC as a separate historical ingredient and hold affected formulas until it is identified. The earlier owner-workbook butter-to-margarine instruction remains separate; true dairy butter in independent recipes retains its specification. Milk tantalizer and improver remain omitted from revised recipes.</t>
        </is>
      </c>
    </row>
    <row r="124">
      <c r="A124" t="inlineStr">
        <is>
          <t>H06</t>
        </is>
      </c>
      <c r="B124" t="inlineStr">
        <is>
          <t>Melto short margarine biscuits</t>
        </is>
      </c>
      <c r="C124" t="inlineStr">
        <is>
          <t>Working card</t>
        </is>
      </c>
      <c r="D124" t="inlineStr">
        <is>
          <t>S132 Melto C5:D10; compare Melto1</t>
        </is>
      </c>
      <c r="E124" t="inlineStr">
        <is>
          <t>named source section / workbook sheet</t>
        </is>
      </c>
      <c r="F124" t="inlineStr">
        <is>
          <t>Proposed adaptation — trial required</t>
        </is>
      </c>
      <c r="G124" t="inlineStr">
        <is>
          <t>Keep Melto and Melto1 source ratios separately in the legacy register. This trial follows Melto, combines practical rounded quantities and reduces salt from about 8.9 to 6 g/kg flour for a less salty biscuit.</t>
        </is>
      </c>
    </row>
    <row r="125">
      <c r="A125" t="inlineStr">
        <is>
          <t>H07</t>
        </is>
      </c>
      <c r="B125" t="inlineStr">
        <is>
          <t>Milk shortbread biscuits</t>
        </is>
      </c>
      <c r="C125" t="inlineStr">
        <is>
          <t>Working card</t>
        </is>
      </c>
      <c r="D125" t="inlineStr">
        <is>
          <t>S132 Short bread C5:D12</t>
        </is>
      </c>
      <c r="E125" t="inlineStr">
        <is>
          <t>named source section / workbook sheet</t>
        </is>
      </c>
      <c r="F125" t="inlineStr">
        <is>
          <t>Proposed adaptation — trial required</t>
        </is>
      </c>
      <c r="G125" t="inlineStr">
        <is>
          <t>The original salt is 150 g per 2 kg flour, an implausible 7.5%. Reduce to 0.6%; replace ambiguous milk with a specified powder-and-water trial. These are deliberate recipe changes requiring tasting.</t>
        </is>
      </c>
    </row>
    <row r="126">
      <c r="A126" t="inlineStr">
        <is>
          <t>H08</t>
        </is>
      </c>
      <c r="B126" t="inlineStr">
        <is>
          <t>Marble pound cake</t>
        </is>
      </c>
      <c r="C126" t="inlineStr">
        <is>
          <t>Working card</t>
        </is>
      </c>
      <c r="D126" t="inlineStr">
        <is>
          <t>S163 V02 pound cake; S132 cake marbre</t>
        </is>
      </c>
      <c r="E126" t="inlineStr">
        <is>
          <t>named source section / workbook sheet</t>
        </is>
      </c>
      <c r="F126" t="inlineStr">
        <is>
          <t>Proposed adaptation — trial required</t>
        </is>
      </c>
      <c r="G126" t="inlineStr">
        <is>
          <t>Select a coherent equal-weight pound-cake base from V02 instead of averaging the highly diluted workbook marble formula. Cocoa and its water are explicit additions. Local flour strength and tin depth require tests.</t>
        </is>
      </c>
    </row>
    <row r="127">
      <c r="A127" t="inlineStr">
        <is>
          <t>H09</t>
        </is>
      </c>
      <c r="B127" t="inlineStr">
        <is>
          <t>Plain genoise sponge</t>
        </is>
      </c>
      <c r="C127" t="inlineStr">
        <is>
          <t>Working card</t>
        </is>
      </c>
      <c r="D127" t="inlineStr">
        <is>
          <t>S046 GENOISE; S132 cake family</t>
        </is>
      </c>
      <c r="E127" t="inlineStr">
        <is>
          <t>named source section / workbook sheet</t>
        </is>
      </c>
      <c r="F127" t="inlineStr">
        <is>
          <t>Proposed adaptation — trial required</t>
        </is>
      </c>
      <c r="G127" t="inlineStr">
        <is>
          <t>Preserve the flour/egg/sugar ratio of the GENOISE sheet. Omit its 45 g nutmeg per kg flour and specify a small vanilla dose instead; this changes flavour, not the sponge structure.</t>
        </is>
      </c>
    </row>
    <row r="128">
      <c r="A128" t="inlineStr">
        <is>
          <t>H10</t>
        </is>
      </c>
      <c r="B128" t="inlineStr">
        <is>
          <t>Crisp chin chin</t>
        </is>
      </c>
      <c r="C128" t="inlineStr">
        <is>
          <t>Working card</t>
        </is>
      </c>
      <c r="D128" t="inlineStr">
        <is>
          <t>S132 Best Chinchin and Chinchin; S163 V04/V05</t>
        </is>
      </c>
      <c r="E128" t="inlineStr">
        <is>
          <t>named source section / workbook sheet</t>
        </is>
      </c>
      <c r="F128" t="inlineStr">
        <is>
          <t>Proposed adaptation — trial required</t>
        </is>
      </c>
      <c r="G128" t="inlineStr">
        <is>
          <t>Separate oil in the dough from fryer charge. Use an explicit small-batch formula within the richer historical range; remove unidentified additives. Frying loss and absorption must be measured separately.</t>
        </is>
      </c>
    </row>
    <row r="129">
      <c r="A129" t="inlineStr">
        <is>
          <t>H11</t>
        </is>
      </c>
      <c r="B129" t="inlineStr">
        <is>
          <t>Cake style beignets souffles</t>
        </is>
      </c>
      <c r="C129" t="inlineStr">
        <is>
          <t>Working card</t>
        </is>
      </c>
      <c r="D129" t="inlineStr">
        <is>
          <t>S133 body ingredient list; S132 Beignet soufle</t>
        </is>
      </c>
      <c r="E129" t="inlineStr">
        <is>
          <t>named source section / workbook sheet</t>
        </is>
      </c>
      <c r="F129" t="inlineStr">
        <is>
          <t>Proposed adaptation — trial required</t>
        </is>
      </c>
      <c r="G129" t="inlineStr">
        <is>
          <t>Interpret the source’s “1 50g sugar” as 150 g per 500 g flour and flag it for checking. Five eggs are replaced by 250 g edible egg at that source scale; this is an explicit trial assumption. The litre of oil is a fryer charge, not batter mass.</t>
        </is>
      </c>
    </row>
    <row r="130">
      <c r="A130" t="inlineStr">
        <is>
          <t>H12</t>
        </is>
      </c>
      <c r="B130" t="inlineStr">
        <is>
          <t>Laminated croissants</t>
        </is>
      </c>
      <c r="C130" t="inlineStr">
        <is>
          <t>Working card</t>
        </is>
      </c>
      <c r="D130" t="inlineStr">
        <is>
          <t>S163 V02; S132 Croissant and Croissant new</t>
        </is>
      </c>
      <c r="E130" t="inlineStr">
        <is>
          <t>named source section / workbook sheet</t>
        </is>
      </c>
      <c r="F130" t="inlineStr">
        <is>
          <t>Proposed adaptation — trial required — equipment hold</t>
        </is>
      </c>
      <c r="G130" t="inlineStr">
        <is>
          <t>Choose a clearly separated 25% roll-in-fat formula. Roma bucket margarine is NOT assumed suitable for laminating. Hold this card until fat specification, chilled workspace and suitable rolling equipment are confirmed.</t>
        </is>
      </c>
    </row>
    <row r="131">
      <c r="A131" t="inlineStr">
        <is>
          <t>H13</t>
        </is>
      </c>
      <c r="B131" t="inlineStr">
        <is>
          <t>Chocolate laminated rolls</t>
        </is>
      </c>
      <c r="C131" t="inlineStr">
        <is>
          <t>Working card</t>
        </is>
      </c>
      <c r="D131" t="inlineStr">
        <is>
          <t>H12; S163 V02 pain au chocolat</t>
        </is>
      </c>
      <c r="E131" t="inlineStr">
        <is>
          <t>named source section / workbook sheet</t>
        </is>
      </c>
      <c r="F131" t="inlineStr">
        <is>
          <t>Proposed adaptation — trial required — equipment hold</t>
        </is>
      </c>
      <c r="G131" t="inlineStr">
        <is>
          <t>Make the archived 10–12 g chocolate range exact at 12 g and define 100 g dough per piece. This assembly does not introduce a second dough formula.</t>
        </is>
      </c>
    </row>
    <row r="132">
      <c r="A132" t="inlineStr">
        <is>
          <t>H14</t>
        </is>
      </c>
      <c r="B132" t="inlineStr">
        <is>
          <t>Local chocolate galette bread</t>
        </is>
      </c>
      <c r="C132" t="inlineStr">
        <is>
          <t>Working card</t>
        </is>
      </c>
      <c r="D132" t="inlineStr">
        <is>
          <t>S144 Galette Recipe; S132 Galette</t>
        </is>
      </c>
      <c r="E132" t="inlineStr">
        <is>
          <t>named source section / workbook sheet</t>
        </is>
      </c>
      <c r="F132" t="inlineStr">
        <is>
          <t>Proposed adaptation — trial required</t>
        </is>
      </c>
      <c r="G132" t="inlineStr">
        <is>
          <t>Retain the local galette name but identify this as a sweet bread, not French galette des rois. Increase source water from 30% to 45% and reduce both leaveners to 1% for a controlled first trial; original ratios remain archived.</t>
        </is>
      </c>
    </row>
    <row r="133">
      <c r="A133" t="inlineStr">
        <is>
          <t>H15</t>
        </is>
      </c>
      <c r="B133" t="inlineStr">
        <is>
          <t>Zebra chocolate milk loaf</t>
        </is>
      </c>
      <c r="C133" t="inlineStr">
        <is>
          <t>Working card</t>
        </is>
      </c>
      <c r="D133" t="inlineStr">
        <is>
          <t>S132 Zebree; B04 sweet milk buns</t>
        </is>
      </c>
      <c r="E133" t="inlineStr">
        <is>
          <t>named source section / workbook sheet</t>
        </is>
      </c>
      <c r="F133" t="inlineStr">
        <is>
          <t>Proposed adaptation — trial required</t>
        </is>
      </c>
      <c r="G133" t="inlineStr">
        <is>
          <t>Modernized visual variant; original Zebree chocolate type and swirl method are unspecified. Define cocoa, its added water and the split sequence. This is a proposed reformulation, not an exact reproduction.</t>
        </is>
      </c>
    </row>
    <row r="134">
      <c r="A134" t="inlineStr">
        <is>
          <t>H16</t>
        </is>
      </c>
      <c r="B134" t="inlineStr">
        <is>
          <t>Rosemary tray focaccia</t>
        </is>
      </c>
      <c r="C134" t="inlineStr">
        <is>
          <t>Working card</t>
        </is>
      </c>
      <c r="D134" t="inlineStr">
        <is>
          <t>S163 V03 focaccia development gap</t>
        </is>
      </c>
      <c r="E134" t="inlineStr">
        <is>
          <t>named source section / workbook sheet</t>
        </is>
      </c>
      <c r="F134" t="inlineStr">
        <is>
          <t>Proposed adaptation — trial required</t>
        </is>
      </c>
      <c r="G134" t="inlineStr">
        <is>
          <t>New development using the existing flour, yeast and oil range. It fills an explicit menu gap and provides a savoury shared-tray product without a chilled topping.</t>
        </is>
      </c>
    </row>
    <row r="135">
      <c r="A135" t="inlineStr">
        <is>
          <t>H17</t>
        </is>
      </c>
      <c r="B135" t="inlineStr">
        <is>
          <t>Thin plantain chips</t>
        </is>
      </c>
      <c r="C135" t="inlineStr">
        <is>
          <t>Working card</t>
        </is>
      </c>
      <c r="D135" t="inlineStr">
        <is>
          <t>S059 plantain chips guide</t>
        </is>
      </c>
      <c r="E135" t="inlineStr">
        <is>
          <t>named source section / workbook sheet</t>
        </is>
      </c>
      <c r="F135" t="inlineStr">
        <is>
          <t>Proposed adaptation — trial required</t>
        </is>
      </c>
      <c r="G135" t="inlineStr">
        <is>
          <t>Retain a locally relevant snack from the discovered guide. The 55% raw-to-fried mass loss is only a costing trial allowance before separately measured oil uptake.</t>
        </is>
      </c>
    </row>
    <row r="136">
      <c r="A136" t="inlineStr">
        <is>
          <t>H18</t>
        </is>
      </c>
      <c r="B136" t="inlineStr">
        <is>
          <t>Caramelized onion and cheese filling</t>
        </is>
      </c>
      <c r="C136" t="inlineStr">
        <is>
          <t>Working card</t>
        </is>
      </c>
      <c r="D136" t="inlineStr">
        <is>
          <t>S050 PDF page 2 OCR visually checked</t>
        </is>
      </c>
      <c r="E136" t="inlineStr">
        <is>
          <t>named source section / workbook sheet</t>
        </is>
      </c>
      <c r="F136" t="inlineStr">
        <is>
          <t>Proposed adaptation — trial required</t>
        </is>
      </c>
      <c r="G136" t="inlineStr">
        <is>
          <t>Convert vague onions and spoon measures to explicit proposed masses, preserving the caramelized onion and Gruyere character. Chilled storage and controlled cooling added.</t>
        </is>
      </c>
    </row>
    <row r="137">
      <c r="A137" t="inlineStr">
        <is>
          <t>H19</t>
        </is>
      </c>
      <c r="B137" t="inlineStr">
        <is>
          <t>Vanilla pastry cream</t>
        </is>
      </c>
      <c r="C137" t="inlineStr">
        <is>
          <t>Working card</t>
        </is>
      </c>
      <c r="D137" t="inlineStr">
        <is>
          <t>S050 PDF page 3 OCR visually checked</t>
        </is>
      </c>
      <c r="E137" t="inlineStr">
        <is>
          <t>named source section / workbook sheet</t>
        </is>
      </c>
      <c r="F137" t="inlineStr">
        <is>
          <t>Proposed adaptation — trial required</t>
        </is>
      </c>
      <c r="G137" t="inlineStr">
        <is>
          <t>Replace four yolks by a specified 80 g pasteurized yolk mass and the vanilla bean by 2 g extract. Preserve real dairy butter as a separate professional formula; it is not the workbook margarine alias.</t>
        </is>
      </c>
    </row>
    <row r="138">
      <c r="A138" t="inlineStr">
        <is>
          <t>H20</t>
        </is>
      </c>
      <c r="B138" t="inlineStr">
        <is>
          <t>Honey oat and groundnut granola</t>
        </is>
      </c>
      <c r="C138" t="inlineStr">
        <is>
          <t>Working card</t>
        </is>
      </c>
      <c r="D138" t="inlineStr">
        <is>
          <t>S179 PDF pages 21–22; new fixed-mass adaptation</t>
        </is>
      </c>
      <c r="E138" t="inlineStr">
        <is>
          <t>named source section / workbook sheet</t>
        </is>
      </c>
      <c r="F138" t="inlineStr">
        <is>
          <t>Proposed adaptation — trial required</t>
        </is>
      </c>
      <c r="G138" t="inlineStr">
        <is>
          <t>A small complementary dry topping from the yogurt collection, with every ingredient weighed. Any longer life needs water-activity and packaging evidence. No health or high-protein claim is made.</t>
        </is>
      </c>
    </row>
    <row r="139">
      <c r="A139" t="inlineStr">
        <is>
          <t>L001</t>
        </is>
      </c>
      <c r="B139" t="inlineStr">
        <is>
          <t>Baguette AI</t>
        </is>
      </c>
      <c r="C139" t="inlineStr">
        <is>
          <t>Workbook ratio variant</t>
        </is>
      </c>
      <c r="D139" t="inlineStr">
        <is>
          <t>S132</t>
        </is>
      </c>
      <c r="E139" t="inlineStr">
        <is>
          <t>Baguette AI column D</t>
        </is>
      </c>
      <c r="F139" t="inlineStr">
        <is>
          <t>Held; proposed numerical revision</t>
        </is>
      </c>
      <c r="G139" t="inlineStr">
        <is>
          <t>M1-B12 / M1-B13 / S-B01; method, portion, losses and actual successful trial record not established by spreadsheet quantities alone</t>
        </is>
      </c>
    </row>
    <row r="140">
      <c r="A140" t="inlineStr">
        <is>
          <t>L002</t>
        </is>
      </c>
      <c r="B140" t="inlineStr">
        <is>
          <t>Baguette AI</t>
        </is>
      </c>
      <c r="C140" t="inlineStr">
        <is>
          <t>Workbook ratio variant</t>
        </is>
      </c>
      <c r="D140" t="inlineStr">
        <is>
          <t>S132</t>
        </is>
      </c>
      <c r="E140" t="inlineStr">
        <is>
          <t>Baguette AI column F</t>
        </is>
      </c>
      <c r="F140" t="inlineStr">
        <is>
          <t>Held; proposed numerical revision</t>
        </is>
      </c>
      <c r="G140" t="inlineStr">
        <is>
          <t>M1-B12 / M1-B13 / S-B01; method, portion, losses and actual successful trial record not established by spreadsheet quantities alone</t>
        </is>
      </c>
    </row>
    <row r="141">
      <c r="A141" t="inlineStr">
        <is>
          <t>L003</t>
        </is>
      </c>
      <c r="B141" t="inlineStr">
        <is>
          <t>Banh Mi</t>
        </is>
      </c>
      <c r="C141" t="inlineStr">
        <is>
          <t>Workbook ratio variant</t>
        </is>
      </c>
      <c r="D141" t="inlineStr">
        <is>
          <t>S132</t>
        </is>
      </c>
      <c r="E141" t="inlineStr">
        <is>
          <t>Banh Mi column D</t>
        </is>
      </c>
      <c r="F141" t="inlineStr">
        <is>
          <t>Held; proposed numerical revision</t>
        </is>
      </c>
      <c r="G141" t="inlineStr">
        <is>
          <t>M1-B13; distinct Banh Mi trial remains open; method, portion, losses and actual successful trial record not established by spreadsheet quantities alone</t>
        </is>
      </c>
    </row>
    <row r="142">
      <c r="A142" t="inlineStr">
        <is>
          <t>L004</t>
        </is>
      </c>
      <c r="B142" t="inlineStr">
        <is>
          <t>Beignet soufle</t>
        </is>
      </c>
      <c r="C142" t="inlineStr">
        <is>
          <t>Workbook ratio variant</t>
        </is>
      </c>
      <c r="D142" t="inlineStr">
        <is>
          <t>S132</t>
        </is>
      </c>
      <c r="E142" t="inlineStr">
        <is>
          <t>Beignet soufle column D</t>
        </is>
      </c>
      <c r="F142" t="inlineStr">
        <is>
          <t>HOLD; EDC unidentified</t>
        </is>
      </c>
      <c r="G142" t="inlineStr">
        <is>
          <t>H11; milk requires identity/specification; method, portion, losses and actual successful trial record not established by spreadsheet quantities alone H3: EDC separate and unpriced; prior margarine interpretation superseded.</t>
        </is>
      </c>
    </row>
    <row r="143">
      <c r="A143" t="inlineStr">
        <is>
          <t>L005</t>
        </is>
      </c>
      <c r="B143" t="inlineStr">
        <is>
          <t>Beignet soufle</t>
        </is>
      </c>
      <c r="C143" t="inlineStr">
        <is>
          <t>Workbook ratio variant</t>
        </is>
      </c>
      <c r="D143" t="inlineStr">
        <is>
          <t>S132</t>
        </is>
      </c>
      <c r="E143" t="inlineStr">
        <is>
          <t>Beignet soufle column H</t>
        </is>
      </c>
      <c r="F143" t="inlineStr">
        <is>
          <t>HOLD; EDC unidentified</t>
        </is>
      </c>
      <c r="G143" t="inlineStr">
        <is>
          <t>H11; milk requires identity/specification; method, portion, losses and actual successful trial record not established by spreadsheet quantities alone H3: EDC separate and unpriced; prior margarine interpretation superseded.</t>
        </is>
      </c>
    </row>
    <row r="144">
      <c r="A144" t="inlineStr">
        <is>
          <t>L006</t>
        </is>
      </c>
      <c r="B144" t="inlineStr">
        <is>
          <t>Best Chinchin</t>
        </is>
      </c>
      <c r="C144" t="inlineStr">
        <is>
          <t>Workbook ratio variant</t>
        </is>
      </c>
      <c r="D144" t="inlineStr">
        <is>
          <t>S132</t>
        </is>
      </c>
      <c r="E144" t="inlineStr">
        <is>
          <t>Best Chinchin column D</t>
        </is>
      </c>
      <c r="F144" t="inlineStr">
        <is>
          <t>Held; proposed numerical revision</t>
        </is>
      </c>
      <c r="G144" t="inlineStr">
        <is>
          <t>H10; separate recipe oil, retained frying oil and fryer charge; current source mass is not edible yield; method, portion, losses and actual successful trial record not established by spreadsheet quantities alone</t>
        </is>
      </c>
    </row>
    <row r="145">
      <c r="A145" t="inlineStr">
        <is>
          <t>L007</t>
        </is>
      </c>
      <c r="B145" t="inlineStr">
        <is>
          <t>Best Chinchin</t>
        </is>
      </c>
      <c r="C145" t="inlineStr">
        <is>
          <t>Workbook ratio variant</t>
        </is>
      </c>
      <c r="D145" t="inlineStr">
        <is>
          <t>S132</t>
        </is>
      </c>
      <c r="E145" t="inlineStr">
        <is>
          <t>Best Chinchin column H</t>
        </is>
      </c>
      <c r="F145" t="inlineStr">
        <is>
          <t>Held; proposed numerical revision</t>
        </is>
      </c>
      <c r="G145" t="inlineStr">
        <is>
          <t>H10; separate recipe oil, retained frying oil and fryer charge; current source mass is not edible yield; method, portion, losses and actual successful trial record not established by spreadsheet quantities alone</t>
        </is>
      </c>
    </row>
    <row r="146">
      <c r="A146" t="inlineStr">
        <is>
          <t>L008</t>
        </is>
      </c>
      <c r="B146" t="inlineStr">
        <is>
          <t>Brioche Professionel</t>
        </is>
      </c>
      <c r="C146" t="inlineStr">
        <is>
          <t>Workbook ratio variant</t>
        </is>
      </c>
      <c r="D146" t="inlineStr">
        <is>
          <t>S132</t>
        </is>
      </c>
      <c r="E146" t="inlineStr">
        <is>
          <t>Brioche Professionel column D</t>
        </is>
      </c>
      <c r="F146" t="inlineStr">
        <is>
          <t>Held; proposed numerical revision</t>
        </is>
      </c>
      <c r="G146" t="inlineStr">
        <is>
          <t>S-B06; richer true-butter variant; conc milk requires identity/specification; method, portion, losses and actual successful trial record not established by spreadsheet quantities alone</t>
        </is>
      </c>
    </row>
    <row r="147">
      <c r="A147" t="inlineStr">
        <is>
          <t>L009</t>
        </is>
      </c>
      <c r="B147" t="inlineStr">
        <is>
          <t>CAKE NOW</t>
        </is>
      </c>
      <c r="C147" t="inlineStr">
        <is>
          <t>Workbook ratio variant</t>
        </is>
      </c>
      <c r="D147" t="inlineStr">
        <is>
          <t>S132</t>
        </is>
      </c>
      <c r="E147" t="inlineStr">
        <is>
          <t>CAKE NOW column D</t>
        </is>
      </c>
      <c r="F147" t="inlineStr">
        <is>
          <t>Held; proposed numerical revision</t>
        </is>
      </c>
      <c r="G147" t="inlineStr">
        <is>
          <t>H08 / H09; exact style differs; method, portion, losses and actual successful trial record not established by spreadsheet quantities alone</t>
        </is>
      </c>
    </row>
    <row r="148">
      <c r="A148" t="inlineStr">
        <is>
          <t>L010</t>
        </is>
      </c>
      <c r="B148" t="inlineStr">
        <is>
          <t>Cake Prof</t>
        </is>
      </c>
      <c r="C148" t="inlineStr">
        <is>
          <t>Workbook ratio variant</t>
        </is>
      </c>
      <c r="D148" t="inlineStr">
        <is>
          <t>S132</t>
        </is>
      </c>
      <c r="E148" t="inlineStr">
        <is>
          <t>Cake Prof column D</t>
        </is>
      </c>
      <c r="F148" t="inlineStr">
        <is>
          <t>Held; proposed numerical revision</t>
        </is>
      </c>
      <c r="G148" t="inlineStr">
        <is>
          <t>H08 / H09; exact style differs; method, portion, losses and actual successful trial record not established by spreadsheet quantities alone</t>
        </is>
      </c>
    </row>
    <row r="149">
      <c r="A149" t="inlineStr">
        <is>
          <t>L011</t>
        </is>
      </c>
      <c r="B149" t="inlineStr">
        <is>
          <t>Cake Prof</t>
        </is>
      </c>
      <c r="C149" t="inlineStr">
        <is>
          <t>Workbook ratio variant</t>
        </is>
      </c>
      <c r="D149" t="inlineStr">
        <is>
          <t>S132</t>
        </is>
      </c>
      <c r="E149" t="inlineStr">
        <is>
          <t>Cake Prof column H</t>
        </is>
      </c>
      <c r="F149" t="inlineStr">
        <is>
          <t>Held; proposed numerical revision</t>
        </is>
      </c>
      <c r="G149" t="inlineStr">
        <is>
          <t>H08 / H09; exact style differs; method, portion, losses and actual successful trial record not established by spreadsheet quantities alone</t>
        </is>
      </c>
    </row>
    <row r="150">
      <c r="A150" t="inlineStr">
        <is>
          <t>L012</t>
        </is>
      </c>
      <c r="B150" t="inlineStr">
        <is>
          <t>Chinchin</t>
        </is>
      </c>
      <c r="C150" t="inlineStr">
        <is>
          <t>Workbook ratio variant</t>
        </is>
      </c>
      <c r="D150" t="inlineStr">
        <is>
          <t>S132</t>
        </is>
      </c>
      <c r="E150" t="inlineStr">
        <is>
          <t>Chinchin column D</t>
        </is>
      </c>
      <c r="F150" t="inlineStr">
        <is>
          <t>Held; proposed numerical revision</t>
        </is>
      </c>
      <c r="G150" t="inlineStr">
        <is>
          <t>H10; separate recipe oil, retained frying oil and fryer charge; current source mass is not edible yield; method, portion, losses and actual successful trial record not established by spreadsheet quantities alone</t>
        </is>
      </c>
    </row>
    <row r="151">
      <c r="A151" t="inlineStr">
        <is>
          <t>L013</t>
        </is>
      </c>
      <c r="B151" t="inlineStr">
        <is>
          <t>Croissant</t>
        </is>
      </c>
      <c r="C151" t="inlineStr">
        <is>
          <t>Workbook ratio variant</t>
        </is>
      </c>
      <c r="D151" t="inlineStr">
        <is>
          <t>S132</t>
        </is>
      </c>
      <c r="E151" t="inlineStr">
        <is>
          <t>Croissant column D</t>
        </is>
      </c>
      <c r="F151" t="inlineStr">
        <is>
          <t>Held; proposed numerical revision</t>
        </is>
      </c>
      <c r="G151" t="inlineStr">
        <is>
          <t>H12; method, portion, losses and actual successful trial record not established by spreadsheet quantities alone</t>
        </is>
      </c>
    </row>
    <row r="152">
      <c r="A152" t="inlineStr">
        <is>
          <t>L014</t>
        </is>
      </c>
      <c r="B152" t="inlineStr">
        <is>
          <t>Croissant new</t>
        </is>
      </c>
      <c r="C152" t="inlineStr">
        <is>
          <t>Workbook ratio variant</t>
        </is>
      </c>
      <c r="D152" t="inlineStr">
        <is>
          <t>S132</t>
        </is>
      </c>
      <c r="E152" t="inlineStr">
        <is>
          <t>Croissant new column F</t>
        </is>
      </c>
      <c r="F152" t="inlineStr">
        <is>
          <t>Held; proposed numerical revision</t>
        </is>
      </c>
      <c r="G152" t="inlineStr">
        <is>
          <t>H12; milk requires identity/specification; roll-in fat specification needed; Roma bucket suitability not established; method, portion, losses and actual successful trial record not established by spreadsheet quantities alone</t>
        </is>
      </c>
    </row>
    <row r="153">
      <c r="A153" t="inlineStr">
        <is>
          <t>L015</t>
        </is>
      </c>
      <c r="B153" t="inlineStr">
        <is>
          <t>Danisa biscuits</t>
        </is>
      </c>
      <c r="C153" t="inlineStr">
        <is>
          <t>Workbook ratio variant</t>
        </is>
      </c>
      <c r="D153" t="inlineStr">
        <is>
          <t>S132</t>
        </is>
      </c>
      <c r="E153" t="inlineStr">
        <is>
          <t>Danisa biscuits column D</t>
        </is>
      </c>
      <c r="F153" t="inlineStr">
        <is>
          <t>HOLD; EDC unidentified</t>
        </is>
      </c>
      <c r="G153" t="inlineStr">
        <is>
          <t>H05; method, portion, losses and actual successful trial record not established by spreadsheet quantities alone H3: EDC separate and unpriced; prior margarine interpretation superseded.</t>
        </is>
      </c>
    </row>
    <row r="154">
      <c r="A154" t="inlineStr">
        <is>
          <t>L016</t>
        </is>
      </c>
      <c r="B154" t="inlineStr">
        <is>
          <t>Delice</t>
        </is>
      </c>
      <c r="C154" t="inlineStr">
        <is>
          <t>Workbook ratio variant</t>
        </is>
      </c>
      <c r="D154" t="inlineStr">
        <is>
          <t>S132</t>
        </is>
      </c>
      <c r="E154" t="inlineStr">
        <is>
          <t>Delice column D</t>
        </is>
      </c>
      <c r="F154" t="inlineStr">
        <is>
          <t>HOLD; EDC unidentified</t>
        </is>
      </c>
      <c r="G154" t="inlineStr">
        <is>
          <t>Retain unique variant; no equivalent operating card selected; milk requires identity/specification; method, portion, losses and actual successful trial record not established by spreadsheet quantities alone H3: EDC separate and unpriced; prior margarine interpretation superseded.</t>
        </is>
      </c>
    </row>
    <row r="155">
      <c r="A155" t="inlineStr">
        <is>
          <t>L017</t>
        </is>
      </c>
      <c r="B155" t="inlineStr">
        <is>
          <t>Delice</t>
        </is>
      </c>
      <c r="C155" t="inlineStr">
        <is>
          <t>Workbook ratio variant</t>
        </is>
      </c>
      <c r="D155" t="inlineStr">
        <is>
          <t>S132</t>
        </is>
      </c>
      <c r="E155" t="inlineStr">
        <is>
          <t>Delice column H</t>
        </is>
      </c>
      <c r="F155" t="inlineStr">
        <is>
          <t>HOLD; EDC unidentified</t>
        </is>
      </c>
      <c r="G155" t="inlineStr">
        <is>
          <t>Retain unique variant; no equivalent operating card selected; milk requires identity/specification; salt exceeds 3% of flour; review before testing; method, portion, losses and actual successful trial record not established by spreadsheet quantities alone H3: EDC separate and unpriced; prior margarine interpretation superseded.</t>
        </is>
      </c>
    </row>
    <row r="156">
      <c r="A156" t="inlineStr">
        <is>
          <t>L018</t>
        </is>
      </c>
      <c r="B156" t="inlineStr">
        <is>
          <t>Donuts</t>
        </is>
      </c>
      <c r="C156" t="inlineStr">
        <is>
          <t>Workbook ratio variant</t>
        </is>
      </c>
      <c r="D156" t="inlineStr">
        <is>
          <t>S132</t>
        </is>
      </c>
      <c r="E156" t="inlineStr">
        <is>
          <t>Donuts column D</t>
        </is>
      </c>
      <c r="F156" t="inlineStr">
        <is>
          <t>Held; proposed numerical revision</t>
        </is>
      </c>
      <c r="G156" t="inlineStr">
        <is>
          <t>T01 for cake / O-P04 for yeast; milk requires identity/specification; separate recipe oil, retained frying oil and fryer charge; current source mass is not edible yield; method, portion, losses and actual successful trial record not established by spreadsheet quantities alone</t>
        </is>
      </c>
    </row>
    <row r="157">
      <c r="A157" t="inlineStr">
        <is>
          <t>L019</t>
        </is>
      </c>
      <c r="B157" t="inlineStr">
        <is>
          <t>Fish Pie</t>
        </is>
      </c>
      <c r="C157" t="inlineStr">
        <is>
          <t>Workbook ratio variant</t>
        </is>
      </c>
      <c r="D157" t="inlineStr">
        <is>
          <t>S132</t>
        </is>
      </c>
      <c r="E157" t="inlineStr">
        <is>
          <t>Fish Pie column D</t>
        </is>
      </c>
      <c r="F157" t="inlineStr">
        <is>
          <t>Held; proposed numerical revision</t>
        </is>
      </c>
      <c r="G157" t="inlineStr">
        <is>
          <t>O-P06 / O-P09; filling differs; separate recipe oil, retained frying oil and fryer charge; current source mass is not edible yield; method, portion, losses and actual successful trial record not established by spreadsheet quantities alone</t>
        </is>
      </c>
    </row>
    <row r="158">
      <c r="A158" t="inlineStr">
        <is>
          <t>L020</t>
        </is>
      </c>
      <c r="B158" t="inlineStr">
        <is>
          <t>Fish Pie</t>
        </is>
      </c>
      <c r="C158" t="inlineStr">
        <is>
          <t>Workbook ratio variant</t>
        </is>
      </c>
      <c r="D158" t="inlineStr">
        <is>
          <t>S132</t>
        </is>
      </c>
      <c r="E158" t="inlineStr">
        <is>
          <t>Fish Pie column L</t>
        </is>
      </c>
      <c r="F158" t="inlineStr">
        <is>
          <t>Held; proposed numerical revision</t>
        </is>
      </c>
      <c r="G158" t="inlineStr">
        <is>
          <t>O-P06 / O-P09; filling differs; method, portion, losses and actual successful trial record not established by spreadsheet quantities alone</t>
        </is>
      </c>
    </row>
    <row r="159">
      <c r="A159" t="inlineStr">
        <is>
          <t>L021</t>
        </is>
      </c>
      <c r="B159" t="inlineStr">
        <is>
          <t>Galette</t>
        </is>
      </c>
      <c r="C159" t="inlineStr">
        <is>
          <t>Workbook ratio variant</t>
        </is>
      </c>
      <c r="D159" t="inlineStr">
        <is>
          <t>S132</t>
        </is>
      </c>
      <c r="E159" t="inlineStr">
        <is>
          <t>Galette column D</t>
        </is>
      </c>
      <c r="F159" t="inlineStr">
        <is>
          <t>HOLD; EDC unidentified</t>
        </is>
      </c>
      <c r="G159" t="inlineStr">
        <is>
          <t>H14;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160">
      <c r="A160" t="inlineStr">
        <is>
          <t>L022</t>
        </is>
      </c>
      <c r="B160" t="inlineStr">
        <is>
          <t>Galette</t>
        </is>
      </c>
      <c r="C160" t="inlineStr">
        <is>
          <t>Workbook ratio variant</t>
        </is>
      </c>
      <c r="D160" t="inlineStr">
        <is>
          <t>S132</t>
        </is>
      </c>
      <c r="E160" t="inlineStr">
        <is>
          <t>Galette column H</t>
        </is>
      </c>
      <c r="F160" t="inlineStr">
        <is>
          <t>HOLD; EDC unidentified</t>
        </is>
      </c>
      <c r="G160" t="inlineStr">
        <is>
          <t>H14;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161">
      <c r="A161" t="inlineStr">
        <is>
          <t>L023</t>
        </is>
      </c>
      <c r="B161" t="inlineStr">
        <is>
          <t>Hamburger buns</t>
        </is>
      </c>
      <c r="C161" t="inlineStr">
        <is>
          <t>Workbook ratio variant</t>
        </is>
      </c>
      <c r="D161" t="inlineStr">
        <is>
          <t>S132</t>
        </is>
      </c>
      <c r="E161" t="inlineStr">
        <is>
          <t>Hamburger buns column D</t>
        </is>
      </c>
      <c r="F161" t="inlineStr">
        <is>
          <t>HOLD; EDC unidentified</t>
        </is>
      </c>
      <c r="G161" t="inlineStr">
        <is>
          <t>M1-B09 / O-B25; milk requires identity/specification; method, portion, losses and actual successful trial record not established by spreadsheet quantities alone H3: EDC separate and unpriced; prior margarine interpretation superseded.</t>
        </is>
      </c>
    </row>
    <row r="162">
      <c r="A162" t="inlineStr">
        <is>
          <t>L024</t>
        </is>
      </c>
      <c r="B162" t="inlineStr">
        <is>
          <t>Hamburger buns</t>
        </is>
      </c>
      <c r="C162" t="inlineStr">
        <is>
          <t>Workbook ratio variant</t>
        </is>
      </c>
      <c r="D162" t="inlineStr">
        <is>
          <t>S132</t>
        </is>
      </c>
      <c r="E162" t="inlineStr">
        <is>
          <t>Hamburger buns column F</t>
        </is>
      </c>
      <c r="F162" t="inlineStr">
        <is>
          <t>HOLD; EDC unidentified</t>
        </is>
      </c>
      <c r="G162" t="inlineStr">
        <is>
          <t>M1-B09 / O-B25;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163">
      <c r="A163" t="inlineStr">
        <is>
          <t>L025</t>
        </is>
      </c>
      <c r="B163" t="inlineStr">
        <is>
          <t>Ice Cream</t>
        </is>
      </c>
      <c r="C163" t="inlineStr">
        <is>
          <t>Workbook ratio variant</t>
        </is>
      </c>
      <c r="D163" t="inlineStr">
        <is>
          <t>S132</t>
        </is>
      </c>
      <c r="E163" t="inlineStr">
        <is>
          <t>Ice Cream column D</t>
        </is>
      </c>
      <c r="F163" t="inlineStr">
        <is>
          <t>Held; proposed numerical revision</t>
        </is>
      </c>
      <c r="G163" t="inlineStr">
        <is>
          <t>O-FBASE1 / S-D01 / S-D02; stabilizer requires identity/specification; others requires identity/specification; method, portion, losses and actual successful trial record not established by spreadsheet quantities alone</t>
        </is>
      </c>
    </row>
    <row r="164">
      <c r="A164" t="inlineStr">
        <is>
          <t>L026</t>
        </is>
      </c>
      <c r="B164" t="inlineStr">
        <is>
          <t>Ice Cream</t>
        </is>
      </c>
      <c r="C164" t="inlineStr">
        <is>
          <t>Workbook ratio variant</t>
        </is>
      </c>
      <c r="D164" t="inlineStr">
        <is>
          <t>S132</t>
        </is>
      </c>
      <c r="E164" t="inlineStr">
        <is>
          <t>Ice Cream column H</t>
        </is>
      </c>
      <c r="F164" t="inlineStr">
        <is>
          <t>Held; proposed numerical revision</t>
        </is>
      </c>
      <c r="G164" t="inlineStr">
        <is>
          <t>O-FBASE1 / S-D01 / S-D02; stabilizer requires identity/specification; method, portion, losses and actual successful trial record not established by spreadsheet quantities alone</t>
        </is>
      </c>
    </row>
    <row r="165">
      <c r="A165" t="inlineStr">
        <is>
          <t>L027</t>
        </is>
      </c>
      <c r="B165" t="inlineStr">
        <is>
          <t>Kouatchoua gato</t>
        </is>
      </c>
      <c r="C165" t="inlineStr">
        <is>
          <t>Workbook ratio variant</t>
        </is>
      </c>
      <c r="D165" t="inlineStr">
        <is>
          <t>S132</t>
        </is>
      </c>
      <c r="E165" t="inlineStr">
        <is>
          <t>Kouatchoua gato column D</t>
        </is>
      </c>
      <c r="F165" t="inlineStr">
        <is>
          <t>Held; proposed numerical revision</t>
        </is>
      </c>
      <c r="G165"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166">
      <c r="A166" t="inlineStr">
        <is>
          <t>L028</t>
        </is>
      </c>
      <c r="B166" t="inlineStr">
        <is>
          <t>Kouatchoua gato</t>
        </is>
      </c>
      <c r="C166" t="inlineStr">
        <is>
          <t>Workbook ratio variant</t>
        </is>
      </c>
      <c r="D166" t="inlineStr">
        <is>
          <t>S132</t>
        </is>
      </c>
      <c r="E166" t="inlineStr">
        <is>
          <t>Kouatchoua gato column J</t>
        </is>
      </c>
      <c r="F166" t="inlineStr">
        <is>
          <t>Held; proposed numerical revision</t>
        </is>
      </c>
      <c r="G166"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167">
      <c r="A167" t="inlineStr">
        <is>
          <t>L029</t>
        </is>
      </c>
      <c r="B167" t="inlineStr">
        <is>
          <t>Kumba bread</t>
        </is>
      </c>
      <c r="C167" t="inlineStr">
        <is>
          <t>Workbook ratio variant</t>
        </is>
      </c>
      <c r="D167" t="inlineStr">
        <is>
          <t>S132</t>
        </is>
      </c>
      <c r="E167" t="inlineStr">
        <is>
          <t>Kumba bread column D</t>
        </is>
      </c>
      <c r="F167" t="inlineStr">
        <is>
          <t>Held; proposed numerical revision</t>
        </is>
      </c>
      <c r="G167" t="inlineStr">
        <is>
          <t>S-B02; method, portion, losses and actual successful trial record not established by spreadsheet quantities alone</t>
        </is>
      </c>
    </row>
    <row r="168">
      <c r="A168" t="inlineStr">
        <is>
          <t>L030</t>
        </is>
      </c>
      <c r="B168" t="inlineStr">
        <is>
          <t>Melto</t>
        </is>
      </c>
      <c r="C168" t="inlineStr">
        <is>
          <t>Workbook ratio variant</t>
        </is>
      </c>
      <c r="D168" t="inlineStr">
        <is>
          <t>S132</t>
        </is>
      </c>
      <c r="E168" t="inlineStr">
        <is>
          <t>Melto column D</t>
        </is>
      </c>
      <c r="F168" t="inlineStr">
        <is>
          <t>Held; proposed numerical revision</t>
        </is>
      </c>
      <c r="G168" t="inlineStr">
        <is>
          <t>H06; method, portion, losses and actual successful trial record not established by spreadsheet quantities alone</t>
        </is>
      </c>
    </row>
    <row r="169">
      <c r="A169" t="inlineStr">
        <is>
          <t>L031</t>
        </is>
      </c>
      <c r="B169" t="inlineStr">
        <is>
          <t>Melto</t>
        </is>
      </c>
      <c r="C169" t="inlineStr">
        <is>
          <t>Workbook ratio variant</t>
        </is>
      </c>
      <c r="D169" t="inlineStr">
        <is>
          <t>S132</t>
        </is>
      </c>
      <c r="E169" t="inlineStr">
        <is>
          <t>Melto column F</t>
        </is>
      </c>
      <c r="F169" t="inlineStr">
        <is>
          <t>Held; proposed numerical revision</t>
        </is>
      </c>
      <c r="G169" t="inlineStr">
        <is>
          <t>H06; method, portion, losses and actual successful trial record not established by spreadsheet quantities alone</t>
        </is>
      </c>
    </row>
    <row r="170">
      <c r="A170" t="inlineStr">
        <is>
          <t>L032</t>
        </is>
      </c>
      <c r="B170" t="inlineStr">
        <is>
          <t>Melto1</t>
        </is>
      </c>
      <c r="C170" t="inlineStr">
        <is>
          <t>Workbook ratio variant</t>
        </is>
      </c>
      <c r="D170" t="inlineStr">
        <is>
          <t>S132</t>
        </is>
      </c>
      <c r="E170" t="inlineStr">
        <is>
          <t>Melto1 column D</t>
        </is>
      </c>
      <c r="F170" t="inlineStr">
        <is>
          <t>Held; proposed numerical revision</t>
        </is>
      </c>
      <c r="G170" t="inlineStr">
        <is>
          <t>H06; method, portion, losses and actual successful trial record not established by spreadsheet quantities alone</t>
        </is>
      </c>
    </row>
    <row r="171">
      <c r="A171" t="inlineStr">
        <is>
          <t>L033</t>
        </is>
      </c>
      <c r="B171" t="inlineStr">
        <is>
          <t>Melto1</t>
        </is>
      </c>
      <c r="C171" t="inlineStr">
        <is>
          <t>Workbook ratio variant</t>
        </is>
      </c>
      <c r="D171" t="inlineStr">
        <is>
          <t>S132</t>
        </is>
      </c>
      <c r="E171" t="inlineStr">
        <is>
          <t>Melto1 column H</t>
        </is>
      </c>
      <c r="F171" t="inlineStr">
        <is>
          <t>Held; proposed numerical revision</t>
        </is>
      </c>
      <c r="G171" t="inlineStr">
        <is>
          <t>H06; method, portion, losses and actual successful trial record not established by spreadsheet quantities alone</t>
        </is>
      </c>
    </row>
    <row r="172">
      <c r="A172" t="inlineStr">
        <is>
          <t>L034</t>
        </is>
      </c>
      <c r="B172" t="inlineStr">
        <is>
          <t>NEW BRIOCHE</t>
        </is>
      </c>
      <c r="C172" t="inlineStr">
        <is>
          <t>Workbook ratio variant</t>
        </is>
      </c>
      <c r="D172" t="inlineStr">
        <is>
          <t>S132</t>
        </is>
      </c>
      <c r="E172" t="inlineStr">
        <is>
          <t>NEW BRIOCHE column D</t>
        </is>
      </c>
      <c r="F172" t="inlineStr">
        <is>
          <t>HOLD; EDC unidentified</t>
        </is>
      </c>
      <c r="G172"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173">
      <c r="A173" t="inlineStr">
        <is>
          <t>L035</t>
        </is>
      </c>
      <c r="B173" t="inlineStr">
        <is>
          <t>NGALA BREAD</t>
        </is>
      </c>
      <c r="C173" t="inlineStr">
        <is>
          <t>Workbook ratio variant</t>
        </is>
      </c>
      <c r="D173" t="inlineStr">
        <is>
          <t>S132</t>
        </is>
      </c>
      <c r="E173" t="inlineStr">
        <is>
          <t>NGALA BREAD column D</t>
        </is>
      </c>
      <c r="F173" t="inlineStr">
        <is>
          <t>Held; proposed numerical revision</t>
        </is>
      </c>
      <c r="G173" t="inlineStr">
        <is>
          <t>M1-B01–B13; conc milk requires identity/specification; method, portion, losses and actual successful trial record not established by spreadsheet quantities alone</t>
        </is>
      </c>
    </row>
    <row r="174">
      <c r="A174" t="inlineStr">
        <is>
          <t>L036</t>
        </is>
      </c>
      <c r="B174" t="inlineStr">
        <is>
          <t>New bread</t>
        </is>
      </c>
      <c r="C174" t="inlineStr">
        <is>
          <t>Workbook ratio variant</t>
        </is>
      </c>
      <c r="D174" t="inlineStr">
        <is>
          <t>S132</t>
        </is>
      </c>
      <c r="E174" t="inlineStr">
        <is>
          <t>New bread column D</t>
        </is>
      </c>
      <c r="F174" t="inlineStr">
        <is>
          <t>Held; proposed numerical revision</t>
        </is>
      </c>
      <c r="G174" t="inlineStr">
        <is>
          <t>M1-B01–B13; conc milk requires identity/specification; method, portion, losses and actual successful trial record not established by spreadsheet quantities alone</t>
        </is>
      </c>
    </row>
    <row r="175">
      <c r="A175" t="inlineStr">
        <is>
          <t>L037</t>
        </is>
      </c>
      <c r="B175" t="inlineStr">
        <is>
          <t>Okinawa</t>
        </is>
      </c>
      <c r="C175" t="inlineStr">
        <is>
          <t>Workbook ratio variant</t>
        </is>
      </c>
      <c r="D175" t="inlineStr">
        <is>
          <t>S132</t>
        </is>
      </c>
      <c r="E175" t="inlineStr">
        <is>
          <t>Okinawa column D</t>
        </is>
      </c>
      <c r="F175" t="inlineStr">
        <is>
          <t>Held; proposed numerical revision</t>
        </is>
      </c>
      <c r="G175" t="inlineStr">
        <is>
          <t>Retain unique variant; no equivalent operating card selected; separate recipe oil, retained frying oil and fryer charge; current source mass is not edible yield; method, portion, losses and actual successful trial record not established by spreadsheet quantities alone</t>
        </is>
      </c>
    </row>
    <row r="176">
      <c r="A176" t="inlineStr">
        <is>
          <t>L038</t>
        </is>
      </c>
      <c r="B176" t="inlineStr">
        <is>
          <t>Okinawa</t>
        </is>
      </c>
      <c r="C176" t="inlineStr">
        <is>
          <t>Workbook ratio variant</t>
        </is>
      </c>
      <c r="D176" t="inlineStr">
        <is>
          <t>S132</t>
        </is>
      </c>
      <c r="E176" t="inlineStr">
        <is>
          <t>Okinawa column H</t>
        </is>
      </c>
      <c r="F176" t="inlineStr">
        <is>
          <t>Held; proposed numerical revision</t>
        </is>
      </c>
      <c r="G176" t="inlineStr">
        <is>
          <t>Retain unique variant; no equivalent operating card selected; method, portion, losses and actual successful trial record not established by spreadsheet quantities alone</t>
        </is>
      </c>
    </row>
    <row r="177">
      <c r="A177" t="inlineStr">
        <is>
          <t>L039</t>
        </is>
      </c>
      <c r="B177" t="inlineStr">
        <is>
          <t>Pain au lait</t>
        </is>
      </c>
      <c r="C177" t="inlineStr">
        <is>
          <t>Workbook ratio variant</t>
        </is>
      </c>
      <c r="D177" t="inlineStr">
        <is>
          <t>S132</t>
        </is>
      </c>
      <c r="E177" t="inlineStr">
        <is>
          <t>Pain au lait column D</t>
        </is>
      </c>
      <c r="F177" t="inlineStr">
        <is>
          <t>HOLD; EDC unidentified</t>
        </is>
      </c>
      <c r="G177" t="inlineStr">
        <is>
          <t>S-B07 / M1-B04;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178">
      <c r="A178" t="inlineStr">
        <is>
          <t>L040</t>
        </is>
      </c>
      <c r="B178" t="inlineStr">
        <is>
          <t>Pain au lait</t>
        </is>
      </c>
      <c r="C178" t="inlineStr">
        <is>
          <t>Workbook ratio variant</t>
        </is>
      </c>
      <c r="D178" t="inlineStr">
        <is>
          <t>S132</t>
        </is>
      </c>
      <c r="E178" t="inlineStr">
        <is>
          <t>Pain au lait column L</t>
        </is>
      </c>
      <c r="F178" t="inlineStr">
        <is>
          <t>HOLD; EDC unidentified</t>
        </is>
      </c>
      <c r="G178" t="inlineStr">
        <is>
          <t>S-B07 / M1-B04;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179">
      <c r="A179" t="inlineStr">
        <is>
          <t>L041</t>
        </is>
      </c>
      <c r="B179" t="inlineStr">
        <is>
          <t>Samosa</t>
        </is>
      </c>
      <c r="C179" t="inlineStr">
        <is>
          <t>Workbook ratio variant</t>
        </is>
      </c>
      <c r="D179" t="inlineStr">
        <is>
          <t>S132</t>
        </is>
      </c>
      <c r="E179" t="inlineStr">
        <is>
          <t>Samosa column D</t>
        </is>
      </c>
      <c r="F179" t="inlineStr">
        <is>
          <t>Held; proposed numerical revision</t>
        </is>
      </c>
      <c r="G179" t="inlineStr">
        <is>
          <t>O-P18 / S-F05; salt exceeds 3% of flour; review before testing; method, portion, losses and actual successful trial record not established by spreadsheet quantities alone</t>
        </is>
      </c>
    </row>
    <row r="180">
      <c r="A180" t="inlineStr">
        <is>
          <t>L042</t>
        </is>
      </c>
      <c r="B180" t="inlineStr">
        <is>
          <t>Samosa</t>
        </is>
      </c>
      <c r="C180" t="inlineStr">
        <is>
          <t>Workbook ratio variant</t>
        </is>
      </c>
      <c r="D180" t="inlineStr">
        <is>
          <t>S132</t>
        </is>
      </c>
      <c r="E180" t="inlineStr">
        <is>
          <t>Samosa column H</t>
        </is>
      </c>
      <c r="F180" t="inlineStr">
        <is>
          <t>Held; proposed numerical revision</t>
        </is>
      </c>
      <c r="G180" t="inlineStr">
        <is>
          <t>O-P18 / S-F05; method, portion, losses and actual successful trial record not established by spreadsheet quantities alone</t>
        </is>
      </c>
    </row>
    <row r="181">
      <c r="A181" t="inlineStr">
        <is>
          <t>L043</t>
        </is>
      </c>
      <c r="B181" t="inlineStr">
        <is>
          <t>Sheet3</t>
        </is>
      </c>
      <c r="C181" t="inlineStr">
        <is>
          <t>Workbook ratio variant</t>
        </is>
      </c>
      <c r="D181" t="inlineStr">
        <is>
          <t>S132</t>
        </is>
      </c>
      <c r="E181" t="inlineStr">
        <is>
          <t>Sheet3 column D</t>
        </is>
      </c>
      <c r="F181" t="inlineStr">
        <is>
          <t>HOLD; EDC unidentified</t>
        </is>
      </c>
      <c r="G181" t="inlineStr">
        <is>
          <t>Retain unique variant; no equivalent operating card selected;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182">
      <c r="A182" t="inlineStr">
        <is>
          <t>L044</t>
        </is>
      </c>
      <c r="B182" t="inlineStr">
        <is>
          <t>Sheet3</t>
        </is>
      </c>
      <c r="C182" t="inlineStr">
        <is>
          <t>Workbook ratio variant</t>
        </is>
      </c>
      <c r="D182" t="inlineStr">
        <is>
          <t>S132</t>
        </is>
      </c>
      <c r="E182" t="inlineStr">
        <is>
          <t>Sheet3 column F</t>
        </is>
      </c>
      <c r="F182" t="inlineStr">
        <is>
          <t>HOLD; EDC unidentified</t>
        </is>
      </c>
      <c r="G182" t="inlineStr">
        <is>
          <t>Retain unique variant; no equivalent operating card selected;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183">
      <c r="A183" t="inlineStr">
        <is>
          <t>L045</t>
        </is>
      </c>
      <c r="B183" t="inlineStr">
        <is>
          <t>Sheet3</t>
        </is>
      </c>
      <c r="C183" t="inlineStr">
        <is>
          <t>Workbook ratio variant</t>
        </is>
      </c>
      <c r="D183" t="inlineStr">
        <is>
          <t>S132</t>
        </is>
      </c>
      <c r="E183" t="inlineStr">
        <is>
          <t>Sheet3 column H</t>
        </is>
      </c>
      <c r="F183" t="inlineStr">
        <is>
          <t>HOLD; EDC unidentified</t>
        </is>
      </c>
      <c r="G183" t="inlineStr">
        <is>
          <t>Retain unique variant; no equivalent operating card selected;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184">
      <c r="A184" t="inlineStr">
        <is>
          <t>L046</t>
        </is>
      </c>
      <c r="B184" t="inlineStr">
        <is>
          <t>Sheet3</t>
        </is>
      </c>
      <c r="C184" t="inlineStr">
        <is>
          <t>Workbook ratio variant</t>
        </is>
      </c>
      <c r="D184" t="inlineStr">
        <is>
          <t>S132</t>
        </is>
      </c>
      <c r="E184" t="inlineStr">
        <is>
          <t>Sheet3 column N</t>
        </is>
      </c>
      <c r="F184" t="inlineStr">
        <is>
          <t>HOLD; EDC unidentified</t>
        </is>
      </c>
      <c r="G184" t="inlineStr">
        <is>
          <t>Retain unique variant; no equivalent operating card selected;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185">
      <c r="A185" t="inlineStr">
        <is>
          <t>L047</t>
        </is>
      </c>
      <c r="B185" t="inlineStr">
        <is>
          <t>Short bread</t>
        </is>
      </c>
      <c r="C185" t="inlineStr">
        <is>
          <t>Workbook ratio variant</t>
        </is>
      </c>
      <c r="D185" t="inlineStr">
        <is>
          <t>S132</t>
        </is>
      </c>
      <c r="E185" t="inlineStr">
        <is>
          <t>Short bread column D</t>
        </is>
      </c>
      <c r="F185" t="inlineStr">
        <is>
          <t>Held; proposed numerical revision</t>
        </is>
      </c>
      <c r="G185" t="inlineStr">
        <is>
          <t>H07; milk requires identity/specification; salt exceeds 3% of flour; review before testing; method, portion, losses and actual successful trial record not established by spreadsheet quantities alone</t>
        </is>
      </c>
    </row>
    <row r="186">
      <c r="A186" t="inlineStr">
        <is>
          <t>L048</t>
        </is>
      </c>
      <c r="B186" t="inlineStr">
        <is>
          <t>Short bread</t>
        </is>
      </c>
      <c r="C186" t="inlineStr">
        <is>
          <t>Workbook ratio variant</t>
        </is>
      </c>
      <c r="D186" t="inlineStr">
        <is>
          <t>S132</t>
        </is>
      </c>
      <c r="E186" t="inlineStr">
        <is>
          <t>Short bread column H</t>
        </is>
      </c>
      <c r="F186" t="inlineStr">
        <is>
          <t>Held; proposed numerical revision</t>
        </is>
      </c>
      <c r="G186" t="inlineStr">
        <is>
          <t>H07; milk requires identity/specification; salt exceeds 3% of flour; review before testing; method, portion, losses and actual successful trial record not established by spreadsheet quantities alone</t>
        </is>
      </c>
    </row>
    <row r="187">
      <c r="A187" t="inlineStr">
        <is>
          <t>L049</t>
        </is>
      </c>
      <c r="B187" t="inlineStr">
        <is>
          <t>Sugar Balls</t>
        </is>
      </c>
      <c r="C187" t="inlineStr">
        <is>
          <t>Workbook ratio variant</t>
        </is>
      </c>
      <c r="D187" t="inlineStr">
        <is>
          <t>S132</t>
        </is>
      </c>
      <c r="E187" t="inlineStr">
        <is>
          <t>Sugar Balls column D</t>
        </is>
      </c>
      <c r="F187" t="inlineStr">
        <is>
          <t>Held; proposed numerical revision</t>
        </is>
      </c>
      <c r="G187" t="inlineStr">
        <is>
          <t>Retain unique variant; no equivalent operating card selected; method, portion, losses and actual successful trial record not established by spreadsheet quantities alone</t>
        </is>
      </c>
    </row>
    <row r="188">
      <c r="A188" t="inlineStr">
        <is>
          <t>L050</t>
        </is>
      </c>
      <c r="B188" t="inlineStr">
        <is>
          <t>Sugar Balls</t>
        </is>
      </c>
      <c r="C188" t="inlineStr">
        <is>
          <t>Workbook ratio variant</t>
        </is>
      </c>
      <c r="D188" t="inlineStr">
        <is>
          <t>S132</t>
        </is>
      </c>
      <c r="E188" t="inlineStr">
        <is>
          <t>Sugar Balls column F</t>
        </is>
      </c>
      <c r="F188" t="inlineStr">
        <is>
          <t>Held; proposed numerical revision</t>
        </is>
      </c>
      <c r="G188" t="inlineStr">
        <is>
          <t>Retain unique variant; no equivalent operating card selected; method, portion, losses and actual successful trial record not established by spreadsheet quantities alone</t>
        </is>
      </c>
    </row>
    <row r="189">
      <c r="A189" t="inlineStr">
        <is>
          <t>L051</t>
        </is>
      </c>
      <c r="B189" t="inlineStr">
        <is>
          <t>Taste it</t>
        </is>
      </c>
      <c r="C189" t="inlineStr">
        <is>
          <t>Workbook ratio variant</t>
        </is>
      </c>
      <c r="D189" t="inlineStr">
        <is>
          <t>S132</t>
        </is>
      </c>
      <c r="E189" t="inlineStr">
        <is>
          <t>Taste it column D</t>
        </is>
      </c>
      <c r="F189" t="inlineStr">
        <is>
          <t>HOLD; EDC unidentified</t>
        </is>
      </c>
      <c r="G189" t="inlineStr">
        <is>
          <t>Retain unique variant; no equivalent operating card selected;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190">
      <c r="A190" t="inlineStr">
        <is>
          <t>L052</t>
        </is>
      </c>
      <c r="B190" t="inlineStr">
        <is>
          <t>Taste it</t>
        </is>
      </c>
      <c r="C190" t="inlineStr">
        <is>
          <t>Workbook ratio variant</t>
        </is>
      </c>
      <c r="D190" t="inlineStr">
        <is>
          <t>S132</t>
        </is>
      </c>
      <c r="E190" t="inlineStr">
        <is>
          <t>Taste it column H</t>
        </is>
      </c>
      <c r="F190" t="inlineStr">
        <is>
          <t>HOLD; EDC unidentified</t>
        </is>
      </c>
      <c r="G190" t="inlineStr">
        <is>
          <t>Retain unique variant; no equivalent operating card selected;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191">
      <c r="A191" t="inlineStr">
        <is>
          <t>L053</t>
        </is>
      </c>
      <c r="B191" t="inlineStr">
        <is>
          <t>Universal bread</t>
        </is>
      </c>
      <c r="C191" t="inlineStr">
        <is>
          <t>Workbook ratio variant</t>
        </is>
      </c>
      <c r="D191" t="inlineStr">
        <is>
          <t>S132</t>
        </is>
      </c>
      <c r="E191" t="inlineStr">
        <is>
          <t>Universal bread column D</t>
        </is>
      </c>
      <c r="F191" t="inlineStr">
        <is>
          <t>Held; proposed numerical revision</t>
        </is>
      </c>
      <c r="G191" t="inlineStr">
        <is>
          <t>M1-B01–B13; conc milk requires identity/specification; separate recipe oil, retained frying oil and fryer charge; current source mass is not edible yield; method, portion, losses and actual successful trial record not established by spreadsheet quantities alone</t>
        </is>
      </c>
    </row>
    <row r="192">
      <c r="A192" t="inlineStr">
        <is>
          <t>L054</t>
        </is>
      </c>
      <c r="B192" t="inlineStr">
        <is>
          <t>Universal bread</t>
        </is>
      </c>
      <c r="C192" t="inlineStr">
        <is>
          <t>Workbook ratio variant</t>
        </is>
      </c>
      <c r="D192" t="inlineStr">
        <is>
          <t>S132</t>
        </is>
      </c>
      <c r="E192" t="inlineStr">
        <is>
          <t>Universal bread column J</t>
        </is>
      </c>
      <c r="F192" t="inlineStr">
        <is>
          <t>Held; proposed numerical revision</t>
        </is>
      </c>
      <c r="G192" t="inlineStr">
        <is>
          <t>M1-B01–B13; conc milk requires identity/specification; separate recipe oil, retained frying oil and fryer charge; current source mass is not edible yield; method, portion, losses and actual successful trial record not established by spreadsheet quantities alone</t>
        </is>
      </c>
    </row>
    <row r="193">
      <c r="A193" t="inlineStr">
        <is>
          <t>L055</t>
        </is>
      </c>
      <c r="B193" t="inlineStr">
        <is>
          <t>YUMMY BREAD</t>
        </is>
      </c>
      <c r="C193" t="inlineStr">
        <is>
          <t>Workbook ratio variant</t>
        </is>
      </c>
      <c r="D193" t="inlineStr">
        <is>
          <t>S132</t>
        </is>
      </c>
      <c r="E193" t="inlineStr">
        <is>
          <t>YUMMY BREAD column D</t>
        </is>
      </c>
      <c r="F193" t="inlineStr">
        <is>
          <t>HOLD; EDC unidentified</t>
        </is>
      </c>
      <c r="G193" t="inlineStr">
        <is>
          <t>M1-B01–B13;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194">
      <c r="A194" t="inlineStr">
        <is>
          <t>L056</t>
        </is>
      </c>
      <c r="B194" t="inlineStr">
        <is>
          <t>YUMMY BREAD</t>
        </is>
      </c>
      <c r="C194" t="inlineStr">
        <is>
          <t>Workbook ratio variant</t>
        </is>
      </c>
      <c r="D194" t="inlineStr">
        <is>
          <t>S132</t>
        </is>
      </c>
      <c r="E194" t="inlineStr">
        <is>
          <t>YUMMY BREAD column F</t>
        </is>
      </c>
      <c r="F194" t="inlineStr">
        <is>
          <t>HOLD; EDC unidentified</t>
        </is>
      </c>
      <c r="G194" t="inlineStr">
        <is>
          <t>M1-B01–B13; milk requires identity/specification; method, portion, losses and actual successful trial record not established by spreadsheet quantities alone H3: EDC separate and unpriced; prior margarine interpretation superseded.</t>
        </is>
      </c>
    </row>
    <row r="195">
      <c r="A195" t="inlineStr">
        <is>
          <t>L057</t>
        </is>
      </c>
      <c r="B195" t="inlineStr">
        <is>
          <t>YUMMY BREAD</t>
        </is>
      </c>
      <c r="C195" t="inlineStr">
        <is>
          <t>Workbook ratio variant</t>
        </is>
      </c>
      <c r="D195" t="inlineStr">
        <is>
          <t>S132</t>
        </is>
      </c>
      <c r="E195" t="inlineStr">
        <is>
          <t>YUMMY BREAD column H</t>
        </is>
      </c>
      <c r="F195" t="inlineStr">
        <is>
          <t>HOLD; EDC unidentified</t>
        </is>
      </c>
      <c r="G195" t="inlineStr">
        <is>
          <t>M1-B01–B13;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196">
      <c r="A196" t="inlineStr">
        <is>
          <t>L058</t>
        </is>
      </c>
      <c r="B196" t="inlineStr">
        <is>
          <t>YUMMY BREAD</t>
        </is>
      </c>
      <c r="C196" t="inlineStr">
        <is>
          <t>Workbook ratio variant</t>
        </is>
      </c>
      <c r="D196" t="inlineStr">
        <is>
          <t>S132</t>
        </is>
      </c>
      <c r="E196" t="inlineStr">
        <is>
          <t>YUMMY BREAD column N</t>
        </is>
      </c>
      <c r="F196" t="inlineStr">
        <is>
          <t>HOLD; EDC unidentified</t>
        </is>
      </c>
      <c r="G196" t="inlineStr">
        <is>
          <t>M1-B01–B13;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197">
      <c r="A197" t="inlineStr">
        <is>
          <t>L059</t>
        </is>
      </c>
      <c r="B197" t="inlineStr">
        <is>
          <t>Zebree</t>
        </is>
      </c>
      <c r="C197" t="inlineStr">
        <is>
          <t>Workbook ratio variant</t>
        </is>
      </c>
      <c r="D197" t="inlineStr">
        <is>
          <t>S132</t>
        </is>
      </c>
      <c r="E197" t="inlineStr">
        <is>
          <t>Zebree column D</t>
        </is>
      </c>
      <c r="F197" t="inlineStr">
        <is>
          <t>HOLD; EDC unidentified</t>
        </is>
      </c>
      <c r="G197" t="inlineStr">
        <is>
          <t>H15; milk requires identity/specification; method, portion, losses and actual successful trial record not established by spreadsheet quantities alone H3: EDC separate and unpriced; prior margarine interpretation superseded.</t>
        </is>
      </c>
    </row>
    <row r="198">
      <c r="A198" t="inlineStr">
        <is>
          <t>L060</t>
        </is>
      </c>
      <c r="B198" t="inlineStr">
        <is>
          <t>Zebree</t>
        </is>
      </c>
      <c r="C198" t="inlineStr">
        <is>
          <t>Workbook ratio variant</t>
        </is>
      </c>
      <c r="D198" t="inlineStr">
        <is>
          <t>S132</t>
        </is>
      </c>
      <c r="E198" t="inlineStr">
        <is>
          <t>Zebree column F</t>
        </is>
      </c>
      <c r="F198" t="inlineStr">
        <is>
          <t>HOLD; EDC unidentified</t>
        </is>
      </c>
      <c r="G198" t="inlineStr">
        <is>
          <t>H15; milk requires identity/specification; method, portion, losses and actual successful trial record not established by spreadsheet quantities alone H3: EDC separate and unpriced; prior margarine interpretation superseded.</t>
        </is>
      </c>
    </row>
    <row r="199">
      <c r="A199" t="inlineStr">
        <is>
          <t>L061</t>
        </is>
      </c>
      <c r="B199" t="inlineStr">
        <is>
          <t>baguette</t>
        </is>
      </c>
      <c r="C199" t="inlineStr">
        <is>
          <t>Workbook ratio variant</t>
        </is>
      </c>
      <c r="D199" t="inlineStr">
        <is>
          <t>S132</t>
        </is>
      </c>
      <c r="E199" t="inlineStr">
        <is>
          <t>baguette column D</t>
        </is>
      </c>
      <c r="F199" t="inlineStr">
        <is>
          <t>Held; proposed numerical revision</t>
        </is>
      </c>
      <c r="G199" t="inlineStr">
        <is>
          <t>M1-B12 / M1-B13 / S-B01; method, portion, losses and actual successful trial record not established by spreadsheet quantities alone</t>
        </is>
      </c>
    </row>
    <row r="200">
      <c r="A200" t="inlineStr">
        <is>
          <t>L062</t>
        </is>
      </c>
      <c r="B200" t="inlineStr">
        <is>
          <t>brioche</t>
        </is>
      </c>
      <c r="C200" t="inlineStr">
        <is>
          <t>Workbook ratio variant</t>
        </is>
      </c>
      <c r="D200" t="inlineStr">
        <is>
          <t>S132</t>
        </is>
      </c>
      <c r="E200" t="inlineStr">
        <is>
          <t>brioche column D</t>
        </is>
      </c>
      <c r="F200" t="inlineStr">
        <is>
          <t>HOLD; EDC unidentified</t>
        </is>
      </c>
      <c r="G200"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01">
      <c r="A201" t="inlineStr">
        <is>
          <t>L063</t>
        </is>
      </c>
      <c r="B201" t="inlineStr">
        <is>
          <t>buns new look</t>
        </is>
      </c>
      <c r="C201" t="inlineStr">
        <is>
          <t>Workbook ratio variant</t>
        </is>
      </c>
      <c r="D201" t="inlineStr">
        <is>
          <t>S132</t>
        </is>
      </c>
      <c r="E201" t="inlineStr">
        <is>
          <t>buns new look column H</t>
        </is>
      </c>
      <c r="F201" t="inlineStr">
        <is>
          <t>HOLD; EDC unidentified</t>
        </is>
      </c>
      <c r="G201" t="inlineStr">
        <is>
          <t>M1-B04 / M1-B09;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02">
      <c r="A202" t="inlineStr">
        <is>
          <t>L064</t>
        </is>
      </c>
      <c r="B202" t="inlineStr">
        <is>
          <t>cake marbre</t>
        </is>
      </c>
      <c r="C202" t="inlineStr">
        <is>
          <t>Workbook ratio variant</t>
        </is>
      </c>
      <c r="D202" t="inlineStr">
        <is>
          <t>S132</t>
        </is>
      </c>
      <c r="E202" t="inlineStr">
        <is>
          <t>cake marbre column D</t>
        </is>
      </c>
      <c r="F202" t="inlineStr">
        <is>
          <t>Held; proposed numerical revision</t>
        </is>
      </c>
      <c r="G202" t="inlineStr">
        <is>
          <t>H08; milk requires identity/specification; method, portion, losses and actual successful trial record not established by spreadsheet quantities alone</t>
        </is>
      </c>
    </row>
    <row r="203">
      <c r="A203" t="inlineStr">
        <is>
          <t>L065</t>
        </is>
      </c>
      <c r="B203" t="inlineStr">
        <is>
          <t>choko bread</t>
        </is>
      </c>
      <c r="C203" t="inlineStr">
        <is>
          <t>Workbook ratio variant</t>
        </is>
      </c>
      <c r="D203" t="inlineStr">
        <is>
          <t>S132</t>
        </is>
      </c>
      <c r="E203" t="inlineStr">
        <is>
          <t>choko bread column D</t>
        </is>
      </c>
      <c r="F203" t="inlineStr">
        <is>
          <t>Held; proposed numerical revision</t>
        </is>
      </c>
      <c r="G203" t="inlineStr">
        <is>
          <t>M1-B01–B13; milk requires identity/specification; method, portion, losses and actual successful trial record not established by spreadsheet quantities alone</t>
        </is>
      </c>
    </row>
    <row r="204">
      <c r="A204" t="inlineStr">
        <is>
          <t>L066</t>
        </is>
      </c>
      <c r="B204" t="inlineStr">
        <is>
          <t>gateau</t>
        </is>
      </c>
      <c r="C204" t="inlineStr">
        <is>
          <t>Workbook ratio variant</t>
        </is>
      </c>
      <c r="D204" t="inlineStr">
        <is>
          <t>S132</t>
        </is>
      </c>
      <c r="E204" t="inlineStr">
        <is>
          <t>gateau column D</t>
        </is>
      </c>
      <c r="F204" t="inlineStr">
        <is>
          <t>Held; proposed numerical revision</t>
        </is>
      </c>
      <c r="G204"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05">
      <c r="A205" t="inlineStr">
        <is>
          <t>L067</t>
        </is>
      </c>
      <c r="B205" t="inlineStr">
        <is>
          <t>gateau</t>
        </is>
      </c>
      <c r="C205" t="inlineStr">
        <is>
          <t>Workbook ratio variant</t>
        </is>
      </c>
      <c r="D205" t="inlineStr">
        <is>
          <t>S132</t>
        </is>
      </c>
      <c r="E205" t="inlineStr">
        <is>
          <t>gateau column J</t>
        </is>
      </c>
      <c r="F205" t="inlineStr">
        <is>
          <t>Held; proposed numerical revision</t>
        </is>
      </c>
      <c r="G205"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06">
      <c r="A206" t="inlineStr">
        <is>
          <t>L068</t>
        </is>
      </c>
      <c r="B206" t="inlineStr">
        <is>
          <t>professinal Buns</t>
        </is>
      </c>
      <c r="C206" t="inlineStr">
        <is>
          <t>Workbook ratio variant</t>
        </is>
      </c>
      <c r="D206" t="inlineStr">
        <is>
          <t>S132</t>
        </is>
      </c>
      <c r="E206" t="inlineStr">
        <is>
          <t>professinal Buns column D</t>
        </is>
      </c>
      <c r="F206" t="inlineStr">
        <is>
          <t>HOLD; EDC unidentified</t>
        </is>
      </c>
      <c r="G206" t="inlineStr">
        <is>
          <t>M1-B04 / M1-B09; conc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07">
      <c r="A207" t="inlineStr">
        <is>
          <t>L069</t>
        </is>
      </c>
      <c r="B207" t="inlineStr">
        <is>
          <t>BUNS SPECIAL</t>
        </is>
      </c>
      <c r="C207" t="inlineStr">
        <is>
          <t>Workbook ratio variant</t>
        </is>
      </c>
      <c r="D207" t="inlineStr">
        <is>
          <t>S044</t>
        </is>
      </c>
      <c r="E207" t="inlineStr">
        <is>
          <t>BUNS SPECIAL column D</t>
        </is>
      </c>
      <c r="F207" t="inlineStr">
        <is>
          <t>Held; proposed numerical revision</t>
        </is>
      </c>
      <c r="G207" t="inlineStr">
        <is>
          <t>M1-B04 / M1-B09; low listed water; identify other liquid contributions before mixing; method, portion, losses and actual successful trial record not established by spreadsheet quantities alone</t>
        </is>
      </c>
    </row>
    <row r="208">
      <c r="A208" t="inlineStr">
        <is>
          <t>L070</t>
        </is>
      </c>
      <c r="B208" t="inlineStr">
        <is>
          <t>Best Chinchin</t>
        </is>
      </c>
      <c r="C208" t="inlineStr">
        <is>
          <t>Workbook ratio variant</t>
        </is>
      </c>
      <c r="D208" t="inlineStr">
        <is>
          <t>S044</t>
        </is>
      </c>
      <c r="E208" t="inlineStr">
        <is>
          <t>Best Chinchin column D</t>
        </is>
      </c>
      <c r="F208" t="inlineStr">
        <is>
          <t>Held; proposed numerical revision</t>
        </is>
      </c>
      <c r="G208" t="inlineStr">
        <is>
          <t>H10; separate recipe oil, retained frying oil and fryer charge; current source mass is not edible yield; method, portion, losses and actual successful trial record not established by spreadsheet quantities alone</t>
        </is>
      </c>
    </row>
    <row r="209">
      <c r="A209" t="inlineStr">
        <is>
          <t>L071</t>
        </is>
      </c>
      <c r="B209" t="inlineStr">
        <is>
          <t>Cake Prof</t>
        </is>
      </c>
      <c r="C209" t="inlineStr">
        <is>
          <t>Workbook ratio variant</t>
        </is>
      </c>
      <c r="D209" t="inlineStr">
        <is>
          <t>S044</t>
        </is>
      </c>
      <c r="E209" t="inlineStr">
        <is>
          <t>Cake Prof column D</t>
        </is>
      </c>
      <c r="F209" t="inlineStr">
        <is>
          <t>Held; proposed numerical revision</t>
        </is>
      </c>
      <c r="G209" t="inlineStr">
        <is>
          <t>H08 / H09; exact style differs; method, portion, losses and actual successful trial record not established by spreadsheet quantities alone</t>
        </is>
      </c>
    </row>
    <row r="210">
      <c r="A210" t="inlineStr">
        <is>
          <t>L072</t>
        </is>
      </c>
      <c r="B210" t="inlineStr">
        <is>
          <t>Chinchin</t>
        </is>
      </c>
      <c r="C210" t="inlineStr">
        <is>
          <t>Workbook ratio variant</t>
        </is>
      </c>
      <c r="D210" t="inlineStr">
        <is>
          <t>S044</t>
        </is>
      </c>
      <c r="E210" t="inlineStr">
        <is>
          <t>Chinchin column D</t>
        </is>
      </c>
      <c r="F210" t="inlineStr">
        <is>
          <t>Held; proposed numerical revision</t>
        </is>
      </c>
      <c r="G210" t="inlineStr">
        <is>
          <t>H10; separate recipe oil, retained frying oil and fryer charge; current source mass is not edible yield; method, portion, losses and actual successful trial record not established by spreadsheet quantities alone</t>
        </is>
      </c>
    </row>
    <row r="211">
      <c r="A211" t="inlineStr">
        <is>
          <t>L073</t>
        </is>
      </c>
      <c r="B211" t="inlineStr">
        <is>
          <t>GALETTE</t>
        </is>
      </c>
      <c r="C211" t="inlineStr">
        <is>
          <t>Workbook ratio variant</t>
        </is>
      </c>
      <c r="D211" t="inlineStr">
        <is>
          <t>S044</t>
        </is>
      </c>
      <c r="E211" t="inlineStr">
        <is>
          <t>GALETTE column D</t>
        </is>
      </c>
      <c r="F211" t="inlineStr">
        <is>
          <t>HOLD; EDC unidentified</t>
        </is>
      </c>
      <c r="G211" t="inlineStr">
        <is>
          <t>H14; milk requires identity/specification; method, portion, losses and actual successful trial record not established by spreadsheet quantities alone H3: EDC separate and unpriced; prior margarine interpretation superseded.</t>
        </is>
      </c>
    </row>
    <row r="212">
      <c r="A212" t="inlineStr">
        <is>
          <t>L074</t>
        </is>
      </c>
      <c r="B212" t="inlineStr">
        <is>
          <t>GALETTE</t>
        </is>
      </c>
      <c r="C212" t="inlineStr">
        <is>
          <t>Workbook ratio variant</t>
        </is>
      </c>
      <c r="D212" t="inlineStr">
        <is>
          <t>S044</t>
        </is>
      </c>
      <c r="E212" t="inlineStr">
        <is>
          <t>GALETTE column F</t>
        </is>
      </c>
      <c r="F212" t="inlineStr">
        <is>
          <t>HOLD; EDC unidentified</t>
        </is>
      </c>
      <c r="G212" t="inlineStr">
        <is>
          <t>H14;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13">
      <c r="A213" t="inlineStr">
        <is>
          <t>L075</t>
        </is>
      </c>
      <c r="B213" t="inlineStr">
        <is>
          <t>Kouatchoua gato</t>
        </is>
      </c>
      <c r="C213" t="inlineStr">
        <is>
          <t>Workbook ratio variant</t>
        </is>
      </c>
      <c r="D213" t="inlineStr">
        <is>
          <t>S044</t>
        </is>
      </c>
      <c r="E213" t="inlineStr">
        <is>
          <t>Kouatchoua gato column D</t>
        </is>
      </c>
      <c r="F213" t="inlineStr">
        <is>
          <t>Held; proposed numerical revision</t>
        </is>
      </c>
      <c r="G213"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14">
      <c r="A214" t="inlineStr">
        <is>
          <t>L076</t>
        </is>
      </c>
      <c r="B214" t="inlineStr">
        <is>
          <t>Kouatchoua gato</t>
        </is>
      </c>
      <c r="C214" t="inlineStr">
        <is>
          <t>Workbook ratio variant</t>
        </is>
      </c>
      <c r="D214" t="inlineStr">
        <is>
          <t>S044</t>
        </is>
      </c>
      <c r="E214" t="inlineStr">
        <is>
          <t>Kouatchoua gato column J</t>
        </is>
      </c>
      <c r="F214" t="inlineStr">
        <is>
          <t>Held; proposed numerical revision</t>
        </is>
      </c>
      <c r="G214"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15">
      <c r="A215" t="inlineStr">
        <is>
          <t>L077</t>
        </is>
      </c>
      <c r="B215" t="inlineStr">
        <is>
          <t>NGALA BREAD</t>
        </is>
      </c>
      <c r="C215" t="inlineStr">
        <is>
          <t>Workbook ratio variant</t>
        </is>
      </c>
      <c r="D215" t="inlineStr">
        <is>
          <t>S044</t>
        </is>
      </c>
      <c r="E215" t="inlineStr">
        <is>
          <t>NGALA BREAD column D</t>
        </is>
      </c>
      <c r="F215" t="inlineStr">
        <is>
          <t>Held; proposed numerical revision</t>
        </is>
      </c>
      <c r="G215" t="inlineStr">
        <is>
          <t>M1-B01–B13; conc milk requires identity/specification; method, portion, losses and actual successful trial record not established by spreadsheet quantities alone</t>
        </is>
      </c>
    </row>
    <row r="216">
      <c r="A216" t="inlineStr">
        <is>
          <t>L078</t>
        </is>
      </c>
      <c r="B216" t="inlineStr">
        <is>
          <t>New bageutte</t>
        </is>
      </c>
      <c r="C216" t="inlineStr">
        <is>
          <t>Workbook ratio variant</t>
        </is>
      </c>
      <c r="D216" t="inlineStr">
        <is>
          <t>S044</t>
        </is>
      </c>
      <c r="E216" t="inlineStr">
        <is>
          <t>New bageutte column D</t>
        </is>
      </c>
      <c r="F216" t="inlineStr">
        <is>
          <t>Held; proposed numerical revision</t>
        </is>
      </c>
      <c r="G216" t="inlineStr">
        <is>
          <t>Retain unique variant; no equivalent operating card selected; method, portion, losses and actual successful trial record not established by spreadsheet quantities alone</t>
        </is>
      </c>
    </row>
    <row r="217">
      <c r="A217" t="inlineStr">
        <is>
          <t>L079</t>
        </is>
      </c>
      <c r="B217" t="inlineStr">
        <is>
          <t>Pancake</t>
        </is>
      </c>
      <c r="C217" t="inlineStr">
        <is>
          <t>Workbook ratio variant</t>
        </is>
      </c>
      <c r="D217" t="inlineStr">
        <is>
          <t>S044</t>
        </is>
      </c>
      <c r="E217" t="inlineStr">
        <is>
          <t>Pancake column D</t>
        </is>
      </c>
      <c r="F217" t="inlineStr">
        <is>
          <t>Held; proposed numerical revision</t>
        </is>
      </c>
      <c r="G217" t="inlineStr">
        <is>
          <t>H08 / H09; exact style differs; milk requires identity/specification; method, portion, losses and actual successful trial record not established by spreadsheet quantities alone</t>
        </is>
      </c>
    </row>
    <row r="218">
      <c r="A218" t="inlineStr">
        <is>
          <t>L080</t>
        </is>
      </c>
      <c r="B218" t="inlineStr">
        <is>
          <t>Sugar Balls</t>
        </is>
      </c>
      <c r="C218" t="inlineStr">
        <is>
          <t>Workbook ratio variant</t>
        </is>
      </c>
      <c r="D218" t="inlineStr">
        <is>
          <t>S044</t>
        </is>
      </c>
      <c r="E218" t="inlineStr">
        <is>
          <t>Sugar Balls column D</t>
        </is>
      </c>
      <c r="F218" t="inlineStr">
        <is>
          <t>Held; proposed numerical revision</t>
        </is>
      </c>
      <c r="G218" t="inlineStr">
        <is>
          <t>Retain unique variant; no equivalent operating card selected; method, portion, losses and actual successful trial record not established by spreadsheet quantities alone</t>
        </is>
      </c>
    </row>
    <row r="219">
      <c r="A219" t="inlineStr">
        <is>
          <t>L081</t>
        </is>
      </c>
      <c r="B219" t="inlineStr">
        <is>
          <t>Sugar Balls</t>
        </is>
      </c>
      <c r="C219" t="inlineStr">
        <is>
          <t>Workbook ratio variant</t>
        </is>
      </c>
      <c r="D219" t="inlineStr">
        <is>
          <t>S044</t>
        </is>
      </c>
      <c r="E219" t="inlineStr">
        <is>
          <t>Sugar Balls column H</t>
        </is>
      </c>
      <c r="F219" t="inlineStr">
        <is>
          <t>Held; proposed numerical revision</t>
        </is>
      </c>
      <c r="G219" t="inlineStr">
        <is>
          <t>Retain unique variant; no equivalent operating card selected; method, portion, losses and actual successful trial record not established by spreadsheet quantities alone</t>
        </is>
      </c>
    </row>
    <row r="220">
      <c r="A220" t="inlineStr">
        <is>
          <t>L082</t>
        </is>
      </c>
      <c r="B220" t="inlineStr">
        <is>
          <t>YUMMY BREAD</t>
        </is>
      </c>
      <c r="C220" t="inlineStr">
        <is>
          <t>Workbook ratio variant</t>
        </is>
      </c>
      <c r="D220" t="inlineStr">
        <is>
          <t>S044</t>
        </is>
      </c>
      <c r="E220" t="inlineStr">
        <is>
          <t>YUMMY BREAD column D</t>
        </is>
      </c>
      <c r="F220" t="inlineStr">
        <is>
          <t>HOLD; EDC unidentified</t>
        </is>
      </c>
      <c r="G220"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21">
      <c r="A221" t="inlineStr">
        <is>
          <t>L083</t>
        </is>
      </c>
      <c r="B221" t="inlineStr">
        <is>
          <t>YUMMY BREAD</t>
        </is>
      </c>
      <c r="C221" t="inlineStr">
        <is>
          <t>Workbook ratio variant</t>
        </is>
      </c>
      <c r="D221" t="inlineStr">
        <is>
          <t>S044</t>
        </is>
      </c>
      <c r="E221" t="inlineStr">
        <is>
          <t>YUMMY BREAD column F</t>
        </is>
      </c>
      <c r="F221" t="inlineStr">
        <is>
          <t>HOLD; EDC unidentified</t>
        </is>
      </c>
      <c r="G221"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22">
      <c r="A222" t="inlineStr">
        <is>
          <t>L084</t>
        </is>
      </c>
      <c r="B222" t="inlineStr">
        <is>
          <t>buns new look</t>
        </is>
      </c>
      <c r="C222" t="inlineStr">
        <is>
          <t>Workbook ratio variant</t>
        </is>
      </c>
      <c r="D222" t="inlineStr">
        <is>
          <t>S044</t>
        </is>
      </c>
      <c r="E222" t="inlineStr">
        <is>
          <t>buns new look column D</t>
        </is>
      </c>
      <c r="F222" t="inlineStr">
        <is>
          <t>Held; proposed numerical revision</t>
        </is>
      </c>
      <c r="G222" t="inlineStr">
        <is>
          <t>M1-B04 / M1-B09; conc milk requires identity/specification; method, portion, losses and actual successful trial record not established by spreadsheet quantities alone</t>
        </is>
      </c>
    </row>
    <row r="223">
      <c r="A223" t="inlineStr">
        <is>
          <t>L085</t>
        </is>
      </c>
      <c r="B223" t="inlineStr">
        <is>
          <t>doughnuts</t>
        </is>
      </c>
      <c r="C223" t="inlineStr">
        <is>
          <t>Workbook ratio variant</t>
        </is>
      </c>
      <c r="D223" t="inlineStr">
        <is>
          <t>S044</t>
        </is>
      </c>
      <c r="E223" t="inlineStr">
        <is>
          <t>doughnuts column D</t>
        </is>
      </c>
      <c r="F223" t="inlineStr">
        <is>
          <t>Held; proposed numerical revision</t>
        </is>
      </c>
      <c r="G223" t="inlineStr">
        <is>
          <t>T01 for cake / O-P04 for yeast; milk requires identity/specification; separate recipe oil, retained frying oil and fryer charge; current source mass is not edible yield; method, portion, losses and actual successful trial record not established by spreadsheet quantities alone</t>
        </is>
      </c>
    </row>
    <row r="224">
      <c r="A224" t="inlineStr">
        <is>
          <t>L086</t>
        </is>
      </c>
      <c r="B224" t="inlineStr">
        <is>
          <t>doughnuts</t>
        </is>
      </c>
      <c r="C224" t="inlineStr">
        <is>
          <t>Workbook ratio variant</t>
        </is>
      </c>
      <c r="D224" t="inlineStr">
        <is>
          <t>S044</t>
        </is>
      </c>
      <c r="E224" t="inlineStr">
        <is>
          <t>doughnuts column L</t>
        </is>
      </c>
      <c r="F224" t="inlineStr">
        <is>
          <t>Held; proposed numerical revision</t>
        </is>
      </c>
      <c r="G224" t="inlineStr">
        <is>
          <t>T01 for cake / O-P04 for yeast; milk requires identity/specification; separate recipe oil, retained frying oil and fryer charge; current source mass is not edible yield; method, portion, losses and actual successful trial record not established by spreadsheet quantities alone</t>
        </is>
      </c>
    </row>
    <row r="225">
      <c r="A225" t="inlineStr">
        <is>
          <t>L087</t>
        </is>
      </c>
      <c r="B225" t="inlineStr">
        <is>
          <t>Kouatchoua gato</t>
        </is>
      </c>
      <c r="C225" t="inlineStr">
        <is>
          <t>Workbook ratio variant</t>
        </is>
      </c>
      <c r="D225" t="inlineStr">
        <is>
          <t>S045</t>
        </is>
      </c>
      <c r="E225" t="inlineStr">
        <is>
          <t>Kouatchoua gato column D</t>
        </is>
      </c>
      <c r="F225" t="inlineStr">
        <is>
          <t>Held; proposed numerical revision</t>
        </is>
      </c>
      <c r="G225"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26">
      <c r="A226" t="inlineStr">
        <is>
          <t>L088</t>
        </is>
      </c>
      <c r="B226" t="inlineStr">
        <is>
          <t>Kouatchoua gato</t>
        </is>
      </c>
      <c r="C226" t="inlineStr">
        <is>
          <t>Workbook ratio variant</t>
        </is>
      </c>
      <c r="D226" t="inlineStr">
        <is>
          <t>S045</t>
        </is>
      </c>
      <c r="E226" t="inlineStr">
        <is>
          <t>Kouatchoua gato column J</t>
        </is>
      </c>
      <c r="F226" t="inlineStr">
        <is>
          <t>Held; proposed numerical revision</t>
        </is>
      </c>
      <c r="G226"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27">
      <c r="A227" t="inlineStr">
        <is>
          <t>L089</t>
        </is>
      </c>
      <c r="B227" t="inlineStr">
        <is>
          <t>Pain au lait</t>
        </is>
      </c>
      <c r="C227" t="inlineStr">
        <is>
          <t>Workbook ratio variant</t>
        </is>
      </c>
      <c r="D227" t="inlineStr">
        <is>
          <t>S045</t>
        </is>
      </c>
      <c r="E227" t="inlineStr">
        <is>
          <t>Pain au lait column D</t>
        </is>
      </c>
      <c r="F227" t="inlineStr">
        <is>
          <t>HOLD; EDC unidentified</t>
        </is>
      </c>
      <c r="G227" t="inlineStr">
        <is>
          <t>S-B07 / M1-B04;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228">
      <c r="A228" t="inlineStr">
        <is>
          <t>L090</t>
        </is>
      </c>
      <c r="B228" t="inlineStr">
        <is>
          <t>Pain au lait</t>
        </is>
      </c>
      <c r="C228" t="inlineStr">
        <is>
          <t>Workbook ratio variant</t>
        </is>
      </c>
      <c r="D228" t="inlineStr">
        <is>
          <t>S045</t>
        </is>
      </c>
      <c r="E228" t="inlineStr">
        <is>
          <t>Pain au lait column L</t>
        </is>
      </c>
      <c r="F228" t="inlineStr">
        <is>
          <t>HOLD; EDC unidentified</t>
        </is>
      </c>
      <c r="G228" t="inlineStr">
        <is>
          <t>S-B07 / M1-B04;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29">
      <c r="A229" t="inlineStr">
        <is>
          <t>L091</t>
        </is>
      </c>
      <c r="B229" t="inlineStr">
        <is>
          <t>YUMMY BREAD</t>
        </is>
      </c>
      <c r="C229" t="inlineStr">
        <is>
          <t>Workbook ratio variant</t>
        </is>
      </c>
      <c r="D229" t="inlineStr">
        <is>
          <t>S045</t>
        </is>
      </c>
      <c r="E229" t="inlineStr">
        <is>
          <t>YUMMY BREAD column D</t>
        </is>
      </c>
      <c r="F229" t="inlineStr">
        <is>
          <t>HOLD; EDC unidentified</t>
        </is>
      </c>
      <c r="G229"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30">
      <c r="A230" t="inlineStr">
        <is>
          <t>L092</t>
        </is>
      </c>
      <c r="B230" t="inlineStr">
        <is>
          <t>YUMMY BREAD</t>
        </is>
      </c>
      <c r="C230" t="inlineStr">
        <is>
          <t>Workbook ratio variant</t>
        </is>
      </c>
      <c r="D230" t="inlineStr">
        <is>
          <t>S045</t>
        </is>
      </c>
      <c r="E230" t="inlineStr">
        <is>
          <t>YUMMY BREAD column F</t>
        </is>
      </c>
      <c r="F230" t="inlineStr">
        <is>
          <t>HOLD; EDC unidentified</t>
        </is>
      </c>
      <c r="G230"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31">
      <c r="A231" t="inlineStr">
        <is>
          <t>L093</t>
        </is>
      </c>
      <c r="B231" t="inlineStr">
        <is>
          <t>doughnuts</t>
        </is>
      </c>
      <c r="C231" t="inlineStr">
        <is>
          <t>Workbook ratio variant</t>
        </is>
      </c>
      <c r="D231" t="inlineStr">
        <is>
          <t>S045</t>
        </is>
      </c>
      <c r="E231" t="inlineStr">
        <is>
          <t>doughnuts column D</t>
        </is>
      </c>
      <c r="F231" t="inlineStr">
        <is>
          <t>Held; proposed numerical revision</t>
        </is>
      </c>
      <c r="G231" t="inlineStr">
        <is>
          <t>T01 for cake / O-P04 for yeast; milk requires identity/specification; separate recipe oil, retained frying oil and fryer charge; current source mass is not edible yield; method, portion, losses and actual successful trial record not established by spreadsheet quantities alone</t>
        </is>
      </c>
    </row>
    <row r="232">
      <c r="A232" t="inlineStr">
        <is>
          <t>L094</t>
        </is>
      </c>
      <c r="B232" t="inlineStr">
        <is>
          <t>doughnuts</t>
        </is>
      </c>
      <c r="C232" t="inlineStr">
        <is>
          <t>Workbook ratio variant</t>
        </is>
      </c>
      <c r="D232" t="inlineStr">
        <is>
          <t>S045</t>
        </is>
      </c>
      <c r="E232" t="inlineStr">
        <is>
          <t>doughnuts column L</t>
        </is>
      </c>
      <c r="F232" t="inlineStr">
        <is>
          <t>Held; proposed numerical revision</t>
        </is>
      </c>
      <c r="G232" t="inlineStr">
        <is>
          <t>T01 for cake / O-P04 for yeast; milk requires identity/specification; separate recipe oil, retained frying oil and fryer charge; current source mass is not edible yield; method, portion, losses and actual successful trial record not established by spreadsheet quantities alone</t>
        </is>
      </c>
    </row>
    <row r="233">
      <c r="A233" t="inlineStr">
        <is>
          <t>L095</t>
        </is>
      </c>
      <c r="B233" t="inlineStr">
        <is>
          <t>Best Chinchin</t>
        </is>
      </c>
      <c r="C233" t="inlineStr">
        <is>
          <t>Workbook ratio variant</t>
        </is>
      </c>
      <c r="D233" t="inlineStr">
        <is>
          <t>S046</t>
        </is>
      </c>
      <c r="E233" t="inlineStr">
        <is>
          <t>Best Chinchin column D</t>
        </is>
      </c>
      <c r="F233" t="inlineStr">
        <is>
          <t>Held; proposed numerical revision</t>
        </is>
      </c>
      <c r="G233" t="inlineStr">
        <is>
          <t>H10; separate recipe oil, retained frying oil and fryer charge; current source mass is not edible yield; method, portion, losses and actual successful trial record not established by spreadsheet quantities alone</t>
        </is>
      </c>
    </row>
    <row r="234">
      <c r="A234" t="inlineStr">
        <is>
          <t>L096</t>
        </is>
      </c>
      <c r="B234" t="inlineStr">
        <is>
          <t>Brioche New Look</t>
        </is>
      </c>
      <c r="C234" t="inlineStr">
        <is>
          <t>Workbook ratio variant</t>
        </is>
      </c>
      <c r="D234" t="inlineStr">
        <is>
          <t>S046</t>
        </is>
      </c>
      <c r="E234" t="inlineStr">
        <is>
          <t>Brioche New Look column D</t>
        </is>
      </c>
      <c r="F234" t="inlineStr">
        <is>
          <t>HOLD; EDC unidentified</t>
        </is>
      </c>
      <c r="G234" t="inlineStr">
        <is>
          <t>S-B06; richer true-butter variant;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35">
      <c r="A235" t="inlineStr">
        <is>
          <t>L097</t>
        </is>
      </c>
      <c r="B235" t="inlineStr">
        <is>
          <t>Brioche New Look</t>
        </is>
      </c>
      <c r="C235" t="inlineStr">
        <is>
          <t>Workbook ratio variant</t>
        </is>
      </c>
      <c r="D235" t="inlineStr">
        <is>
          <t>S046</t>
        </is>
      </c>
      <c r="E235" t="inlineStr">
        <is>
          <t>Brioche New Look column F</t>
        </is>
      </c>
      <c r="F235" t="inlineStr">
        <is>
          <t>HOLD; EDC unidentified</t>
        </is>
      </c>
      <c r="G235" t="inlineStr">
        <is>
          <t>S-B06; richer true-butter variant;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36">
      <c r="A236" t="inlineStr">
        <is>
          <t>L098</t>
        </is>
      </c>
      <c r="B236" t="inlineStr">
        <is>
          <t>Brioche New Look</t>
        </is>
      </c>
      <c r="C236" t="inlineStr">
        <is>
          <t>Workbook ratio variant</t>
        </is>
      </c>
      <c r="D236" t="inlineStr">
        <is>
          <t>S046</t>
        </is>
      </c>
      <c r="E236" t="inlineStr">
        <is>
          <t>Brioche New Look column L</t>
        </is>
      </c>
      <c r="F236" t="inlineStr">
        <is>
          <t>HOLD; EDC unidentified</t>
        </is>
      </c>
      <c r="G236" t="inlineStr">
        <is>
          <t>S-B06; richer true-butter variant;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37">
      <c r="A237" t="inlineStr">
        <is>
          <t>L099</t>
        </is>
      </c>
      <c r="B237" t="inlineStr">
        <is>
          <t>Cake Prof</t>
        </is>
      </c>
      <c r="C237" t="inlineStr">
        <is>
          <t>Workbook ratio variant</t>
        </is>
      </c>
      <c r="D237" t="inlineStr">
        <is>
          <t>S046</t>
        </is>
      </c>
      <c r="E237" t="inlineStr">
        <is>
          <t>Cake Prof column D</t>
        </is>
      </c>
      <c r="F237" t="inlineStr">
        <is>
          <t>Held; proposed numerical revision</t>
        </is>
      </c>
      <c r="G237" t="inlineStr">
        <is>
          <t>H08 / H09; exact style differs; method, portion, losses and actual successful trial record not established by spreadsheet quantities alone</t>
        </is>
      </c>
    </row>
    <row r="238">
      <c r="A238" t="inlineStr">
        <is>
          <t>L100</t>
        </is>
      </c>
      <c r="B238" t="inlineStr">
        <is>
          <t>Delice</t>
        </is>
      </c>
      <c r="C238" t="inlineStr">
        <is>
          <t>Workbook ratio variant</t>
        </is>
      </c>
      <c r="D238" t="inlineStr">
        <is>
          <t>S046</t>
        </is>
      </c>
      <c r="E238" t="inlineStr">
        <is>
          <t>Delice column D</t>
        </is>
      </c>
      <c r="F238" t="inlineStr">
        <is>
          <t>HOLD; EDC unidentified</t>
        </is>
      </c>
      <c r="G238" t="inlineStr">
        <is>
          <t>Retain unique variant; no equivalent operating card selected;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39">
      <c r="A239" t="inlineStr">
        <is>
          <t>L101</t>
        </is>
      </c>
      <c r="B239" t="inlineStr">
        <is>
          <t>GENOISE</t>
        </is>
      </c>
      <c r="C239" t="inlineStr">
        <is>
          <t>Workbook ratio variant</t>
        </is>
      </c>
      <c r="D239" t="inlineStr">
        <is>
          <t>S046</t>
        </is>
      </c>
      <c r="E239" t="inlineStr">
        <is>
          <t>GENOISE column D</t>
        </is>
      </c>
      <c r="F239" t="inlineStr">
        <is>
          <t>Held; proposed numerical revision</t>
        </is>
      </c>
      <c r="G239" t="inlineStr">
        <is>
          <t>H09; nutmeg exceeds 2% of flour; probable source or cell-association error, do not produce from this record; method, portion, losses and actual successful trial record not established by spreadsheet quantities alone</t>
        </is>
      </c>
    </row>
    <row r="240">
      <c r="A240" t="inlineStr">
        <is>
          <t>L102</t>
        </is>
      </c>
      <c r="B240" t="inlineStr">
        <is>
          <t>Galette</t>
        </is>
      </c>
      <c r="C240" t="inlineStr">
        <is>
          <t>Workbook ratio variant</t>
        </is>
      </c>
      <c r="D240" t="inlineStr">
        <is>
          <t>S046</t>
        </is>
      </c>
      <c r="E240" t="inlineStr">
        <is>
          <t>Galette column D</t>
        </is>
      </c>
      <c r="F240" t="inlineStr">
        <is>
          <t>HOLD; EDC unidentified</t>
        </is>
      </c>
      <c r="G240" t="inlineStr">
        <is>
          <t>H14;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41">
      <c r="A241" t="inlineStr">
        <is>
          <t>L103</t>
        </is>
      </c>
      <c r="B241" t="inlineStr">
        <is>
          <t>Galette</t>
        </is>
      </c>
      <c r="C241" t="inlineStr">
        <is>
          <t>Workbook ratio variant</t>
        </is>
      </c>
      <c r="D241" t="inlineStr">
        <is>
          <t>S046</t>
        </is>
      </c>
      <c r="E241" t="inlineStr">
        <is>
          <t>Galette column F</t>
        </is>
      </c>
      <c r="F241" t="inlineStr">
        <is>
          <t>HOLD; EDC unidentified</t>
        </is>
      </c>
      <c r="G241" t="inlineStr">
        <is>
          <t>H14;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42">
      <c r="A242" t="inlineStr">
        <is>
          <t>L104</t>
        </is>
      </c>
      <c r="B242" t="inlineStr">
        <is>
          <t>Kouatchoua gato</t>
        </is>
      </c>
      <c r="C242" t="inlineStr">
        <is>
          <t>Workbook ratio variant</t>
        </is>
      </c>
      <c r="D242" t="inlineStr">
        <is>
          <t>S046</t>
        </is>
      </c>
      <c r="E242" t="inlineStr">
        <is>
          <t>Kouatchoua gato column D</t>
        </is>
      </c>
      <c r="F242" t="inlineStr">
        <is>
          <t>Held; proposed numerical revision</t>
        </is>
      </c>
      <c r="G242"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43">
      <c r="A243" t="inlineStr">
        <is>
          <t>L105</t>
        </is>
      </c>
      <c r="B243" t="inlineStr">
        <is>
          <t>Pain au lait</t>
        </is>
      </c>
      <c r="C243" t="inlineStr">
        <is>
          <t>Workbook ratio variant</t>
        </is>
      </c>
      <c r="D243" t="inlineStr">
        <is>
          <t>S046</t>
        </is>
      </c>
      <c r="E243" t="inlineStr">
        <is>
          <t>Pain au lait column D</t>
        </is>
      </c>
      <c r="F243" t="inlineStr">
        <is>
          <t>HOLD; EDC unidentified</t>
        </is>
      </c>
      <c r="G243" t="inlineStr">
        <is>
          <t>S-B07 / M1-B04;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244">
      <c r="A244" t="inlineStr">
        <is>
          <t>L106</t>
        </is>
      </c>
      <c r="B244" t="inlineStr">
        <is>
          <t>Pain au lait</t>
        </is>
      </c>
      <c r="C244" t="inlineStr">
        <is>
          <t>Workbook ratio variant</t>
        </is>
      </c>
      <c r="D244" t="inlineStr">
        <is>
          <t>S046</t>
        </is>
      </c>
      <c r="E244" t="inlineStr">
        <is>
          <t>Pain au lait column L</t>
        </is>
      </c>
      <c r="F244" t="inlineStr">
        <is>
          <t>HOLD; EDC unidentified</t>
        </is>
      </c>
      <c r="G244" t="inlineStr">
        <is>
          <t>S-B07 / M1-B04;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45">
      <c r="A245" t="inlineStr">
        <is>
          <t>L107</t>
        </is>
      </c>
      <c r="B245" t="inlineStr">
        <is>
          <t>Sugar Balls</t>
        </is>
      </c>
      <c r="C245" t="inlineStr">
        <is>
          <t>Workbook ratio variant</t>
        </is>
      </c>
      <c r="D245" t="inlineStr">
        <is>
          <t>S046</t>
        </is>
      </c>
      <c r="E245" t="inlineStr">
        <is>
          <t>Sugar Balls column D</t>
        </is>
      </c>
      <c r="F245" t="inlineStr">
        <is>
          <t>Held; proposed numerical revision</t>
        </is>
      </c>
      <c r="G245" t="inlineStr">
        <is>
          <t>Retain unique variant; no equivalent operating card selected; method, portion, losses and actual successful trial record not established by spreadsheet quantities alone</t>
        </is>
      </c>
    </row>
    <row r="246">
      <c r="A246" t="inlineStr">
        <is>
          <t>L108</t>
        </is>
      </c>
      <c r="B246" t="inlineStr">
        <is>
          <t>Sugar Balls</t>
        </is>
      </c>
      <c r="C246" t="inlineStr">
        <is>
          <t>Workbook ratio variant</t>
        </is>
      </c>
      <c r="D246" t="inlineStr">
        <is>
          <t>S046</t>
        </is>
      </c>
      <c r="E246" t="inlineStr">
        <is>
          <t>Sugar Balls column H</t>
        </is>
      </c>
      <c r="F246" t="inlineStr">
        <is>
          <t>Held; proposed numerical revision</t>
        </is>
      </c>
      <c r="G246" t="inlineStr">
        <is>
          <t>Retain unique variant; no equivalent operating card selected; method, portion, losses and actual successful trial record not established by spreadsheet quantities alone</t>
        </is>
      </c>
    </row>
    <row r="247">
      <c r="A247" t="inlineStr">
        <is>
          <t>L109</t>
        </is>
      </c>
      <c r="B247" t="inlineStr">
        <is>
          <t>YUMMY BREAD</t>
        </is>
      </c>
      <c r="C247" t="inlineStr">
        <is>
          <t>Workbook ratio variant</t>
        </is>
      </c>
      <c r="D247" t="inlineStr">
        <is>
          <t>S046</t>
        </is>
      </c>
      <c r="E247" t="inlineStr">
        <is>
          <t>YUMMY BREAD column D</t>
        </is>
      </c>
      <c r="F247" t="inlineStr">
        <is>
          <t>HOLD; EDC unidentified</t>
        </is>
      </c>
      <c r="G247"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48">
      <c r="A248" t="inlineStr">
        <is>
          <t>L110</t>
        </is>
      </c>
      <c r="B248" t="inlineStr">
        <is>
          <t>YUMMY YOGHOURT (YUYO)</t>
        </is>
      </c>
      <c r="C248" t="inlineStr">
        <is>
          <t>Workbook ratio variant</t>
        </is>
      </c>
      <c r="D248" t="inlineStr">
        <is>
          <t>S046</t>
        </is>
      </c>
      <c r="E248" t="inlineStr">
        <is>
          <t>YUMMY YOGHOURT (YUYO) column D</t>
        </is>
      </c>
      <c r="F248" t="inlineStr">
        <is>
          <t>Held; proposed numerical revision</t>
        </is>
      </c>
      <c r="G248" t="inlineStr">
        <is>
          <t>S-Y01–S-Y03; milk requires identity/specification; stock yoghort requires identity/specification; method, portion, losses and actual successful trial record not established by spreadsheet quantities alone</t>
        </is>
      </c>
    </row>
    <row r="249">
      <c r="A249" t="inlineStr">
        <is>
          <t>L111</t>
        </is>
      </c>
      <c r="B249" t="inlineStr">
        <is>
          <t>YUMMY YOGHOURT (YUYO)</t>
        </is>
      </c>
      <c r="C249" t="inlineStr">
        <is>
          <t>Workbook ratio variant</t>
        </is>
      </c>
      <c r="D249" t="inlineStr">
        <is>
          <t>S046</t>
        </is>
      </c>
      <c r="E249" t="inlineStr">
        <is>
          <t>YUMMY YOGHOURT (YUYO) column H</t>
        </is>
      </c>
      <c r="F249" t="inlineStr">
        <is>
          <t>Held; proposed numerical revision</t>
        </is>
      </c>
      <c r="G249" t="inlineStr">
        <is>
          <t>S-Y01–S-Y03; milk requires identity/specification; method, portion, losses and actual successful trial record not established by spreadsheet quantities alone</t>
        </is>
      </c>
    </row>
    <row r="250">
      <c r="A250" t="inlineStr">
        <is>
          <t>L112</t>
        </is>
      </c>
      <c r="B250" t="inlineStr">
        <is>
          <t>YUMMY YOGHOURT (YUYO)</t>
        </is>
      </c>
      <c r="C250" t="inlineStr">
        <is>
          <t>Workbook ratio variant</t>
        </is>
      </c>
      <c r="D250" t="inlineStr">
        <is>
          <t>S046</t>
        </is>
      </c>
      <c r="E250" t="inlineStr">
        <is>
          <t>YUMMY YOGHOURT (YUYO) column L</t>
        </is>
      </c>
      <c r="F250" t="inlineStr">
        <is>
          <t>Held; proposed numerical revision</t>
        </is>
      </c>
      <c r="G250" t="inlineStr">
        <is>
          <t>S-Y01–S-Y03; milk requires identity/specification; method, portion, losses and actual successful trial record not established by spreadsheet quantities alone</t>
        </is>
      </c>
    </row>
    <row r="251">
      <c r="A251" t="inlineStr">
        <is>
          <t>L113</t>
        </is>
      </c>
      <c r="B251" t="inlineStr">
        <is>
          <t>brioche</t>
        </is>
      </c>
      <c r="C251" t="inlineStr">
        <is>
          <t>Workbook ratio variant</t>
        </is>
      </c>
      <c r="D251" t="inlineStr">
        <is>
          <t>S046</t>
        </is>
      </c>
      <c r="E251" t="inlineStr">
        <is>
          <t>brioche column D</t>
        </is>
      </c>
      <c r="F251" t="inlineStr">
        <is>
          <t>HOLD; EDC unidentified</t>
        </is>
      </c>
      <c r="G251" t="inlineStr">
        <is>
          <t>S-B06; richer true-butter variant;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52">
      <c r="A252" t="inlineStr">
        <is>
          <t>L114</t>
        </is>
      </c>
      <c r="B252" t="inlineStr">
        <is>
          <t>doughnuts</t>
        </is>
      </c>
      <c r="C252" t="inlineStr">
        <is>
          <t>Workbook ratio variant</t>
        </is>
      </c>
      <c r="D252" t="inlineStr">
        <is>
          <t>S046</t>
        </is>
      </c>
      <c r="E252" t="inlineStr">
        <is>
          <t>doughnuts column D</t>
        </is>
      </c>
      <c r="F252" t="inlineStr">
        <is>
          <t>Held; proposed numerical revision</t>
        </is>
      </c>
      <c r="G252" t="inlineStr">
        <is>
          <t>T01 for cake / O-P04 for yeast; milk requires identity/specification; separate recipe oil, retained frying oil and fryer charge; current source mass is not edible yield; method, portion, losses and actual successful trial record not established by spreadsheet quantities alone</t>
        </is>
      </c>
    </row>
    <row r="253">
      <c r="A253" t="inlineStr">
        <is>
          <t>L115</t>
        </is>
      </c>
      <c r="B253" t="inlineStr">
        <is>
          <t>doughnuts</t>
        </is>
      </c>
      <c r="C253" t="inlineStr">
        <is>
          <t>Workbook ratio variant</t>
        </is>
      </c>
      <c r="D253" t="inlineStr">
        <is>
          <t>S046</t>
        </is>
      </c>
      <c r="E253" t="inlineStr">
        <is>
          <t>doughnuts column L</t>
        </is>
      </c>
      <c r="F253" t="inlineStr">
        <is>
          <t>Held; proposed numerical revision</t>
        </is>
      </c>
      <c r="G253" t="inlineStr">
        <is>
          <t>T01 for cake / O-P04 for yeast; milk requires identity/specification; separate recipe oil, retained frying oil and fryer charge; current source mass is not edible yield; method, portion, losses and actual successful trial record not established by spreadsheet quantities alone</t>
        </is>
      </c>
    </row>
    <row r="254">
      <c r="A254" t="inlineStr">
        <is>
          <t>L116</t>
        </is>
      </c>
      <c r="B254" t="inlineStr">
        <is>
          <t>Sugar Balls</t>
        </is>
      </c>
      <c r="C254" t="inlineStr">
        <is>
          <t>Workbook ratio variant</t>
        </is>
      </c>
      <c r="D254" t="inlineStr">
        <is>
          <t>S047</t>
        </is>
      </c>
      <c r="E254" t="inlineStr">
        <is>
          <t>Sugar Balls column D</t>
        </is>
      </c>
      <c r="F254" t="inlineStr">
        <is>
          <t>Held; proposed numerical revision</t>
        </is>
      </c>
      <c r="G254" t="inlineStr">
        <is>
          <t>Retain unique variant; no equivalent operating card selected; method, portion, losses and actual successful trial record not established by spreadsheet quantities alone</t>
        </is>
      </c>
    </row>
    <row r="255">
      <c r="A255" t="inlineStr">
        <is>
          <t>L117</t>
        </is>
      </c>
      <c r="B255" t="inlineStr">
        <is>
          <t>Sugar Balls</t>
        </is>
      </c>
      <c r="C255" t="inlineStr">
        <is>
          <t>Workbook ratio variant</t>
        </is>
      </c>
      <c r="D255" t="inlineStr">
        <is>
          <t>S047</t>
        </is>
      </c>
      <c r="E255" t="inlineStr">
        <is>
          <t>Sugar Balls column H</t>
        </is>
      </c>
      <c r="F255" t="inlineStr">
        <is>
          <t>Held; proposed numerical revision</t>
        </is>
      </c>
      <c r="G255" t="inlineStr">
        <is>
          <t>Retain unique variant; no equivalent operating card selected; method, portion, losses and actual successful trial record not established by spreadsheet quantities alone</t>
        </is>
      </c>
    </row>
    <row r="256">
      <c r="A256" t="inlineStr">
        <is>
          <t>L118</t>
        </is>
      </c>
      <c r="B256" t="inlineStr">
        <is>
          <t>Baguette now</t>
        </is>
      </c>
      <c r="C256" t="inlineStr">
        <is>
          <t>Workbook ratio variant</t>
        </is>
      </c>
      <c r="D256" t="inlineStr">
        <is>
          <t>S048</t>
        </is>
      </c>
      <c r="E256" t="inlineStr">
        <is>
          <t>Baguette now column D</t>
        </is>
      </c>
      <c r="F256" t="inlineStr">
        <is>
          <t>Held; proposed numerical revision</t>
        </is>
      </c>
      <c r="G256" t="inlineStr">
        <is>
          <t>M1-B12 / M1-B13 / S-B01; method, portion, losses and actual successful trial record not established by spreadsheet quantities alone</t>
        </is>
      </c>
    </row>
    <row r="257">
      <c r="A257" t="inlineStr">
        <is>
          <t>L119</t>
        </is>
      </c>
      <c r="B257" t="inlineStr">
        <is>
          <t>Best Chinchin</t>
        </is>
      </c>
      <c r="C257" t="inlineStr">
        <is>
          <t>Workbook ratio variant</t>
        </is>
      </c>
      <c r="D257" t="inlineStr">
        <is>
          <t>S048</t>
        </is>
      </c>
      <c r="E257" t="inlineStr">
        <is>
          <t>Best Chinchin column D</t>
        </is>
      </c>
      <c r="F257" t="inlineStr">
        <is>
          <t>Held; proposed numerical revision</t>
        </is>
      </c>
      <c r="G257" t="inlineStr">
        <is>
          <t>H10; separate recipe oil, retained frying oil and fryer charge; current source mass is not edible yield; method, portion, losses and actual successful trial record not established by spreadsheet quantities alone</t>
        </is>
      </c>
    </row>
    <row r="258">
      <c r="A258" t="inlineStr">
        <is>
          <t>L120</t>
        </is>
      </c>
      <c r="B258" t="inlineStr">
        <is>
          <t>Cake Prof</t>
        </is>
      </c>
      <c r="C258" t="inlineStr">
        <is>
          <t>Workbook ratio variant</t>
        </is>
      </c>
      <c r="D258" t="inlineStr">
        <is>
          <t>S048</t>
        </is>
      </c>
      <c r="E258" t="inlineStr">
        <is>
          <t>Cake Prof column D</t>
        </is>
      </c>
      <c r="F258" t="inlineStr">
        <is>
          <t>Held; proposed numerical revision</t>
        </is>
      </c>
      <c r="G258" t="inlineStr">
        <is>
          <t>H08 / H09; exact style differs; method, portion, losses and actual successful trial record not established by spreadsheet quantities alone</t>
        </is>
      </c>
    </row>
    <row r="259">
      <c r="A259" t="inlineStr">
        <is>
          <t>L121</t>
        </is>
      </c>
      <c r="B259" t="inlineStr">
        <is>
          <t>Galette</t>
        </is>
      </c>
      <c r="C259" t="inlineStr">
        <is>
          <t>Workbook ratio variant</t>
        </is>
      </c>
      <c r="D259" t="inlineStr">
        <is>
          <t>S048</t>
        </is>
      </c>
      <c r="E259" t="inlineStr">
        <is>
          <t>Galette column D</t>
        </is>
      </c>
      <c r="F259" t="inlineStr">
        <is>
          <t>HOLD; EDC unidentified</t>
        </is>
      </c>
      <c r="G259" t="inlineStr">
        <is>
          <t>H14;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60">
      <c r="A260" t="inlineStr">
        <is>
          <t>L122</t>
        </is>
      </c>
      <c r="B260" t="inlineStr">
        <is>
          <t>Galette</t>
        </is>
      </c>
      <c r="C260" t="inlineStr">
        <is>
          <t>Workbook ratio variant</t>
        </is>
      </c>
      <c r="D260" t="inlineStr">
        <is>
          <t>S048</t>
        </is>
      </c>
      <c r="E260" t="inlineStr">
        <is>
          <t>Galette column F</t>
        </is>
      </c>
      <c r="F260" t="inlineStr">
        <is>
          <t>HOLD; EDC unidentified</t>
        </is>
      </c>
      <c r="G260" t="inlineStr">
        <is>
          <t>H14;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61">
      <c r="A261" t="inlineStr">
        <is>
          <t>L123</t>
        </is>
      </c>
      <c r="B261" t="inlineStr">
        <is>
          <t>Kouatchoua gato</t>
        </is>
      </c>
      <c r="C261" t="inlineStr">
        <is>
          <t>Workbook ratio variant</t>
        </is>
      </c>
      <c r="D261" t="inlineStr">
        <is>
          <t>S048</t>
        </is>
      </c>
      <c r="E261" t="inlineStr">
        <is>
          <t>Kouatchoua gato column D</t>
        </is>
      </c>
      <c r="F261" t="inlineStr">
        <is>
          <t>Held; proposed numerical revision</t>
        </is>
      </c>
      <c r="G261"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62">
      <c r="A262" t="inlineStr">
        <is>
          <t>L124</t>
        </is>
      </c>
      <c r="B262" t="inlineStr">
        <is>
          <t>Sugar Balls</t>
        </is>
      </c>
      <c r="C262" t="inlineStr">
        <is>
          <t>Workbook ratio variant</t>
        </is>
      </c>
      <c r="D262" t="inlineStr">
        <is>
          <t>S048</t>
        </is>
      </c>
      <c r="E262" t="inlineStr">
        <is>
          <t>Sugar Balls column D</t>
        </is>
      </c>
      <c r="F262" t="inlineStr">
        <is>
          <t>Held; proposed numerical revision</t>
        </is>
      </c>
      <c r="G262" t="inlineStr">
        <is>
          <t>Retain unique variant; no equivalent operating card selected; method, portion, losses and actual successful trial record not established by spreadsheet quantities alone</t>
        </is>
      </c>
    </row>
    <row r="263">
      <c r="A263" t="inlineStr">
        <is>
          <t>L125</t>
        </is>
      </c>
      <c r="B263" t="inlineStr">
        <is>
          <t>Sugar Balls</t>
        </is>
      </c>
      <c r="C263" t="inlineStr">
        <is>
          <t>Workbook ratio variant</t>
        </is>
      </c>
      <c r="D263" t="inlineStr">
        <is>
          <t>S048</t>
        </is>
      </c>
      <c r="E263" t="inlineStr">
        <is>
          <t>Sugar Balls column H</t>
        </is>
      </c>
      <c r="F263" t="inlineStr">
        <is>
          <t>Held; proposed numerical revision</t>
        </is>
      </c>
      <c r="G263" t="inlineStr">
        <is>
          <t>Retain unique variant; no equivalent operating card selected; method, portion, losses and actual successful trial record not established by spreadsheet quantities alone</t>
        </is>
      </c>
    </row>
    <row r="264">
      <c r="A264" t="inlineStr">
        <is>
          <t>L126</t>
        </is>
      </c>
      <c r="B264" t="inlineStr">
        <is>
          <t>Sugar Balls</t>
        </is>
      </c>
      <c r="C264" t="inlineStr">
        <is>
          <t>Workbook ratio variant</t>
        </is>
      </c>
      <c r="D264" t="inlineStr">
        <is>
          <t>S048</t>
        </is>
      </c>
      <c r="E264" t="inlineStr">
        <is>
          <t>Sugar Balls column L</t>
        </is>
      </c>
      <c r="F264" t="inlineStr">
        <is>
          <t>Held; proposed numerical revision</t>
        </is>
      </c>
      <c r="G264" t="inlineStr">
        <is>
          <t>Retain unique variant; no equivalent operating card selected; method, portion, losses and actual successful trial record not established by spreadsheet quantities alone</t>
        </is>
      </c>
    </row>
    <row r="265">
      <c r="A265" t="inlineStr">
        <is>
          <t>L127</t>
        </is>
      </c>
      <c r="B265" t="inlineStr">
        <is>
          <t>YUMMY BREAD</t>
        </is>
      </c>
      <c r="C265" t="inlineStr">
        <is>
          <t>Workbook ratio variant</t>
        </is>
      </c>
      <c r="D265" t="inlineStr">
        <is>
          <t>S048</t>
        </is>
      </c>
      <c r="E265" t="inlineStr">
        <is>
          <t>YUMMY BREAD column D</t>
        </is>
      </c>
      <c r="F265" t="inlineStr">
        <is>
          <t>HOLD; EDC unidentified</t>
        </is>
      </c>
      <c r="G265"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66">
      <c r="A266" t="inlineStr">
        <is>
          <t>L128</t>
        </is>
      </c>
      <c r="B266" t="inlineStr">
        <is>
          <t>YUMMY YOGHOURT (YUYO)</t>
        </is>
      </c>
      <c r="C266" t="inlineStr">
        <is>
          <t>Workbook ratio variant</t>
        </is>
      </c>
      <c r="D266" t="inlineStr">
        <is>
          <t>S048</t>
        </is>
      </c>
      <c r="E266" t="inlineStr">
        <is>
          <t>YUMMY YOGHOURT (YUYO) column D</t>
        </is>
      </c>
      <c r="F266" t="inlineStr">
        <is>
          <t>Held; proposed numerical revision</t>
        </is>
      </c>
      <c r="G266" t="inlineStr">
        <is>
          <t>S-Y01–S-Y03; milk requires identity/specification; stock yoghort requires identity/specification; method, portion, losses and actual successful trial record not established by spreadsheet quantities alone</t>
        </is>
      </c>
    </row>
    <row r="267">
      <c r="A267" t="inlineStr">
        <is>
          <t>L129</t>
        </is>
      </c>
      <c r="B267" t="inlineStr">
        <is>
          <t>YUMMY YOGHOURT (YUYO)</t>
        </is>
      </c>
      <c r="C267" t="inlineStr">
        <is>
          <t>Workbook ratio variant</t>
        </is>
      </c>
      <c r="D267" t="inlineStr">
        <is>
          <t>S048</t>
        </is>
      </c>
      <c r="E267" t="inlineStr">
        <is>
          <t>YUMMY YOGHOURT (YUYO) column F</t>
        </is>
      </c>
      <c r="F267" t="inlineStr">
        <is>
          <t>Held; proposed numerical revision</t>
        </is>
      </c>
      <c r="G267" t="inlineStr">
        <is>
          <t>S-Y01–S-Y03; milk requires identity/specification; stock yoghort requires identity/specification; method, portion, losses and actual successful trial record not established by spreadsheet quantities alone</t>
        </is>
      </c>
    </row>
    <row r="268">
      <c r="A268" t="inlineStr">
        <is>
          <t>L130</t>
        </is>
      </c>
      <c r="B268" t="inlineStr">
        <is>
          <t>YUMMY YOGHOURT (YUYO)</t>
        </is>
      </c>
      <c r="C268" t="inlineStr">
        <is>
          <t>Workbook ratio variant</t>
        </is>
      </c>
      <c r="D268" t="inlineStr">
        <is>
          <t>S048</t>
        </is>
      </c>
      <c r="E268" t="inlineStr">
        <is>
          <t>YUMMY YOGHOURT (YUYO) column L</t>
        </is>
      </c>
      <c r="F268" t="inlineStr">
        <is>
          <t>Held; proposed numerical revision</t>
        </is>
      </c>
      <c r="G268" t="inlineStr">
        <is>
          <t>S-Y01–S-Y03; milk requires identity/specification; method, portion, losses and actual successful trial record not established by spreadsheet quantities alone</t>
        </is>
      </c>
    </row>
    <row r="269">
      <c r="A269" t="inlineStr">
        <is>
          <t>L131</t>
        </is>
      </c>
      <c r="B269" t="inlineStr">
        <is>
          <t>beignet souffle</t>
        </is>
      </c>
      <c r="C269" t="inlineStr">
        <is>
          <t>Workbook ratio variant</t>
        </is>
      </c>
      <c r="D269" t="inlineStr">
        <is>
          <t>S048</t>
        </is>
      </c>
      <c r="E269" t="inlineStr">
        <is>
          <t>beignet souffle column D</t>
        </is>
      </c>
      <c r="F269" t="inlineStr">
        <is>
          <t>HOLD; EDC unidentified</t>
        </is>
      </c>
      <c r="G269" t="inlineStr">
        <is>
          <t>H11;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270">
      <c r="A270" t="inlineStr">
        <is>
          <t>L132</t>
        </is>
      </c>
      <c r="B270" t="inlineStr">
        <is>
          <t>beignet souffle</t>
        </is>
      </c>
      <c r="C270" t="inlineStr">
        <is>
          <t>Workbook ratio variant</t>
        </is>
      </c>
      <c r="D270" t="inlineStr">
        <is>
          <t>S048</t>
        </is>
      </c>
      <c r="E270" t="inlineStr">
        <is>
          <t>beignet souffle column F</t>
        </is>
      </c>
      <c r="F270" t="inlineStr">
        <is>
          <t>HOLD; EDC unidentified</t>
        </is>
      </c>
      <c r="G270" t="inlineStr">
        <is>
          <t>H11;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271">
      <c r="A271" t="inlineStr">
        <is>
          <t>L133</t>
        </is>
      </c>
      <c r="B271" t="inlineStr">
        <is>
          <t>butter biscuits</t>
        </is>
      </c>
      <c r="C271" t="inlineStr">
        <is>
          <t>Workbook ratio variant</t>
        </is>
      </c>
      <c r="D271" t="inlineStr">
        <is>
          <t>S048</t>
        </is>
      </c>
      <c r="E271" t="inlineStr">
        <is>
          <t>butter biscuits column D</t>
        </is>
      </c>
      <c r="F271" t="inlineStr">
        <is>
          <t>Held; proposed numerical revision</t>
        </is>
      </c>
      <c r="G271" t="inlineStr">
        <is>
          <t>Retain unique variant; no equivalent operating card selected; method, portion, losses and actual successful trial record not established by spreadsheet quantities alone</t>
        </is>
      </c>
    </row>
    <row r="272">
      <c r="A272" t="inlineStr">
        <is>
          <t>L134</t>
        </is>
      </c>
      <c r="B272" t="inlineStr">
        <is>
          <t>doughnuts</t>
        </is>
      </c>
      <c r="C272" t="inlineStr">
        <is>
          <t>Workbook ratio variant</t>
        </is>
      </c>
      <c r="D272" t="inlineStr">
        <is>
          <t>S048</t>
        </is>
      </c>
      <c r="E272" t="inlineStr">
        <is>
          <t>doughnuts column D</t>
        </is>
      </c>
      <c r="F272" t="inlineStr">
        <is>
          <t>Held; proposed numerical revision</t>
        </is>
      </c>
      <c r="G272" t="inlineStr">
        <is>
          <t>T01 for cake / O-P04 for yeast; baking powder exceeds 5% of flour; possible quantity error; milk requires identity/specification; nutmeg exceeds 2% of flour; probable source or cell-association error, do not produce from this record; method, portion, losses and actual successful trial record not established by spreadsheet quantities alone</t>
        </is>
      </c>
    </row>
    <row r="273">
      <c r="A273" t="inlineStr">
        <is>
          <t>L135</t>
        </is>
      </c>
      <c r="B273" t="inlineStr">
        <is>
          <t>doughnuts</t>
        </is>
      </c>
      <c r="C273" t="inlineStr">
        <is>
          <t>Workbook ratio variant</t>
        </is>
      </c>
      <c r="D273" t="inlineStr">
        <is>
          <t>S048</t>
        </is>
      </c>
      <c r="E273" t="inlineStr">
        <is>
          <t>doughnuts column F</t>
        </is>
      </c>
      <c r="F273" t="inlineStr">
        <is>
          <t>Held; proposed numerical revision</t>
        </is>
      </c>
      <c r="G273" t="inlineStr">
        <is>
          <t>T01 for cake / O-P04 for yeast; baking powder exceeds 5% of flour; possible quantity error; milk requires identity/specification; nutmeg exceeds 2% of flour; probable source or cell-association error, do not produce from this record; method, portion, losses and actual successful trial record not established by spreadsheet quantities alone</t>
        </is>
      </c>
    </row>
    <row r="274">
      <c r="A274" t="inlineStr">
        <is>
          <t>L136</t>
        </is>
      </c>
      <c r="B274" t="inlineStr">
        <is>
          <t>doughnuts</t>
        </is>
      </c>
      <c r="C274" t="inlineStr">
        <is>
          <t>Workbook ratio variant</t>
        </is>
      </c>
      <c r="D274" t="inlineStr">
        <is>
          <t>S048</t>
        </is>
      </c>
      <c r="E274" t="inlineStr">
        <is>
          <t>doughnuts column L</t>
        </is>
      </c>
      <c r="F274" t="inlineStr">
        <is>
          <t>Held; proposed numerical revision</t>
        </is>
      </c>
      <c r="G274" t="inlineStr">
        <is>
          <t>T01 for cake / O-P04 for yeast; baking powder exceeds 5% of flour; possible quantity error; milk requires identity/specification; nutmeg exceeds 2% of flour; probable source or cell-association error, do not produce from this record; method, portion, losses and actual successful trial record not established by spreadsheet quantities alone</t>
        </is>
      </c>
    </row>
    <row r="275">
      <c r="A275" t="inlineStr">
        <is>
          <t>L137</t>
        </is>
      </c>
      <c r="B275" t="inlineStr">
        <is>
          <t>Best Chinchin</t>
        </is>
      </c>
      <c r="C275" t="inlineStr">
        <is>
          <t>Workbook ratio variant</t>
        </is>
      </c>
      <c r="D275" t="inlineStr">
        <is>
          <t>S076</t>
        </is>
      </c>
      <c r="E275" t="inlineStr">
        <is>
          <t>Best Chinchin column D</t>
        </is>
      </c>
      <c r="F275" t="inlineStr">
        <is>
          <t>Held; proposed numerical revision</t>
        </is>
      </c>
      <c r="G275" t="inlineStr">
        <is>
          <t>H10; separate recipe oil, retained frying oil and fryer charge; current source mass is not edible yield; method, portion, losses and actual successful trial record not established by spreadsheet quantities alone</t>
        </is>
      </c>
    </row>
    <row r="276">
      <c r="A276" t="inlineStr">
        <is>
          <t>L138</t>
        </is>
      </c>
      <c r="B276" t="inlineStr">
        <is>
          <t>Cake Prof</t>
        </is>
      </c>
      <c r="C276" t="inlineStr">
        <is>
          <t>Workbook ratio variant</t>
        </is>
      </c>
      <c r="D276" t="inlineStr">
        <is>
          <t>S076</t>
        </is>
      </c>
      <c r="E276" t="inlineStr">
        <is>
          <t>Cake Prof column D</t>
        </is>
      </c>
      <c r="F276" t="inlineStr">
        <is>
          <t>Held; proposed numerical revision</t>
        </is>
      </c>
      <c r="G276" t="inlineStr">
        <is>
          <t>H08 / H09; exact style differs; method, portion, losses and actual successful trial record not established by spreadsheet quantities alone</t>
        </is>
      </c>
    </row>
    <row r="277">
      <c r="A277" t="inlineStr">
        <is>
          <t>L139</t>
        </is>
      </c>
      <c r="B277" t="inlineStr">
        <is>
          <t>NEW BRIOCHE</t>
        </is>
      </c>
      <c r="C277" t="inlineStr">
        <is>
          <t>Workbook ratio variant</t>
        </is>
      </c>
      <c r="D277" t="inlineStr">
        <is>
          <t>S076</t>
        </is>
      </c>
      <c r="E277" t="inlineStr">
        <is>
          <t>NEW BRIOCHE column D</t>
        </is>
      </c>
      <c r="F277" t="inlineStr">
        <is>
          <t>HOLD; EDC unidentified</t>
        </is>
      </c>
      <c r="G277"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78">
      <c r="A278" t="inlineStr">
        <is>
          <t>L140</t>
        </is>
      </c>
      <c r="B278" t="inlineStr">
        <is>
          <t>Pain au lait</t>
        </is>
      </c>
      <c r="C278" t="inlineStr">
        <is>
          <t>Workbook ratio variant</t>
        </is>
      </c>
      <c r="D278" t="inlineStr">
        <is>
          <t>S076</t>
        </is>
      </c>
      <c r="E278" t="inlineStr">
        <is>
          <t>Pain au lait column D</t>
        </is>
      </c>
      <c r="F278" t="inlineStr">
        <is>
          <t>HOLD; EDC unidentified</t>
        </is>
      </c>
      <c r="G278" t="inlineStr">
        <is>
          <t>S-B07 / M1-B04;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79">
      <c r="A279" t="inlineStr">
        <is>
          <t>L141</t>
        </is>
      </c>
      <c r="B279" t="inlineStr">
        <is>
          <t>Pain au lait</t>
        </is>
      </c>
      <c r="C279" t="inlineStr">
        <is>
          <t>Workbook ratio variant</t>
        </is>
      </c>
      <c r="D279" t="inlineStr">
        <is>
          <t>S076</t>
        </is>
      </c>
      <c r="E279" t="inlineStr">
        <is>
          <t>Pain au lait column L</t>
        </is>
      </c>
      <c r="F279" t="inlineStr">
        <is>
          <t>HOLD; EDC unidentified</t>
        </is>
      </c>
      <c r="G279" t="inlineStr">
        <is>
          <t>S-B07 / M1-B04;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80">
      <c r="A280" t="inlineStr">
        <is>
          <t>L142</t>
        </is>
      </c>
      <c r="B280" t="inlineStr">
        <is>
          <t>Sugar Balls</t>
        </is>
      </c>
      <c r="C280" t="inlineStr">
        <is>
          <t>Workbook ratio variant</t>
        </is>
      </c>
      <c r="D280" t="inlineStr">
        <is>
          <t>S076</t>
        </is>
      </c>
      <c r="E280" t="inlineStr">
        <is>
          <t>Sugar Balls column D</t>
        </is>
      </c>
      <c r="F280" t="inlineStr">
        <is>
          <t>Held; proposed numerical revision</t>
        </is>
      </c>
      <c r="G280" t="inlineStr">
        <is>
          <t>Retain unique variant; no equivalent operating card selected; method, portion, losses and actual successful trial record not established by spreadsheet quantities alone</t>
        </is>
      </c>
    </row>
    <row r="281">
      <c r="A281" t="inlineStr">
        <is>
          <t>L143</t>
        </is>
      </c>
      <c r="B281" t="inlineStr">
        <is>
          <t>Sugar Balls</t>
        </is>
      </c>
      <c r="C281" t="inlineStr">
        <is>
          <t>Workbook ratio variant</t>
        </is>
      </c>
      <c r="D281" t="inlineStr">
        <is>
          <t>S076</t>
        </is>
      </c>
      <c r="E281" t="inlineStr">
        <is>
          <t>Sugar Balls column H</t>
        </is>
      </c>
      <c r="F281" t="inlineStr">
        <is>
          <t>Held; proposed numerical revision</t>
        </is>
      </c>
      <c r="G281" t="inlineStr">
        <is>
          <t>Retain unique variant; no equivalent operating card selected; method, portion, losses and actual successful trial record not established by spreadsheet quantities alone</t>
        </is>
      </c>
    </row>
    <row r="282">
      <c r="A282" t="inlineStr">
        <is>
          <t>L144</t>
        </is>
      </c>
      <c r="B282" t="inlineStr">
        <is>
          <t>YUMMY BREAD</t>
        </is>
      </c>
      <c r="C282" t="inlineStr">
        <is>
          <t>Workbook ratio variant</t>
        </is>
      </c>
      <c r="D282" t="inlineStr">
        <is>
          <t>S076</t>
        </is>
      </c>
      <c r="E282" t="inlineStr">
        <is>
          <t>YUMMY BREAD column D</t>
        </is>
      </c>
      <c r="F282" t="inlineStr">
        <is>
          <t>HOLD; EDC unidentified</t>
        </is>
      </c>
      <c r="G282"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83">
      <c r="A283" t="inlineStr">
        <is>
          <t>L145</t>
        </is>
      </c>
      <c r="B283" t="inlineStr">
        <is>
          <t>YUMMY BREAD</t>
        </is>
      </c>
      <c r="C283" t="inlineStr">
        <is>
          <t>Workbook ratio variant</t>
        </is>
      </c>
      <c r="D283" t="inlineStr">
        <is>
          <t>S076</t>
        </is>
      </c>
      <c r="E283" t="inlineStr">
        <is>
          <t>YUMMY BREAD column L</t>
        </is>
      </c>
      <c r="F283" t="inlineStr">
        <is>
          <t>HOLD; EDC unidentified</t>
        </is>
      </c>
      <c r="G283"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84">
      <c r="A284" t="inlineStr">
        <is>
          <t>L146</t>
        </is>
      </c>
      <c r="B284" t="inlineStr">
        <is>
          <t>brioche</t>
        </is>
      </c>
      <c r="C284" t="inlineStr">
        <is>
          <t>Workbook ratio variant</t>
        </is>
      </c>
      <c r="D284" t="inlineStr">
        <is>
          <t>S076</t>
        </is>
      </c>
      <c r="E284" t="inlineStr">
        <is>
          <t>brioche column D</t>
        </is>
      </c>
      <c r="F284" t="inlineStr">
        <is>
          <t>HOLD; EDC unidentified</t>
        </is>
      </c>
      <c r="G284"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85">
      <c r="A285" t="inlineStr">
        <is>
          <t>L147</t>
        </is>
      </c>
      <c r="B285" t="inlineStr">
        <is>
          <t>choko bread</t>
        </is>
      </c>
      <c r="C285" t="inlineStr">
        <is>
          <t>Workbook ratio variant</t>
        </is>
      </c>
      <c r="D285" t="inlineStr">
        <is>
          <t>S076</t>
        </is>
      </c>
      <c r="E285" t="inlineStr">
        <is>
          <t>choko bread column D</t>
        </is>
      </c>
      <c r="F285" t="inlineStr">
        <is>
          <t>Held; proposed numerical revision</t>
        </is>
      </c>
      <c r="G285" t="inlineStr">
        <is>
          <t>M1-B01–B13; milk requires identity/specification; method, portion, losses and actual successful trial record not established by spreadsheet quantities alone</t>
        </is>
      </c>
    </row>
    <row r="286">
      <c r="A286" t="inlineStr">
        <is>
          <t>L148</t>
        </is>
      </c>
      <c r="B286" t="inlineStr">
        <is>
          <t>gateau</t>
        </is>
      </c>
      <c r="C286" t="inlineStr">
        <is>
          <t>Workbook ratio variant</t>
        </is>
      </c>
      <c r="D286" t="inlineStr">
        <is>
          <t>S076</t>
        </is>
      </c>
      <c r="E286" t="inlineStr">
        <is>
          <t>gateau column D</t>
        </is>
      </c>
      <c r="F286" t="inlineStr">
        <is>
          <t>Held; proposed numerical revision</t>
        </is>
      </c>
      <c r="G286"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87">
      <c r="A287" t="inlineStr">
        <is>
          <t>L149</t>
        </is>
      </c>
      <c r="B287" t="inlineStr">
        <is>
          <t>gateau</t>
        </is>
      </c>
      <c r="C287" t="inlineStr">
        <is>
          <t>Workbook ratio variant</t>
        </is>
      </c>
      <c r="D287" t="inlineStr">
        <is>
          <t>S076</t>
        </is>
      </c>
      <c r="E287" t="inlineStr">
        <is>
          <t>gateau column J</t>
        </is>
      </c>
      <c r="F287" t="inlineStr">
        <is>
          <t>Held; proposed numerical revision</t>
        </is>
      </c>
      <c r="G287"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88">
      <c r="A288" t="inlineStr">
        <is>
          <t>L150</t>
        </is>
      </c>
      <c r="B288" t="inlineStr">
        <is>
          <t>gateau new look</t>
        </is>
      </c>
      <c r="C288" t="inlineStr">
        <is>
          <t>Workbook ratio variant</t>
        </is>
      </c>
      <c r="D288" t="inlineStr">
        <is>
          <t>S076</t>
        </is>
      </c>
      <c r="E288" t="inlineStr">
        <is>
          <t>gateau new look column D</t>
        </is>
      </c>
      <c r="F288" t="inlineStr">
        <is>
          <t>Held; proposed numerical revision</t>
        </is>
      </c>
      <c r="G288"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89">
      <c r="A289" t="inlineStr">
        <is>
          <t>L151</t>
        </is>
      </c>
      <c r="B289" t="inlineStr">
        <is>
          <t>gateau new look</t>
        </is>
      </c>
      <c r="C289" t="inlineStr">
        <is>
          <t>Workbook ratio variant</t>
        </is>
      </c>
      <c r="D289" t="inlineStr">
        <is>
          <t>S076</t>
        </is>
      </c>
      <c r="E289" t="inlineStr">
        <is>
          <t>gateau new look column J</t>
        </is>
      </c>
      <c r="F289" t="inlineStr">
        <is>
          <t>Held; proposed numerical revision</t>
        </is>
      </c>
      <c r="G289"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90">
      <c r="A290" t="inlineStr">
        <is>
          <t>L152</t>
        </is>
      </c>
      <c r="B290" t="inlineStr">
        <is>
          <t>Best Chinchin</t>
        </is>
      </c>
      <c r="C290" t="inlineStr">
        <is>
          <t>Workbook ratio variant</t>
        </is>
      </c>
      <c r="D290" t="inlineStr">
        <is>
          <t>S077</t>
        </is>
      </c>
      <c r="E290" t="inlineStr">
        <is>
          <t>Best Chinchin column D</t>
        </is>
      </c>
      <c r="F290" t="inlineStr">
        <is>
          <t>Held; proposed numerical revision</t>
        </is>
      </c>
      <c r="G290" t="inlineStr">
        <is>
          <t>H10; separate recipe oil, retained frying oil and fryer charge; current source mass is not edible yield; method, portion, losses and actual successful trial record not established by spreadsheet quantities alone</t>
        </is>
      </c>
    </row>
    <row r="291">
      <c r="A291" t="inlineStr">
        <is>
          <t>L153</t>
        </is>
      </c>
      <c r="B291" t="inlineStr">
        <is>
          <t>NEW BRIOCHE</t>
        </is>
      </c>
      <c r="C291" t="inlineStr">
        <is>
          <t>Workbook ratio variant</t>
        </is>
      </c>
      <c r="D291" t="inlineStr">
        <is>
          <t>S077</t>
        </is>
      </c>
      <c r="E291" t="inlineStr">
        <is>
          <t>NEW BRIOCHE column D</t>
        </is>
      </c>
      <c r="F291" t="inlineStr">
        <is>
          <t>HOLD; EDC unidentified</t>
        </is>
      </c>
      <c r="G291"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292">
      <c r="A292" t="inlineStr">
        <is>
          <t>L154</t>
        </is>
      </c>
      <c r="B292" t="inlineStr">
        <is>
          <t>Sugar Balls</t>
        </is>
      </c>
      <c r="C292" t="inlineStr">
        <is>
          <t>Workbook ratio variant</t>
        </is>
      </c>
      <c r="D292" t="inlineStr">
        <is>
          <t>S077</t>
        </is>
      </c>
      <c r="E292" t="inlineStr">
        <is>
          <t>Sugar Balls column D</t>
        </is>
      </c>
      <c r="F292" t="inlineStr">
        <is>
          <t>Held; proposed numerical revision</t>
        </is>
      </c>
      <c r="G292" t="inlineStr">
        <is>
          <t>Retain unique variant; no equivalent operating card selected; method, portion, losses and actual successful trial record not established by spreadsheet quantities alone</t>
        </is>
      </c>
    </row>
    <row r="293">
      <c r="A293" t="inlineStr">
        <is>
          <t>L155</t>
        </is>
      </c>
      <c r="B293" t="inlineStr">
        <is>
          <t>Sugar Balls</t>
        </is>
      </c>
      <c r="C293" t="inlineStr">
        <is>
          <t>Workbook ratio variant</t>
        </is>
      </c>
      <c r="D293" t="inlineStr">
        <is>
          <t>S077</t>
        </is>
      </c>
      <c r="E293" t="inlineStr">
        <is>
          <t>Sugar Balls column H</t>
        </is>
      </c>
      <c r="F293" t="inlineStr">
        <is>
          <t>Held; proposed numerical revision</t>
        </is>
      </c>
      <c r="G293" t="inlineStr">
        <is>
          <t>Retain unique variant; no equivalent operating card selected; method, portion, losses and actual successful trial record not established by spreadsheet quantities alone</t>
        </is>
      </c>
    </row>
    <row r="294">
      <c r="A294" t="inlineStr">
        <is>
          <t>L156</t>
        </is>
      </c>
      <c r="B294" t="inlineStr">
        <is>
          <t>YUMMY BREAD</t>
        </is>
      </c>
      <c r="C294" t="inlineStr">
        <is>
          <t>Workbook ratio variant</t>
        </is>
      </c>
      <c r="D294" t="inlineStr">
        <is>
          <t>S077</t>
        </is>
      </c>
      <c r="E294" t="inlineStr">
        <is>
          <t>YUMMY BREAD column D</t>
        </is>
      </c>
      <c r="F294" t="inlineStr">
        <is>
          <t>HOLD; EDC unidentified</t>
        </is>
      </c>
      <c r="G294"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95">
      <c r="A295" t="inlineStr">
        <is>
          <t>L157</t>
        </is>
      </c>
      <c r="B295" t="inlineStr">
        <is>
          <t>YUMMY BREAD</t>
        </is>
      </c>
      <c r="C295" t="inlineStr">
        <is>
          <t>Workbook ratio variant</t>
        </is>
      </c>
      <c r="D295" t="inlineStr">
        <is>
          <t>S077</t>
        </is>
      </c>
      <c r="E295" t="inlineStr">
        <is>
          <t>YUMMY BREAD column J</t>
        </is>
      </c>
      <c r="F295" t="inlineStr">
        <is>
          <t>HOLD; EDC unidentified</t>
        </is>
      </c>
      <c r="G295"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96">
      <c r="A296" t="inlineStr">
        <is>
          <t>L158</t>
        </is>
      </c>
      <c r="B296" t="inlineStr">
        <is>
          <t>gateau new look</t>
        </is>
      </c>
      <c r="C296" t="inlineStr">
        <is>
          <t>Workbook ratio variant</t>
        </is>
      </c>
      <c r="D296" t="inlineStr">
        <is>
          <t>S077</t>
        </is>
      </c>
      <c r="E296" t="inlineStr">
        <is>
          <t>gateau new look column D</t>
        </is>
      </c>
      <c r="F296" t="inlineStr">
        <is>
          <t>Held; proposed numerical revision</t>
        </is>
      </c>
      <c r="G296"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97">
      <c r="A297" t="inlineStr">
        <is>
          <t>L159</t>
        </is>
      </c>
      <c r="B297" t="inlineStr">
        <is>
          <t>gateau new look</t>
        </is>
      </c>
      <c r="C297" t="inlineStr">
        <is>
          <t>Workbook ratio variant</t>
        </is>
      </c>
      <c r="D297" t="inlineStr">
        <is>
          <t>S077</t>
        </is>
      </c>
      <c r="E297" t="inlineStr">
        <is>
          <t>gateau new look column J</t>
        </is>
      </c>
      <c r="F297" t="inlineStr">
        <is>
          <t>Held; proposed numerical revision</t>
        </is>
      </c>
      <c r="G297"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298">
      <c r="A298" t="inlineStr">
        <is>
          <t>L160</t>
        </is>
      </c>
      <c r="B298" t="inlineStr">
        <is>
          <t>KUMBA BREAD</t>
        </is>
      </c>
      <c r="C298" t="inlineStr">
        <is>
          <t>Workbook ratio variant</t>
        </is>
      </c>
      <c r="D298" t="inlineStr">
        <is>
          <t>S078</t>
        </is>
      </c>
      <c r="E298" t="inlineStr">
        <is>
          <t>KUMBA BREAD column D</t>
        </is>
      </c>
      <c r="F298" t="inlineStr">
        <is>
          <t>HOLD; EDC unidentified</t>
        </is>
      </c>
      <c r="G298" t="inlineStr">
        <is>
          <t>S-B02;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299">
      <c r="A299" t="inlineStr">
        <is>
          <t>L161</t>
        </is>
      </c>
      <c r="B299" t="inlineStr">
        <is>
          <t>KUMBA BREAD</t>
        </is>
      </c>
      <c r="C299" t="inlineStr">
        <is>
          <t>Workbook ratio variant</t>
        </is>
      </c>
      <c r="D299" t="inlineStr">
        <is>
          <t>S078</t>
        </is>
      </c>
      <c r="E299" t="inlineStr">
        <is>
          <t>KUMBA BREAD column L</t>
        </is>
      </c>
      <c r="F299" t="inlineStr">
        <is>
          <t>HOLD; EDC unidentified</t>
        </is>
      </c>
      <c r="G299" t="inlineStr">
        <is>
          <t>S-B02;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300">
      <c r="A300" t="inlineStr">
        <is>
          <t>L162</t>
        </is>
      </c>
      <c r="B300" t="inlineStr">
        <is>
          <t>NEW BRIOCHE</t>
        </is>
      </c>
      <c r="C300" t="inlineStr">
        <is>
          <t>Workbook ratio variant</t>
        </is>
      </c>
      <c r="D300" t="inlineStr">
        <is>
          <t>S078</t>
        </is>
      </c>
      <c r="E300" t="inlineStr">
        <is>
          <t>NEW BRIOCHE column D</t>
        </is>
      </c>
      <c r="F300" t="inlineStr">
        <is>
          <t>HOLD; EDC unidentified</t>
        </is>
      </c>
      <c r="G300"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301">
      <c r="A301" t="inlineStr">
        <is>
          <t>L163</t>
        </is>
      </c>
      <c r="B301" t="inlineStr">
        <is>
          <t>Sugar Balls</t>
        </is>
      </c>
      <c r="C301" t="inlineStr">
        <is>
          <t>Workbook ratio variant</t>
        </is>
      </c>
      <c r="D301" t="inlineStr">
        <is>
          <t>S078</t>
        </is>
      </c>
      <c r="E301" t="inlineStr">
        <is>
          <t>Sugar Balls column D</t>
        </is>
      </c>
      <c r="F301" t="inlineStr">
        <is>
          <t>Held; proposed numerical revision</t>
        </is>
      </c>
      <c r="G301" t="inlineStr">
        <is>
          <t>Retain unique variant; no equivalent operating card selected; method, portion, losses and actual successful trial record not established by spreadsheet quantities alone</t>
        </is>
      </c>
    </row>
    <row r="302">
      <c r="A302" t="inlineStr">
        <is>
          <t>L164</t>
        </is>
      </c>
      <c r="B302" t="inlineStr">
        <is>
          <t>Sugar Balls</t>
        </is>
      </c>
      <c r="C302" t="inlineStr">
        <is>
          <t>Workbook ratio variant</t>
        </is>
      </c>
      <c r="D302" t="inlineStr">
        <is>
          <t>S078</t>
        </is>
      </c>
      <c r="E302" t="inlineStr">
        <is>
          <t>Sugar Balls column H</t>
        </is>
      </c>
      <c r="F302" t="inlineStr">
        <is>
          <t>Held; proposed numerical revision</t>
        </is>
      </c>
      <c r="G302" t="inlineStr">
        <is>
          <t>Retain unique variant; no equivalent operating card selected; method, portion, losses and actual successful trial record not established by spreadsheet quantities alone</t>
        </is>
      </c>
    </row>
    <row r="303">
      <c r="A303" t="inlineStr">
        <is>
          <t>L165</t>
        </is>
      </c>
      <c r="B303" t="inlineStr">
        <is>
          <t>gateau new look</t>
        </is>
      </c>
      <c r="C303" t="inlineStr">
        <is>
          <t>Workbook ratio variant</t>
        </is>
      </c>
      <c r="D303" t="inlineStr">
        <is>
          <t>S078</t>
        </is>
      </c>
      <c r="E303" t="inlineStr">
        <is>
          <t>gateau new look column D</t>
        </is>
      </c>
      <c r="F303" t="inlineStr">
        <is>
          <t>Held; proposed numerical revision</t>
        </is>
      </c>
      <c r="G303"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04">
      <c r="A304" t="inlineStr">
        <is>
          <t>L166</t>
        </is>
      </c>
      <c r="B304" t="inlineStr">
        <is>
          <t>Best Chinchin</t>
        </is>
      </c>
      <c r="C304" t="inlineStr">
        <is>
          <t>Workbook ratio variant</t>
        </is>
      </c>
      <c r="D304" t="inlineStr">
        <is>
          <t>S085</t>
        </is>
      </c>
      <c r="E304" t="inlineStr">
        <is>
          <t>Best Chinchin column D</t>
        </is>
      </c>
      <c r="F304" t="inlineStr">
        <is>
          <t>Held; proposed numerical revision</t>
        </is>
      </c>
      <c r="G304" t="inlineStr">
        <is>
          <t>H10; separate recipe oil, retained frying oil and fryer charge; current source mass is not edible yield; method, portion, losses and actual successful trial record not established by spreadsheet quantities alone</t>
        </is>
      </c>
    </row>
    <row r="305">
      <c r="A305" t="inlineStr">
        <is>
          <t>L167</t>
        </is>
      </c>
      <c r="B305" t="inlineStr">
        <is>
          <t>CAKE NOW</t>
        </is>
      </c>
      <c r="C305" t="inlineStr">
        <is>
          <t>Workbook ratio variant</t>
        </is>
      </c>
      <c r="D305" t="inlineStr">
        <is>
          <t>S085</t>
        </is>
      </c>
      <c r="E305" t="inlineStr">
        <is>
          <t>CAKE NOW column D</t>
        </is>
      </c>
      <c r="F305" t="inlineStr">
        <is>
          <t>Held; proposed numerical revision</t>
        </is>
      </c>
      <c r="G305" t="inlineStr">
        <is>
          <t>H08 / H09; exact style differs; method, portion, losses and actual successful trial record not established by spreadsheet quantities alone</t>
        </is>
      </c>
    </row>
    <row r="306">
      <c r="A306" t="inlineStr">
        <is>
          <t>L168</t>
        </is>
      </c>
      <c r="B306" t="inlineStr">
        <is>
          <t>Danisa biscuits</t>
        </is>
      </c>
      <c r="C306" t="inlineStr">
        <is>
          <t>Workbook ratio variant</t>
        </is>
      </c>
      <c r="D306" t="inlineStr">
        <is>
          <t>S085</t>
        </is>
      </c>
      <c r="E306" t="inlineStr">
        <is>
          <t>Danisa biscuits column D</t>
        </is>
      </c>
      <c r="F306" t="inlineStr">
        <is>
          <t>HOLD; EDC unidentified</t>
        </is>
      </c>
      <c r="G306" t="inlineStr">
        <is>
          <t>H05; milk requires identity/specification; method, portion, losses and actual successful trial record not established by spreadsheet quantities alone H3: EDC separate and unpriced; prior margarine interpretation superseded.</t>
        </is>
      </c>
    </row>
    <row r="307">
      <c r="A307" t="inlineStr">
        <is>
          <t>L169</t>
        </is>
      </c>
      <c r="B307" t="inlineStr">
        <is>
          <t>Danisa biscuits</t>
        </is>
      </c>
      <c r="C307" t="inlineStr">
        <is>
          <t>Workbook ratio variant</t>
        </is>
      </c>
      <c r="D307" t="inlineStr">
        <is>
          <t>S085</t>
        </is>
      </c>
      <c r="E307" t="inlineStr">
        <is>
          <t>Danisa biscuits column H</t>
        </is>
      </c>
      <c r="F307" t="inlineStr">
        <is>
          <t>HOLD; EDC unidentified</t>
        </is>
      </c>
      <c r="G307" t="inlineStr">
        <is>
          <t>H05;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308">
      <c r="A308" t="inlineStr">
        <is>
          <t>L170</t>
        </is>
      </c>
      <c r="B308" t="inlineStr">
        <is>
          <t>Donuts</t>
        </is>
      </c>
      <c r="C308" t="inlineStr">
        <is>
          <t>Workbook ratio variant</t>
        </is>
      </c>
      <c r="D308" t="inlineStr">
        <is>
          <t>S085</t>
        </is>
      </c>
      <c r="E308" t="inlineStr">
        <is>
          <t>Donuts column D</t>
        </is>
      </c>
      <c r="F308" t="inlineStr">
        <is>
          <t>Held; proposed numerical revision</t>
        </is>
      </c>
      <c r="G308" t="inlineStr">
        <is>
          <t>T01 for cake / O-P04 for yeast; milk requires identity/specification; separate recipe oil, retained frying oil and fryer charge; current source mass is not edible yield; method, portion, losses and actual successful trial record not established by spreadsheet quantities alone</t>
        </is>
      </c>
    </row>
    <row r="309">
      <c r="A309" t="inlineStr">
        <is>
          <t>L171</t>
        </is>
      </c>
      <c r="B309" t="inlineStr">
        <is>
          <t>Fish Pie</t>
        </is>
      </c>
      <c r="C309" t="inlineStr">
        <is>
          <t>Workbook ratio variant</t>
        </is>
      </c>
      <c r="D309" t="inlineStr">
        <is>
          <t>S085</t>
        </is>
      </c>
      <c r="E309" t="inlineStr">
        <is>
          <t>Fish Pie column D</t>
        </is>
      </c>
      <c r="F309" t="inlineStr">
        <is>
          <t>Held; proposed numerical revision</t>
        </is>
      </c>
      <c r="G309" t="inlineStr">
        <is>
          <t>O-P06 / O-P09; filling differs; separate recipe oil, retained frying oil and fryer charge; current source mass is not edible yield; method, portion, losses and actual successful trial record not established by spreadsheet quantities alone</t>
        </is>
      </c>
    </row>
    <row r="310">
      <c r="A310" t="inlineStr">
        <is>
          <t>L172</t>
        </is>
      </c>
      <c r="B310" t="inlineStr">
        <is>
          <t>Fish Pie</t>
        </is>
      </c>
      <c r="C310" t="inlineStr">
        <is>
          <t>Workbook ratio variant</t>
        </is>
      </c>
      <c r="D310" t="inlineStr">
        <is>
          <t>S085</t>
        </is>
      </c>
      <c r="E310" t="inlineStr">
        <is>
          <t>Fish Pie column L</t>
        </is>
      </c>
      <c r="F310" t="inlineStr">
        <is>
          <t>Held; proposed numerical revision</t>
        </is>
      </c>
      <c r="G310" t="inlineStr">
        <is>
          <t>O-P06 / O-P09; filling differs; method, portion, losses and actual successful trial record not established by spreadsheet quantities alone</t>
        </is>
      </c>
    </row>
    <row r="311">
      <c r="A311" t="inlineStr">
        <is>
          <t>L173</t>
        </is>
      </c>
      <c r="B311" t="inlineStr">
        <is>
          <t>Galette</t>
        </is>
      </c>
      <c r="C311" t="inlineStr">
        <is>
          <t>Workbook ratio variant</t>
        </is>
      </c>
      <c r="D311" t="inlineStr">
        <is>
          <t>S085</t>
        </is>
      </c>
      <c r="E311" t="inlineStr">
        <is>
          <t>Galette column D</t>
        </is>
      </c>
      <c r="F311" t="inlineStr">
        <is>
          <t>HOLD; EDC unidentified</t>
        </is>
      </c>
      <c r="G311" t="inlineStr">
        <is>
          <t>H14; milk requires identity/specification; method, portion, losses and actual successful trial record not established by spreadsheet quantities alone H3: EDC separate and unpriced; prior margarine interpretation superseded.</t>
        </is>
      </c>
    </row>
    <row r="312">
      <c r="A312" t="inlineStr">
        <is>
          <t>L174</t>
        </is>
      </c>
      <c r="B312" t="inlineStr">
        <is>
          <t>Kouatchoua gato</t>
        </is>
      </c>
      <c r="C312" t="inlineStr">
        <is>
          <t>Workbook ratio variant</t>
        </is>
      </c>
      <c r="D312" t="inlineStr">
        <is>
          <t>S085</t>
        </is>
      </c>
      <c r="E312" t="inlineStr">
        <is>
          <t>Kouatchoua gato column D</t>
        </is>
      </c>
      <c r="F312" t="inlineStr">
        <is>
          <t>Held; proposed numerical revision</t>
        </is>
      </c>
      <c r="G312"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13">
      <c r="A313" t="inlineStr">
        <is>
          <t>L175</t>
        </is>
      </c>
      <c r="B313" t="inlineStr">
        <is>
          <t>Kouatchoua gato</t>
        </is>
      </c>
      <c r="C313" t="inlineStr">
        <is>
          <t>Workbook ratio variant</t>
        </is>
      </c>
      <c r="D313" t="inlineStr">
        <is>
          <t>S085</t>
        </is>
      </c>
      <c r="E313" t="inlineStr">
        <is>
          <t>Kouatchoua gato column J</t>
        </is>
      </c>
      <c r="F313" t="inlineStr">
        <is>
          <t>Held; proposed numerical revision</t>
        </is>
      </c>
      <c r="G313"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14">
      <c r="A314" t="inlineStr">
        <is>
          <t>L176</t>
        </is>
      </c>
      <c r="B314" t="inlineStr">
        <is>
          <t>Melto</t>
        </is>
      </c>
      <c r="C314" t="inlineStr">
        <is>
          <t>Workbook ratio variant</t>
        </is>
      </c>
      <c r="D314" t="inlineStr">
        <is>
          <t>S085</t>
        </is>
      </c>
      <c r="E314" t="inlineStr">
        <is>
          <t>Melto column D</t>
        </is>
      </c>
      <c r="F314" t="inlineStr">
        <is>
          <t>Held; proposed numerical revision</t>
        </is>
      </c>
      <c r="G314" t="inlineStr">
        <is>
          <t>H06; salt exceeds 3% of flour; review before testing; method, portion, losses and actual successful trial record not established by spreadsheet quantities alone</t>
        </is>
      </c>
    </row>
    <row r="315">
      <c r="A315" t="inlineStr">
        <is>
          <t>L177</t>
        </is>
      </c>
      <c r="B315" t="inlineStr">
        <is>
          <t>Melto</t>
        </is>
      </c>
      <c r="C315" t="inlineStr">
        <is>
          <t>Workbook ratio variant</t>
        </is>
      </c>
      <c r="D315" t="inlineStr">
        <is>
          <t>S085</t>
        </is>
      </c>
      <c r="E315" t="inlineStr">
        <is>
          <t>Melto column F</t>
        </is>
      </c>
      <c r="F315" t="inlineStr">
        <is>
          <t>Held; proposed numerical revision</t>
        </is>
      </c>
      <c r="G315" t="inlineStr">
        <is>
          <t>H06; method, portion, losses and actual successful trial record not established by spreadsheet quantities alone</t>
        </is>
      </c>
    </row>
    <row r="316">
      <c r="A316" t="inlineStr">
        <is>
          <t>L178</t>
        </is>
      </c>
      <c r="B316" t="inlineStr">
        <is>
          <t>YUMMY BREAD</t>
        </is>
      </c>
      <c r="C316" t="inlineStr">
        <is>
          <t>Workbook ratio variant</t>
        </is>
      </c>
      <c r="D316" t="inlineStr">
        <is>
          <t>S085</t>
        </is>
      </c>
      <c r="E316" t="inlineStr">
        <is>
          <t>YUMMY BREAD column D</t>
        </is>
      </c>
      <c r="F316" t="inlineStr">
        <is>
          <t>HOLD; EDC unidentified</t>
        </is>
      </c>
      <c r="G316" t="inlineStr">
        <is>
          <t>M1-B01–B13;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317">
      <c r="A317" t="inlineStr">
        <is>
          <t>L179</t>
        </is>
      </c>
      <c r="B317" t="inlineStr">
        <is>
          <t>YUMMY BREAD</t>
        </is>
      </c>
      <c r="C317" t="inlineStr">
        <is>
          <t>Workbook ratio variant</t>
        </is>
      </c>
      <c r="D317" t="inlineStr">
        <is>
          <t>S085</t>
        </is>
      </c>
      <c r="E317" t="inlineStr">
        <is>
          <t>YUMMY BREAD column F</t>
        </is>
      </c>
      <c r="F317" t="inlineStr">
        <is>
          <t>HOLD; EDC unidentified</t>
        </is>
      </c>
      <c r="G317" t="inlineStr">
        <is>
          <t>M1-B01–B13;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318">
      <c r="A318" t="inlineStr">
        <is>
          <t>L180</t>
        </is>
      </c>
      <c r="B318" t="inlineStr">
        <is>
          <t>buns new look</t>
        </is>
      </c>
      <c r="C318" t="inlineStr">
        <is>
          <t>Workbook ratio variant</t>
        </is>
      </c>
      <c r="D318" t="inlineStr">
        <is>
          <t>S085</t>
        </is>
      </c>
      <c r="E318" t="inlineStr">
        <is>
          <t>buns new look column D</t>
        </is>
      </c>
      <c r="F318" t="inlineStr">
        <is>
          <t>Held; proposed numerical revision</t>
        </is>
      </c>
      <c r="G318" t="inlineStr">
        <is>
          <t>M1-B04 / M1-B09; conc milk requires identity/specification; method, portion, losses and actual successful trial record not established by spreadsheet quantities alone</t>
        </is>
      </c>
    </row>
    <row r="319">
      <c r="A319" t="inlineStr">
        <is>
          <t>L181</t>
        </is>
      </c>
      <c r="B319" t="inlineStr">
        <is>
          <t>Best Chinchin</t>
        </is>
      </c>
      <c r="C319" t="inlineStr">
        <is>
          <t>Workbook ratio variant</t>
        </is>
      </c>
      <c r="D319" t="inlineStr">
        <is>
          <t>S086</t>
        </is>
      </c>
      <c r="E319" t="inlineStr">
        <is>
          <t>Best Chinchin column D</t>
        </is>
      </c>
      <c r="F319" t="inlineStr">
        <is>
          <t>Held; proposed numerical revision</t>
        </is>
      </c>
      <c r="G319" t="inlineStr">
        <is>
          <t>H10; separate recipe oil, retained frying oil and fryer charge; current source mass is not edible yield; method, portion, losses and actual successful trial record not established by spreadsheet quantities alone</t>
        </is>
      </c>
    </row>
    <row r="320">
      <c r="A320" t="inlineStr">
        <is>
          <t>L182</t>
        </is>
      </c>
      <c r="B320" t="inlineStr">
        <is>
          <t>Donuts</t>
        </is>
      </c>
      <c r="C320" t="inlineStr">
        <is>
          <t>Workbook ratio variant</t>
        </is>
      </c>
      <c r="D320" t="inlineStr">
        <is>
          <t>S086</t>
        </is>
      </c>
      <c r="E320" t="inlineStr">
        <is>
          <t>Donuts column D</t>
        </is>
      </c>
      <c r="F320" t="inlineStr">
        <is>
          <t>Held; proposed numerical revision</t>
        </is>
      </c>
      <c r="G320" t="inlineStr">
        <is>
          <t>T01 for cake / O-P04 for yeast; milk requires identity/specification; separate recipe oil, retained frying oil and fryer charge; current source mass is not edible yield; method, portion, losses and actual successful trial record not established by spreadsheet quantities alone</t>
        </is>
      </c>
    </row>
    <row r="321">
      <c r="A321" t="inlineStr">
        <is>
          <t>L183</t>
        </is>
      </c>
      <c r="B321" t="inlineStr">
        <is>
          <t>Galette</t>
        </is>
      </c>
      <c r="C321" t="inlineStr">
        <is>
          <t>Workbook ratio variant</t>
        </is>
      </c>
      <c r="D321" t="inlineStr">
        <is>
          <t>S086</t>
        </is>
      </c>
      <c r="E321" t="inlineStr">
        <is>
          <t>Galette column D</t>
        </is>
      </c>
      <c r="F321" t="inlineStr">
        <is>
          <t>HOLD; EDC unidentified</t>
        </is>
      </c>
      <c r="G321" t="inlineStr">
        <is>
          <t>H14; milk requires identity/specification; method, portion, losses and actual successful trial record not established by spreadsheet quantities alone H3: EDC separate and unpriced; prior margarine interpretation superseded.</t>
        </is>
      </c>
    </row>
    <row r="322">
      <c r="A322" t="inlineStr">
        <is>
          <t>L184</t>
        </is>
      </c>
      <c r="B322" t="inlineStr">
        <is>
          <t>Melto</t>
        </is>
      </c>
      <c r="C322" t="inlineStr">
        <is>
          <t>Workbook ratio variant</t>
        </is>
      </c>
      <c r="D322" t="inlineStr">
        <is>
          <t>S086</t>
        </is>
      </c>
      <c r="E322" t="inlineStr">
        <is>
          <t>Melto column H</t>
        </is>
      </c>
      <c r="F322" t="inlineStr">
        <is>
          <t>Held; proposed numerical revision</t>
        </is>
      </c>
      <c r="G322" t="inlineStr">
        <is>
          <t>H06; milk requires identity/specification; salt exceeds 3% of flour; review before testing; method, portion, losses and actual successful trial record not established by spreadsheet quantities alone</t>
        </is>
      </c>
    </row>
    <row r="323">
      <c r="A323" t="inlineStr">
        <is>
          <t>L185</t>
        </is>
      </c>
      <c r="B323" t="inlineStr">
        <is>
          <t>YUMMY BREAD</t>
        </is>
      </c>
      <c r="C323" t="inlineStr">
        <is>
          <t>Workbook ratio variant</t>
        </is>
      </c>
      <c r="D323" t="inlineStr">
        <is>
          <t>S086</t>
        </is>
      </c>
      <c r="E323" t="inlineStr">
        <is>
          <t>YUMMY BREAD column D</t>
        </is>
      </c>
      <c r="F323" t="inlineStr">
        <is>
          <t>HOLD; EDC unidentified</t>
        </is>
      </c>
      <c r="G323"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324">
      <c r="A324" t="inlineStr">
        <is>
          <t>L186</t>
        </is>
      </c>
      <c r="B324" t="inlineStr">
        <is>
          <t>Best Chinchin</t>
        </is>
      </c>
      <c r="C324" t="inlineStr">
        <is>
          <t>Workbook ratio variant</t>
        </is>
      </c>
      <c r="D324" t="inlineStr">
        <is>
          <t>S093</t>
        </is>
      </c>
      <c r="E324" t="inlineStr">
        <is>
          <t>Best Chinchin column D</t>
        </is>
      </c>
      <c r="F324" t="inlineStr">
        <is>
          <t>Held; proposed numerical revision</t>
        </is>
      </c>
      <c r="G324" t="inlineStr">
        <is>
          <t>H10; separate recipe oil, retained frying oil and fryer charge; current source mass is not edible yield; method, portion, losses and actual successful trial record not established by spreadsheet quantities alone</t>
        </is>
      </c>
    </row>
    <row r="325">
      <c r="A325" t="inlineStr">
        <is>
          <t>L187</t>
        </is>
      </c>
      <c r="B325" t="inlineStr">
        <is>
          <t>Cake Prof</t>
        </is>
      </c>
      <c r="C325" t="inlineStr">
        <is>
          <t>Workbook ratio variant</t>
        </is>
      </c>
      <c r="D325" t="inlineStr">
        <is>
          <t>S093</t>
        </is>
      </c>
      <c r="E325" t="inlineStr">
        <is>
          <t>Cake Prof column D</t>
        </is>
      </c>
      <c r="F325" t="inlineStr">
        <is>
          <t>Held; proposed numerical revision</t>
        </is>
      </c>
      <c r="G325" t="inlineStr">
        <is>
          <t>H08 / H09; exact style differs; method, portion, losses and actual successful trial record not established by spreadsheet quantities alone</t>
        </is>
      </c>
    </row>
    <row r="326">
      <c r="A326" t="inlineStr">
        <is>
          <t>L188</t>
        </is>
      </c>
      <c r="B326" t="inlineStr">
        <is>
          <t>Kouatchoua gato</t>
        </is>
      </c>
      <c r="C326" t="inlineStr">
        <is>
          <t>Workbook ratio variant</t>
        </is>
      </c>
      <c r="D326" t="inlineStr">
        <is>
          <t>S093</t>
        </is>
      </c>
      <c r="E326" t="inlineStr">
        <is>
          <t>Kouatchoua gato column D</t>
        </is>
      </c>
      <c r="F326" t="inlineStr">
        <is>
          <t>Held; proposed numerical revision</t>
        </is>
      </c>
      <c r="G326"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27">
      <c r="A327" t="inlineStr">
        <is>
          <t>L189</t>
        </is>
      </c>
      <c r="B327" t="inlineStr">
        <is>
          <t>Kouatchoua gato</t>
        </is>
      </c>
      <c r="C327" t="inlineStr">
        <is>
          <t>Workbook ratio variant</t>
        </is>
      </c>
      <c r="D327" t="inlineStr">
        <is>
          <t>S093</t>
        </is>
      </c>
      <c r="E327" t="inlineStr">
        <is>
          <t>Kouatchoua gato column J</t>
        </is>
      </c>
      <c r="F327" t="inlineStr">
        <is>
          <t>Held; proposed numerical revision</t>
        </is>
      </c>
      <c r="G327"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28">
      <c r="A328" t="inlineStr">
        <is>
          <t>L190</t>
        </is>
      </c>
      <c r="B328" t="inlineStr">
        <is>
          <t>Sugar Balls</t>
        </is>
      </c>
      <c r="C328" t="inlineStr">
        <is>
          <t>Workbook ratio variant</t>
        </is>
      </c>
      <c r="D328" t="inlineStr">
        <is>
          <t>S093</t>
        </is>
      </c>
      <c r="E328" t="inlineStr">
        <is>
          <t>Sugar Balls column D</t>
        </is>
      </c>
      <c r="F328" t="inlineStr">
        <is>
          <t>Held; proposed numerical revision</t>
        </is>
      </c>
      <c r="G328" t="inlineStr">
        <is>
          <t>Retain unique variant; no equivalent operating card selected; method, portion, losses and actual successful trial record not established by spreadsheet quantities alone</t>
        </is>
      </c>
    </row>
    <row r="329">
      <c r="A329" t="inlineStr">
        <is>
          <t>L191</t>
        </is>
      </c>
      <c r="B329" t="inlineStr">
        <is>
          <t>Sugar Balls</t>
        </is>
      </c>
      <c r="C329" t="inlineStr">
        <is>
          <t>Workbook ratio variant</t>
        </is>
      </c>
      <c r="D329" t="inlineStr">
        <is>
          <t>S093</t>
        </is>
      </c>
      <c r="E329" t="inlineStr">
        <is>
          <t>Sugar Balls column H</t>
        </is>
      </c>
      <c r="F329" t="inlineStr">
        <is>
          <t>Held; proposed numerical revision</t>
        </is>
      </c>
      <c r="G329" t="inlineStr">
        <is>
          <t>Retain unique variant; no equivalent operating card selected; method, portion, losses and actual successful trial record not established by spreadsheet quantities alone</t>
        </is>
      </c>
    </row>
    <row r="330">
      <c r="A330" t="inlineStr">
        <is>
          <t>L192</t>
        </is>
      </c>
      <c r="B330" t="inlineStr">
        <is>
          <t>YUMMY BREAD</t>
        </is>
      </c>
      <c r="C330" t="inlineStr">
        <is>
          <t>Workbook ratio variant</t>
        </is>
      </c>
      <c r="D330" t="inlineStr">
        <is>
          <t>S093</t>
        </is>
      </c>
      <c r="E330" t="inlineStr">
        <is>
          <t>YUMMY BREAD column D</t>
        </is>
      </c>
      <c r="F330" t="inlineStr">
        <is>
          <t>HOLD; EDC unidentified</t>
        </is>
      </c>
      <c r="G330"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331">
      <c r="A331" t="inlineStr">
        <is>
          <t>L193</t>
        </is>
      </c>
      <c r="B331" t="inlineStr">
        <is>
          <t>YUMMY BREAD</t>
        </is>
      </c>
      <c r="C331" t="inlineStr">
        <is>
          <t>Workbook ratio variant</t>
        </is>
      </c>
      <c r="D331" t="inlineStr">
        <is>
          <t>S094</t>
        </is>
      </c>
      <c r="E331" t="inlineStr">
        <is>
          <t>YUMMY BREAD column D</t>
        </is>
      </c>
      <c r="F331" t="inlineStr">
        <is>
          <t>HOLD; EDC unidentified</t>
        </is>
      </c>
      <c r="G331"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332">
      <c r="A332" t="inlineStr">
        <is>
          <t>L194</t>
        </is>
      </c>
      <c r="B332" t="inlineStr">
        <is>
          <t>Best Chinchin</t>
        </is>
      </c>
      <c r="C332" t="inlineStr">
        <is>
          <t>Workbook ratio variant</t>
        </is>
      </c>
      <c r="D332" t="inlineStr">
        <is>
          <t>S102</t>
        </is>
      </c>
      <c r="E332" t="inlineStr">
        <is>
          <t>Best Chinchin column D</t>
        </is>
      </c>
      <c r="F332" t="inlineStr">
        <is>
          <t>Held; proposed numerical revision</t>
        </is>
      </c>
      <c r="G332" t="inlineStr">
        <is>
          <t>H10; separate recipe oil, retained frying oil and fryer charge; current source mass is not edible yield; method, portion, losses and actual successful trial record not established by spreadsheet quantities alone</t>
        </is>
      </c>
    </row>
    <row r="333">
      <c r="A333" t="inlineStr">
        <is>
          <t>L195</t>
        </is>
      </c>
      <c r="B333" t="inlineStr">
        <is>
          <t>Cake Prof</t>
        </is>
      </c>
      <c r="C333" t="inlineStr">
        <is>
          <t>Workbook ratio variant</t>
        </is>
      </c>
      <c r="D333" t="inlineStr">
        <is>
          <t>S102</t>
        </is>
      </c>
      <c r="E333" t="inlineStr">
        <is>
          <t>Cake Prof column D</t>
        </is>
      </c>
      <c r="F333" t="inlineStr">
        <is>
          <t>Held; proposed numerical revision</t>
        </is>
      </c>
      <c r="G333" t="inlineStr">
        <is>
          <t>H08 / H09; exact style differs; method, portion, losses and actual successful trial record not established by spreadsheet quantities alone</t>
        </is>
      </c>
    </row>
    <row r="334">
      <c r="A334" t="inlineStr">
        <is>
          <t>L196</t>
        </is>
      </c>
      <c r="B334" t="inlineStr">
        <is>
          <t>NEW BRIOCHE</t>
        </is>
      </c>
      <c r="C334" t="inlineStr">
        <is>
          <t>Workbook ratio variant</t>
        </is>
      </c>
      <c r="D334" t="inlineStr">
        <is>
          <t>S102</t>
        </is>
      </c>
      <c r="E334" t="inlineStr">
        <is>
          <t>NEW BRIOCHE column D</t>
        </is>
      </c>
      <c r="F334" t="inlineStr">
        <is>
          <t>HOLD; EDC unidentified</t>
        </is>
      </c>
      <c r="G334"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335">
      <c r="A335" t="inlineStr">
        <is>
          <t>L197</t>
        </is>
      </c>
      <c r="B335" t="inlineStr">
        <is>
          <t>New bageutte</t>
        </is>
      </c>
      <c r="C335" t="inlineStr">
        <is>
          <t>Workbook ratio variant</t>
        </is>
      </c>
      <c r="D335" t="inlineStr">
        <is>
          <t>S102</t>
        </is>
      </c>
      <c r="E335" t="inlineStr">
        <is>
          <t>New bageutte column D</t>
        </is>
      </c>
      <c r="F335" t="inlineStr">
        <is>
          <t>Held; proposed numerical revision</t>
        </is>
      </c>
      <c r="G335" t="inlineStr">
        <is>
          <t>Retain unique variant; no equivalent operating card selected; method, portion, losses and actual successful trial record not established by spreadsheet quantities alone</t>
        </is>
      </c>
    </row>
    <row r="336">
      <c r="A336" t="inlineStr">
        <is>
          <t>L198</t>
        </is>
      </c>
      <c r="B336" t="inlineStr">
        <is>
          <t>Pain au lait</t>
        </is>
      </c>
      <c r="C336" t="inlineStr">
        <is>
          <t>Workbook ratio variant</t>
        </is>
      </c>
      <c r="D336" t="inlineStr">
        <is>
          <t>S102</t>
        </is>
      </c>
      <c r="E336" t="inlineStr">
        <is>
          <t>Pain au lait column D</t>
        </is>
      </c>
      <c r="F336" t="inlineStr">
        <is>
          <t>HOLD; EDC unidentified</t>
        </is>
      </c>
      <c r="G336" t="inlineStr">
        <is>
          <t>S-B07 / M1-B04;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337">
      <c r="A337" t="inlineStr">
        <is>
          <t>L199</t>
        </is>
      </c>
      <c r="B337" t="inlineStr">
        <is>
          <t>Sugar Balls</t>
        </is>
      </c>
      <c r="C337" t="inlineStr">
        <is>
          <t>Workbook ratio variant</t>
        </is>
      </c>
      <c r="D337" t="inlineStr">
        <is>
          <t>S102</t>
        </is>
      </c>
      <c r="E337" t="inlineStr">
        <is>
          <t>Sugar Balls column D</t>
        </is>
      </c>
      <c r="F337" t="inlineStr">
        <is>
          <t>Held; proposed numerical revision</t>
        </is>
      </c>
      <c r="G337" t="inlineStr">
        <is>
          <t>Retain unique variant; no equivalent operating card selected; method, portion, losses and actual successful trial record not established by spreadsheet quantities alone</t>
        </is>
      </c>
    </row>
    <row r="338">
      <c r="A338" t="inlineStr">
        <is>
          <t>L200</t>
        </is>
      </c>
      <c r="B338" t="inlineStr">
        <is>
          <t>Sugar Balls</t>
        </is>
      </c>
      <c r="C338" t="inlineStr">
        <is>
          <t>Workbook ratio variant</t>
        </is>
      </c>
      <c r="D338" t="inlineStr">
        <is>
          <t>S102</t>
        </is>
      </c>
      <c r="E338" t="inlineStr">
        <is>
          <t>Sugar Balls column H</t>
        </is>
      </c>
      <c r="F338" t="inlineStr">
        <is>
          <t>Held; proposed numerical revision</t>
        </is>
      </c>
      <c r="G338" t="inlineStr">
        <is>
          <t>Retain unique variant; no equivalent operating card selected; method, portion, losses and actual successful trial record not established by spreadsheet quantities alone</t>
        </is>
      </c>
    </row>
    <row r="339">
      <c r="A339" t="inlineStr">
        <is>
          <t>L201</t>
        </is>
      </c>
      <c r="B339" t="inlineStr">
        <is>
          <t>brioche</t>
        </is>
      </c>
      <c r="C339" t="inlineStr">
        <is>
          <t>Workbook ratio variant</t>
        </is>
      </c>
      <c r="D339" t="inlineStr">
        <is>
          <t>S102</t>
        </is>
      </c>
      <c r="E339" t="inlineStr">
        <is>
          <t>brioche column D</t>
        </is>
      </c>
      <c r="F339" t="inlineStr">
        <is>
          <t>Held; proposed numerical revision</t>
        </is>
      </c>
      <c r="G339" t="inlineStr">
        <is>
          <t>S-B06; richer true-butter variant; method, portion, losses and actual successful trial record not established by spreadsheet quantities alone</t>
        </is>
      </c>
    </row>
    <row r="340">
      <c r="A340" t="inlineStr">
        <is>
          <t>L202</t>
        </is>
      </c>
      <c r="B340" t="inlineStr">
        <is>
          <t>gateau new look</t>
        </is>
      </c>
      <c r="C340" t="inlineStr">
        <is>
          <t>Workbook ratio variant</t>
        </is>
      </c>
      <c r="D340" t="inlineStr">
        <is>
          <t>S102</t>
        </is>
      </c>
      <c r="E340" t="inlineStr">
        <is>
          <t>gateau new look column D</t>
        </is>
      </c>
      <c r="F340" t="inlineStr">
        <is>
          <t>Held; proposed numerical revision</t>
        </is>
      </c>
      <c r="G340"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41">
      <c r="A341" t="inlineStr">
        <is>
          <t>L203</t>
        </is>
      </c>
      <c r="B341" t="inlineStr">
        <is>
          <t>gateau new look</t>
        </is>
      </c>
      <c r="C341" t="inlineStr">
        <is>
          <t>Workbook ratio variant</t>
        </is>
      </c>
      <c r="D341" t="inlineStr">
        <is>
          <t>S102</t>
        </is>
      </c>
      <c r="E341" t="inlineStr">
        <is>
          <t>gateau new look column J</t>
        </is>
      </c>
      <c r="F341" t="inlineStr">
        <is>
          <t>Held; proposed numerical revision</t>
        </is>
      </c>
      <c r="G341"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42">
      <c r="A342" t="inlineStr">
        <is>
          <t>L204</t>
        </is>
      </c>
      <c r="B342" t="inlineStr">
        <is>
          <t>Best Chinchin</t>
        </is>
      </c>
      <c r="C342" t="inlineStr">
        <is>
          <t>Workbook ratio variant</t>
        </is>
      </c>
      <c r="D342" t="inlineStr">
        <is>
          <t>S103</t>
        </is>
      </c>
      <c r="E342" t="inlineStr">
        <is>
          <t>Best Chinchin column D</t>
        </is>
      </c>
      <c r="F342" t="inlineStr">
        <is>
          <t>Held; proposed numerical revision</t>
        </is>
      </c>
      <c r="G342" t="inlineStr">
        <is>
          <t>H10; conc milk requires identity/specification; separate recipe oil, retained frying oil and fryer charge; current source mass is not edible yield; method, portion, losses and actual successful trial record not established by spreadsheet quantities alone</t>
        </is>
      </c>
    </row>
    <row r="343">
      <c r="A343" t="inlineStr">
        <is>
          <t>L205</t>
        </is>
      </c>
      <c r="B343" t="inlineStr">
        <is>
          <t>Burns</t>
        </is>
      </c>
      <c r="C343" t="inlineStr">
        <is>
          <t>Workbook ratio variant</t>
        </is>
      </c>
      <c r="D343" t="inlineStr">
        <is>
          <t>S103</t>
        </is>
      </c>
      <c r="E343" t="inlineStr">
        <is>
          <t>Burns column D</t>
        </is>
      </c>
      <c r="F343" t="inlineStr">
        <is>
          <t>Held; proposed numerical revision</t>
        </is>
      </c>
      <c r="G343" t="inlineStr">
        <is>
          <t>Retain unique variant; no equivalent operating card selected; conc milk requires identity/specification; low listed water; identify other liquid contributions before mixing; method, portion, losses and actual successful trial record not established by spreadsheet quantities alone</t>
        </is>
      </c>
    </row>
    <row r="344">
      <c r="A344" t="inlineStr">
        <is>
          <t>L206</t>
        </is>
      </c>
      <c r="B344" t="inlineStr">
        <is>
          <t>Cake Prof</t>
        </is>
      </c>
      <c r="C344" t="inlineStr">
        <is>
          <t>Workbook ratio variant</t>
        </is>
      </c>
      <c r="D344" t="inlineStr">
        <is>
          <t>S103</t>
        </is>
      </c>
      <c r="E344" t="inlineStr">
        <is>
          <t>Cake Prof column D</t>
        </is>
      </c>
      <c r="F344" t="inlineStr">
        <is>
          <t>Held; proposed numerical revision</t>
        </is>
      </c>
      <c r="G344" t="inlineStr">
        <is>
          <t>H08 / H09; exact style differs; nutmeg exceeds 2% of flour; probable source or cell-association error, do not produce from this record; method, portion, losses and actual successful trial record not established by spreadsheet quantities alone</t>
        </is>
      </c>
    </row>
    <row r="345">
      <c r="A345" t="inlineStr">
        <is>
          <t>L207</t>
        </is>
      </c>
      <c r="B345" t="inlineStr">
        <is>
          <t>Pain au lait</t>
        </is>
      </c>
      <c r="C345" t="inlineStr">
        <is>
          <t>Workbook ratio variant</t>
        </is>
      </c>
      <c r="D345" t="inlineStr">
        <is>
          <t>S103</t>
        </is>
      </c>
      <c r="E345" t="inlineStr">
        <is>
          <t>Pain au lait column D</t>
        </is>
      </c>
      <c r="F345" t="inlineStr">
        <is>
          <t>Held; proposed numerical revision</t>
        </is>
      </c>
      <c r="G345" t="inlineStr">
        <is>
          <t>S-B07 / M1-B04; milk requires identity/specification; method, portion, losses and actual successful trial record not established by spreadsheet quantities alone</t>
        </is>
      </c>
    </row>
    <row r="346">
      <c r="A346" t="inlineStr">
        <is>
          <t>L208</t>
        </is>
      </c>
      <c r="B346" t="inlineStr">
        <is>
          <t>brioche</t>
        </is>
      </c>
      <c r="C346" t="inlineStr">
        <is>
          <t>Workbook ratio variant</t>
        </is>
      </c>
      <c r="D346" t="inlineStr">
        <is>
          <t>S103</t>
        </is>
      </c>
      <c r="E346" t="inlineStr">
        <is>
          <t>brioche column D</t>
        </is>
      </c>
      <c r="F346" t="inlineStr">
        <is>
          <t>Held; proposed numerical revision</t>
        </is>
      </c>
      <c r="G346" t="inlineStr">
        <is>
          <t>S-B06; richer true-butter variant; low listed water; identify other liquid contributions before mixing; method, portion, losses and actual successful trial record not established by spreadsheet quantities alone</t>
        </is>
      </c>
    </row>
    <row r="347">
      <c r="A347" t="inlineStr">
        <is>
          <t>L209</t>
        </is>
      </c>
      <c r="B347" t="inlineStr">
        <is>
          <t>gateau new look</t>
        </is>
      </c>
      <c r="C347" t="inlineStr">
        <is>
          <t>Workbook ratio variant</t>
        </is>
      </c>
      <c r="D347" t="inlineStr">
        <is>
          <t>S103</t>
        </is>
      </c>
      <c r="E347" t="inlineStr">
        <is>
          <t>gateau new look column D</t>
        </is>
      </c>
      <c r="F347" t="inlineStr">
        <is>
          <t>Held; proposed numerical revision</t>
        </is>
      </c>
      <c r="G347"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48">
      <c r="A348" t="inlineStr">
        <is>
          <t>L210</t>
        </is>
      </c>
      <c r="B348" t="inlineStr">
        <is>
          <t>NEW BRIOCHE</t>
        </is>
      </c>
      <c r="C348" t="inlineStr">
        <is>
          <t>Workbook ratio variant</t>
        </is>
      </c>
      <c r="D348" t="inlineStr">
        <is>
          <t>S105</t>
        </is>
      </c>
      <c r="E348" t="inlineStr">
        <is>
          <t>NEW BRIOCHE column D</t>
        </is>
      </c>
      <c r="F348" t="inlineStr">
        <is>
          <t>HOLD; EDC unidentified</t>
        </is>
      </c>
      <c r="G348"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349">
      <c r="A349" t="inlineStr">
        <is>
          <t>L211</t>
        </is>
      </c>
      <c r="B349" t="inlineStr">
        <is>
          <t>Pain au lait</t>
        </is>
      </c>
      <c r="C349" t="inlineStr">
        <is>
          <t>Workbook ratio variant</t>
        </is>
      </c>
      <c r="D349" t="inlineStr">
        <is>
          <t>S105</t>
        </is>
      </c>
      <c r="E349" t="inlineStr">
        <is>
          <t>Pain au lait column D</t>
        </is>
      </c>
      <c r="F349" t="inlineStr">
        <is>
          <t>HOLD; EDC unidentified</t>
        </is>
      </c>
      <c r="G349" t="inlineStr">
        <is>
          <t>S-B07 / M1-B04;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350">
      <c r="A350" t="inlineStr">
        <is>
          <t>L212</t>
        </is>
      </c>
      <c r="B350" t="inlineStr">
        <is>
          <t>brioche</t>
        </is>
      </c>
      <c r="C350" t="inlineStr">
        <is>
          <t>Workbook ratio variant</t>
        </is>
      </c>
      <c r="D350" t="inlineStr">
        <is>
          <t>S105</t>
        </is>
      </c>
      <c r="E350" t="inlineStr">
        <is>
          <t>brioche column D</t>
        </is>
      </c>
      <c r="F350" t="inlineStr">
        <is>
          <t>HOLD; EDC unidentified</t>
        </is>
      </c>
      <c r="G350"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351">
      <c r="A351" t="inlineStr">
        <is>
          <t>L213</t>
        </is>
      </c>
      <c r="B351" t="inlineStr">
        <is>
          <t>cupcake</t>
        </is>
      </c>
      <c r="C351" t="inlineStr">
        <is>
          <t>Workbook ratio variant</t>
        </is>
      </c>
      <c r="D351" t="inlineStr">
        <is>
          <t>S105</t>
        </is>
      </c>
      <c r="E351" t="inlineStr">
        <is>
          <t>cupcake column D</t>
        </is>
      </c>
      <c r="F351" t="inlineStr">
        <is>
          <t>Held; proposed numerical revision</t>
        </is>
      </c>
      <c r="G351" t="inlineStr">
        <is>
          <t>H08 / H09; exact style differs; method, portion, losses and actual successful trial record not established by spreadsheet quantities alone</t>
        </is>
      </c>
    </row>
    <row r="352">
      <c r="A352" t="inlineStr">
        <is>
          <t>L214</t>
        </is>
      </c>
      <c r="B352" t="inlineStr">
        <is>
          <t>gateau new look</t>
        </is>
      </c>
      <c r="C352" t="inlineStr">
        <is>
          <t>Workbook ratio variant</t>
        </is>
      </c>
      <c r="D352" t="inlineStr">
        <is>
          <t>S105</t>
        </is>
      </c>
      <c r="E352" t="inlineStr">
        <is>
          <t>gateau new look column D</t>
        </is>
      </c>
      <c r="F352" t="inlineStr">
        <is>
          <t>Held; proposed numerical revision</t>
        </is>
      </c>
      <c r="G352"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53">
      <c r="A353" t="inlineStr">
        <is>
          <t>L215</t>
        </is>
      </c>
      <c r="B353" t="inlineStr">
        <is>
          <t>gateau new look</t>
        </is>
      </c>
      <c r="C353" t="inlineStr">
        <is>
          <t>Workbook ratio variant</t>
        </is>
      </c>
      <c r="D353" t="inlineStr">
        <is>
          <t>S105</t>
        </is>
      </c>
      <c r="E353" t="inlineStr">
        <is>
          <t>gateau new look column J</t>
        </is>
      </c>
      <c r="F353" t="inlineStr">
        <is>
          <t>Held; proposed numerical revision</t>
        </is>
      </c>
      <c r="G353"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54">
      <c r="A354" t="inlineStr">
        <is>
          <t>L216</t>
        </is>
      </c>
      <c r="B354" t="inlineStr">
        <is>
          <t>Cake Prof</t>
        </is>
      </c>
      <c r="C354" t="inlineStr">
        <is>
          <t>Workbook ratio variant</t>
        </is>
      </c>
      <c r="D354" t="inlineStr">
        <is>
          <t>S106</t>
        </is>
      </c>
      <c r="E354" t="inlineStr">
        <is>
          <t>Cake Prof column C</t>
        </is>
      </c>
      <c r="F354" t="inlineStr">
        <is>
          <t>HOLD; EDC unidentified</t>
        </is>
      </c>
      <c r="G354" t="inlineStr">
        <is>
          <t>H08 / H09; exact style differs; method, portion, losses and actual successful trial record not established by spreadsheet quantities alone H3: EDC separate and unpriced; prior margarine interpretation superseded.</t>
        </is>
      </c>
    </row>
    <row r="355">
      <c r="A355" t="inlineStr">
        <is>
          <t>L217</t>
        </is>
      </c>
      <c r="B355" t="inlineStr">
        <is>
          <t>Delice</t>
        </is>
      </c>
      <c r="C355" t="inlineStr">
        <is>
          <t>Workbook ratio variant</t>
        </is>
      </c>
      <c r="D355" t="inlineStr">
        <is>
          <t>S106</t>
        </is>
      </c>
      <c r="E355" t="inlineStr">
        <is>
          <t>Delice column D</t>
        </is>
      </c>
      <c r="F355" t="inlineStr">
        <is>
          <t>HOLD; EDC unidentified</t>
        </is>
      </c>
      <c r="G355" t="inlineStr">
        <is>
          <t>Retain unique variant; no equivalent operating card selected;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356">
      <c r="A356" t="inlineStr">
        <is>
          <t>L218</t>
        </is>
      </c>
      <c r="B356" t="inlineStr">
        <is>
          <t>Delice</t>
        </is>
      </c>
      <c r="C356" t="inlineStr">
        <is>
          <t>Workbook ratio variant</t>
        </is>
      </c>
      <c r="D356" t="inlineStr">
        <is>
          <t>S106</t>
        </is>
      </c>
      <c r="E356" t="inlineStr">
        <is>
          <t>Delice column H</t>
        </is>
      </c>
      <c r="F356" t="inlineStr">
        <is>
          <t>HOLD; EDC unidentified</t>
        </is>
      </c>
      <c r="G356" t="inlineStr">
        <is>
          <t>Retain unique variant; no equivalent operating card selected;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357">
      <c r="A357" t="inlineStr">
        <is>
          <t>L219</t>
        </is>
      </c>
      <c r="B357" t="inlineStr">
        <is>
          <t>Kouatchoua gato</t>
        </is>
      </c>
      <c r="C357" t="inlineStr">
        <is>
          <t>Workbook ratio variant</t>
        </is>
      </c>
      <c r="D357" t="inlineStr">
        <is>
          <t>S106</t>
        </is>
      </c>
      <c r="E357" t="inlineStr">
        <is>
          <t>Kouatchoua gato column D</t>
        </is>
      </c>
      <c r="F357" t="inlineStr">
        <is>
          <t>Held; proposed numerical revision</t>
        </is>
      </c>
      <c r="G357"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58">
      <c r="A358" t="inlineStr">
        <is>
          <t>L220</t>
        </is>
      </c>
      <c r="B358" t="inlineStr">
        <is>
          <t>Kouatchoua gato</t>
        </is>
      </c>
      <c r="C358" t="inlineStr">
        <is>
          <t>Workbook ratio variant</t>
        </is>
      </c>
      <c r="D358" t="inlineStr">
        <is>
          <t>S106</t>
        </is>
      </c>
      <c r="E358" t="inlineStr">
        <is>
          <t>Kouatchoua gato column J</t>
        </is>
      </c>
      <c r="F358" t="inlineStr">
        <is>
          <t>Held; proposed numerical revision</t>
        </is>
      </c>
      <c r="G358"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59">
      <c r="A359" t="inlineStr">
        <is>
          <t>L221</t>
        </is>
      </c>
      <c r="B359" t="inlineStr">
        <is>
          <t>YUMMY BREAD</t>
        </is>
      </c>
      <c r="C359" t="inlineStr">
        <is>
          <t>Workbook ratio variant</t>
        </is>
      </c>
      <c r="D359" t="inlineStr">
        <is>
          <t>S106</t>
        </is>
      </c>
      <c r="E359" t="inlineStr">
        <is>
          <t>YUMMY BREAD column D</t>
        </is>
      </c>
      <c r="F359" t="inlineStr">
        <is>
          <t>HOLD; EDC unidentified</t>
        </is>
      </c>
      <c r="G359"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360">
      <c r="A360" t="inlineStr">
        <is>
          <t>L222</t>
        </is>
      </c>
      <c r="B360" t="inlineStr">
        <is>
          <t>YUMMY YOGHOURT (YUYO)</t>
        </is>
      </c>
      <c r="C360" t="inlineStr">
        <is>
          <t>Workbook ratio variant</t>
        </is>
      </c>
      <c r="D360" t="inlineStr">
        <is>
          <t>S106</t>
        </is>
      </c>
      <c r="E360" t="inlineStr">
        <is>
          <t>YUMMY YOGHOURT (YUYO) column D</t>
        </is>
      </c>
      <c r="F360" t="inlineStr">
        <is>
          <t>Held; proposed numerical revision</t>
        </is>
      </c>
      <c r="G360" t="inlineStr">
        <is>
          <t>S-Y01–S-Y03; milk requires identity/specification; stock yoghort requires identity/specification; method, portion, losses and actual successful trial record not established by spreadsheet quantities alone</t>
        </is>
      </c>
    </row>
    <row r="361">
      <c r="A361" t="inlineStr">
        <is>
          <t>L223</t>
        </is>
      </c>
      <c r="B361" t="inlineStr">
        <is>
          <t>YUMMY YOGHOURT (YUYO)</t>
        </is>
      </c>
      <c r="C361" t="inlineStr">
        <is>
          <t>Workbook ratio variant</t>
        </is>
      </c>
      <c r="D361" t="inlineStr">
        <is>
          <t>S106</t>
        </is>
      </c>
      <c r="E361" t="inlineStr">
        <is>
          <t>YUMMY YOGHOURT (YUYO) column H</t>
        </is>
      </c>
      <c r="F361" t="inlineStr">
        <is>
          <t>Held; proposed numerical revision</t>
        </is>
      </c>
      <c r="G361" t="inlineStr">
        <is>
          <t>S-Y01–S-Y03; milk requires identity/specification; method, portion, losses and actual successful trial record not established by spreadsheet quantities alone</t>
        </is>
      </c>
    </row>
    <row r="362">
      <c r="A362" t="inlineStr">
        <is>
          <t>L224</t>
        </is>
      </c>
      <c r="B362" t="inlineStr">
        <is>
          <t>YUMMY YOGHOURT (YUYO)</t>
        </is>
      </c>
      <c r="C362" t="inlineStr">
        <is>
          <t>Workbook ratio variant</t>
        </is>
      </c>
      <c r="D362" t="inlineStr">
        <is>
          <t>S106</t>
        </is>
      </c>
      <c r="E362" t="inlineStr">
        <is>
          <t>YUMMY YOGHOURT (YUYO) column L</t>
        </is>
      </c>
      <c r="F362" t="inlineStr">
        <is>
          <t>Held; proposed numerical revision</t>
        </is>
      </c>
      <c r="G362" t="inlineStr">
        <is>
          <t>S-Y01–S-Y03; milk requires identity/specification; method, portion, losses and actual successful trial record not established by spreadsheet quantities alone</t>
        </is>
      </c>
    </row>
    <row r="363">
      <c r="A363" t="inlineStr">
        <is>
          <t>L225</t>
        </is>
      </c>
      <c r="B363" t="inlineStr">
        <is>
          <t>Cake Prof</t>
        </is>
      </c>
      <c r="C363" t="inlineStr">
        <is>
          <t>Workbook ratio variant</t>
        </is>
      </c>
      <c r="D363" t="inlineStr">
        <is>
          <t>S136</t>
        </is>
      </c>
      <c r="E363" t="inlineStr">
        <is>
          <t>Cake Prof column B</t>
        </is>
      </c>
      <c r="F363" t="inlineStr">
        <is>
          <t>Held; proposed numerical revision</t>
        </is>
      </c>
      <c r="G363" t="inlineStr">
        <is>
          <t>H08 / H09; exact style differs; method, portion, losses and actual successful trial record not established by spreadsheet quantities alone</t>
        </is>
      </c>
    </row>
    <row r="364">
      <c r="A364" t="inlineStr">
        <is>
          <t>L226</t>
        </is>
      </c>
      <c r="B364" t="inlineStr">
        <is>
          <t>YUMMY BREAD</t>
        </is>
      </c>
      <c r="C364" t="inlineStr">
        <is>
          <t>Workbook ratio variant</t>
        </is>
      </c>
      <c r="D364" t="inlineStr">
        <is>
          <t>S136</t>
        </is>
      </c>
      <c r="E364" t="inlineStr">
        <is>
          <t>YUMMY BREAD column B</t>
        </is>
      </c>
      <c r="F364" t="inlineStr">
        <is>
          <t>HOLD; EDC unidentified</t>
        </is>
      </c>
      <c r="G364" t="inlineStr">
        <is>
          <t>M1-B01–B13; milk requires identity/specification; method, portion, losses and actual successful trial record not established by spreadsheet quantities alone H3: EDC separate and unpriced; prior margarine interpretation superseded.</t>
        </is>
      </c>
    </row>
    <row r="365">
      <c r="A365" t="inlineStr">
        <is>
          <t>L227</t>
        </is>
      </c>
      <c r="B365" t="inlineStr">
        <is>
          <t>Zebree</t>
        </is>
      </c>
      <c r="C365" t="inlineStr">
        <is>
          <t>Workbook ratio variant</t>
        </is>
      </c>
      <c r="D365" t="inlineStr">
        <is>
          <t>S136</t>
        </is>
      </c>
      <c r="E365" t="inlineStr">
        <is>
          <t>Zebree column B</t>
        </is>
      </c>
      <c r="F365" t="inlineStr">
        <is>
          <t>HOLD; EDC unidentified</t>
        </is>
      </c>
      <c r="G365" t="inlineStr">
        <is>
          <t>H15; milk requires identity/specification; method, portion, losses and actual successful trial record not established by spreadsheet quantities alone H3: EDC separate and unpriced; prior margarine interpretation superseded.</t>
        </is>
      </c>
    </row>
    <row r="366">
      <c r="A366" t="inlineStr">
        <is>
          <t>L228</t>
        </is>
      </c>
      <c r="B366" t="inlineStr">
        <is>
          <t>Best Chinchin</t>
        </is>
      </c>
      <c r="C366" t="inlineStr">
        <is>
          <t>Workbook ratio variant</t>
        </is>
      </c>
      <c r="D366" t="inlineStr">
        <is>
          <t>S140</t>
        </is>
      </c>
      <c r="E366" t="inlineStr">
        <is>
          <t>Best Chinchin column D</t>
        </is>
      </c>
      <c r="F366" t="inlineStr">
        <is>
          <t>Held; proposed numerical revision</t>
        </is>
      </c>
      <c r="G366" t="inlineStr">
        <is>
          <t>H10; separate recipe oil, retained frying oil and fryer charge; current source mass is not edible yield; method, portion, losses and actual successful trial record not established by spreadsheet quantities alone</t>
        </is>
      </c>
    </row>
    <row r="367">
      <c r="A367" t="inlineStr">
        <is>
          <t>L229</t>
        </is>
      </c>
      <c r="B367" t="inlineStr">
        <is>
          <t>NEW BRIOCHE</t>
        </is>
      </c>
      <c r="C367" t="inlineStr">
        <is>
          <t>Workbook ratio variant</t>
        </is>
      </c>
      <c r="D367" t="inlineStr">
        <is>
          <t>S140</t>
        </is>
      </c>
      <c r="E367" t="inlineStr">
        <is>
          <t>NEW BRIOCHE column D</t>
        </is>
      </c>
      <c r="F367" t="inlineStr">
        <is>
          <t>HOLD; EDC unidentified</t>
        </is>
      </c>
      <c r="G367"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368">
      <c r="A368" t="inlineStr">
        <is>
          <t>L230</t>
        </is>
      </c>
      <c r="B368" t="inlineStr">
        <is>
          <t>Pain au lait</t>
        </is>
      </c>
      <c r="C368" t="inlineStr">
        <is>
          <t>Workbook ratio variant</t>
        </is>
      </c>
      <c r="D368" t="inlineStr">
        <is>
          <t>S140</t>
        </is>
      </c>
      <c r="E368" t="inlineStr">
        <is>
          <t>Pain au lait column D</t>
        </is>
      </c>
      <c r="F368" t="inlineStr">
        <is>
          <t>Held; proposed numerical revision</t>
        </is>
      </c>
      <c r="G368" t="inlineStr">
        <is>
          <t>S-B07 / M1-B04; corrupted or unusually long ingredient label; check original cells before any trial; nutmeg exceeds 2% of flour; probable source or cell-association error, do not produce from this record; separate recipe oil, retained frying oil and fryer charge; current source mass is not edible yield; method, portion, losses and actual successful trial record not established by spreadsheet quantities alone</t>
        </is>
      </c>
    </row>
    <row r="369">
      <c r="A369" t="inlineStr">
        <is>
          <t>L231</t>
        </is>
      </c>
      <c r="B369" t="inlineStr">
        <is>
          <t>Pain au lait</t>
        </is>
      </c>
      <c r="C369" t="inlineStr">
        <is>
          <t>Workbook ratio variant</t>
        </is>
      </c>
      <c r="D369" t="inlineStr">
        <is>
          <t>S140</t>
        </is>
      </c>
      <c r="E369" t="inlineStr">
        <is>
          <t>Pain au lait column H</t>
        </is>
      </c>
      <c r="F369" t="inlineStr">
        <is>
          <t>Held; proposed numerical revision</t>
        </is>
      </c>
      <c r="G369" t="inlineStr">
        <is>
          <t>S-B07 / M1-B04; corrupted or unusually long ingredient label; check original cells before any trial; nutmeg exceeds 2% of flour; probable source or cell-association error, do not produce from this record; separate recipe oil, retained frying oil and fryer charge; current source mass is not edible yield; method, portion, losses and actual successful trial record not established by spreadsheet quantities alone</t>
        </is>
      </c>
    </row>
    <row r="370">
      <c r="A370" t="inlineStr">
        <is>
          <t>L232</t>
        </is>
      </c>
      <c r="B370" t="inlineStr">
        <is>
          <t>gateau new look</t>
        </is>
      </c>
      <c r="C370" t="inlineStr">
        <is>
          <t>Workbook ratio variant</t>
        </is>
      </c>
      <c r="D370" t="inlineStr">
        <is>
          <t>S140</t>
        </is>
      </c>
      <c r="E370" t="inlineStr">
        <is>
          <t>gateau new look column D</t>
        </is>
      </c>
      <c r="F370" t="inlineStr">
        <is>
          <t>Held; proposed numerical revision</t>
        </is>
      </c>
      <c r="G370"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71">
      <c r="A371" t="inlineStr">
        <is>
          <t>L233</t>
        </is>
      </c>
      <c r="B371" t="inlineStr">
        <is>
          <t>gateau new look</t>
        </is>
      </c>
      <c r="C371" t="inlineStr">
        <is>
          <t>Workbook ratio variant</t>
        </is>
      </c>
      <c r="D371" t="inlineStr">
        <is>
          <t>S140</t>
        </is>
      </c>
      <c r="E371" t="inlineStr">
        <is>
          <t>gateau new look column J</t>
        </is>
      </c>
      <c r="F371" t="inlineStr">
        <is>
          <t>Held; proposed numerical revision</t>
        </is>
      </c>
      <c r="G371"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72">
      <c r="A372" t="inlineStr">
        <is>
          <t>L234</t>
        </is>
      </c>
      <c r="B372" t="inlineStr">
        <is>
          <t>Best Chinchin</t>
        </is>
      </c>
      <c r="C372" t="inlineStr">
        <is>
          <t>Workbook ratio variant</t>
        </is>
      </c>
      <c r="D372" t="inlineStr">
        <is>
          <t>S141</t>
        </is>
      </c>
      <c r="E372" t="inlineStr">
        <is>
          <t>Best Chinchin column D</t>
        </is>
      </c>
      <c r="F372" t="inlineStr">
        <is>
          <t>Held; proposed numerical revision</t>
        </is>
      </c>
      <c r="G372" t="inlineStr">
        <is>
          <t>H10; separate recipe oil, retained frying oil and fryer charge; current source mass is not edible yield; method, portion, losses and actual successful trial record not established by spreadsheet quantities alone</t>
        </is>
      </c>
    </row>
    <row r="373">
      <c r="A373" t="inlineStr">
        <is>
          <t>L235</t>
        </is>
      </c>
      <c r="B373" t="inlineStr">
        <is>
          <t>Kouatchoua gato</t>
        </is>
      </c>
      <c r="C373" t="inlineStr">
        <is>
          <t>Workbook ratio variant</t>
        </is>
      </c>
      <c r="D373" t="inlineStr">
        <is>
          <t>S141</t>
        </is>
      </c>
      <c r="E373" t="inlineStr">
        <is>
          <t>Kouatchoua gato column D</t>
        </is>
      </c>
      <c r="F373" t="inlineStr">
        <is>
          <t>Held; proposed numerical revision</t>
        </is>
      </c>
      <c r="G373" t="inlineStr">
        <is>
          <t>Retain unique variant; no equivalent operating card selected; conc milk requires identity/specification; separate recipe oil, retained frying oil and fryer charge; current source mass is not edible yield; method, portion, losses and actual successful trial record not established by spreadsheet quantities alone</t>
        </is>
      </c>
    </row>
    <row r="374">
      <c r="A374" t="inlineStr">
        <is>
          <t>L236</t>
        </is>
      </c>
      <c r="B374" t="inlineStr">
        <is>
          <t>NEW BRIOCHE</t>
        </is>
      </c>
      <c r="C374" t="inlineStr">
        <is>
          <t>Workbook ratio variant</t>
        </is>
      </c>
      <c r="D374" t="inlineStr">
        <is>
          <t>S141</t>
        </is>
      </c>
      <c r="E374" t="inlineStr">
        <is>
          <t>NEW BRIOCHE column D</t>
        </is>
      </c>
      <c r="F374" t="inlineStr">
        <is>
          <t>HOLD; EDC unidentified</t>
        </is>
      </c>
      <c r="G374" t="inlineStr">
        <is>
          <t>S-B06; richer true-butter variant;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375">
      <c r="A375" t="inlineStr">
        <is>
          <t>L237</t>
        </is>
      </c>
      <c r="B375" t="inlineStr">
        <is>
          <t>Sugar Balls</t>
        </is>
      </c>
      <c r="C375" t="inlineStr">
        <is>
          <t>Workbook ratio variant</t>
        </is>
      </c>
      <c r="D375" t="inlineStr">
        <is>
          <t>S141</t>
        </is>
      </c>
      <c r="E375" t="inlineStr">
        <is>
          <t>Sugar Balls column D</t>
        </is>
      </c>
      <c r="F375" t="inlineStr">
        <is>
          <t>Held; proposed numerical revision</t>
        </is>
      </c>
      <c r="G375" t="inlineStr">
        <is>
          <t>Retain unique variant; no equivalent operating card selected; method, portion, losses and actual successful trial record not established by spreadsheet quantities alone</t>
        </is>
      </c>
    </row>
    <row r="376">
      <c r="A376" t="inlineStr">
        <is>
          <t>L238</t>
        </is>
      </c>
      <c r="B376" t="inlineStr">
        <is>
          <t>Sugar Balls</t>
        </is>
      </c>
      <c r="C376" t="inlineStr">
        <is>
          <t>Workbook ratio variant</t>
        </is>
      </c>
      <c r="D376" t="inlineStr">
        <is>
          <t>S141</t>
        </is>
      </c>
      <c r="E376" t="inlineStr">
        <is>
          <t>Sugar Balls column H</t>
        </is>
      </c>
      <c r="F376" t="inlineStr">
        <is>
          <t>Held; proposed numerical revision</t>
        </is>
      </c>
      <c r="G376" t="inlineStr">
        <is>
          <t>Retain unique variant; no equivalent operating card selected; method, portion, losses and actual successful trial record not established by spreadsheet quantities alone</t>
        </is>
      </c>
    </row>
    <row r="377">
      <c r="A377" t="inlineStr">
        <is>
          <t>L239</t>
        </is>
      </c>
      <c r="B377" t="inlineStr">
        <is>
          <t>YUMMY BREAD</t>
        </is>
      </c>
      <c r="C377" t="inlineStr">
        <is>
          <t>Workbook ratio variant</t>
        </is>
      </c>
      <c r="D377" t="inlineStr">
        <is>
          <t>S141</t>
        </is>
      </c>
      <c r="E377" t="inlineStr">
        <is>
          <t>YUMMY BREAD column D</t>
        </is>
      </c>
      <c r="F377" t="inlineStr">
        <is>
          <t>HOLD; EDC unidentified</t>
        </is>
      </c>
      <c r="G377"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378">
      <c r="A378" t="inlineStr">
        <is>
          <t>L240</t>
        </is>
      </c>
      <c r="B378" t="inlineStr">
        <is>
          <t>doughnuts</t>
        </is>
      </c>
      <c r="C378" t="inlineStr">
        <is>
          <t>Workbook ratio variant</t>
        </is>
      </c>
      <c r="D378" t="inlineStr">
        <is>
          <t>S141</t>
        </is>
      </c>
      <c r="E378" t="inlineStr">
        <is>
          <t>doughnuts column L</t>
        </is>
      </c>
      <c r="F378" t="inlineStr">
        <is>
          <t>Held; proposed numerical revision</t>
        </is>
      </c>
      <c r="G378" t="inlineStr">
        <is>
          <t>T01 for cake / O-P04 for yeast; baking powder exceeds 5% of flour; possible quantity error; milk requires identity/specification; nutmeg exceeds 2% of flour; probable source or cell-association error, do not produce from this record; method, portion, losses and actual successful trial record not established by spreadsheet quantities alone</t>
        </is>
      </c>
    </row>
    <row r="379">
      <c r="A379" t="inlineStr">
        <is>
          <t>L241</t>
        </is>
      </c>
      <c r="B379" t="inlineStr">
        <is>
          <t>Galette</t>
        </is>
      </c>
      <c r="C379" t="inlineStr">
        <is>
          <t>Workbook ratio variant</t>
        </is>
      </c>
      <c r="D379" t="inlineStr">
        <is>
          <t>S142</t>
        </is>
      </c>
      <c r="E379" t="inlineStr">
        <is>
          <t>Galette column D</t>
        </is>
      </c>
      <c r="F379" t="inlineStr">
        <is>
          <t>HOLD; EDC unidentified</t>
        </is>
      </c>
      <c r="G379" t="inlineStr">
        <is>
          <t>H14; milk requires identity/specification; method, portion, losses and actual successful trial record not established by spreadsheet quantities alone H3: EDC separate and unpriced; prior margarine interpretation superseded.</t>
        </is>
      </c>
    </row>
    <row r="380">
      <c r="A380" t="inlineStr">
        <is>
          <t>L242</t>
        </is>
      </c>
      <c r="B380" t="inlineStr">
        <is>
          <t>Galette</t>
        </is>
      </c>
      <c r="C380" t="inlineStr">
        <is>
          <t>Workbook ratio variant</t>
        </is>
      </c>
      <c r="D380" t="inlineStr">
        <is>
          <t>S142</t>
        </is>
      </c>
      <c r="E380" t="inlineStr">
        <is>
          <t>Galette column F</t>
        </is>
      </c>
      <c r="F380" t="inlineStr">
        <is>
          <t>HOLD; EDC unidentified</t>
        </is>
      </c>
      <c r="G380" t="inlineStr">
        <is>
          <t>H14; milk requires identity/specification; low listed water; identify other liquid contributions before mixing; method, portion, losses and actual successful trial record not established by spreadsheet quantities alone H3: EDC separate and unpriced; prior margarine interpretation superseded.</t>
        </is>
      </c>
    </row>
    <row r="381">
      <c r="A381" t="inlineStr">
        <is>
          <t>L243</t>
        </is>
      </c>
      <c r="B381" t="inlineStr">
        <is>
          <t>Pain au lait</t>
        </is>
      </c>
      <c r="C381" t="inlineStr">
        <is>
          <t>Workbook ratio variant</t>
        </is>
      </c>
      <c r="D381" t="inlineStr">
        <is>
          <t>S142</t>
        </is>
      </c>
      <c r="E381" t="inlineStr">
        <is>
          <t>Pain au lait column D</t>
        </is>
      </c>
      <c r="F381" t="inlineStr">
        <is>
          <t>HOLD; EDC unidentified</t>
        </is>
      </c>
      <c r="G381" t="inlineStr">
        <is>
          <t>S-B07 / M1-B04;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382">
      <c r="A382" t="inlineStr">
        <is>
          <t>L244</t>
        </is>
      </c>
      <c r="B382" t="inlineStr">
        <is>
          <t>YUMMY BREAD</t>
        </is>
      </c>
      <c r="C382" t="inlineStr">
        <is>
          <t>Workbook ratio variant</t>
        </is>
      </c>
      <c r="D382" t="inlineStr">
        <is>
          <t>S142</t>
        </is>
      </c>
      <c r="E382" t="inlineStr">
        <is>
          <t>YUMMY BREAD column D</t>
        </is>
      </c>
      <c r="F382" t="inlineStr">
        <is>
          <t>HOLD; EDC unidentified</t>
        </is>
      </c>
      <c r="G382"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383">
      <c r="A383" t="inlineStr">
        <is>
          <t>L245</t>
        </is>
      </c>
      <c r="B383" t="inlineStr">
        <is>
          <t>YUMMY YOGHOURT (YUYO)</t>
        </is>
      </c>
      <c r="C383" t="inlineStr">
        <is>
          <t>Workbook ratio variant</t>
        </is>
      </c>
      <c r="D383" t="inlineStr">
        <is>
          <t>S142</t>
        </is>
      </c>
      <c r="E383" t="inlineStr">
        <is>
          <t>YUMMY YOGHOURT (YUYO) column D</t>
        </is>
      </c>
      <c r="F383" t="inlineStr">
        <is>
          <t>Held; proposed numerical revision</t>
        </is>
      </c>
      <c r="G383" t="inlineStr">
        <is>
          <t>S-Y01–S-Y03; milk requires identity/specification; stock yoghort requires identity/specification; method, portion, losses and actual successful trial record not established by spreadsheet quantities alone</t>
        </is>
      </c>
    </row>
    <row r="384">
      <c r="A384" t="inlineStr">
        <is>
          <t>L246</t>
        </is>
      </c>
      <c r="B384" t="inlineStr">
        <is>
          <t>YUMMY YOGHOURT (YUYO)</t>
        </is>
      </c>
      <c r="C384" t="inlineStr">
        <is>
          <t>Workbook ratio variant</t>
        </is>
      </c>
      <c r="D384" t="inlineStr">
        <is>
          <t>S142</t>
        </is>
      </c>
      <c r="E384" t="inlineStr">
        <is>
          <t>YUMMY YOGHOURT (YUYO) column L</t>
        </is>
      </c>
      <c r="F384" t="inlineStr">
        <is>
          <t>Held; proposed numerical revision</t>
        </is>
      </c>
      <c r="G384" t="inlineStr">
        <is>
          <t>S-Y01–S-Y03; milk requires identity/specification; method, portion, losses and actual successful trial record not established by spreadsheet quantities alone</t>
        </is>
      </c>
    </row>
    <row r="385">
      <c r="A385" t="inlineStr">
        <is>
          <t>L247</t>
        </is>
      </c>
      <c r="B385" t="inlineStr">
        <is>
          <t>beignet souffle</t>
        </is>
      </c>
      <c r="C385" t="inlineStr">
        <is>
          <t>Workbook ratio variant</t>
        </is>
      </c>
      <c r="D385" t="inlineStr">
        <is>
          <t>S142</t>
        </is>
      </c>
      <c r="E385" t="inlineStr">
        <is>
          <t>beignet souffle column D</t>
        </is>
      </c>
      <c r="F385" t="inlineStr">
        <is>
          <t>HOLD; EDC unidentified</t>
        </is>
      </c>
      <c r="G385" t="inlineStr">
        <is>
          <t>H11;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386">
      <c r="A386" t="inlineStr">
        <is>
          <t>L248</t>
        </is>
      </c>
      <c r="B386" t="inlineStr">
        <is>
          <t>beignet souffle</t>
        </is>
      </c>
      <c r="C386" t="inlineStr">
        <is>
          <t>Workbook ratio variant</t>
        </is>
      </c>
      <c r="D386" t="inlineStr">
        <is>
          <t>S142</t>
        </is>
      </c>
      <c r="E386" t="inlineStr">
        <is>
          <t>beignet souffle column F</t>
        </is>
      </c>
      <c r="F386" t="inlineStr">
        <is>
          <t>HOLD; EDC unidentified</t>
        </is>
      </c>
      <c r="G386" t="inlineStr">
        <is>
          <t>H11; milk requires identity/specification; separate recipe oil, retained frying oil and fryer charge; current source mass is not edible yield; method, portion, losses and actual successful trial record not established by spreadsheet quantities alone H3: EDC separate and unpriced; prior margarine interpretation superseded.</t>
        </is>
      </c>
    </row>
    <row r="387">
      <c r="A387" t="inlineStr">
        <is>
          <t>L249</t>
        </is>
      </c>
      <c r="B387" t="inlineStr">
        <is>
          <t>doughnuts</t>
        </is>
      </c>
      <c r="C387" t="inlineStr">
        <is>
          <t>Workbook ratio variant</t>
        </is>
      </c>
      <c r="D387" t="inlineStr">
        <is>
          <t>S142</t>
        </is>
      </c>
      <c r="E387" t="inlineStr">
        <is>
          <t>doughnuts column H</t>
        </is>
      </c>
      <c r="F387" t="inlineStr">
        <is>
          <t>Held; proposed numerical revision</t>
        </is>
      </c>
      <c r="G387" t="inlineStr">
        <is>
          <t>T01 for cake / O-P04 for yeast; milk requires identity/specification; nutmeg exceeds 2% of flour; probable source or cell-association error, do not produce from this record; method, portion, losses and actual successful trial record not established by spreadsheet quantities alone</t>
        </is>
      </c>
    </row>
    <row r="388">
      <c r="A388" t="inlineStr">
        <is>
          <t>L250</t>
        </is>
      </c>
      <c r="B388" t="inlineStr">
        <is>
          <t>Cake Prof</t>
        </is>
      </c>
      <c r="C388" t="inlineStr">
        <is>
          <t>Workbook ratio variant</t>
        </is>
      </c>
      <c r="D388" t="inlineStr">
        <is>
          <t>S143</t>
        </is>
      </c>
      <c r="E388" t="inlineStr">
        <is>
          <t>Cake Prof column D</t>
        </is>
      </c>
      <c r="F388" t="inlineStr">
        <is>
          <t>Held; proposed numerical revision</t>
        </is>
      </c>
      <c r="G388" t="inlineStr">
        <is>
          <t>H08 / H09; exact style differs; method, portion, losses and actual successful trial record not established by spreadsheet quantities alone</t>
        </is>
      </c>
    </row>
    <row r="389">
      <c r="A389" t="inlineStr">
        <is>
          <t>L251</t>
        </is>
      </c>
      <c r="B389" t="inlineStr">
        <is>
          <t>YUMMY BREAD</t>
        </is>
      </c>
      <c r="C389" t="inlineStr">
        <is>
          <t>Workbook ratio variant</t>
        </is>
      </c>
      <c r="D389" t="inlineStr">
        <is>
          <t>S143</t>
        </is>
      </c>
      <c r="E389" t="inlineStr">
        <is>
          <t>YUMMY BREAD column D</t>
        </is>
      </c>
      <c r="F389" t="inlineStr">
        <is>
          <t>HOLD; EDC unidentified</t>
        </is>
      </c>
      <c r="G389" t="inlineStr">
        <is>
          <t>M1-B01–B13;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 H3: EDC separate and unpriced; prior margarine interpretation superseded.</t>
        </is>
      </c>
    </row>
    <row r="390">
      <c r="A390" t="inlineStr">
        <is>
          <t>L252</t>
        </is>
      </c>
      <c r="B390" t="inlineStr">
        <is>
          <t>YUMMY YOGHOURT (YUYO)</t>
        </is>
      </c>
      <c r="C390" t="inlineStr">
        <is>
          <t>Workbook ratio variant</t>
        </is>
      </c>
      <c r="D390" t="inlineStr">
        <is>
          <t>S143</t>
        </is>
      </c>
      <c r="E390" t="inlineStr">
        <is>
          <t>YUMMY YOGHOURT (YUYO) column D</t>
        </is>
      </c>
      <c r="F390" t="inlineStr">
        <is>
          <t>Held; proposed numerical revision</t>
        </is>
      </c>
      <c r="G390" t="inlineStr">
        <is>
          <t>S-Y01–S-Y03; milk requires identity/specification; stock yoghort requires identity/specification; method, portion, losses and actual successful trial record not established by spreadsheet quantities alone</t>
        </is>
      </c>
    </row>
    <row r="391">
      <c r="A391" t="inlineStr">
        <is>
          <t>L253</t>
        </is>
      </c>
      <c r="B391" t="inlineStr">
        <is>
          <t>YUMMY YOGHOURT (YUYO)</t>
        </is>
      </c>
      <c r="C391" t="inlineStr">
        <is>
          <t>Workbook ratio variant</t>
        </is>
      </c>
      <c r="D391" t="inlineStr">
        <is>
          <t>S143</t>
        </is>
      </c>
      <c r="E391" t="inlineStr">
        <is>
          <t>YUMMY YOGHOURT (YUYO) column H</t>
        </is>
      </c>
      <c r="F391" t="inlineStr">
        <is>
          <t>Held; proposed numerical revision</t>
        </is>
      </c>
      <c r="G391" t="inlineStr">
        <is>
          <t>S-Y01–S-Y03; milk requires identity/specification; method, portion, losses and actual successful trial record not established by spreadsheet quantities alone</t>
        </is>
      </c>
    </row>
    <row r="392">
      <c r="A392" t="inlineStr">
        <is>
          <t>L254</t>
        </is>
      </c>
      <c r="B392" t="inlineStr">
        <is>
          <t>YUMMY YOGHOURT (YUYO)</t>
        </is>
      </c>
      <c r="C392" t="inlineStr">
        <is>
          <t>Workbook ratio variant</t>
        </is>
      </c>
      <c r="D392" t="inlineStr">
        <is>
          <t>S143</t>
        </is>
      </c>
      <c r="E392" t="inlineStr">
        <is>
          <t>YUMMY YOGHOURT (YUYO) column L</t>
        </is>
      </c>
      <c r="F392" t="inlineStr">
        <is>
          <t>Held; proposed numerical revision</t>
        </is>
      </c>
      <c r="G392" t="inlineStr">
        <is>
          <t>S-Y01–S-Y03; milk requires identity/specification; method, portion, losses and actual successful trial record not established by spreadsheet quantities alone</t>
        </is>
      </c>
    </row>
    <row r="393">
      <c r="A393" t="inlineStr">
        <is>
          <t>R001</t>
        </is>
      </c>
      <c r="B393" t="inlineStr">
        <is>
          <t>VANILLA ICE CREAM</t>
        </is>
      </c>
      <c r="C393" t="inlineStr">
        <is>
          <t>Research recipe/collection/page</t>
        </is>
      </c>
      <c r="D393" t="inlineStr">
        <is>
          <t>S129</t>
        </is>
      </c>
      <c r="E393" t="inlineStr">
        <is>
          <t>PDF pages 75–78</t>
        </is>
      </c>
      <c r="F393" t="inlineStr">
        <is>
          <t>Reference formulation — not released for production</t>
        </is>
      </c>
      <c r="G393" t="inlineStr">
        <is>
          <t>Household cup/spoon/egg measures and cream composition need weighing. Frozen-base treatment, post-process additions and storage require commercial qualification; do not inherit domestic shelf-life or nutritional claims.</t>
        </is>
      </c>
    </row>
    <row r="394">
      <c r="A394" t="inlineStr">
        <is>
          <t>R002</t>
        </is>
      </c>
      <c r="B394" t="inlineStr">
        <is>
          <t>BUTTERMILK ICE CREAM</t>
        </is>
      </c>
      <c r="C394" t="inlineStr">
        <is>
          <t>Research recipe/collection/page</t>
        </is>
      </c>
      <c r="D394" t="inlineStr">
        <is>
          <t>S129</t>
        </is>
      </c>
      <c r="E394" t="inlineStr">
        <is>
          <t>PDF pages 79–80</t>
        </is>
      </c>
      <c r="F394" t="inlineStr">
        <is>
          <t>Reference formulation — not released for production</t>
        </is>
      </c>
      <c r="G394" t="inlineStr">
        <is>
          <t>Household cup/spoon/egg measures and cream composition need weighing. Frozen-base treatment, post-process additions and storage require commercial qualification; do not inherit domestic shelf-life or nutritional claims.</t>
        </is>
      </c>
    </row>
    <row r="395">
      <c r="A395" t="inlineStr">
        <is>
          <t>R003</t>
        </is>
      </c>
      <c r="B395" t="inlineStr">
        <is>
          <t>CRÈME FRAÎCHE ICE CREAM</t>
        </is>
      </c>
      <c r="C395" t="inlineStr">
        <is>
          <t>Research recipe/collection/page</t>
        </is>
      </c>
      <c r="D395" t="inlineStr">
        <is>
          <t>S129</t>
        </is>
      </c>
      <c r="E395" t="inlineStr">
        <is>
          <t>PDF pages 81–84</t>
        </is>
      </c>
      <c r="F395" t="inlineStr">
        <is>
          <t>Reference formulation — not released for production</t>
        </is>
      </c>
      <c r="G395" t="inlineStr">
        <is>
          <t>Household cup/spoon/egg measures and cream composition need weighing. Frozen-base treatment, post-process additions and storage require commercial qualification; do not inherit domestic shelf-life or nutritional claims.</t>
        </is>
      </c>
    </row>
    <row r="396">
      <c r="A396" t="inlineStr">
        <is>
          <t>R004</t>
        </is>
      </c>
      <c r="B396" t="inlineStr">
        <is>
          <t>CHEESECAKE ICE CREAM</t>
        </is>
      </c>
      <c r="C396" t="inlineStr">
        <is>
          <t>Research recipe/collection/page</t>
        </is>
      </c>
      <c r="D396" t="inlineStr">
        <is>
          <t>S129</t>
        </is>
      </c>
      <c r="E396" t="inlineStr">
        <is>
          <t>PDF pages 85–87</t>
        </is>
      </c>
      <c r="F396" t="inlineStr">
        <is>
          <t>Reference formulation — not released for production</t>
        </is>
      </c>
      <c r="G396" t="inlineStr">
        <is>
          <t>Household cup/spoon/egg measures and cream composition need weighing. Frozen-base treatment, post-process additions and storage require commercial qualification; do not inherit domestic shelf-life or nutritional claims.</t>
        </is>
      </c>
    </row>
    <row r="397">
      <c r="A397" t="inlineStr">
        <is>
          <t>R005</t>
        </is>
      </c>
      <c r="B397" t="inlineStr">
        <is>
          <t>GREAT YELLOW CAKE</t>
        </is>
      </c>
      <c r="C397" t="inlineStr">
        <is>
          <t>Research recipe/collection/page</t>
        </is>
      </c>
      <c r="D397" t="inlineStr">
        <is>
          <t>S129</t>
        </is>
      </c>
      <c r="E397" t="inlineStr">
        <is>
          <t>PDF pages 88–90</t>
        </is>
      </c>
      <c r="F397" t="inlineStr">
        <is>
          <t>Reference formulation — not released for production</t>
        </is>
      </c>
      <c r="G397" t="inlineStr">
        <is>
          <t>Household cup/spoon/egg measures and cream composition need weighing. Frozen-base treatment, post-process additions and storage require commercial qualification; do not inherit domestic shelf-life or nutritional claims.</t>
        </is>
      </c>
    </row>
    <row r="398">
      <c r="A398" t="inlineStr">
        <is>
          <t>R006</t>
        </is>
      </c>
      <c r="B398" t="inlineStr">
        <is>
          <t>SHORTBREAD</t>
        </is>
      </c>
      <c r="C398" t="inlineStr">
        <is>
          <t>Research recipe/collection/page</t>
        </is>
      </c>
      <c r="D398" t="inlineStr">
        <is>
          <t>S129</t>
        </is>
      </c>
      <c r="E398" t="inlineStr">
        <is>
          <t>PDF pages 91–94</t>
        </is>
      </c>
      <c r="F398" t="inlineStr">
        <is>
          <t>Reference formulation — not released for production</t>
        </is>
      </c>
      <c r="G398" t="inlineStr">
        <is>
          <t>Household cup/spoon/egg measures and cream composition need weighing. Frozen-base treatment, post-process additions and storage require commercial qualification; do not inherit domestic shelf-life or nutritional claims.</t>
        </is>
      </c>
    </row>
    <row r="399">
      <c r="A399" t="inlineStr">
        <is>
          <t>R007</t>
        </is>
      </c>
      <c r="B399" t="inlineStr">
        <is>
          <t>SUGAR CONES BOWLS</t>
        </is>
      </c>
      <c r="C399" t="inlineStr">
        <is>
          <t>Research recipe/collection/page</t>
        </is>
      </c>
      <c r="D399" t="inlineStr">
        <is>
          <t>S129</t>
        </is>
      </c>
      <c r="E399" t="inlineStr">
        <is>
          <t>PDF pages 95–97</t>
        </is>
      </c>
      <c r="F399" t="inlineStr">
        <is>
          <t>Reference formulation — not released for production</t>
        </is>
      </c>
      <c r="G399" t="inlineStr">
        <is>
          <t>Household cup/spoon/egg measures and cream composition need weighing. Frozen-base treatment, post-process additions and storage require commercial qualification; do not inherit domestic shelf-life or nutritional claims.</t>
        </is>
      </c>
    </row>
    <row r="400">
      <c r="A400" t="inlineStr">
        <is>
          <t>R008</t>
        </is>
      </c>
      <c r="B400" t="inlineStr">
        <is>
          <t>VANILLA BUTTERSCOTCH SAUCE</t>
        </is>
      </c>
      <c r="C400" t="inlineStr">
        <is>
          <t>Research recipe/collection/page</t>
        </is>
      </c>
      <c r="D400" t="inlineStr">
        <is>
          <t>S129</t>
        </is>
      </c>
      <c r="E400" t="inlineStr">
        <is>
          <t>PDF pages 98–100</t>
        </is>
      </c>
      <c r="F400" t="inlineStr">
        <is>
          <t>Reference formulation — not released for production</t>
        </is>
      </c>
      <c r="G400" t="inlineStr">
        <is>
          <t>Household cup/spoon/egg measures and cream composition need weighing. Frozen-base treatment, post-process additions and storage require commercial qualification; do not inherit domestic shelf-life or nutritional claims.</t>
        </is>
      </c>
    </row>
    <row r="401">
      <c r="A401" t="inlineStr">
        <is>
          <t>R009</t>
        </is>
      </c>
      <c r="B401" t="inlineStr">
        <is>
          <t>VANILLA BUTTERCREAM FROSTING</t>
        </is>
      </c>
      <c r="C401" t="inlineStr">
        <is>
          <t>Research recipe/collection/page</t>
        </is>
      </c>
      <c r="D401" t="inlineStr">
        <is>
          <t>S129</t>
        </is>
      </c>
      <c r="E401" t="inlineStr">
        <is>
          <t>PDF pages 101–102</t>
        </is>
      </c>
      <c r="F401" t="inlineStr">
        <is>
          <t>Reference formulation — not released for production</t>
        </is>
      </c>
      <c r="G401" t="inlineStr">
        <is>
          <t>Household cup/spoon/egg measures and cream composition need weighing. Frozen-base treatment, post-process additions and storage require commercial qualification; do not inherit domestic shelf-life or nutritional claims.</t>
        </is>
      </c>
    </row>
    <row r="402">
      <c r="A402" t="inlineStr">
        <is>
          <t>R010</t>
        </is>
      </c>
      <c r="B402" t="inlineStr">
        <is>
          <t>MERINGUE</t>
        </is>
      </c>
      <c r="C402" t="inlineStr">
        <is>
          <t>Research recipe/collection/page</t>
        </is>
      </c>
      <c r="D402" t="inlineStr">
        <is>
          <t>S129</t>
        </is>
      </c>
      <c r="E402" t="inlineStr">
        <is>
          <t>PDF pages 103–105</t>
        </is>
      </c>
      <c r="F402" t="inlineStr">
        <is>
          <t>Reference formulation — not released for production</t>
        </is>
      </c>
      <c r="G402" t="inlineStr">
        <is>
          <t>Household cup/spoon/egg measures and cream composition need weighing. Frozen-base treatment, post-process additions and storage require commercial qualification; do not inherit domestic shelf-life or nutritional claims.</t>
        </is>
      </c>
    </row>
    <row r="403">
      <c r="A403" t="inlineStr">
        <is>
          <t>R011</t>
        </is>
      </c>
      <c r="B403" t="inlineStr">
        <is>
          <t>WHIPPED CREAM</t>
        </is>
      </c>
      <c r="C403" t="inlineStr">
        <is>
          <t>Research recipe/collection/page</t>
        </is>
      </c>
      <c r="D403" t="inlineStr">
        <is>
          <t>S129</t>
        </is>
      </c>
      <c r="E403" t="inlineStr">
        <is>
          <t>PDF pages 106–107</t>
        </is>
      </c>
      <c r="F403" t="inlineStr">
        <is>
          <t>Reference formulation — not released for production</t>
        </is>
      </c>
      <c r="G403" t="inlineStr">
        <is>
          <t>Household cup/spoon/egg measures and cream composition need weighing. Frozen-base treatment, post-process additions and storage require commercial qualification; do not inherit domestic shelf-life or nutritional claims.</t>
        </is>
      </c>
    </row>
    <row r="404">
      <c r="A404" t="inlineStr">
        <is>
          <t>R012</t>
        </is>
      </c>
      <c r="B404" t="inlineStr">
        <is>
          <t>MARSHMALLOWS</t>
        </is>
      </c>
      <c r="C404" t="inlineStr">
        <is>
          <t>Research recipe/collection/page</t>
        </is>
      </c>
      <c r="D404" t="inlineStr">
        <is>
          <t>S129</t>
        </is>
      </c>
      <c r="E404" t="inlineStr">
        <is>
          <t>PDF pages 108–114</t>
        </is>
      </c>
      <c r="F404" t="inlineStr">
        <is>
          <t>Reference formulation — not released for production</t>
        </is>
      </c>
      <c r="G404" t="inlineStr">
        <is>
          <t>Household cup/spoon/egg measures and cream composition need weighing. Frozen-base treatment, post-process additions and storage require commercial qualification; do not inherit domestic shelf-life or nutritional claims.</t>
        </is>
      </c>
    </row>
    <row r="405">
      <c r="A405" t="inlineStr">
        <is>
          <t>R013</t>
        </is>
      </c>
      <c r="B405" t="inlineStr">
        <is>
          <t>SALTED CARAMEL ICE CREAM</t>
        </is>
      </c>
      <c r="C405" t="inlineStr">
        <is>
          <t>Research recipe/collection/page</t>
        </is>
      </c>
      <c r="D405" t="inlineStr">
        <is>
          <t>S129</t>
        </is>
      </c>
      <c r="E405" t="inlineStr">
        <is>
          <t>PDF pages 123–126</t>
        </is>
      </c>
      <c r="F405" t="inlineStr">
        <is>
          <t>Reference formulation — not released for production</t>
        </is>
      </c>
      <c r="G405" t="inlineStr">
        <is>
          <t>Household cup/spoon/egg measures and cream composition need weighing. Frozen-base treatment, post-process additions and storage require commercial qualification; do not inherit domestic shelf-life or nutritional claims.</t>
        </is>
      </c>
    </row>
    <row r="406">
      <c r="A406" t="inlineStr">
        <is>
          <t>R014</t>
        </is>
      </c>
      <c r="B406" t="inlineStr">
        <is>
          <t>BROWN SUGAR ICE CREAM A GINGER-CARAMEL SWIRL</t>
        </is>
      </c>
      <c r="C406" t="inlineStr">
        <is>
          <t>Research recipe/collection/page</t>
        </is>
      </c>
      <c r="D406" t="inlineStr">
        <is>
          <t>S129</t>
        </is>
      </c>
      <c r="E406" t="inlineStr">
        <is>
          <t>PDF pages 127–130</t>
        </is>
      </c>
      <c r="F406" t="inlineStr">
        <is>
          <t>Reference formulation — not released for production</t>
        </is>
      </c>
      <c r="G406" t="inlineStr">
        <is>
          <t>Household cup/spoon/egg measures and cream composition need weighing. Frozen-base treatment, post-process additions and storage require commercial qualification; do not inherit domestic shelf-life or nutritional claims.</t>
        </is>
      </c>
    </row>
    <row r="407">
      <c r="A407" t="inlineStr">
        <is>
          <t>R015</t>
        </is>
      </c>
      <c r="B407" t="inlineStr">
        <is>
          <t>BROWN SUGAR GRAHAM CRACKERS</t>
        </is>
      </c>
      <c r="C407" t="inlineStr">
        <is>
          <t>Research recipe/collection/page</t>
        </is>
      </c>
      <c r="D407" t="inlineStr">
        <is>
          <t>S129</t>
        </is>
      </c>
      <c r="E407" t="inlineStr">
        <is>
          <t>PDF pages 131–134</t>
        </is>
      </c>
      <c r="F407" t="inlineStr">
        <is>
          <t>Reference formulation — not released for production</t>
        </is>
      </c>
      <c r="G407" t="inlineStr">
        <is>
          <t>Household cup/spoon/egg measures and cream composition need weighing. Frozen-base treatment, post-process additions and storage require commercial qualification; do not inherit domestic shelf-life or nutritional claims.</t>
        </is>
      </c>
    </row>
    <row r="408">
      <c r="A408" t="inlineStr">
        <is>
          <t>R016</t>
        </is>
      </c>
      <c r="B408" t="inlineStr">
        <is>
          <t>ALMOND TOFFEE</t>
        </is>
      </c>
      <c r="C408" t="inlineStr">
        <is>
          <t>Research recipe/collection/page</t>
        </is>
      </c>
      <c r="D408" t="inlineStr">
        <is>
          <t>S129</t>
        </is>
      </c>
      <c r="E408" t="inlineStr">
        <is>
          <t>PDF pages 135–137</t>
        </is>
      </c>
      <c r="F408" t="inlineStr">
        <is>
          <t>Reference formulation — not released for production</t>
        </is>
      </c>
      <c r="G408" t="inlineStr">
        <is>
          <t>Household cup/spoon/egg measures and cream composition need weighing. Frozen-base treatment, post-process additions and storage require commercial qualification; do not inherit domestic shelf-life or nutritional claims.</t>
        </is>
      </c>
    </row>
    <row r="409">
      <c r="A409" t="inlineStr">
        <is>
          <t>R017</t>
        </is>
      </c>
      <c r="B409" t="inlineStr">
        <is>
          <t>TOFFEE CHIP COOKIES</t>
        </is>
      </c>
      <c r="C409" t="inlineStr">
        <is>
          <t>Research recipe/collection/page</t>
        </is>
      </c>
      <c r="D409" t="inlineStr">
        <is>
          <t>S129</t>
        </is>
      </c>
      <c r="E409" t="inlineStr">
        <is>
          <t>PDF pages 138–140</t>
        </is>
      </c>
      <c r="F409" t="inlineStr">
        <is>
          <t>Reference formulation — not released for production</t>
        </is>
      </c>
      <c r="G409" t="inlineStr">
        <is>
          <t>Household cup/spoon/egg measures and cream composition need weighing. Frozen-base treatment, post-process additions and storage require commercial qualification; do not inherit domestic shelf-life or nutritional claims.</t>
        </is>
      </c>
    </row>
    <row r="410">
      <c r="A410" t="inlineStr">
        <is>
          <t>R018</t>
        </is>
      </c>
      <c r="B410" t="inlineStr">
        <is>
          <t>CARAMEL SAUCE</t>
        </is>
      </c>
      <c r="C410" t="inlineStr">
        <is>
          <t>Research recipe/collection/page</t>
        </is>
      </c>
      <c r="D410" t="inlineStr">
        <is>
          <t>S129</t>
        </is>
      </c>
      <c r="E410" t="inlineStr">
        <is>
          <t>PDF pages 141–147</t>
        </is>
      </c>
      <c r="F410" t="inlineStr">
        <is>
          <t>Reference formulation — not released for production</t>
        </is>
      </c>
      <c r="G410" t="inlineStr">
        <is>
          <t>Household cup/spoon/egg measures and cream composition need weighing. Frozen-base treatment, post-process additions and storage require commercial qualification; do not inherit domestic shelf-life or nutritional claims.</t>
        </is>
      </c>
    </row>
    <row r="411">
      <c r="A411" t="inlineStr">
        <is>
          <t>R019</t>
        </is>
      </c>
      <c r="B411" t="inlineStr">
        <is>
          <t>CHOCOLATE ICE CREAM</t>
        </is>
      </c>
      <c r="C411" t="inlineStr">
        <is>
          <t>Research recipe/collection/page</t>
        </is>
      </c>
      <c r="D411" t="inlineStr">
        <is>
          <t>S129</t>
        </is>
      </c>
      <c r="E411" t="inlineStr">
        <is>
          <t>PDF pages 152–156</t>
        </is>
      </c>
      <c r="F411" t="inlineStr">
        <is>
          <t>Reference formulation — not released for production</t>
        </is>
      </c>
      <c r="G411" t="inlineStr">
        <is>
          <t>Household cup/spoon/egg measures and cream composition need weighing. Frozen-base treatment, post-process additions and storage require commercial qualification; do not inherit domestic shelf-life or nutritional claims.</t>
        </is>
      </c>
    </row>
    <row r="412">
      <c r="A412" t="inlineStr">
        <is>
          <t>R020</t>
        </is>
      </c>
      <c r="B412" t="inlineStr">
        <is>
          <t>CHAI-SPICED MILK CHOCOLATE ICE CREAM</t>
        </is>
      </c>
      <c r="C412" t="inlineStr">
        <is>
          <t>Research recipe/collection/page</t>
        </is>
      </c>
      <c r="D412" t="inlineStr">
        <is>
          <t>S129</t>
        </is>
      </c>
      <c r="E412" t="inlineStr">
        <is>
          <t>PDF pages 157–159</t>
        </is>
      </c>
      <c r="F412" t="inlineStr">
        <is>
          <t>Reference formulation — not released for production</t>
        </is>
      </c>
      <c r="G412" t="inlineStr">
        <is>
          <t>Household cup/spoon/egg measures and cream composition need weighing. Frozen-base treatment, post-process additions and storage require commercial qualification; do not inherit domestic shelf-life or nutritional claims.</t>
        </is>
      </c>
    </row>
    <row r="413">
      <c r="A413" t="inlineStr">
        <is>
          <t>R021</t>
        </is>
      </c>
      <c r="B413" t="inlineStr">
        <is>
          <t>ICE CREAM BITTERSWEET CHOCOLATE CHIPS</t>
        </is>
      </c>
      <c r="C413" t="inlineStr">
        <is>
          <t>Research recipe/collection/page</t>
        </is>
      </c>
      <c r="D413" t="inlineStr">
        <is>
          <t>S129</t>
        </is>
      </c>
      <c r="E413" t="inlineStr">
        <is>
          <t>PDF pages 160–163</t>
        </is>
      </c>
      <c r="F413" t="inlineStr">
        <is>
          <t>Reference formulation — not released for production</t>
        </is>
      </c>
      <c r="G413" t="inlineStr">
        <is>
          <t>Household cup/spoon/egg measures and cream composition need weighing. Frozen-base treatment, post-process additions and storage require commercial qualification; do not inherit domestic shelf-life or nutritional claims.</t>
        </is>
      </c>
    </row>
    <row r="414">
      <c r="A414" t="inlineStr">
        <is>
          <t>R022</t>
        </is>
      </c>
      <c r="B414" t="inlineStr">
        <is>
          <t>COOKIES CREAM ICE CREAM</t>
        </is>
      </c>
      <c r="C414" t="inlineStr">
        <is>
          <t>Research recipe/collection/page</t>
        </is>
      </c>
      <c r="D414" t="inlineStr">
        <is>
          <t>S129</t>
        </is>
      </c>
      <c r="E414" t="inlineStr">
        <is>
          <t>PDF pages 164–166</t>
        </is>
      </c>
      <c r="F414" t="inlineStr">
        <is>
          <t>Reference formulation — not released for production</t>
        </is>
      </c>
      <c r="G414" t="inlineStr">
        <is>
          <t>Household cup/spoon/egg measures and cream composition need weighing. Frozen-base treatment, post-process additions and storage require commercial qualification; do not inherit domestic shelf-life or nutritional claims.</t>
        </is>
      </c>
    </row>
    <row r="415">
      <c r="A415" t="inlineStr">
        <is>
          <t>R023</t>
        </is>
      </c>
      <c r="B415" t="inlineStr">
        <is>
          <t>BROWNIES</t>
        </is>
      </c>
      <c r="C415" t="inlineStr">
        <is>
          <t>Research recipe/collection/page</t>
        </is>
      </c>
      <c r="D415" t="inlineStr">
        <is>
          <t>S129</t>
        </is>
      </c>
      <c r="E415" t="inlineStr">
        <is>
          <t>PDF pages 167–169</t>
        </is>
      </c>
      <c r="F415" t="inlineStr">
        <is>
          <t>Reference formulation — not released for production</t>
        </is>
      </c>
      <c r="G415" t="inlineStr">
        <is>
          <t>Household cup/spoon/egg measures and cream composition need weighing. Frozen-base treatment, post-process additions and storage require commercial qualification; do not inherit domestic shelf-life or nutritional claims.</t>
        </is>
      </c>
    </row>
    <row r="416">
      <c r="A416" t="inlineStr">
        <is>
          <t>R024</t>
        </is>
      </c>
      <c r="B416" t="inlineStr">
        <is>
          <t>CHOCOLATE CHIP COOKIES</t>
        </is>
      </c>
      <c r="C416" t="inlineStr">
        <is>
          <t>Research recipe/collection/page</t>
        </is>
      </c>
      <c r="D416" t="inlineStr">
        <is>
          <t>S129</t>
        </is>
      </c>
      <c r="E416" t="inlineStr">
        <is>
          <t>PDF pages 170–172</t>
        </is>
      </c>
      <c r="F416" t="inlineStr">
        <is>
          <t>Reference formulation — not released for production</t>
        </is>
      </c>
      <c r="G416" t="inlineStr">
        <is>
          <t>Household cup/spoon/egg measures and cream composition need weighing. Frozen-base treatment, post-process additions and storage require commercial qualification; do not inherit domestic shelf-life or nutritional claims.</t>
        </is>
      </c>
    </row>
    <row r="417">
      <c r="A417" t="inlineStr">
        <is>
          <t>R025</t>
        </is>
      </c>
      <c r="B417" t="inlineStr">
        <is>
          <t>CHOCOLATE MIDNIGHT CAKE</t>
        </is>
      </c>
      <c r="C417" t="inlineStr">
        <is>
          <t>Research recipe/collection/page</t>
        </is>
      </c>
      <c r="D417" t="inlineStr">
        <is>
          <t>S129</t>
        </is>
      </c>
      <c r="E417" t="inlineStr">
        <is>
          <t>PDF pages 173–174</t>
        </is>
      </c>
      <c r="F417" t="inlineStr">
        <is>
          <t>Reference formulation — not released for production</t>
        </is>
      </c>
      <c r="G417" t="inlineStr">
        <is>
          <t>Household cup/spoon/egg measures and cream composition need weighing. Frozen-base treatment, post-process additions and storage require commercial qualification; do not inherit domestic shelf-life or nutritional claims.</t>
        </is>
      </c>
    </row>
    <row r="418">
      <c r="A418" t="inlineStr">
        <is>
          <t>R026</t>
        </is>
      </c>
      <c r="B418" t="inlineStr">
        <is>
          <t>DARK CHOCOLATE COOKIES</t>
        </is>
      </c>
      <c r="C418" t="inlineStr">
        <is>
          <t>Research recipe/collection/page</t>
        </is>
      </c>
      <c r="D418" t="inlineStr">
        <is>
          <t>S129</t>
        </is>
      </c>
      <c r="E418" t="inlineStr">
        <is>
          <t>PDF pages 175–177</t>
        </is>
      </c>
      <c r="F418" t="inlineStr">
        <is>
          <t>Reference formulation — not released for production</t>
        </is>
      </c>
      <c r="G418" t="inlineStr">
        <is>
          <t>Household cup/spoon/egg measures and cream composition need weighing. Frozen-base treatment, post-process additions and storage require commercial qualification; do not inherit domestic shelf-life or nutritional claims.</t>
        </is>
      </c>
    </row>
    <row r="419">
      <c r="A419" t="inlineStr">
        <is>
          <t>R027</t>
        </is>
      </c>
      <c r="B419" t="inlineStr">
        <is>
          <t>CHOCOLATE SHORTBREAD</t>
        </is>
      </c>
      <c r="C419" t="inlineStr">
        <is>
          <t>Research recipe/collection/page</t>
        </is>
      </c>
      <c r="D419" t="inlineStr">
        <is>
          <t>S129</t>
        </is>
      </c>
      <c r="E419" t="inlineStr">
        <is>
          <t>PDF pages 178–180</t>
        </is>
      </c>
      <c r="F419" t="inlineStr">
        <is>
          <t>Reference formulation — not released for production</t>
        </is>
      </c>
      <c r="G419" t="inlineStr">
        <is>
          <t>Household cup/spoon/egg measures and cream composition need weighing. Frozen-base treatment, post-process additions and storage require commercial qualification; do not inherit domestic shelf-life or nutritional claims.</t>
        </is>
      </c>
    </row>
    <row r="420">
      <c r="A420" t="inlineStr">
        <is>
          <t>R028</t>
        </is>
      </c>
      <c r="B420" t="inlineStr">
        <is>
          <t>HOT FUDGE SAUCE</t>
        </is>
      </c>
      <c r="C420" t="inlineStr">
        <is>
          <t>Research recipe/collection/page</t>
        </is>
      </c>
      <c r="D420" t="inlineStr">
        <is>
          <t>S129</t>
        </is>
      </c>
      <c r="E420" t="inlineStr">
        <is>
          <t>PDF pages 181–182</t>
        </is>
      </c>
      <c r="F420" t="inlineStr">
        <is>
          <t>Reference formulation — not released for production</t>
        </is>
      </c>
      <c r="G420" t="inlineStr">
        <is>
          <t>Household cup/spoon/egg measures and cream composition need weighing. Frozen-base treatment, post-process additions and storage require commercial qualification; do not inherit domestic shelf-life or nutritional claims.</t>
        </is>
      </c>
    </row>
    <row r="421">
      <c r="A421" t="inlineStr">
        <is>
          <t>R029</t>
        </is>
      </c>
      <c r="B421" t="inlineStr">
        <is>
          <t>CHOCOLATE GLAZE</t>
        </is>
      </c>
      <c r="C421" t="inlineStr">
        <is>
          <t>Research recipe/collection/page</t>
        </is>
      </c>
      <c r="D421" t="inlineStr">
        <is>
          <t>S129</t>
        </is>
      </c>
      <c r="E421" t="inlineStr">
        <is>
          <t>PDF pages 183–184</t>
        </is>
      </c>
      <c r="F421" t="inlineStr">
        <is>
          <t>Reference formulation — not released for production</t>
        </is>
      </c>
      <c r="G421" t="inlineStr">
        <is>
          <t>Household cup/spoon/egg measures and cream composition need weighing. Frozen-base treatment, post-process additions and storage require commercial qualification; do not inherit domestic shelf-life or nutritional claims.</t>
        </is>
      </c>
    </row>
    <row r="422">
      <c r="A422" t="inlineStr">
        <is>
          <t>R030</t>
        </is>
      </c>
      <c r="B422" t="inlineStr">
        <is>
          <t>CHOCOLATE BUTTERCREAM FROSTING</t>
        </is>
      </c>
      <c r="C422" t="inlineStr">
        <is>
          <t>Research recipe/collection/page</t>
        </is>
      </c>
      <c r="D422" t="inlineStr">
        <is>
          <t>S129</t>
        </is>
      </c>
      <c r="E422" t="inlineStr">
        <is>
          <t>PDF pages 185–186</t>
        </is>
      </c>
      <c r="F422" t="inlineStr">
        <is>
          <t>Reference formulation — not released for production</t>
        </is>
      </c>
      <c r="G422" t="inlineStr">
        <is>
          <t>Household cup/spoon/egg measures and cream composition need weighing. Frozen-base treatment, post-process additions and storage require commercial qualification; do not inherit domestic shelf-life or nutritional claims.</t>
        </is>
      </c>
    </row>
    <row r="423">
      <c r="A423" t="inlineStr">
        <is>
          <t>R031</t>
        </is>
      </c>
      <c r="B423" t="inlineStr">
        <is>
          <t>CHOCOLATE WHIPPED CREAM</t>
        </is>
      </c>
      <c r="C423" t="inlineStr">
        <is>
          <t>Research recipe/collection/page</t>
        </is>
      </c>
      <c r="D423" t="inlineStr">
        <is>
          <t>S129</t>
        </is>
      </c>
      <c r="E423" t="inlineStr">
        <is>
          <t>PDF pages 187–193</t>
        </is>
      </c>
      <c r="F423" t="inlineStr">
        <is>
          <t>Reference formulation — not released for production</t>
        </is>
      </c>
      <c r="G423" t="inlineStr">
        <is>
          <t>Household cup/spoon/egg measures and cream composition need weighing. Frozen-base treatment, post-process additions and storage require commercial qualification; do not inherit domestic shelf-life or nutritional claims.</t>
        </is>
      </c>
    </row>
    <row r="424">
      <c r="A424" t="inlineStr">
        <is>
          <t>R032</t>
        </is>
      </c>
      <c r="B424" t="inlineStr">
        <is>
          <t>COFFEE ICE CREAM</t>
        </is>
      </c>
      <c r="C424" t="inlineStr">
        <is>
          <t>Research recipe/collection/page</t>
        </is>
      </c>
      <c r="D424" t="inlineStr">
        <is>
          <t>S129</t>
        </is>
      </c>
      <c r="E424" t="inlineStr">
        <is>
          <t>PDF pages 199–203</t>
        </is>
      </c>
      <c r="F424" t="inlineStr">
        <is>
          <t>Reference formulation — not released for production</t>
        </is>
      </c>
      <c r="G424" t="inlineStr">
        <is>
          <t>Household cup/spoon/egg measures and cream composition need weighing. Frozen-base treatment, post-process additions and storage require commercial qualification; do not inherit domestic shelf-life or nutritional claims.</t>
        </is>
      </c>
    </row>
    <row r="425">
      <c r="A425" t="inlineStr">
        <is>
          <t>R033</t>
        </is>
      </c>
      <c r="B425" t="inlineStr">
        <is>
          <t>ESPRESSO FUDGE SAUCE</t>
        </is>
      </c>
      <c r="C425" t="inlineStr">
        <is>
          <t>Research recipe/collection/page</t>
        </is>
      </c>
      <c r="D425" t="inlineStr">
        <is>
          <t>S129</t>
        </is>
      </c>
      <c r="E425" t="inlineStr">
        <is>
          <t>PDF pages 204–206</t>
        </is>
      </c>
      <c r="F425" t="inlineStr">
        <is>
          <t>Reference formulation — not released for production</t>
        </is>
      </c>
      <c r="G425" t="inlineStr">
        <is>
          <t>Household cup/spoon/egg measures and cream composition need weighing. Frozen-base treatment, post-process additions and storage require commercial qualification; do not inherit domestic shelf-life or nutritional claims.</t>
        </is>
      </c>
    </row>
    <row r="426">
      <c r="A426" t="inlineStr">
        <is>
          <t>R034</t>
        </is>
      </c>
      <c r="B426" t="inlineStr">
        <is>
          <t>ESPRESSO GRANITA</t>
        </is>
      </c>
      <c r="C426" t="inlineStr">
        <is>
          <t>Research recipe/collection/page</t>
        </is>
      </c>
      <c r="D426" t="inlineStr">
        <is>
          <t>S129</t>
        </is>
      </c>
      <c r="E426" t="inlineStr">
        <is>
          <t>PDF pages 207–209</t>
        </is>
      </c>
      <c r="F426" t="inlineStr">
        <is>
          <t>Reference formulation — not released for production</t>
        </is>
      </c>
      <c r="G426" t="inlineStr">
        <is>
          <t>Household cup/spoon/egg measures and cream composition need weighing. Frozen-base treatment, post-process additions and storage require commercial qualification; do not inherit domestic shelf-life or nutritional claims.</t>
        </is>
      </c>
    </row>
    <row r="427">
      <c r="A427" t="inlineStr">
        <is>
          <t>R035</t>
        </is>
      </c>
      <c r="B427" t="inlineStr">
        <is>
          <t>GREEN TEA ICE CREAM</t>
        </is>
      </c>
      <c r="C427" t="inlineStr">
        <is>
          <t>Research recipe/collection/page</t>
        </is>
      </c>
      <c r="D427" t="inlineStr">
        <is>
          <t>S129</t>
        </is>
      </c>
      <c r="E427" t="inlineStr">
        <is>
          <t>PDF pages 210–212</t>
        </is>
      </c>
      <c r="F427" t="inlineStr">
        <is>
          <t>Reference formulation — not released for production</t>
        </is>
      </c>
      <c r="G427" t="inlineStr">
        <is>
          <t>Household cup/spoon/egg measures and cream composition need weighing. Frozen-base treatment, post-process additions and storage require commercial qualification; do not inherit domestic shelf-life or nutritional claims.</t>
        </is>
      </c>
    </row>
    <row r="428">
      <c r="A428" t="inlineStr">
        <is>
          <t>R036</t>
        </is>
      </c>
      <c r="B428" t="inlineStr">
        <is>
          <t>EARL GREY ICE CREAM</t>
        </is>
      </c>
      <c r="C428" t="inlineStr">
        <is>
          <t>Research recipe/collection/page</t>
        </is>
      </c>
      <c r="D428" t="inlineStr">
        <is>
          <t>S129</t>
        </is>
      </c>
      <c r="E428" t="inlineStr">
        <is>
          <t>PDF pages 213–217</t>
        </is>
      </c>
      <c r="F428" t="inlineStr">
        <is>
          <t>Reference formulation — not released for production</t>
        </is>
      </c>
      <c r="G428" t="inlineStr">
        <is>
          <t>Household cup/spoon/egg measures and cream composition need weighing. Frozen-base treatment, post-process additions and storage require commercial qualification; do not inherit domestic shelf-life or nutritional claims.</t>
        </is>
      </c>
    </row>
    <row r="429">
      <c r="A429" t="inlineStr">
        <is>
          <t>R037</t>
        </is>
      </c>
      <c r="B429" t="inlineStr">
        <is>
          <t>EARL GREY SPRITZ COOKIES</t>
        </is>
      </c>
      <c r="C429" t="inlineStr">
        <is>
          <t>Research recipe/collection/page</t>
        </is>
      </c>
      <c r="D429" t="inlineStr">
        <is>
          <t>S129</t>
        </is>
      </c>
      <c r="E429" t="inlineStr">
        <is>
          <t>PDF pages 218–224</t>
        </is>
      </c>
      <c r="F429" t="inlineStr">
        <is>
          <t>Reference formulation — not released for production</t>
        </is>
      </c>
      <c r="G429" t="inlineStr">
        <is>
          <t>Household cup/spoon/egg measures and cream composition need weighing. Frozen-base treatment, post-process additions and storage require commercial qualification; do not inherit domestic shelf-life or nutritional claims.</t>
        </is>
      </c>
    </row>
    <row r="430">
      <c r="A430" t="inlineStr">
        <is>
          <t>R038</t>
        </is>
      </c>
      <c r="B430" t="inlineStr">
        <is>
          <t>CHERRY ALMOND ICE CREAM</t>
        </is>
      </c>
      <c r="C430" t="inlineStr">
        <is>
          <t>Research recipe/collection/page</t>
        </is>
      </c>
      <c r="D430" t="inlineStr">
        <is>
          <t>S129</t>
        </is>
      </c>
      <c r="E430" t="inlineStr">
        <is>
          <t>PDF pages 230–233</t>
        </is>
      </c>
      <c r="F430" t="inlineStr">
        <is>
          <t>Reference formulation — not released for production</t>
        </is>
      </c>
      <c r="G430" t="inlineStr">
        <is>
          <t>Household cup/spoon/egg measures and cream composition need weighing. Frozen-base treatment, post-process additions and storage require commercial qualification; do not inherit domestic shelf-life or nutritional claims.</t>
        </is>
      </c>
    </row>
    <row r="431">
      <c r="A431" t="inlineStr">
        <is>
          <t>R039</t>
        </is>
      </c>
      <c r="B431" t="inlineStr">
        <is>
          <t>PISTACHIO ICE CREAM</t>
        </is>
      </c>
      <c r="C431" t="inlineStr">
        <is>
          <t>Research recipe/collection/page</t>
        </is>
      </c>
      <c r="D431" t="inlineStr">
        <is>
          <t>S129</t>
        </is>
      </c>
      <c r="E431" t="inlineStr">
        <is>
          <t>PDF pages 234–237</t>
        </is>
      </c>
      <c r="F431" t="inlineStr">
        <is>
          <t>Reference formulation — not released for production</t>
        </is>
      </c>
      <c r="G431" t="inlineStr">
        <is>
          <t>Household cup/spoon/egg measures and cream composition need weighing. Frozen-base treatment, post-process additions and storage require commercial qualification; do not inherit domestic shelf-life or nutritional claims.</t>
        </is>
      </c>
    </row>
    <row r="432">
      <c r="A432" t="inlineStr">
        <is>
          <t>R040</t>
        </is>
      </c>
      <c r="B432" t="inlineStr">
        <is>
          <t>ALMOND FUDGE RIPPLE ICE CREAM</t>
        </is>
      </c>
      <c r="C432" t="inlineStr">
        <is>
          <t>Research recipe/collection/page</t>
        </is>
      </c>
      <c r="D432" t="inlineStr">
        <is>
          <t>S129</t>
        </is>
      </c>
      <c r="E432" t="inlineStr">
        <is>
          <t>PDF pages 238–240</t>
        </is>
      </c>
      <c r="F432" t="inlineStr">
        <is>
          <t>Reference formulation — not released for production</t>
        </is>
      </c>
      <c r="G432" t="inlineStr">
        <is>
          <t>Household cup/spoon/egg measures and cream composition need weighing. Frozen-base treatment, post-process additions and storage require commercial qualification; do not inherit domestic shelf-life or nutritional claims.</t>
        </is>
      </c>
    </row>
    <row r="433">
      <c r="A433" t="inlineStr">
        <is>
          <t>R041</t>
        </is>
      </c>
      <c r="B433" t="inlineStr">
        <is>
          <t>FUDGE RIPPLE</t>
        </is>
      </c>
      <c r="C433" t="inlineStr">
        <is>
          <t>Research recipe/collection/page</t>
        </is>
      </c>
      <c r="D433" t="inlineStr">
        <is>
          <t>S129</t>
        </is>
      </c>
      <c r="E433" t="inlineStr">
        <is>
          <t>PDF pages 241–241</t>
        </is>
      </c>
      <c r="F433" t="inlineStr">
        <is>
          <t>Reference formulation — not released for production</t>
        </is>
      </c>
      <c r="G433" t="inlineStr">
        <is>
          <t>Household cup/spoon/egg measures and cream composition need weighing. Frozen-base treatment, post-process additions and storage require commercial qualification; do not inherit domestic shelf-life or nutritional claims.</t>
        </is>
      </c>
    </row>
    <row r="434">
      <c r="A434" t="inlineStr">
        <is>
          <t>R042</t>
        </is>
      </c>
      <c r="B434" t="inlineStr">
        <is>
          <t>PEANUT BUTTER FUDGE SWIRL ICE CREAM</t>
        </is>
      </c>
      <c r="C434" t="inlineStr">
        <is>
          <t>Research recipe/collection/page</t>
        </is>
      </c>
      <c r="D434" t="inlineStr">
        <is>
          <t>S129</t>
        </is>
      </c>
      <c r="E434" t="inlineStr">
        <is>
          <t>PDF pages 242–243</t>
        </is>
      </c>
      <c r="F434" t="inlineStr">
        <is>
          <t>Reference formulation — not released for production</t>
        </is>
      </c>
      <c r="G434" t="inlineStr">
        <is>
          <t>Household cup/spoon/egg measures and cream composition need weighing. Frozen-base treatment, post-process additions and storage require commercial qualification; do not inherit domestic shelf-life or nutritional claims.</t>
        </is>
      </c>
    </row>
    <row r="435">
      <c r="A435" t="inlineStr">
        <is>
          <t>R043</t>
        </is>
      </c>
      <c r="B435" t="inlineStr">
        <is>
          <t>BROWN BUTTER PECAN ICE CREAM</t>
        </is>
      </c>
      <c r="C435" t="inlineStr">
        <is>
          <t>Research recipe/collection/page</t>
        </is>
      </c>
      <c r="D435" t="inlineStr">
        <is>
          <t>S129</t>
        </is>
      </c>
      <c r="E435" t="inlineStr">
        <is>
          <t>PDF pages 244–247</t>
        </is>
      </c>
      <c r="F435" t="inlineStr">
        <is>
          <t>Reference formulation — not released for production</t>
        </is>
      </c>
      <c r="G435" t="inlineStr">
        <is>
          <t>Household cup/spoon/egg measures and cream composition need weighing. Frozen-base treatment, post-process additions and storage require commercial qualification; do not inherit domestic shelf-life or nutritional claims.</t>
        </is>
      </c>
    </row>
    <row r="436">
      <c r="A436" t="inlineStr">
        <is>
          <t>R044</t>
        </is>
      </c>
      <c r="B436" t="inlineStr">
        <is>
          <t>PEANUT BRITTLE MILK CHOCOLATE PIECES</t>
        </is>
      </c>
      <c r="C436" t="inlineStr">
        <is>
          <t>Research recipe/collection/page</t>
        </is>
      </c>
      <c r="D436" t="inlineStr">
        <is>
          <t>S129</t>
        </is>
      </c>
      <c r="E436" t="inlineStr">
        <is>
          <t>PDF pages 248–249</t>
        </is>
      </c>
      <c r="F436" t="inlineStr">
        <is>
          <t>Reference formulation — not released for production</t>
        </is>
      </c>
      <c r="G436" t="inlineStr">
        <is>
          <t>Household cup/spoon/egg measures and cream composition need weighing. Frozen-base treatment, post-process additions and storage require commercial qualification; do not inherit domestic shelf-life or nutritional claims.</t>
        </is>
      </c>
    </row>
    <row r="437">
      <c r="A437" t="inlineStr">
        <is>
          <t>R045</t>
        </is>
      </c>
      <c r="B437" t="inlineStr">
        <is>
          <t>MAPLE WALNUT ICE CREAM</t>
        </is>
      </c>
      <c r="C437" t="inlineStr">
        <is>
          <t>Research recipe/collection/page</t>
        </is>
      </c>
      <c r="D437" t="inlineStr">
        <is>
          <t>S129</t>
        </is>
      </c>
      <c r="E437" t="inlineStr">
        <is>
          <t>PDF pages 250–251</t>
        </is>
      </c>
      <c r="F437" t="inlineStr">
        <is>
          <t>Reference formulation — not released for production</t>
        </is>
      </c>
      <c r="G437" t="inlineStr">
        <is>
          <t>Household cup/spoon/egg measures and cream composition need weighing. Frozen-base treatment, post-process additions and storage require commercial qualification; do not inherit domestic shelf-life or nutritional claims.</t>
        </is>
      </c>
    </row>
    <row r="438">
      <c r="A438" t="inlineStr">
        <is>
          <t>R046</t>
        </is>
      </c>
      <c r="B438" t="inlineStr">
        <is>
          <t>MEXICAN WEDDING COOKIES</t>
        </is>
      </c>
      <c r="C438" t="inlineStr">
        <is>
          <t>Research recipe/collection/page</t>
        </is>
      </c>
      <c r="D438" t="inlineStr">
        <is>
          <t>S129</t>
        </is>
      </c>
      <c r="E438" t="inlineStr">
        <is>
          <t>PDF pages 252–254</t>
        </is>
      </c>
      <c r="F438" t="inlineStr">
        <is>
          <t>Reference formulation — not released for production</t>
        </is>
      </c>
      <c r="G438" t="inlineStr">
        <is>
          <t>Household cup/spoon/egg measures and cream composition need weighing. Frozen-base treatment, post-process additions and storage require commercial qualification; do not inherit domestic shelf-life or nutritional claims.</t>
        </is>
      </c>
    </row>
    <row r="439">
      <c r="A439" t="inlineStr">
        <is>
          <t>R047</t>
        </is>
      </c>
      <c r="B439" t="inlineStr">
        <is>
          <t>PEANUT BRITTLE</t>
        </is>
      </c>
      <c r="C439" t="inlineStr">
        <is>
          <t>Research recipe/collection/page</t>
        </is>
      </c>
      <c r="D439" t="inlineStr">
        <is>
          <t>S129</t>
        </is>
      </c>
      <c r="E439" t="inlineStr">
        <is>
          <t>PDF pages 255–256</t>
        </is>
      </c>
      <c r="F439" t="inlineStr">
        <is>
          <t>Reference formulation — not released for production</t>
        </is>
      </c>
      <c r="G439" t="inlineStr">
        <is>
          <t>Household cup/spoon/egg measures and cream composition need weighing. Frozen-base treatment, post-process additions and storage require commercial qualification; do not inherit domestic shelf-life or nutritional claims.</t>
        </is>
      </c>
    </row>
    <row r="440">
      <c r="A440" t="inlineStr">
        <is>
          <t>R048</t>
        </is>
      </c>
      <c r="B440" t="inlineStr">
        <is>
          <t>SPICED PECANS</t>
        </is>
      </c>
      <c r="C440" t="inlineStr">
        <is>
          <t>Research recipe/collection/page</t>
        </is>
      </c>
      <c r="D440" t="inlineStr">
        <is>
          <t>S129</t>
        </is>
      </c>
      <c r="E440" t="inlineStr">
        <is>
          <t>PDF pages 257–258</t>
        </is>
      </c>
      <c r="F440" t="inlineStr">
        <is>
          <t>Reference formulation — not released for production</t>
        </is>
      </c>
      <c r="G440" t="inlineStr">
        <is>
          <t>Household cup/spoon/egg measures and cream composition need weighing. Frozen-base treatment, post-process additions and storage require commercial qualification; do not inherit domestic shelf-life or nutritional claims.</t>
        </is>
      </c>
    </row>
    <row r="441">
      <c r="A441" t="inlineStr">
        <is>
          <t>R049</t>
        </is>
      </c>
      <c r="B441" t="inlineStr">
        <is>
          <t>RODNEY’S GRANOLA</t>
        </is>
      </c>
      <c r="C441" t="inlineStr">
        <is>
          <t>Research recipe/collection/page</t>
        </is>
      </c>
      <c r="D441" t="inlineStr">
        <is>
          <t>S129</t>
        </is>
      </c>
      <c r="E441" t="inlineStr">
        <is>
          <t>PDF pages 259–265</t>
        </is>
      </c>
      <c r="F441" t="inlineStr">
        <is>
          <t>Reference formulation — not released for production</t>
        </is>
      </c>
      <c r="G441" t="inlineStr">
        <is>
          <t>Household cup/spoon/egg measures and cream composition need weighing. Frozen-base treatment, post-process additions and storage require commercial qualification; do not inherit domestic shelf-life or nutritional claims.</t>
        </is>
      </c>
    </row>
    <row r="442">
      <c r="A442" t="inlineStr">
        <is>
          <t>R050</t>
        </is>
      </c>
      <c r="B442" t="inlineStr">
        <is>
          <t>BALSAMIC STRAWBERRY ICE CREAM</t>
        </is>
      </c>
      <c r="C442" t="inlineStr">
        <is>
          <t>Research recipe/collection/page</t>
        </is>
      </c>
      <c r="D442" t="inlineStr">
        <is>
          <t>S129</t>
        </is>
      </c>
      <c r="E442" t="inlineStr">
        <is>
          <t>PDF pages 268–272</t>
        </is>
      </c>
      <c r="F442" t="inlineStr">
        <is>
          <t>Reference formulation — not released for production</t>
        </is>
      </c>
      <c r="G442" t="inlineStr">
        <is>
          <t>Household cup/spoon/egg measures and cream composition need weighing. Frozen-base treatment, post-process additions and storage require commercial qualification; do not inherit domestic shelf-life or nutritional claims.</t>
        </is>
      </c>
    </row>
    <row r="443">
      <c r="A443" t="inlineStr">
        <is>
          <t>R051</t>
        </is>
      </c>
      <c r="B443" t="inlineStr">
        <is>
          <t>WHITE CHOCOLATE RASPBERRY SWIRL ICE CREAM</t>
        </is>
      </c>
      <c r="C443" t="inlineStr">
        <is>
          <t>Research recipe/collection/page</t>
        </is>
      </c>
      <c r="D443" t="inlineStr">
        <is>
          <t>S129</t>
        </is>
      </c>
      <c r="E443" t="inlineStr">
        <is>
          <t>PDF pages 273–275</t>
        </is>
      </c>
      <c r="F443" t="inlineStr">
        <is>
          <t>Reference formulation — not released for production</t>
        </is>
      </c>
      <c r="G443" t="inlineStr">
        <is>
          <t>Household cup/spoon/egg measures and cream composition need weighing. Frozen-base treatment, post-process additions and storage require commercial qualification; do not inherit domestic shelf-life or nutritional claims.</t>
        </is>
      </c>
    </row>
    <row r="444">
      <c r="A444" t="inlineStr">
        <is>
          <t>R052</t>
        </is>
      </c>
      <c r="B444" t="inlineStr">
        <is>
          <t>RASPBERRY SWIRL SAUCE</t>
        </is>
      </c>
      <c r="C444" t="inlineStr">
        <is>
          <t>Research recipe/collection/page</t>
        </is>
      </c>
      <c r="D444" t="inlineStr">
        <is>
          <t>S129</t>
        </is>
      </c>
      <c r="E444" t="inlineStr">
        <is>
          <t>PDF pages 276–276</t>
        </is>
      </c>
      <c r="F444" t="inlineStr">
        <is>
          <t>Reference formulation — not released for production</t>
        </is>
      </c>
      <c r="G444" t="inlineStr">
        <is>
          <t>Household cup/spoon/egg measures and cream composition need weighing. Frozen-base treatment, post-process additions and storage require commercial qualification; do not inherit domestic shelf-life or nutritional claims.</t>
        </is>
      </c>
    </row>
    <row r="445">
      <c r="A445" t="inlineStr">
        <is>
          <t>R053</t>
        </is>
      </c>
      <c r="B445" t="inlineStr">
        <is>
          <t>BLACKBERRY ICE CREAM</t>
        </is>
      </c>
      <c r="C445" t="inlineStr">
        <is>
          <t>Research recipe/collection/page</t>
        </is>
      </c>
      <c r="D445" t="inlineStr">
        <is>
          <t>S129</t>
        </is>
      </c>
      <c r="E445" t="inlineStr">
        <is>
          <t>PDF pages 277–280</t>
        </is>
      </c>
      <c r="F445" t="inlineStr">
        <is>
          <t>Reference formulation — not released for production</t>
        </is>
      </c>
      <c r="G445" t="inlineStr">
        <is>
          <t>Household cup/spoon/egg measures and cream composition need weighing. Frozen-base treatment, post-process additions and storage require commercial qualification; do not inherit domestic shelf-life or nutritional claims.</t>
        </is>
      </c>
    </row>
    <row r="446">
      <c r="A446" t="inlineStr">
        <is>
          <t>R054</t>
        </is>
      </c>
      <c r="B446" t="inlineStr">
        <is>
          <t>STRAWBERRY ICE POPS</t>
        </is>
      </c>
      <c r="C446" t="inlineStr">
        <is>
          <t>Research recipe/collection/page</t>
        </is>
      </c>
      <c r="D446" t="inlineStr">
        <is>
          <t>S129</t>
        </is>
      </c>
      <c r="E446" t="inlineStr">
        <is>
          <t>PDF pages 281–282</t>
        </is>
      </c>
      <c r="F446" t="inlineStr">
        <is>
          <t>Reference formulation — not released for production</t>
        </is>
      </c>
      <c r="G446" t="inlineStr">
        <is>
          <t>Household cup/spoon/egg measures and cream composition need weighing. Frozen-base treatment, post-process additions and storage require commercial qualification; do not inherit domestic shelf-life or nutritional claims.</t>
        </is>
      </c>
    </row>
    <row r="447">
      <c r="A447" t="inlineStr">
        <is>
          <t>R055</t>
        </is>
      </c>
      <c r="B447" t="inlineStr">
        <is>
          <t>LIME-BLACKBERRY ICE POPS</t>
        </is>
      </c>
      <c r="C447" t="inlineStr">
        <is>
          <t>Research recipe/collection/page</t>
        </is>
      </c>
      <c r="D447" t="inlineStr">
        <is>
          <t>S129</t>
        </is>
      </c>
      <c r="E447" t="inlineStr">
        <is>
          <t>PDF pages 283–285</t>
        </is>
      </c>
      <c r="F447" t="inlineStr">
        <is>
          <t>Reference formulation — not released for production</t>
        </is>
      </c>
      <c r="G447" t="inlineStr">
        <is>
          <t>Household cup/spoon/egg measures and cream composition need weighing. Frozen-base treatment, post-process additions and storage require commercial qualification; do not inherit domestic shelf-life or nutritional claims.</t>
        </is>
      </c>
    </row>
    <row r="448">
      <c r="A448" t="inlineStr">
        <is>
          <t>R056</t>
        </is>
      </c>
      <c r="B448" t="inlineStr">
        <is>
          <t>RASPBERRY ICE POPS</t>
        </is>
      </c>
      <c r="C448" t="inlineStr">
        <is>
          <t>Research recipe/collection/page</t>
        </is>
      </c>
      <c r="D448" t="inlineStr">
        <is>
          <t>S129</t>
        </is>
      </c>
      <c r="E448" t="inlineStr">
        <is>
          <t>PDF pages 286–287</t>
        </is>
      </c>
      <c r="F448" t="inlineStr">
        <is>
          <t>Reference formulation — not released for production</t>
        </is>
      </c>
      <c r="G448" t="inlineStr">
        <is>
          <t>Household cup/spoon/egg measures and cream composition need weighing. Frozen-base treatment, post-process additions and storage require commercial qualification; do not inherit domestic shelf-life or nutritional claims.</t>
        </is>
      </c>
    </row>
    <row r="449">
      <c r="A449" t="inlineStr">
        <is>
          <t>R057</t>
        </is>
      </c>
      <c r="B449" t="inlineStr">
        <is>
          <t>BERRY COMPOTE</t>
        </is>
      </c>
      <c r="C449" t="inlineStr">
        <is>
          <t>Research recipe/collection/page</t>
        </is>
      </c>
      <c r="D449" t="inlineStr">
        <is>
          <t>S129</t>
        </is>
      </c>
      <c r="E449" t="inlineStr">
        <is>
          <t>PDF pages 288–289</t>
        </is>
      </c>
      <c r="F449" t="inlineStr">
        <is>
          <t>Reference formulation — not released for production</t>
        </is>
      </c>
      <c r="G449" t="inlineStr">
        <is>
          <t>Household cup/spoon/egg measures and cream composition need weighing. Frozen-base treatment, post-process additions and storage require commercial qualification; do not inherit domestic shelf-life or nutritional claims.</t>
        </is>
      </c>
    </row>
    <row r="450">
      <c r="A450" t="inlineStr">
        <is>
          <t>R058</t>
        </is>
      </c>
      <c r="B450" t="inlineStr">
        <is>
          <t>SLICED STRAWBERRY TOPPING</t>
        </is>
      </c>
      <c r="C450" t="inlineStr">
        <is>
          <t>Research recipe/collection/page</t>
        </is>
      </c>
      <c r="D450" t="inlineStr">
        <is>
          <t>S129</t>
        </is>
      </c>
      <c r="E450" t="inlineStr">
        <is>
          <t>PDF pages 290–292</t>
        </is>
      </c>
      <c r="F450" t="inlineStr">
        <is>
          <t>Reference formulation — not released for production</t>
        </is>
      </c>
      <c r="G450" t="inlineStr">
        <is>
          <t>Household cup/spoon/egg measures and cream composition need weighing. Frozen-base treatment, post-process additions and storage require commercial qualification; do not inherit domestic shelf-life or nutritional claims.</t>
        </is>
      </c>
    </row>
    <row r="451">
      <c r="A451" t="inlineStr">
        <is>
          <t>R059</t>
        </is>
      </c>
      <c r="B451" t="inlineStr">
        <is>
          <t>BLUEBERRY-LEMON SAUCE</t>
        </is>
      </c>
      <c r="C451" t="inlineStr">
        <is>
          <t>Research recipe/collection/page</t>
        </is>
      </c>
      <c r="D451" t="inlineStr">
        <is>
          <t>S129</t>
        </is>
      </c>
      <c r="E451" t="inlineStr">
        <is>
          <t>PDF pages 293–299</t>
        </is>
      </c>
      <c r="F451" t="inlineStr">
        <is>
          <t>Reference formulation — not released for production</t>
        </is>
      </c>
      <c r="G451" t="inlineStr">
        <is>
          <t>Household cup/spoon/egg measures and cream composition need weighing. Frozen-base treatment, post-process additions and storage require commercial qualification; do not inherit domestic shelf-life or nutritional claims.</t>
        </is>
      </c>
    </row>
    <row r="452">
      <c r="A452" t="inlineStr">
        <is>
          <t>R060</t>
        </is>
      </c>
      <c r="B452" t="inlineStr">
        <is>
          <t>MEYER LEMON ICE CREAM</t>
        </is>
      </c>
      <c r="C452" t="inlineStr">
        <is>
          <t>Research recipe/collection/page</t>
        </is>
      </c>
      <c r="D452" t="inlineStr">
        <is>
          <t>S129</t>
        </is>
      </c>
      <c r="E452" t="inlineStr">
        <is>
          <t>PDF pages 300–302</t>
        </is>
      </c>
      <c r="F452" t="inlineStr">
        <is>
          <t>Reference formulation — not released for production</t>
        </is>
      </c>
      <c r="G452" t="inlineStr">
        <is>
          <t>Household cup/spoon/egg measures and cream composition need weighing. Frozen-base treatment, post-process additions and storage require commercial qualification; do not inherit domestic shelf-life or nutritional claims.</t>
        </is>
      </c>
    </row>
    <row r="453">
      <c r="A453" t="inlineStr">
        <is>
          <t>R061</t>
        </is>
      </c>
      <c r="B453" t="inlineStr">
        <is>
          <t>ORANGE-CARDAMOM ICE CREAM</t>
        </is>
      </c>
      <c r="C453" t="inlineStr">
        <is>
          <t>Research recipe/collection/page</t>
        </is>
      </c>
      <c r="D453" t="inlineStr">
        <is>
          <t>S129</t>
        </is>
      </c>
      <c r="E453" t="inlineStr">
        <is>
          <t>PDF pages 303–305</t>
        </is>
      </c>
      <c r="F453" t="inlineStr">
        <is>
          <t>Reference formulation — not released for production</t>
        </is>
      </c>
      <c r="G453" t="inlineStr">
        <is>
          <t>Household cup/spoon/egg measures and cream composition need weighing. Frozen-base treatment, post-process additions and storage require commercial qualification; do not inherit domestic shelf-life or nutritional claims.</t>
        </is>
      </c>
    </row>
    <row r="454">
      <c r="A454" t="inlineStr">
        <is>
          <t>R062</t>
        </is>
      </c>
      <c r="B454" t="inlineStr">
        <is>
          <t>MANDARIN ORANGE OLIVE OIL ICE CREAM</t>
        </is>
      </c>
      <c r="C454" t="inlineStr">
        <is>
          <t>Research recipe/collection/page</t>
        </is>
      </c>
      <c r="D454" t="inlineStr">
        <is>
          <t>S129</t>
        </is>
      </c>
      <c r="E454" t="inlineStr">
        <is>
          <t>PDF pages 306–307</t>
        </is>
      </c>
      <c r="F454" t="inlineStr">
        <is>
          <t>Reference formulation — not released for production</t>
        </is>
      </c>
      <c r="G454" t="inlineStr">
        <is>
          <t>Household cup/spoon/egg measures and cream composition need weighing. Frozen-base treatment, post-process additions and storage require commercial qualification; do not inherit domestic shelf-life or nutritional claims.</t>
        </is>
      </c>
    </row>
    <row r="455">
      <c r="A455" t="inlineStr">
        <is>
          <t>R063</t>
        </is>
      </c>
      <c r="B455" t="inlineStr">
        <is>
          <t>PINK GRAPEFRUIT SORBET</t>
        </is>
      </c>
      <c r="C455" t="inlineStr">
        <is>
          <t>Research recipe/collection/page</t>
        </is>
      </c>
      <c r="D455" t="inlineStr">
        <is>
          <t>S129</t>
        </is>
      </c>
      <c r="E455" t="inlineStr">
        <is>
          <t>PDF pages 308–309</t>
        </is>
      </c>
      <c r="F455" t="inlineStr">
        <is>
          <t>Reference formulation — not released for production</t>
        </is>
      </c>
      <c r="G455" t="inlineStr">
        <is>
          <t>Household cup/spoon/egg measures and cream composition need weighing. Frozen-base treatment, post-process additions and storage require commercial qualification; do not inherit domestic shelf-life or nutritional claims.</t>
        </is>
      </c>
    </row>
    <row r="456">
      <c r="A456" t="inlineStr">
        <is>
          <t>R064</t>
        </is>
      </c>
      <c r="B456" t="inlineStr">
        <is>
          <t>BLOOD ORANGE SORBET</t>
        </is>
      </c>
      <c r="C456" t="inlineStr">
        <is>
          <t>Research recipe/collection/page</t>
        </is>
      </c>
      <c r="D456" t="inlineStr">
        <is>
          <t>S129</t>
        </is>
      </c>
      <c r="E456" t="inlineStr">
        <is>
          <t>PDF pages 310–311</t>
        </is>
      </c>
      <c r="F456" t="inlineStr">
        <is>
          <t>Reference formulation — not released for production</t>
        </is>
      </c>
      <c r="G456" t="inlineStr">
        <is>
          <t>Household cup/spoon/egg measures and cream composition need weighing. Frozen-base treatment, post-process additions and storage require commercial qualification; do not inherit domestic shelf-life or nutritional claims.</t>
        </is>
      </c>
    </row>
    <row r="457">
      <c r="A457" t="inlineStr">
        <is>
          <t>R065</t>
        </is>
      </c>
      <c r="B457" t="inlineStr">
        <is>
          <t>TANGERINE ICE POPS</t>
        </is>
      </c>
      <c r="C457" t="inlineStr">
        <is>
          <t>Research recipe/collection/page</t>
        </is>
      </c>
      <c r="D457" t="inlineStr">
        <is>
          <t>S129</t>
        </is>
      </c>
      <c r="E457" t="inlineStr">
        <is>
          <t>PDF pages 312–314</t>
        </is>
      </c>
      <c r="F457" t="inlineStr">
        <is>
          <t>Reference formulation — not released for production</t>
        </is>
      </c>
      <c r="G457" t="inlineStr">
        <is>
          <t>Household cup/spoon/egg measures and cream composition need weighing. Frozen-base treatment, post-process additions and storage require commercial qualification; do not inherit domestic shelf-life or nutritional claims.</t>
        </is>
      </c>
    </row>
    <row r="458">
      <c r="A458" t="inlineStr">
        <is>
          <t>R066</t>
        </is>
      </c>
      <c r="B458" t="inlineStr">
        <is>
          <t>BLOOD ORANGE ICE POPS</t>
        </is>
      </c>
      <c r="C458" t="inlineStr">
        <is>
          <t>Research recipe/collection/page</t>
        </is>
      </c>
      <c r="D458" t="inlineStr">
        <is>
          <t>S129</t>
        </is>
      </c>
      <c r="E458" t="inlineStr">
        <is>
          <t>PDF pages 315–317</t>
        </is>
      </c>
      <c r="F458" t="inlineStr">
        <is>
          <t>Reference formulation — not released for production</t>
        </is>
      </c>
      <c r="G458" t="inlineStr">
        <is>
          <t>Household cup/spoon/egg measures and cream composition need weighing. Frozen-base treatment, post-process additions and storage require commercial qualification; do not inherit domestic shelf-life or nutritional claims.</t>
        </is>
      </c>
    </row>
    <row r="459">
      <c r="A459" t="inlineStr">
        <is>
          <t>R067</t>
        </is>
      </c>
      <c r="B459" t="inlineStr">
        <is>
          <t>TANGERINE GRANITA</t>
        </is>
      </c>
      <c r="C459" t="inlineStr">
        <is>
          <t>Research recipe/collection/page</t>
        </is>
      </c>
      <c r="D459" t="inlineStr">
        <is>
          <t>S129</t>
        </is>
      </c>
      <c r="E459" t="inlineStr">
        <is>
          <t>PDF pages 318–319</t>
        </is>
      </c>
      <c r="F459" t="inlineStr">
        <is>
          <t>Reference formulation — not released for production</t>
        </is>
      </c>
      <c r="G459" t="inlineStr">
        <is>
          <t>Household cup/spoon/egg measures and cream composition need weighing. Frozen-base treatment, post-process additions and storage require commercial qualification; do not inherit domestic shelf-life or nutritional claims.</t>
        </is>
      </c>
    </row>
    <row r="460">
      <c r="A460" t="inlineStr">
        <is>
          <t>R068</t>
        </is>
      </c>
      <c r="B460" t="inlineStr">
        <is>
          <t>CANDIED CITRUS ZEST</t>
        </is>
      </c>
      <c r="C460" t="inlineStr">
        <is>
          <t>Research recipe/collection/page</t>
        </is>
      </c>
      <c r="D460" t="inlineStr">
        <is>
          <t>S129</t>
        </is>
      </c>
      <c r="E460" t="inlineStr">
        <is>
          <t>PDF pages 320–321</t>
        </is>
      </c>
      <c r="F460" t="inlineStr">
        <is>
          <t>Reference formulation — not released for production</t>
        </is>
      </c>
      <c r="G460" t="inlineStr">
        <is>
          <t>Household cup/spoon/egg measures and cream composition need weighing. Frozen-base treatment, post-process additions and storage require commercial qualification; do not inherit domestic shelf-life or nutritional claims.</t>
        </is>
      </c>
    </row>
    <row r="461">
      <c r="A461" t="inlineStr">
        <is>
          <t>R069</t>
        </is>
      </c>
      <c r="B461" t="inlineStr">
        <is>
          <t>LEMON GINGERSNAPS</t>
        </is>
      </c>
      <c r="C461" t="inlineStr">
        <is>
          <t>Research recipe/collection/page</t>
        </is>
      </c>
      <c r="D461" t="inlineStr">
        <is>
          <t>S129</t>
        </is>
      </c>
      <c r="E461" t="inlineStr">
        <is>
          <t>PDF pages 322–324</t>
        </is>
      </c>
      <c r="F461" t="inlineStr">
        <is>
          <t>Reference formulation — not released for production</t>
        </is>
      </c>
      <c r="G461" t="inlineStr">
        <is>
          <t>Household cup/spoon/egg measures and cream composition need weighing. Frozen-base treatment, post-process additions and storage require commercial qualification; do not inherit domestic shelf-life or nutritional claims.</t>
        </is>
      </c>
    </row>
    <row r="462">
      <c r="A462" t="inlineStr">
        <is>
          <t>R070</t>
        </is>
      </c>
      <c r="B462" t="inlineStr">
        <is>
          <t>LEMON CURD SAUCE</t>
        </is>
      </c>
      <c r="C462" t="inlineStr">
        <is>
          <t>Research recipe/collection/page</t>
        </is>
      </c>
      <c r="D462" t="inlineStr">
        <is>
          <t>S129</t>
        </is>
      </c>
      <c r="E462" t="inlineStr">
        <is>
          <t>PDF pages 325–331</t>
        </is>
      </c>
      <c r="F462" t="inlineStr">
        <is>
          <t>Reference formulation — not released for production</t>
        </is>
      </c>
      <c r="G462" t="inlineStr">
        <is>
          <t>Household cup/spoon/egg measures and cream composition need weighing. Frozen-base treatment, post-process additions and storage require commercial qualification; do not inherit domestic shelf-life or nutritional claims.</t>
        </is>
      </c>
    </row>
    <row r="463">
      <c r="A463" t="inlineStr">
        <is>
          <t>R071</t>
        </is>
      </c>
      <c r="B463" t="inlineStr">
        <is>
          <t>BASIL ICE CREAM</t>
        </is>
      </c>
      <c r="C463" t="inlineStr">
        <is>
          <t>Research recipe/collection/page</t>
        </is>
      </c>
      <c r="D463" t="inlineStr">
        <is>
          <t>S129</t>
        </is>
      </c>
      <c r="E463" t="inlineStr">
        <is>
          <t>PDF pages 334–337</t>
        </is>
      </c>
      <c r="F463" t="inlineStr">
        <is>
          <t>Reference formulation — not released for production</t>
        </is>
      </c>
      <c r="G463" t="inlineStr">
        <is>
          <t>Household cup/spoon/egg measures and cream composition need weighing. Frozen-base treatment, post-process additions and storage require commercial qualification; do not inherit domestic shelf-life or nutritional claims.</t>
        </is>
      </c>
    </row>
    <row r="464">
      <c r="A464" t="inlineStr">
        <is>
          <t>R072</t>
        </is>
      </c>
      <c r="B464" t="inlineStr">
        <is>
          <t>GINGER ICE CREAM</t>
        </is>
      </c>
      <c r="C464" t="inlineStr">
        <is>
          <t>Research recipe/collection/page</t>
        </is>
      </c>
      <c r="D464" t="inlineStr">
        <is>
          <t>S129</t>
        </is>
      </c>
      <c r="E464" t="inlineStr">
        <is>
          <t>PDF pages 338–341</t>
        </is>
      </c>
      <c r="F464" t="inlineStr">
        <is>
          <t>Reference formulation — not released for production</t>
        </is>
      </c>
      <c r="G464" t="inlineStr">
        <is>
          <t>Household cup/spoon/egg measures and cream composition need weighing. Frozen-base treatment, post-process additions and storage require commercial qualification; do not inherit domestic shelf-life or nutritional claims.</t>
        </is>
      </c>
    </row>
    <row r="465">
      <c r="A465" t="inlineStr">
        <is>
          <t>R073</t>
        </is>
      </c>
      <c r="B465" t="inlineStr">
        <is>
          <t>HONEY LAVENDER ICE CREAM</t>
        </is>
      </c>
      <c r="C465" t="inlineStr">
        <is>
          <t>Research recipe/collection/page</t>
        </is>
      </c>
      <c r="D465" t="inlineStr">
        <is>
          <t>S129</t>
        </is>
      </c>
      <c r="E465" t="inlineStr">
        <is>
          <t>PDF pages 342–344</t>
        </is>
      </c>
      <c r="F465" t="inlineStr">
        <is>
          <t>Reference formulation — not released for production</t>
        </is>
      </c>
      <c r="G465" t="inlineStr">
        <is>
          <t>Household cup/spoon/egg measures and cream composition need weighing. Frozen-base treatment, post-process additions and storage require commercial qualification; do not inherit domestic shelf-life or nutritional claims.</t>
        </is>
      </c>
    </row>
    <row r="466">
      <c r="A466" t="inlineStr">
        <is>
          <t>R074</t>
        </is>
      </c>
      <c r="B466" t="inlineStr">
        <is>
          <t>MINT CHIP ICE CREAM</t>
        </is>
      </c>
      <c r="C466" t="inlineStr">
        <is>
          <t>Research recipe/collection/page</t>
        </is>
      </c>
      <c r="D466" t="inlineStr">
        <is>
          <t>S129</t>
        </is>
      </c>
      <c r="E466" t="inlineStr">
        <is>
          <t>PDF pages 345–348</t>
        </is>
      </c>
      <c r="F466" t="inlineStr">
        <is>
          <t>Reference formulation — not released for production</t>
        </is>
      </c>
      <c r="G466" t="inlineStr">
        <is>
          <t>Household cup/spoon/egg measures and cream composition need weighing. Frozen-base treatment, post-process additions and storage require commercial qualification; do not inherit domestic shelf-life or nutritional claims.</t>
        </is>
      </c>
    </row>
    <row r="467">
      <c r="A467" t="inlineStr">
        <is>
          <t>R075</t>
        </is>
      </c>
      <c r="B467" t="inlineStr">
        <is>
          <t>PEACH LEAF ICE CREAM</t>
        </is>
      </c>
      <c r="C467" t="inlineStr">
        <is>
          <t>Research recipe/collection/page</t>
        </is>
      </c>
      <c r="D467" t="inlineStr">
        <is>
          <t>S129</t>
        </is>
      </c>
      <c r="E467" t="inlineStr">
        <is>
          <t>PDF pages 349–350</t>
        </is>
      </c>
      <c r="F467" t="inlineStr">
        <is>
          <t>Reference formulation — not released for production</t>
        </is>
      </c>
      <c r="G467" t="inlineStr">
        <is>
          <t>Household cup/spoon/egg measures and cream composition need weighing. Frozen-base treatment, post-process additions and storage require commercial qualification; do not inherit domestic shelf-life or nutritional claims.</t>
        </is>
      </c>
    </row>
    <row r="468">
      <c r="A468" t="inlineStr">
        <is>
          <t>R076</t>
        </is>
      </c>
      <c r="B468" t="inlineStr">
        <is>
          <t>PUMPKIN PIE ICE CREAM</t>
        </is>
      </c>
      <c r="C468" t="inlineStr">
        <is>
          <t>Research recipe/collection/page</t>
        </is>
      </c>
      <c r="D468" t="inlineStr">
        <is>
          <t>S129</t>
        </is>
      </c>
      <c r="E468" t="inlineStr">
        <is>
          <t>PDF pages 351–353</t>
        </is>
      </c>
      <c r="F468" t="inlineStr">
        <is>
          <t>Reference formulation — not released for production</t>
        </is>
      </c>
      <c r="G468" t="inlineStr">
        <is>
          <t>Household cup/spoon/egg measures and cream composition need weighing. Frozen-base treatment, post-process additions and storage require commercial qualification; do not inherit domestic shelf-life or nutritional claims.</t>
        </is>
      </c>
    </row>
    <row r="469">
      <c r="A469" t="inlineStr">
        <is>
          <t>R077</t>
        </is>
      </c>
      <c r="B469" t="inlineStr">
        <is>
          <t>EGG NOG ICE CREAM</t>
        </is>
      </c>
      <c r="C469" t="inlineStr">
        <is>
          <t>Research recipe/collection/page</t>
        </is>
      </c>
      <c r="D469" t="inlineStr">
        <is>
          <t>S129</t>
        </is>
      </c>
      <c r="E469" t="inlineStr">
        <is>
          <t>PDF pages 354–357</t>
        </is>
      </c>
      <c r="F469" t="inlineStr">
        <is>
          <t>Reference formulation — not released for production</t>
        </is>
      </c>
      <c r="G469" t="inlineStr">
        <is>
          <t>Household cup/spoon/egg measures and cream composition need weighing. Frozen-base treatment, post-process additions and storage require commercial qualification; do not inherit domestic shelf-life or nutritional claims.</t>
        </is>
      </c>
    </row>
    <row r="470">
      <c r="A470" t="inlineStr">
        <is>
          <t>R078</t>
        </is>
      </c>
      <c r="B470" t="inlineStr">
        <is>
          <t>RICANELAS ICE CREAM</t>
        </is>
      </c>
      <c r="C470" t="inlineStr">
        <is>
          <t>Research recipe/collection/page</t>
        </is>
      </c>
      <c r="D470" t="inlineStr">
        <is>
          <t>S129</t>
        </is>
      </c>
      <c r="E470" t="inlineStr">
        <is>
          <t>PDF pages 358–360</t>
        </is>
      </c>
      <c r="F470" t="inlineStr">
        <is>
          <t>Reference formulation — not released for production</t>
        </is>
      </c>
      <c r="G470" t="inlineStr">
        <is>
          <t>Household cup/spoon/egg measures and cream composition need weighing. Frozen-base treatment, post-process additions and storage require commercial qualification; do not inherit domestic shelf-life or nutritional claims.</t>
        </is>
      </c>
    </row>
    <row r="471">
      <c r="A471" t="inlineStr">
        <is>
          <t>R079</t>
        </is>
      </c>
      <c r="B471" t="inlineStr">
        <is>
          <t>APPLE PIE ICE CREAM</t>
        </is>
      </c>
      <c r="C471" t="inlineStr">
        <is>
          <t>Research recipe/collection/page</t>
        </is>
      </c>
      <c r="D471" t="inlineStr">
        <is>
          <t>S129</t>
        </is>
      </c>
      <c r="E471" t="inlineStr">
        <is>
          <t>PDF pages 361–364</t>
        </is>
      </c>
      <c r="F471" t="inlineStr">
        <is>
          <t>Reference formulation — not released for production</t>
        </is>
      </c>
      <c r="G471" t="inlineStr">
        <is>
          <t>Household cup/spoon/egg measures and cream composition need weighing. Frozen-base treatment, post-process additions and storage require commercial qualification; do not inherit domestic shelf-life or nutritional claims.</t>
        </is>
      </c>
    </row>
    <row r="472">
      <c r="A472" t="inlineStr">
        <is>
          <t>R080</t>
        </is>
      </c>
      <c r="B472" t="inlineStr">
        <is>
          <t>PICANTE GALIA MELON ICE POPS</t>
        </is>
      </c>
      <c r="C472" t="inlineStr">
        <is>
          <t>Research recipe/collection/page</t>
        </is>
      </c>
      <c r="D472" t="inlineStr">
        <is>
          <t>S129</t>
        </is>
      </c>
      <c r="E472" t="inlineStr">
        <is>
          <t>PDF pages 365–366</t>
        </is>
      </c>
      <c r="F472" t="inlineStr">
        <is>
          <t>Reference formulation — not released for production</t>
        </is>
      </c>
      <c r="G472" t="inlineStr">
        <is>
          <t>Household cup/spoon/egg measures and cream composition need weighing. Frozen-base treatment, post-process additions and storage require commercial qualification; do not inherit domestic shelf-life or nutritional claims.</t>
        </is>
      </c>
    </row>
    <row r="473">
      <c r="A473" t="inlineStr">
        <is>
          <t>R081</t>
        </is>
      </c>
      <c r="B473" t="inlineStr">
        <is>
          <t>EVADNE’S GINGERBREAD</t>
        </is>
      </c>
      <c r="C473" t="inlineStr">
        <is>
          <t>Research recipe/collection/page</t>
        </is>
      </c>
      <c r="D473" t="inlineStr">
        <is>
          <t>S129</t>
        </is>
      </c>
      <c r="E473" t="inlineStr">
        <is>
          <t>PDF pages 367–370</t>
        </is>
      </c>
      <c r="F473" t="inlineStr">
        <is>
          <t>Reference formulation — not released for production</t>
        </is>
      </c>
      <c r="G473" t="inlineStr">
        <is>
          <t>Household cup/spoon/egg measures and cream composition need weighing. Frozen-base treatment, post-process additions and storage require commercial qualification; do not inherit domestic shelf-life or nutritional claims.</t>
        </is>
      </c>
    </row>
    <row r="474">
      <c r="A474" t="inlineStr">
        <is>
          <t>R082</t>
        </is>
      </c>
      <c r="B474" t="inlineStr">
        <is>
          <t>SNICKERDOODLES</t>
        </is>
      </c>
      <c r="C474" t="inlineStr">
        <is>
          <t>Research recipe/collection/page</t>
        </is>
      </c>
      <c r="D474" t="inlineStr">
        <is>
          <t>S129</t>
        </is>
      </c>
      <c r="E474" t="inlineStr">
        <is>
          <t>PDF pages 371–377</t>
        </is>
      </c>
      <c r="F474" t="inlineStr">
        <is>
          <t>Reference formulation — not released for production</t>
        </is>
      </c>
      <c r="G474" t="inlineStr">
        <is>
          <t>Household cup/spoon/egg measures and cream composition need weighing. Frozen-base treatment, post-process additions and storage require commercial qualification; do not inherit domestic shelf-life or nutritional claims.</t>
        </is>
      </c>
    </row>
    <row r="475">
      <c r="A475" t="inlineStr">
        <is>
          <t>R083</t>
        </is>
      </c>
      <c r="B475" t="inlineStr">
        <is>
          <t>TOASTED COCONUT ICE CREAM</t>
        </is>
      </c>
      <c r="C475" t="inlineStr">
        <is>
          <t>Research recipe/collection/page</t>
        </is>
      </c>
      <c r="D475" t="inlineStr">
        <is>
          <t>S129</t>
        </is>
      </c>
      <c r="E475" t="inlineStr">
        <is>
          <t>PDF pages 379–381</t>
        </is>
      </c>
      <c r="F475" t="inlineStr">
        <is>
          <t>Reference formulation — not released for production</t>
        </is>
      </c>
      <c r="G475" t="inlineStr">
        <is>
          <t>Household cup/spoon/egg measures and cream composition need weighing. Frozen-base treatment, post-process additions and storage require commercial qualification; do not inherit domestic shelf-life or nutritional claims.</t>
        </is>
      </c>
    </row>
    <row r="476">
      <c r="A476" t="inlineStr">
        <is>
          <t>R084</t>
        </is>
      </c>
      <c r="B476" t="inlineStr">
        <is>
          <t>MANGO SAUCE</t>
        </is>
      </c>
      <c r="C476" t="inlineStr">
        <is>
          <t>Research recipe/collection/page</t>
        </is>
      </c>
      <c r="D476" t="inlineStr">
        <is>
          <t>S129</t>
        </is>
      </c>
      <c r="E476" t="inlineStr">
        <is>
          <t>PDF pages 382–382</t>
        </is>
      </c>
      <c r="F476" t="inlineStr">
        <is>
          <t>Reference formulation — not released for production</t>
        </is>
      </c>
      <c r="G476" t="inlineStr">
        <is>
          <t>Household cup/spoon/egg measures and cream composition need weighing. Frozen-base treatment, post-process additions and storage require commercial qualification; do not inherit domestic shelf-life or nutritional claims.</t>
        </is>
      </c>
    </row>
    <row r="477">
      <c r="A477" t="inlineStr">
        <is>
          <t>R085</t>
        </is>
      </c>
      <c r="B477" t="inlineStr">
        <is>
          <t>CARAMELIZED BANANA ICE CREAM</t>
        </is>
      </c>
      <c r="C477" t="inlineStr">
        <is>
          <t>Research recipe/collection/page</t>
        </is>
      </c>
      <c r="D477" t="inlineStr">
        <is>
          <t>S129</t>
        </is>
      </c>
      <c r="E477" t="inlineStr">
        <is>
          <t>PDF pages 383–385</t>
        </is>
      </c>
      <c r="F477" t="inlineStr">
        <is>
          <t>Reference formulation — not released for production</t>
        </is>
      </c>
      <c r="G477" t="inlineStr">
        <is>
          <t>Household cup/spoon/egg measures and cream composition need weighing. Frozen-base treatment, post-process additions and storage require commercial qualification; do not inherit domestic shelf-life or nutritional claims.</t>
        </is>
      </c>
    </row>
    <row r="478">
      <c r="A478" t="inlineStr">
        <is>
          <t>R086</t>
        </is>
      </c>
      <c r="B478" t="inlineStr">
        <is>
          <t>CHOCOLATE COCONUT “ICE CREAM”</t>
        </is>
      </c>
      <c r="C478" t="inlineStr">
        <is>
          <t>Research recipe/collection/page</t>
        </is>
      </c>
      <c r="D478" t="inlineStr">
        <is>
          <t>S129</t>
        </is>
      </c>
      <c r="E478" t="inlineStr">
        <is>
          <t>PDF pages 386–387</t>
        </is>
      </c>
      <c r="F478" t="inlineStr">
        <is>
          <t>Reference formulation — not released for production</t>
        </is>
      </c>
      <c r="G478" t="inlineStr">
        <is>
          <t>Household cup/spoon/egg measures and cream composition need weighing. Frozen-base treatment, post-process additions and storage require commercial qualification; do not inherit domestic shelf-life or nutritional claims.</t>
        </is>
      </c>
    </row>
    <row r="479">
      <c r="A479" t="inlineStr">
        <is>
          <t>R087</t>
        </is>
      </c>
      <c r="B479" t="inlineStr">
        <is>
          <t>MANGO SORBET</t>
        </is>
      </c>
      <c r="C479" t="inlineStr">
        <is>
          <t>Research recipe/collection/page</t>
        </is>
      </c>
      <c r="D479" t="inlineStr">
        <is>
          <t>S129</t>
        </is>
      </c>
      <c r="E479" t="inlineStr">
        <is>
          <t>PDF pages 388–389</t>
        </is>
      </c>
      <c r="F479" t="inlineStr">
        <is>
          <t>Reference formulation — not released for production</t>
        </is>
      </c>
      <c r="G479" t="inlineStr">
        <is>
          <t>Household cup/spoon/egg measures and cream composition need weighing. Frozen-base treatment, post-process additions and storage require commercial qualification; do not inherit domestic shelf-life or nutritional claims.</t>
        </is>
      </c>
    </row>
    <row r="480">
      <c r="A480" t="inlineStr">
        <is>
          <t>R088</t>
        </is>
      </c>
      <c r="B480" t="inlineStr">
        <is>
          <t>PINEAPPLE-MINT ICE POPS</t>
        </is>
      </c>
      <c r="C480" t="inlineStr">
        <is>
          <t>Research recipe/collection/page</t>
        </is>
      </c>
      <c r="D480" t="inlineStr">
        <is>
          <t>S129</t>
        </is>
      </c>
      <c r="E480" t="inlineStr">
        <is>
          <t>PDF pages 390–391</t>
        </is>
      </c>
      <c r="F480" t="inlineStr">
        <is>
          <t>Reference formulation — not released for production</t>
        </is>
      </c>
      <c r="G480" t="inlineStr">
        <is>
          <t>Household cup/spoon/egg measures and cream composition need weighing. Frozen-base treatment, post-process additions and storage require commercial qualification; do not inherit domestic shelf-life or nutritional claims.</t>
        </is>
      </c>
    </row>
    <row r="481">
      <c r="A481" t="inlineStr">
        <is>
          <t>R089</t>
        </is>
      </c>
      <c r="B481" t="inlineStr">
        <is>
          <t>BANANAS BRÛLÉE</t>
        </is>
      </c>
      <c r="C481" t="inlineStr">
        <is>
          <t>Research recipe/collection/page</t>
        </is>
      </c>
      <c r="D481" t="inlineStr">
        <is>
          <t>S129</t>
        </is>
      </c>
      <c r="E481" t="inlineStr">
        <is>
          <t>PDF pages 392–394</t>
        </is>
      </c>
      <c r="F481" t="inlineStr">
        <is>
          <t>Reference formulation — not released for production</t>
        </is>
      </c>
      <c r="G481" t="inlineStr">
        <is>
          <t>Household cup/spoon/egg measures and cream composition need weighing. Frozen-base treatment, post-process additions and storage require commercial qualification; do not inherit domestic shelf-life or nutritional claims.</t>
        </is>
      </c>
    </row>
    <row r="482">
      <c r="A482" t="inlineStr">
        <is>
          <t>R090</t>
        </is>
      </c>
      <c r="B482" t="inlineStr">
        <is>
          <t>COCONUT MACAROONS</t>
        </is>
      </c>
      <c r="C482" t="inlineStr">
        <is>
          <t>Research recipe/collection/page</t>
        </is>
      </c>
      <c r="D482" t="inlineStr">
        <is>
          <t>S129</t>
        </is>
      </c>
      <c r="E482" t="inlineStr">
        <is>
          <t>PDF pages 395–400</t>
        </is>
      </c>
      <c r="F482" t="inlineStr">
        <is>
          <t>Reference formulation — not released for production</t>
        </is>
      </c>
      <c r="G482" t="inlineStr">
        <is>
          <t>Household cup/spoon/egg measures and cream composition need weighing. Frozen-base treatment, post-process additions and storage require commercial qualification; do not inherit domestic shelf-life or nutritional claims.</t>
        </is>
      </c>
    </row>
    <row r="483">
      <c r="A483" t="inlineStr">
        <is>
          <t>R091</t>
        </is>
      </c>
      <c r="B483" t="inlineStr">
        <is>
          <t>Sablé breton et fraises</t>
        </is>
      </c>
      <c r="C483" t="inlineStr">
        <is>
          <t>Research recipe/collection/page</t>
        </is>
      </c>
      <c r="D483" t="inlineStr">
        <is>
          <t>S023</t>
        </is>
      </c>
      <c r="E483" t="inlineStr">
        <is>
          <t>PDF pages 23–26; printed page 21</t>
        </is>
      </c>
      <c r="F483" t="inlineStr">
        <is>
          <t>OCR research record — quantities must be checked against scan</t>
        </is>
      </c>
      <c r="G48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84">
      <c r="A484" t="inlineStr">
        <is>
          <t>R092</t>
        </is>
      </c>
      <c r="B484" t="inlineStr">
        <is>
          <t>Tarte Tatin pommes et abricots</t>
        </is>
      </c>
      <c r="C484" t="inlineStr">
        <is>
          <t>Research recipe/collection/page</t>
        </is>
      </c>
      <c r="D484" t="inlineStr">
        <is>
          <t>S023</t>
        </is>
      </c>
      <c r="E484" t="inlineStr">
        <is>
          <t>PDF pages 26–28; printed page 24</t>
        </is>
      </c>
      <c r="F484" t="inlineStr">
        <is>
          <t>OCR research record — quantities must be checked against scan</t>
        </is>
      </c>
      <c r="G48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85">
      <c r="A485" t="inlineStr">
        <is>
          <t>R093</t>
        </is>
      </c>
      <c r="B485" t="inlineStr">
        <is>
          <t>Tarte poires et pépites de chocolat</t>
        </is>
      </c>
      <c r="C485" t="inlineStr">
        <is>
          <t>Research recipe/collection/page</t>
        </is>
      </c>
      <c r="D485" t="inlineStr">
        <is>
          <t>S023</t>
        </is>
      </c>
      <c r="E485" t="inlineStr">
        <is>
          <t>PDF pages 28–33; printed page 26</t>
        </is>
      </c>
      <c r="F485" t="inlineStr">
        <is>
          <t>OCR research record — quantities must be checked against scan</t>
        </is>
      </c>
      <c r="G485"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86">
      <c r="A486" t="inlineStr">
        <is>
          <t>R094</t>
        </is>
      </c>
      <c r="B486" t="inlineStr">
        <is>
          <t>Pain perdu poire et caramel</t>
        </is>
      </c>
      <c r="C486" t="inlineStr">
        <is>
          <t>Research recipe/collection/page</t>
        </is>
      </c>
      <c r="D486" t="inlineStr">
        <is>
          <t>S023</t>
        </is>
      </c>
      <c r="E486" t="inlineStr">
        <is>
          <t>PDF pages 33–34; printed page 31</t>
        </is>
      </c>
      <c r="F486" t="inlineStr">
        <is>
          <t>OCR research record — quantities must be checked against scan</t>
        </is>
      </c>
      <c r="G486"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87">
      <c r="A487" t="inlineStr">
        <is>
          <t>R095</t>
        </is>
      </c>
      <c r="B487" t="inlineStr">
        <is>
          <t>Tarte abricots et nougat</t>
        </is>
      </c>
      <c r="C487" t="inlineStr">
        <is>
          <t>Research recipe/collection/page</t>
        </is>
      </c>
      <c r="D487" t="inlineStr">
        <is>
          <t>S023</t>
        </is>
      </c>
      <c r="E487" t="inlineStr">
        <is>
          <t>PDF pages 34–36; printed page 32</t>
        </is>
      </c>
      <c r="F487" t="inlineStr">
        <is>
          <t>OCR research record — quantities must be checked against scan</t>
        </is>
      </c>
      <c r="G487"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88">
      <c r="A488" t="inlineStr">
        <is>
          <t>R096</t>
        </is>
      </c>
      <c r="B488" t="inlineStr">
        <is>
          <t>Cake marbré chocolat vanille</t>
        </is>
      </c>
      <c r="C488" t="inlineStr">
        <is>
          <t>Research recipe/collection/page</t>
        </is>
      </c>
      <c r="D488" t="inlineStr">
        <is>
          <t>S023</t>
        </is>
      </c>
      <c r="E488" t="inlineStr">
        <is>
          <t>PDF pages 36–41; printed page 34</t>
        </is>
      </c>
      <c r="F488" t="inlineStr">
        <is>
          <t>OCR research record — quantities must be checked against scan</t>
        </is>
      </c>
      <c r="G488"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89">
      <c r="A489" t="inlineStr">
        <is>
          <t>R097</t>
        </is>
      </c>
      <c r="B489" t="inlineStr">
        <is>
          <t>Flan vanille Bourbon</t>
        </is>
      </c>
      <c r="C489" t="inlineStr">
        <is>
          <t>Research recipe/collection/page</t>
        </is>
      </c>
      <c r="D489" t="inlineStr">
        <is>
          <t>S023</t>
        </is>
      </c>
      <c r="E489" t="inlineStr">
        <is>
          <t>PDF pages 41–44; printed page 39</t>
        </is>
      </c>
      <c r="F489" t="inlineStr">
        <is>
          <t>OCR research record — quantities must be checked against scan</t>
        </is>
      </c>
      <c r="G489"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90">
      <c r="A490" t="inlineStr">
        <is>
          <t>R098</t>
        </is>
      </c>
      <c r="B490" t="inlineStr">
        <is>
          <t>Tigré chocolat</t>
        </is>
      </c>
      <c r="C490" t="inlineStr">
        <is>
          <t>Research recipe/collection/page</t>
        </is>
      </c>
      <c r="D490" t="inlineStr">
        <is>
          <t>S023</t>
        </is>
      </c>
      <c r="E490" t="inlineStr">
        <is>
          <t>PDF pages 44–47; printed page 42</t>
        </is>
      </c>
      <c r="F490" t="inlineStr">
        <is>
          <t>OCR research record — quantities must be checked against scan</t>
        </is>
      </c>
      <c r="G490"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91">
      <c r="A491" t="inlineStr">
        <is>
          <t>R099</t>
        </is>
      </c>
      <c r="B491" t="inlineStr">
        <is>
          <t>Moelleux chocolat sans gluten</t>
        </is>
      </c>
      <c r="C491" t="inlineStr">
        <is>
          <t>Research recipe/collection/page</t>
        </is>
      </c>
      <c r="D491" t="inlineStr">
        <is>
          <t>S023</t>
        </is>
      </c>
      <c r="E491" t="inlineStr">
        <is>
          <t>PDF pages 47–50; printed page 45</t>
        </is>
      </c>
      <c r="F491" t="inlineStr">
        <is>
          <t>OCR research record — quantities must be checked against scan</t>
        </is>
      </c>
      <c r="G491"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92">
      <c r="A492" t="inlineStr">
        <is>
          <t>R100</t>
        </is>
      </c>
      <c r="B492" t="inlineStr">
        <is>
          <t>Le Noisette</t>
        </is>
      </c>
      <c r="C492" t="inlineStr">
        <is>
          <t>Research recipe/collection/page</t>
        </is>
      </c>
      <c r="D492" t="inlineStr">
        <is>
          <t>S023</t>
        </is>
      </c>
      <c r="E492" t="inlineStr">
        <is>
          <t>PDF pages 50–54; printed page 48</t>
        </is>
      </c>
      <c r="F492" t="inlineStr">
        <is>
          <t>OCR research record — quantities must be checked against scan</t>
        </is>
      </c>
      <c r="G492"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93">
      <c r="A493" t="inlineStr">
        <is>
          <t>R101</t>
        </is>
      </c>
      <c r="B493" t="inlineStr">
        <is>
          <t>Tarte myrtilles et cassis</t>
        </is>
      </c>
      <c r="C493" t="inlineStr">
        <is>
          <t>Research recipe/collection/page</t>
        </is>
      </c>
      <c r="D493" t="inlineStr">
        <is>
          <t>S023</t>
        </is>
      </c>
      <c r="E493" t="inlineStr">
        <is>
          <t>PDF pages 54–59; printed page 52</t>
        </is>
      </c>
      <c r="F493" t="inlineStr">
        <is>
          <t>OCR research record — quantities must be checked against scan</t>
        </is>
      </c>
      <c r="G49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94">
      <c r="A494" t="inlineStr">
        <is>
          <t>R102</t>
        </is>
      </c>
      <c r="B494" t="inlineStr">
        <is>
          <t>Clafoutis pistache cerise</t>
        </is>
      </c>
      <c r="C494" t="inlineStr">
        <is>
          <t>Research recipe/collection/page</t>
        </is>
      </c>
      <c r="D494" t="inlineStr">
        <is>
          <t>S023</t>
        </is>
      </c>
      <c r="E494" t="inlineStr">
        <is>
          <t>PDF pages 59–60; printed page 57</t>
        </is>
      </c>
      <c r="F494" t="inlineStr">
        <is>
          <t>OCR research record — quantities must be checked against scan</t>
        </is>
      </c>
      <c r="G49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95">
      <c r="A495" t="inlineStr">
        <is>
          <t>R103</t>
        </is>
      </c>
      <c r="B495" t="inlineStr">
        <is>
          <t>Saint Honoré framboises anis vert</t>
        </is>
      </c>
      <c r="C495" t="inlineStr">
        <is>
          <t>Research recipe/collection/page</t>
        </is>
      </c>
      <c r="D495" t="inlineStr">
        <is>
          <t>S023</t>
        </is>
      </c>
      <c r="E495" t="inlineStr">
        <is>
          <t>PDF pages 60–64; printed page 58</t>
        </is>
      </c>
      <c r="F495" t="inlineStr">
        <is>
          <t>OCR research record — quantities must be checked against scan</t>
        </is>
      </c>
      <c r="G495"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96">
      <c r="A496" t="inlineStr">
        <is>
          <t>R104</t>
        </is>
      </c>
      <c r="B496" t="inlineStr">
        <is>
          <t>Le Toochoco</t>
        </is>
      </c>
      <c r="C496" t="inlineStr">
        <is>
          <t>Research recipe/collection/page</t>
        </is>
      </c>
      <c r="D496" t="inlineStr">
        <is>
          <t>S023</t>
        </is>
      </c>
      <c r="E496" t="inlineStr">
        <is>
          <t>PDF pages 64–66; printed page 62</t>
        </is>
      </c>
      <c r="F496" t="inlineStr">
        <is>
          <t>OCR research record — quantities must be checked against scan</t>
        </is>
      </c>
      <c r="G496"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97">
      <c r="A497" t="inlineStr">
        <is>
          <t>R105</t>
        </is>
      </c>
      <c r="B497" t="inlineStr">
        <is>
          <t>Kouign Amann</t>
        </is>
      </c>
      <c r="C497" t="inlineStr">
        <is>
          <t>Research recipe/collection/page</t>
        </is>
      </c>
      <c r="D497" t="inlineStr">
        <is>
          <t>S023</t>
        </is>
      </c>
      <c r="E497" t="inlineStr">
        <is>
          <t>PDF pages 66–73; printed page 64</t>
        </is>
      </c>
      <c r="F497" t="inlineStr">
        <is>
          <t>OCR research record — quantities must be checked against scan</t>
        </is>
      </c>
      <c r="G497"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98">
      <c r="A498" t="inlineStr">
        <is>
          <t>R106</t>
        </is>
      </c>
      <c r="B498" t="inlineStr">
        <is>
          <t>Le Heures</t>
        </is>
      </c>
      <c r="C498" t="inlineStr">
        <is>
          <t>Research recipe/collection/page</t>
        </is>
      </c>
      <c r="D498" t="inlineStr">
        <is>
          <t>S023</t>
        </is>
      </c>
      <c r="E498" t="inlineStr">
        <is>
          <t>PDF pages 73–74; printed page 71</t>
        </is>
      </c>
      <c r="F498" t="inlineStr">
        <is>
          <t>OCR research record — quantities must be checked against scan</t>
        </is>
      </c>
      <c r="G498"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499">
      <c r="A499" t="inlineStr">
        <is>
          <t>R107</t>
        </is>
      </c>
      <c r="B499" t="inlineStr">
        <is>
          <t>Brioche au sucre</t>
        </is>
      </c>
      <c r="C499" t="inlineStr">
        <is>
          <t>Research recipe/collection/page</t>
        </is>
      </c>
      <c r="D499" t="inlineStr">
        <is>
          <t>S023</t>
        </is>
      </c>
      <c r="E499" t="inlineStr">
        <is>
          <t>PDF pages 74–77; printed page 72</t>
        </is>
      </c>
      <c r="F499" t="inlineStr">
        <is>
          <t>OCR research record — quantities must be checked against scan</t>
        </is>
      </c>
      <c r="G499"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00">
      <c r="A500" t="inlineStr">
        <is>
          <t>R108</t>
        </is>
      </c>
      <c r="B500" t="inlineStr">
        <is>
          <t>Brioche Gianduja</t>
        </is>
      </c>
      <c r="C500" t="inlineStr">
        <is>
          <t>Research recipe/collection/page</t>
        </is>
      </c>
      <c r="D500" t="inlineStr">
        <is>
          <t>S023</t>
        </is>
      </c>
      <c r="E500" t="inlineStr">
        <is>
          <t>PDF pages 77–80; printed page 75</t>
        </is>
      </c>
      <c r="F500" t="inlineStr">
        <is>
          <t>OCR research record — quantities must be checked against scan</t>
        </is>
      </c>
      <c r="G500"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01">
      <c r="A501" t="inlineStr">
        <is>
          <t>R109</t>
        </is>
      </c>
      <c r="B501" t="inlineStr">
        <is>
          <t>Oeuf à la neige vanille crème verveine</t>
        </is>
      </c>
      <c r="C501" t="inlineStr">
        <is>
          <t>Research recipe/collection/page</t>
        </is>
      </c>
      <c r="D501" t="inlineStr">
        <is>
          <t>S023</t>
        </is>
      </c>
      <c r="E501" t="inlineStr">
        <is>
          <t>PDF pages 80–84; printed page 78</t>
        </is>
      </c>
      <c r="F501" t="inlineStr">
        <is>
          <t>OCR research record — quantities must be checked against scan</t>
        </is>
      </c>
      <c r="G501"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02">
      <c r="A502" t="inlineStr">
        <is>
          <t>R110</t>
        </is>
      </c>
      <c r="B502" t="inlineStr">
        <is>
          <t>Roulé citron praliné</t>
        </is>
      </c>
      <c r="C502" t="inlineStr">
        <is>
          <t>Research recipe/collection/page</t>
        </is>
      </c>
      <c r="D502" t="inlineStr">
        <is>
          <t>S023</t>
        </is>
      </c>
      <c r="E502" t="inlineStr">
        <is>
          <t>PDF pages 84–89; printed page 82</t>
        </is>
      </c>
      <c r="F502" t="inlineStr">
        <is>
          <t>OCR research record — quantities must be checked against scan</t>
        </is>
      </c>
      <c r="G502"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03">
      <c r="A503" t="inlineStr">
        <is>
          <t>R111</t>
        </is>
      </c>
      <c r="B503" t="inlineStr">
        <is>
          <t>Chouquettes</t>
        </is>
      </c>
      <c r="C503" t="inlineStr">
        <is>
          <t>Research recipe/collection/page</t>
        </is>
      </c>
      <c r="D503" t="inlineStr">
        <is>
          <t>S023</t>
        </is>
      </c>
      <c r="E503" t="inlineStr">
        <is>
          <t>PDF pages 89–92; printed page 87</t>
        </is>
      </c>
      <c r="F503" t="inlineStr">
        <is>
          <t>OCR research record — quantities must be checked against scan</t>
        </is>
      </c>
      <c r="G50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04">
      <c r="A504" t="inlineStr">
        <is>
          <t>R112</t>
        </is>
      </c>
      <c r="B504" t="inlineStr">
        <is>
          <t>Cookies aux deux chocolats</t>
        </is>
      </c>
      <c r="C504" t="inlineStr">
        <is>
          <t>Research recipe/collection/page</t>
        </is>
      </c>
      <c r="D504" t="inlineStr">
        <is>
          <t>S023</t>
        </is>
      </c>
      <c r="E504" t="inlineStr">
        <is>
          <t>PDF pages 92–96; printed page 90</t>
        </is>
      </c>
      <c r="F504" t="inlineStr">
        <is>
          <t>OCR research record — quantities must be checked against scan</t>
        </is>
      </c>
      <c r="G50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05">
      <c r="A505" t="inlineStr">
        <is>
          <t>R113</t>
        </is>
      </c>
      <c r="B505" t="inlineStr">
        <is>
          <t>Croissant</t>
        </is>
      </c>
      <c r="C505" t="inlineStr">
        <is>
          <t>Research recipe/collection/page</t>
        </is>
      </c>
      <c r="D505" t="inlineStr">
        <is>
          <t>S023</t>
        </is>
      </c>
      <c r="E505" t="inlineStr">
        <is>
          <t>PDF pages 96–104; printed page 94</t>
        </is>
      </c>
      <c r="F505" t="inlineStr">
        <is>
          <t>OCR research record — quantities must be checked against scan</t>
        </is>
      </c>
      <c r="G505"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06">
      <c r="A506" t="inlineStr">
        <is>
          <t>R114</t>
        </is>
      </c>
      <c r="B506" t="inlineStr">
        <is>
          <t>Chocolatine</t>
        </is>
      </c>
      <c r="C506" t="inlineStr">
        <is>
          <t>Research recipe/collection/page</t>
        </is>
      </c>
      <c r="D506" t="inlineStr">
        <is>
          <t>S023</t>
        </is>
      </c>
      <c r="E506" t="inlineStr">
        <is>
          <t>PDF pages 104–111; printed page 102</t>
        </is>
      </c>
      <c r="F506" t="inlineStr">
        <is>
          <t>OCR research record — quantities must be checked against scan</t>
        </is>
      </c>
      <c r="G506"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07">
      <c r="A507" t="inlineStr">
        <is>
          <t>R115</t>
        </is>
      </c>
      <c r="B507" t="inlineStr">
        <is>
          <t>Pain aux raisins</t>
        </is>
      </c>
      <c r="C507" t="inlineStr">
        <is>
          <t>Research recipe/collection/page</t>
        </is>
      </c>
      <c r="D507" t="inlineStr">
        <is>
          <t>S023</t>
        </is>
      </c>
      <c r="E507" t="inlineStr">
        <is>
          <t>PDF pages 111–113; printed page 109</t>
        </is>
      </c>
      <c r="F507" t="inlineStr">
        <is>
          <t>OCR research record — quantities must be checked against scan</t>
        </is>
      </c>
      <c r="G507"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08">
      <c r="A508" t="inlineStr">
        <is>
          <t>R116</t>
        </is>
      </c>
      <c r="B508" t="inlineStr">
        <is>
          <t>Palmier vanille</t>
        </is>
      </c>
      <c r="C508" t="inlineStr">
        <is>
          <t>Research recipe/collection/page</t>
        </is>
      </c>
      <c r="D508" t="inlineStr">
        <is>
          <t>S023</t>
        </is>
      </c>
      <c r="E508" t="inlineStr">
        <is>
          <t>PDF pages 113–114; printed page 111</t>
        </is>
      </c>
      <c r="F508" t="inlineStr">
        <is>
          <t>OCR research record — quantities must be checked against scan</t>
        </is>
      </c>
      <c r="G508"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09">
      <c r="A509" t="inlineStr">
        <is>
          <t>R117</t>
        </is>
      </c>
      <c r="B509" t="inlineStr">
        <is>
          <t>Madeleines miel</t>
        </is>
      </c>
      <c r="C509" t="inlineStr">
        <is>
          <t>Research recipe/collection/page</t>
        </is>
      </c>
      <c r="D509" t="inlineStr">
        <is>
          <t>S023</t>
        </is>
      </c>
      <c r="E509" t="inlineStr">
        <is>
          <t>PDF pages 114–116; printed page 112</t>
        </is>
      </c>
      <c r="F509" t="inlineStr">
        <is>
          <t>OCR research record — quantities must be checked against scan</t>
        </is>
      </c>
      <c r="G509"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10">
      <c r="A510" t="inlineStr">
        <is>
          <t>R118</t>
        </is>
      </c>
      <c r="B510" t="inlineStr">
        <is>
          <t>Madeleines framboises</t>
        </is>
      </c>
      <c r="C510" t="inlineStr">
        <is>
          <t>Research recipe/collection/page</t>
        </is>
      </c>
      <c r="D510" t="inlineStr">
        <is>
          <t>S023</t>
        </is>
      </c>
      <c r="E510" t="inlineStr">
        <is>
          <t>PDF pages 116–118; printed page 114</t>
        </is>
      </c>
      <c r="F510" t="inlineStr">
        <is>
          <t>OCR research record — quantities must be checked against scan</t>
        </is>
      </c>
      <c r="G510"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11">
      <c r="A511" t="inlineStr">
        <is>
          <t>R119</t>
        </is>
      </c>
      <c r="B511" t="inlineStr">
        <is>
          <t>Religieuse chocolat</t>
        </is>
      </c>
      <c r="C511" t="inlineStr">
        <is>
          <t>Research recipe/collection/page</t>
        </is>
      </c>
      <c r="D511" t="inlineStr">
        <is>
          <t>S023</t>
        </is>
      </c>
      <c r="E511" t="inlineStr">
        <is>
          <t>PDF pages 118–122; printed page 116</t>
        </is>
      </c>
      <c r="F511" t="inlineStr">
        <is>
          <t>OCR research record — quantities must be checked against scan</t>
        </is>
      </c>
      <c r="G511"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12">
      <c r="A512" t="inlineStr">
        <is>
          <t>R120</t>
        </is>
      </c>
      <c r="B512" t="inlineStr">
        <is>
          <t>Éclair Mont Blanc</t>
        </is>
      </c>
      <c r="C512" t="inlineStr">
        <is>
          <t>Research recipe/collection/page</t>
        </is>
      </c>
      <c r="D512" t="inlineStr">
        <is>
          <t>S023</t>
        </is>
      </c>
      <c r="E512" t="inlineStr">
        <is>
          <t>PDF pages 122–125; printed page 120</t>
        </is>
      </c>
      <c r="F512" t="inlineStr">
        <is>
          <t>OCR research record — quantities must be checked against scan</t>
        </is>
      </c>
      <c r="G512"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13">
      <c r="A513" t="inlineStr">
        <is>
          <t>R121</t>
        </is>
      </c>
      <c r="B513" t="inlineStr">
        <is>
          <t>Religieuse fraise et pistache</t>
        </is>
      </c>
      <c r="C513" t="inlineStr">
        <is>
          <t>Research recipe/collection/page</t>
        </is>
      </c>
      <c r="D513" t="inlineStr">
        <is>
          <t>S023</t>
        </is>
      </c>
      <c r="E513" t="inlineStr">
        <is>
          <t>PDF pages 125–126; printed page 123</t>
        </is>
      </c>
      <c r="F513" t="inlineStr">
        <is>
          <t>OCR research record — quantities must be checked against scan</t>
        </is>
      </c>
      <c r="G51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14">
      <c r="A514" t="inlineStr">
        <is>
          <t>R122</t>
        </is>
      </c>
      <c r="B514" t="inlineStr">
        <is>
          <t>Éclair fraise</t>
        </is>
      </c>
      <c r="C514" t="inlineStr">
        <is>
          <t>Research recipe/collection/page</t>
        </is>
      </c>
      <c r="D514" t="inlineStr">
        <is>
          <t>S023</t>
        </is>
      </c>
      <c r="E514" t="inlineStr">
        <is>
          <t>PDF pages 126–129; printed page 124</t>
        </is>
      </c>
      <c r="F514" t="inlineStr">
        <is>
          <t>OCR research record — quantities must be checked against scan</t>
        </is>
      </c>
      <c r="G51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15">
      <c r="A515" t="inlineStr">
        <is>
          <t>R123</t>
        </is>
      </c>
      <c r="B515" t="inlineStr">
        <is>
          <t>Liberté</t>
        </is>
      </c>
      <c r="C515" t="inlineStr">
        <is>
          <t>Research recipe/collection/page</t>
        </is>
      </c>
      <c r="D515" t="inlineStr">
        <is>
          <t>S023</t>
        </is>
      </c>
      <c r="E515" t="inlineStr">
        <is>
          <t>PDF pages 129–132; printed page 127</t>
        </is>
      </c>
      <c r="F515" t="inlineStr">
        <is>
          <t>OCR research record — quantities must be checked against scan</t>
        </is>
      </c>
      <c r="G515"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16">
      <c r="A516" t="inlineStr">
        <is>
          <t>R124</t>
        </is>
      </c>
      <c r="B516" t="inlineStr">
        <is>
          <t>Coques de macarons</t>
        </is>
      </c>
      <c r="C516" t="inlineStr">
        <is>
          <t>Research recipe/collection/page</t>
        </is>
      </c>
      <c r="D516" t="inlineStr">
        <is>
          <t>S023</t>
        </is>
      </c>
      <c r="E516" t="inlineStr">
        <is>
          <t>PDF pages 132–134; printed page 130</t>
        </is>
      </c>
      <c r="F516" t="inlineStr">
        <is>
          <t>OCR research record — quantities must be checked against scan</t>
        </is>
      </c>
      <c r="G516"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17">
      <c r="A517" t="inlineStr">
        <is>
          <t>R125</t>
        </is>
      </c>
      <c r="B517" t="inlineStr">
        <is>
          <t>Macarons framboise pistache et chocolat</t>
        </is>
      </c>
      <c r="C517" t="inlineStr">
        <is>
          <t>Research recipe/collection/page</t>
        </is>
      </c>
      <c r="D517" t="inlineStr">
        <is>
          <t>S023</t>
        </is>
      </c>
      <c r="E517" t="inlineStr">
        <is>
          <t>PDF pages 134–135; printed page 132</t>
        </is>
      </c>
      <c r="F517" t="inlineStr">
        <is>
          <t>OCR research record — quantities must be checked against scan</t>
        </is>
      </c>
      <c r="G517"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18">
      <c r="A518" t="inlineStr">
        <is>
          <t>R126</t>
        </is>
      </c>
      <c r="B518" t="inlineStr">
        <is>
          <t>Macarons vanille caramel et noisette</t>
        </is>
      </c>
      <c r="C518" t="inlineStr">
        <is>
          <t>Research recipe/collection/page</t>
        </is>
      </c>
      <c r="D518" t="inlineStr">
        <is>
          <t>S023</t>
        </is>
      </c>
      <c r="E518" t="inlineStr">
        <is>
          <t>PDF pages 135–139; printed page 133</t>
        </is>
      </c>
      <c r="F518" t="inlineStr">
        <is>
          <t>OCR research record — quantities must be checked against scan</t>
        </is>
      </c>
      <c r="G518"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19">
      <c r="A519" t="inlineStr">
        <is>
          <t>R127</t>
        </is>
      </c>
      <c r="B519" t="inlineStr">
        <is>
          <t>Mille feuille fruits rouges</t>
        </is>
      </c>
      <c r="C519" t="inlineStr">
        <is>
          <t>Research recipe/collection/page</t>
        </is>
      </c>
      <c r="D519" t="inlineStr">
        <is>
          <t>S023</t>
        </is>
      </c>
      <c r="E519" t="inlineStr">
        <is>
          <t>PDF pages 139–143; printed page 137</t>
        </is>
      </c>
      <c r="F519" t="inlineStr">
        <is>
          <t>OCR research record — quantities must be checked against scan</t>
        </is>
      </c>
      <c r="G519"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20">
      <c r="A520" t="inlineStr">
        <is>
          <t>R128</t>
        </is>
      </c>
      <c r="B520" t="inlineStr">
        <is>
          <t>Paris Brest</t>
        </is>
      </c>
      <c r="C520" t="inlineStr">
        <is>
          <t>Research recipe/collection/page</t>
        </is>
      </c>
      <c r="D520" t="inlineStr">
        <is>
          <t>S023</t>
        </is>
      </c>
      <c r="E520" t="inlineStr">
        <is>
          <t>PDF pages 143–150; printed page 141</t>
        </is>
      </c>
      <c r="F520" t="inlineStr">
        <is>
          <t>OCR research record — quantities must be checked against scan</t>
        </is>
      </c>
      <c r="G520"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21">
      <c r="A521" t="inlineStr">
        <is>
          <t>R129</t>
        </is>
      </c>
      <c r="B521" t="inlineStr">
        <is>
          <t>Baba au rhum</t>
        </is>
      </c>
      <c r="C521" t="inlineStr">
        <is>
          <t>Research recipe/collection/page</t>
        </is>
      </c>
      <c r="D521" t="inlineStr">
        <is>
          <t>S023</t>
        </is>
      </c>
      <c r="E521" t="inlineStr">
        <is>
          <t>PDF pages 150–159; printed page 148</t>
        </is>
      </c>
      <c r="F521" t="inlineStr">
        <is>
          <t>OCR research record — quantities must be checked against scan</t>
        </is>
      </c>
      <c r="G521"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22">
      <c r="A522" t="inlineStr">
        <is>
          <t>R130</t>
        </is>
      </c>
      <c r="B522" t="inlineStr">
        <is>
          <t>Éclair caramel beurre salé</t>
        </is>
      </c>
      <c r="C522" t="inlineStr">
        <is>
          <t>Research recipe/collection/page</t>
        </is>
      </c>
      <c r="D522" t="inlineStr">
        <is>
          <t>S023</t>
        </is>
      </c>
      <c r="E522" t="inlineStr">
        <is>
          <t>PDF pages 159–162; printed page 157</t>
        </is>
      </c>
      <c r="F522" t="inlineStr">
        <is>
          <t>OCR research record — quantities must be checked against scan</t>
        </is>
      </c>
      <c r="G522"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23">
      <c r="A523" t="inlineStr">
        <is>
          <t>R131</t>
        </is>
      </c>
      <c r="B523" t="inlineStr">
        <is>
          <t>Tarte framboises</t>
        </is>
      </c>
      <c r="C523" t="inlineStr">
        <is>
          <t>Research recipe/collection/page</t>
        </is>
      </c>
      <c r="D523" t="inlineStr">
        <is>
          <t>S023</t>
        </is>
      </c>
      <c r="E523" t="inlineStr">
        <is>
          <t>PDF pages 162–166; printed page 160</t>
        </is>
      </c>
      <c r="F523" t="inlineStr">
        <is>
          <t>OCR research record — quantities must be checked against scan</t>
        </is>
      </c>
      <c r="G52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24">
      <c r="A524" t="inlineStr">
        <is>
          <t>R132</t>
        </is>
      </c>
      <c r="B524" t="inlineStr">
        <is>
          <t>Galette des rois amande</t>
        </is>
      </c>
      <c r="C524" t="inlineStr">
        <is>
          <t>Research recipe/collection/page</t>
        </is>
      </c>
      <c r="D524" t="inlineStr">
        <is>
          <t>S023</t>
        </is>
      </c>
      <c r="E524" t="inlineStr">
        <is>
          <t>PDF pages 166–170; printed page 164</t>
        </is>
      </c>
      <c r="F524" t="inlineStr">
        <is>
          <t>OCR research record — quantities must be checked against scan</t>
        </is>
      </c>
      <c r="G52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25">
      <c r="A525" t="inlineStr">
        <is>
          <t>R133</t>
        </is>
      </c>
      <c r="B525" t="inlineStr">
        <is>
          <t>Croque noisette</t>
        </is>
      </c>
      <c r="C525" t="inlineStr">
        <is>
          <t>Research recipe/collection/page</t>
        </is>
      </c>
      <c r="D525" t="inlineStr">
        <is>
          <t>S023</t>
        </is>
      </c>
      <c r="E525" t="inlineStr">
        <is>
          <t>PDF pages 170–174; printed page 168</t>
        </is>
      </c>
      <c r="F525" t="inlineStr">
        <is>
          <t>OCR research record — quantities must be checked against scan</t>
        </is>
      </c>
      <c r="G525"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26">
      <c r="A526" t="inlineStr">
        <is>
          <t>R134</t>
        </is>
      </c>
      <c r="B526" t="inlineStr">
        <is>
          <t>Fraisier</t>
        </is>
      </c>
      <c r="C526" t="inlineStr">
        <is>
          <t>Research recipe/collection/page</t>
        </is>
      </c>
      <c r="D526" t="inlineStr">
        <is>
          <t>S023</t>
        </is>
      </c>
      <c r="E526" t="inlineStr">
        <is>
          <t>PDF pages 174–178; printed page 172</t>
        </is>
      </c>
      <c r="F526" t="inlineStr">
        <is>
          <t>OCR research record — quantities must be checked against scan</t>
        </is>
      </c>
      <c r="G526"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27">
      <c r="A527" t="inlineStr">
        <is>
          <t>R135</t>
        </is>
      </c>
      <c r="B527" t="inlineStr">
        <is>
          <t>Tarte citron</t>
        </is>
      </c>
      <c r="C527" t="inlineStr">
        <is>
          <t>Research recipe/collection/page</t>
        </is>
      </c>
      <c r="D527" t="inlineStr">
        <is>
          <t>S023</t>
        </is>
      </c>
      <c r="E527" t="inlineStr">
        <is>
          <t>PDF pages 178–182; printed page 176</t>
        </is>
      </c>
      <c r="F527" t="inlineStr">
        <is>
          <t>OCR research record — quantities must be checked against scan</t>
        </is>
      </c>
      <c r="G527"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28">
      <c r="A528" t="inlineStr">
        <is>
          <t>R136</t>
        </is>
      </c>
      <c r="B528" t="inlineStr">
        <is>
          <t>Équinoxe</t>
        </is>
      </c>
      <c r="C528" t="inlineStr">
        <is>
          <t>Research recipe/collection/page</t>
        </is>
      </c>
      <c r="D528" t="inlineStr">
        <is>
          <t>S023</t>
        </is>
      </c>
      <c r="E528" t="inlineStr">
        <is>
          <t>PDF pages 182–186; printed page 180</t>
        </is>
      </c>
      <c r="F528" t="inlineStr">
        <is>
          <t>OCR research record — quantities must be checked against scan</t>
        </is>
      </c>
      <c r="G528"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29">
      <c r="A529" t="inlineStr">
        <is>
          <t>R137</t>
        </is>
      </c>
      <c r="B529" t="inlineStr">
        <is>
          <t>Chocolat vanille</t>
        </is>
      </c>
      <c r="C529" t="inlineStr">
        <is>
          <t>Research recipe/collection/page</t>
        </is>
      </c>
      <c r="D529" t="inlineStr">
        <is>
          <t>S023</t>
        </is>
      </c>
      <c r="E529" t="inlineStr">
        <is>
          <t>PDF pages 186–191; printed page 184</t>
        </is>
      </c>
      <c r="F529" t="inlineStr">
        <is>
          <t>OCR research record — quantities must be checked against scan</t>
        </is>
      </c>
      <c r="G529"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30">
      <c r="A530" t="inlineStr">
        <is>
          <t>R138</t>
        </is>
      </c>
      <c r="B530" t="inlineStr">
        <is>
          <t>Pavlova fruits rouges</t>
        </is>
      </c>
      <c r="C530" t="inlineStr">
        <is>
          <t>Research recipe/collection/page</t>
        </is>
      </c>
      <c r="D530" t="inlineStr">
        <is>
          <t>S023</t>
        </is>
      </c>
      <c r="E530" t="inlineStr">
        <is>
          <t>PDF pages 191–194; printed page 189</t>
        </is>
      </c>
      <c r="F530" t="inlineStr">
        <is>
          <t>OCR research record — quantities must be checked against scan</t>
        </is>
      </c>
      <c r="G530"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31">
      <c r="A531" t="inlineStr">
        <is>
          <t>R139</t>
        </is>
      </c>
      <c r="B531" t="inlineStr">
        <is>
          <t>Vacherin fruits rouges</t>
        </is>
      </c>
      <c r="C531" t="inlineStr">
        <is>
          <t>Research recipe/collection/page</t>
        </is>
      </c>
      <c r="D531" t="inlineStr">
        <is>
          <t>S023</t>
        </is>
      </c>
      <c r="E531" t="inlineStr">
        <is>
          <t>PDF pages 194–198; printed page 192</t>
        </is>
      </c>
      <c r="F531" t="inlineStr">
        <is>
          <t>OCR research record — quantities must be checked against scan</t>
        </is>
      </c>
      <c r="G531"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32">
      <c r="A532" t="inlineStr">
        <is>
          <t>R140</t>
        </is>
      </c>
      <c r="B532" t="inlineStr">
        <is>
          <t>Tropézienne</t>
        </is>
      </c>
      <c r="C532" t="inlineStr">
        <is>
          <t>Research recipe/collection/page</t>
        </is>
      </c>
      <c r="D532" t="inlineStr">
        <is>
          <t>S023</t>
        </is>
      </c>
      <c r="E532" t="inlineStr">
        <is>
          <t>PDF pages 198–200; printed page 196</t>
        </is>
      </c>
      <c r="F532" t="inlineStr">
        <is>
          <t>OCR research record — quantities must be checked against scan</t>
        </is>
      </c>
      <c r="G532"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33">
      <c r="A533" t="inlineStr">
        <is>
          <t>R141</t>
        </is>
      </c>
      <c r="B533" t="inlineStr">
        <is>
          <t>Forêt Noire</t>
        </is>
      </c>
      <c r="C533" t="inlineStr">
        <is>
          <t>Research recipe/collection/page</t>
        </is>
      </c>
      <c r="D533" t="inlineStr">
        <is>
          <t>S023</t>
        </is>
      </c>
      <c r="E533" t="inlineStr">
        <is>
          <t>PDF pages 200–204; printed page 198</t>
        </is>
      </c>
      <c r="F533" t="inlineStr">
        <is>
          <t>OCR research record — quantities must be checked against scan</t>
        </is>
      </c>
      <c r="G53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34">
      <c r="A534" t="inlineStr">
        <is>
          <t>R142</t>
        </is>
      </c>
      <c r="B534" t="inlineStr">
        <is>
          <t>Bûche griotte fève tonka</t>
        </is>
      </c>
      <c r="C534" t="inlineStr">
        <is>
          <t>Research recipe/collection/page</t>
        </is>
      </c>
      <c r="D534" t="inlineStr">
        <is>
          <t>S023</t>
        </is>
      </c>
      <c r="E534" t="inlineStr">
        <is>
          <t>PDF pages 204–211; printed page 202</t>
        </is>
      </c>
      <c r="F534" t="inlineStr">
        <is>
          <t>OCR research record — quantities must be checked against scan</t>
        </is>
      </c>
      <c r="G53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row>
    <row r="535">
      <c r="A535" t="inlineStr">
        <is>
          <t>R143</t>
        </is>
      </c>
      <c r="B535" t="inlineStr">
        <is>
          <t>1. Recette : Glace Classique à la Vanille (arôme)</t>
        </is>
      </c>
      <c r="C535" t="inlineStr">
        <is>
          <t>Research recipe/collection/page</t>
        </is>
      </c>
      <c r="D535" t="inlineStr">
        <is>
          <t>S020</t>
        </is>
      </c>
      <c r="E535" t="inlineStr">
        <is>
          <t>PDF page 7 through PDF page 8</t>
        </is>
      </c>
      <c r="F535" t="inlineStr">
        <is>
          <t>Reference formulation — not released for production</t>
        </is>
      </c>
      <c r="G535"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36">
      <c r="A536" t="inlineStr">
        <is>
          <t>R144</t>
        </is>
      </c>
      <c r="B536" t="inlineStr">
        <is>
          <t>2. Recette : Glace Classique au Chocolat (arôme)</t>
        </is>
      </c>
      <c r="C536" t="inlineStr">
        <is>
          <t>Research recipe/collection/page</t>
        </is>
      </c>
      <c r="D536" t="inlineStr">
        <is>
          <t>S020</t>
        </is>
      </c>
      <c r="E536" t="inlineStr">
        <is>
          <t>PDF page 9 through PDF page 11</t>
        </is>
      </c>
      <c r="F536" t="inlineStr">
        <is>
          <t>Reference formulation — not released for production</t>
        </is>
      </c>
      <c r="G536"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37">
      <c r="A537" t="inlineStr">
        <is>
          <t>R145</t>
        </is>
      </c>
      <c r="B537" t="inlineStr">
        <is>
          <t>3. Glace Parfumée à la Fraise (simple, arôme)</t>
        </is>
      </c>
      <c r="C537" t="inlineStr">
        <is>
          <t>Research recipe/collection/page</t>
        </is>
      </c>
      <c r="D537" t="inlineStr">
        <is>
          <t>S020</t>
        </is>
      </c>
      <c r="E537" t="inlineStr">
        <is>
          <t>PDF page 11 through PDF page 13</t>
        </is>
      </c>
      <c r="F537" t="inlineStr">
        <is>
          <t>Reference formulation — not released for production</t>
        </is>
      </c>
      <c r="G537"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38">
      <c r="A538" t="inlineStr">
        <is>
          <t>R146</t>
        </is>
      </c>
      <c r="B538" t="inlineStr">
        <is>
          <t>4. Glace Fraîche à la Menthe (arôme)</t>
        </is>
      </c>
      <c r="C538" t="inlineStr">
        <is>
          <t>Research recipe/collection/page</t>
        </is>
      </c>
      <c r="D538" t="inlineStr">
        <is>
          <t>S020</t>
        </is>
      </c>
      <c r="E538" t="inlineStr">
        <is>
          <t>PDF page 13 through PDF page 15</t>
        </is>
      </c>
      <c r="F538" t="inlineStr">
        <is>
          <t>Reference formulation — not released for production</t>
        </is>
      </c>
      <c r="G538"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39">
      <c r="A539" t="inlineStr">
        <is>
          <t>R147</t>
        </is>
      </c>
      <c r="B539" t="inlineStr">
        <is>
          <t>5. Glace Énergisante au Café (arôme)</t>
        </is>
      </c>
      <c r="C539" t="inlineStr">
        <is>
          <t>Research recipe/collection/page</t>
        </is>
      </c>
      <c r="D539" t="inlineStr">
        <is>
          <t>S020</t>
        </is>
      </c>
      <c r="E539" t="inlineStr">
        <is>
          <t>PDF page 15 through PDF page 17</t>
        </is>
      </c>
      <c r="F539" t="inlineStr">
        <is>
          <t>Reference formulation — not released for production</t>
        </is>
      </c>
      <c r="G539"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40">
      <c r="A540" t="inlineStr">
        <is>
          <t>R148</t>
        </is>
      </c>
      <c r="B540" t="inlineStr">
        <is>
          <t>6. Glace Douce à la Banane (arôme)</t>
        </is>
      </c>
      <c r="C540" t="inlineStr">
        <is>
          <t>Research recipe/collection/page</t>
        </is>
      </c>
      <c r="D540" t="inlineStr">
        <is>
          <t>S020</t>
        </is>
      </c>
      <c r="E540" t="inlineStr">
        <is>
          <t>PDF page 17 through PDF page 18</t>
        </is>
      </c>
      <c r="F540" t="inlineStr">
        <is>
          <t>Reference formulation — not released for production</t>
        </is>
      </c>
      <c r="G540"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41">
      <c r="A541" t="inlineStr">
        <is>
          <t>R149</t>
        </is>
      </c>
      <c r="B541" t="inlineStr">
        <is>
          <t>7. Glace Tropicale à la Noix de Coco (arôme)</t>
        </is>
      </c>
      <c r="C541" t="inlineStr">
        <is>
          <t>Research recipe/collection/page</t>
        </is>
      </c>
      <c r="D541" t="inlineStr">
        <is>
          <t>S020</t>
        </is>
      </c>
      <c r="E541" t="inlineStr">
        <is>
          <t>PDF page 18 through PDF page 20</t>
        </is>
      </c>
      <c r="F541" t="inlineStr">
        <is>
          <t>Reference formulation — not released for production</t>
        </is>
      </c>
      <c r="G541"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42">
      <c r="A542" t="inlineStr">
        <is>
          <t>R150</t>
        </is>
      </c>
      <c r="B542" t="inlineStr">
        <is>
          <t>8. Glace Riche au Caramel (arôme)</t>
        </is>
      </c>
      <c r="C542" t="inlineStr">
        <is>
          <t>Research recipe/collection/page</t>
        </is>
      </c>
      <c r="D542" t="inlineStr">
        <is>
          <t>S020</t>
        </is>
      </c>
      <c r="E542" t="inlineStr">
        <is>
          <t>PDF page 20 through PDF page 22</t>
        </is>
      </c>
      <c r="F542" t="inlineStr">
        <is>
          <t>Reference formulation — not released for production</t>
        </is>
      </c>
      <c r="G542"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43">
      <c r="A543" t="inlineStr">
        <is>
          <t>R151</t>
        </is>
      </c>
      <c r="B543" t="inlineStr">
        <is>
          <t>9. Glace Subtile à la Pistache (arôme)</t>
        </is>
      </c>
      <c r="C543" t="inlineStr">
        <is>
          <t>Research recipe/collection/page</t>
        </is>
      </c>
      <c r="D543" t="inlineStr">
        <is>
          <t>S020</t>
        </is>
      </c>
      <c r="E543" t="inlineStr">
        <is>
          <t>PDF page 22 through PDF page 24</t>
        </is>
      </c>
      <c r="F543" t="inlineStr">
        <is>
          <t>Reference formulation — not released for production</t>
        </is>
      </c>
      <c r="G543"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44">
      <c r="A544" t="inlineStr">
        <is>
          <t>R152</t>
        </is>
      </c>
      <c r="B544" t="inlineStr">
        <is>
          <t>10. Glace Douce à l'Ananas (arôme)</t>
        </is>
      </c>
      <c r="C544" t="inlineStr">
        <is>
          <t>Research recipe/collection/page</t>
        </is>
      </c>
      <c r="D544" t="inlineStr">
        <is>
          <t>S020</t>
        </is>
      </c>
      <c r="E544" t="inlineStr">
        <is>
          <t>PDF page 24 through PDF page 28</t>
        </is>
      </c>
      <c r="F544" t="inlineStr">
        <is>
          <t>Reference formulation — not released for production</t>
        </is>
      </c>
      <c r="G544"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45">
      <c r="A545" t="inlineStr">
        <is>
          <t>R153</t>
        </is>
      </c>
      <c r="B545" t="inlineStr">
        <is>
          <t>1. Sorbet Mangue Exotique Enrichi au Lait en Poudre</t>
        </is>
      </c>
      <c r="C545" t="inlineStr">
        <is>
          <t>Research recipe/collection/page</t>
        </is>
      </c>
      <c r="D545" t="inlineStr">
        <is>
          <t>S020</t>
        </is>
      </c>
      <c r="E545" t="inlineStr">
        <is>
          <t>PDF page 28 through PDF page 29</t>
        </is>
      </c>
      <c r="F545" t="inlineStr">
        <is>
          <t>Reference formulation — not released for production</t>
        </is>
      </c>
      <c r="G545"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46">
      <c r="A546" t="inlineStr">
        <is>
          <t>R154</t>
        </is>
      </c>
      <c r="B546" t="inlineStr">
        <is>
          <t>2. Sorbet Ananas Rafraîchissant Enrichi au Lait en Poudre</t>
        </is>
      </c>
      <c r="C546" t="inlineStr">
        <is>
          <t>Research recipe/collection/page</t>
        </is>
      </c>
      <c r="D546" t="inlineStr">
        <is>
          <t>S020</t>
        </is>
      </c>
      <c r="E546" t="inlineStr">
        <is>
          <t>PDF page 29 through PDF page 30</t>
        </is>
      </c>
      <c r="F546" t="inlineStr">
        <is>
          <t>Reference formulation — not released for production</t>
        </is>
      </c>
      <c r="G546"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47">
      <c r="A547" t="inlineStr">
        <is>
          <t>R155</t>
        </is>
      </c>
      <c r="B547" t="inlineStr">
        <is>
          <t>3. Sorbet Bissap (Hibiscus) Enrichi au Lait en Poudre</t>
        </is>
      </c>
      <c r="C547" t="inlineStr">
        <is>
          <t>Research recipe/collection/page</t>
        </is>
      </c>
      <c r="D547" t="inlineStr">
        <is>
          <t>S020</t>
        </is>
      </c>
      <c r="E547" t="inlineStr">
        <is>
          <t>PDF page 30 through PDF page 31</t>
        </is>
      </c>
      <c r="F547" t="inlineStr">
        <is>
          <t>Reference formulation — not released for production</t>
        </is>
      </c>
      <c r="G547"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48">
      <c r="A548" t="inlineStr">
        <is>
          <t>R156</t>
        </is>
      </c>
      <c r="B548" t="inlineStr">
        <is>
          <t>4. Sorbet Gingembre et Orange Enrichi au Lait en Poudre</t>
        </is>
      </c>
      <c r="C548" t="inlineStr">
        <is>
          <t>Research recipe/collection/page</t>
        </is>
      </c>
      <c r="D548" t="inlineStr">
        <is>
          <t>S020</t>
        </is>
      </c>
      <c r="E548" t="inlineStr">
        <is>
          <t>PDF page 31 through PDF page 32</t>
        </is>
      </c>
      <c r="F548" t="inlineStr">
        <is>
          <t>Reference formulation — not released for production</t>
        </is>
      </c>
      <c r="G548"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49">
      <c r="A549" t="inlineStr">
        <is>
          <t>R157</t>
        </is>
      </c>
      <c r="B549" t="inlineStr">
        <is>
          <t>5. Sorbet Banane Crémeux Enrichi au Lait en Poudre</t>
        </is>
      </c>
      <c r="C549" t="inlineStr">
        <is>
          <t>Research recipe/collection/page</t>
        </is>
      </c>
      <c r="D549" t="inlineStr">
        <is>
          <t>S020</t>
        </is>
      </c>
      <c r="E549" t="inlineStr">
        <is>
          <t>PDF page 32 through PDF page 33</t>
        </is>
      </c>
      <c r="F549" t="inlineStr">
        <is>
          <t>Reference formulation — not released for production</t>
        </is>
      </c>
      <c r="G549"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50">
      <c r="A550" t="inlineStr">
        <is>
          <t>R158</t>
        </is>
      </c>
      <c r="B550" t="inlineStr">
        <is>
          <t>6. Sorbet Pastèque Désaltérante Enrichi au Lait en Poudre</t>
        </is>
      </c>
      <c r="C550" t="inlineStr">
        <is>
          <t>Research recipe/collection/page</t>
        </is>
      </c>
      <c r="D550" t="inlineStr">
        <is>
          <t>S020</t>
        </is>
      </c>
      <c r="E550" t="inlineStr">
        <is>
          <t>PDF page 33 through PDF page 34</t>
        </is>
      </c>
      <c r="F550" t="inlineStr">
        <is>
          <t>Reference formulation — not released for production</t>
        </is>
      </c>
      <c r="G550"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51">
      <c r="A551" t="inlineStr">
        <is>
          <t>R159</t>
        </is>
      </c>
      <c r="B551" t="inlineStr">
        <is>
          <t>7. Sorbet Fraise Intense Enrichi au Lait en Poudre</t>
        </is>
      </c>
      <c r="C551" t="inlineStr">
        <is>
          <t>Research recipe/collection/page</t>
        </is>
      </c>
      <c r="D551" t="inlineStr">
        <is>
          <t>S020</t>
        </is>
      </c>
      <c r="E551" t="inlineStr">
        <is>
          <t>PDF page 34 through PDF page 35</t>
        </is>
      </c>
      <c r="F551" t="inlineStr">
        <is>
          <t>Reference formulation — not released for production</t>
        </is>
      </c>
      <c r="G551"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52">
      <c r="A552" t="inlineStr">
        <is>
          <t>R160</t>
        </is>
      </c>
      <c r="B552" t="inlineStr">
        <is>
          <t>8. Sorbet Orange Vive Enrichi au Lait en Poudre</t>
        </is>
      </c>
      <c r="C552" t="inlineStr">
        <is>
          <t>Research recipe/collection/page</t>
        </is>
      </c>
      <c r="D552" t="inlineStr">
        <is>
          <t>S020</t>
        </is>
      </c>
      <c r="E552" t="inlineStr">
        <is>
          <t>PDF page 35 through PDF page 36</t>
        </is>
      </c>
      <c r="F552" t="inlineStr">
        <is>
          <t>Reference formulation — not released for production</t>
        </is>
      </c>
      <c r="G552"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53">
      <c r="A553" t="inlineStr">
        <is>
          <t>R161</t>
        </is>
      </c>
      <c r="B553" t="inlineStr">
        <is>
          <t>9. Sorbet Citron Vert Éclatant Enrichi au Lait en Poudre</t>
        </is>
      </c>
      <c r="C553" t="inlineStr">
        <is>
          <t>Research recipe/collection/page</t>
        </is>
      </c>
      <c r="D553" t="inlineStr">
        <is>
          <t>S020</t>
        </is>
      </c>
      <c r="E553" t="inlineStr">
        <is>
          <t>PDF page 36 through PDF page 37</t>
        </is>
      </c>
      <c r="F553" t="inlineStr">
        <is>
          <t>Reference formulation — not released for production</t>
        </is>
      </c>
      <c r="G553"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54">
      <c r="A554" t="inlineStr">
        <is>
          <t>R162</t>
        </is>
      </c>
      <c r="B554" t="inlineStr">
        <is>
          <t>10. Sorbet Fruit de la Passion Intense Enrichi au Lait en Poudre</t>
        </is>
      </c>
      <c r="C554" t="inlineStr">
        <is>
          <t>Research recipe/collection/page</t>
        </is>
      </c>
      <c r="D554" t="inlineStr">
        <is>
          <t>S020</t>
        </is>
      </c>
      <c r="E554" t="inlineStr">
        <is>
          <t>PDF page 37 through PDF page 38</t>
        </is>
      </c>
      <c r="F554" t="inlineStr">
        <is>
          <t>Reference formulation — not released for production</t>
        </is>
      </c>
      <c r="G554"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55">
      <c r="A555" t="inlineStr">
        <is>
          <t>R163</t>
        </is>
      </c>
      <c r="B555" t="inlineStr">
        <is>
          <t>11. Sorbet Jus de Baobab Acidulé Enrichi au Lait en Poudre</t>
        </is>
      </c>
      <c r="C555" t="inlineStr">
        <is>
          <t>Research recipe/collection/page</t>
        </is>
      </c>
      <c r="D555" t="inlineStr">
        <is>
          <t>S020</t>
        </is>
      </c>
      <c r="E555" t="inlineStr">
        <is>
          <t>PDF page 38 through PDF page 39</t>
        </is>
      </c>
      <c r="F555" t="inlineStr">
        <is>
          <t>Reference formulation — not released for production</t>
        </is>
      </c>
      <c r="G555"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56">
      <c r="A556" t="inlineStr">
        <is>
          <t>R164</t>
        </is>
      </c>
      <c r="B556" t="inlineStr">
        <is>
          <t>12. Sorbet Papaye Douceur Enrichi au Lait en Poudre</t>
        </is>
      </c>
      <c r="C556" t="inlineStr">
        <is>
          <t>Research recipe/collection/page</t>
        </is>
      </c>
      <c r="D556" t="inlineStr">
        <is>
          <t>S020</t>
        </is>
      </c>
      <c r="E556" t="inlineStr">
        <is>
          <t>PDF page 39 through PDF page 44</t>
        </is>
      </c>
      <c r="F556" t="inlineStr">
        <is>
          <t>Reference formulation — not released for production</t>
        </is>
      </c>
      <c r="G556"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57">
      <c r="A557" t="inlineStr">
        <is>
          <t>R165</t>
        </is>
      </c>
      <c r="B557" t="inlineStr">
        <is>
          <t>🍫 Recette 1 : Bâtonnets de Glace au Lait Goût Chocolat Optimisé</t>
        </is>
      </c>
      <c r="C557" t="inlineStr">
        <is>
          <t>Research recipe/collection/page</t>
        </is>
      </c>
      <c r="D557" t="inlineStr">
        <is>
          <t>S031</t>
        </is>
      </c>
      <c r="E557" t="inlineStr">
        <is>
          <t>PDF page 12 through PDF page 13</t>
        </is>
      </c>
      <c r="F557" t="inlineStr">
        <is>
          <t>Reference formulation — not released for production</t>
        </is>
      </c>
      <c r="G557"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58">
      <c r="A558" t="inlineStr">
        <is>
          <t>R166</t>
        </is>
      </c>
      <c r="B558" t="inlineStr">
        <is>
          <t>🌿 Recette 2 : Bâtonnets de Glace au Lait au Gingembre Frais (10</t>
        </is>
      </c>
      <c r="C558" t="inlineStr">
        <is>
          <t>Research recipe/collection/page</t>
        </is>
      </c>
      <c r="D558" t="inlineStr">
        <is>
          <t>S031</t>
        </is>
      </c>
      <c r="E558" t="inlineStr">
        <is>
          <t>PDF page 13 through PDF page 14</t>
        </is>
      </c>
      <c r="F558" t="inlineStr">
        <is>
          <t>Reference formulation — not released for production</t>
        </is>
      </c>
      <c r="G558"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59">
      <c r="A559" t="inlineStr">
        <is>
          <t>R167</t>
        </is>
      </c>
      <c r="B559" t="inlineStr">
        <is>
          <t>🌺 Recette 3 : Bâtonnets de Glace au Lait au Bissap Intense (10</t>
        </is>
      </c>
      <c r="C559" t="inlineStr">
        <is>
          <t>Research recipe/collection/page</t>
        </is>
      </c>
      <c r="D559" t="inlineStr">
        <is>
          <t>S031</t>
        </is>
      </c>
      <c r="E559" t="inlineStr">
        <is>
          <t>PDF page 15 through PDF page 16</t>
        </is>
      </c>
      <c r="F559" t="inlineStr">
        <is>
          <t>Reference formulation — not released for production</t>
        </is>
      </c>
      <c r="G559"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60">
      <c r="A560" t="inlineStr">
        <is>
          <t>R168</t>
        </is>
      </c>
      <c r="B560" t="inlineStr">
        <is>
          <t>🍦 Recette 4 : Bâtonnets de Glace au Lait à la Vanille Intense (10</t>
        </is>
      </c>
      <c r="C560" t="inlineStr">
        <is>
          <t>Research recipe/collection/page</t>
        </is>
      </c>
      <c r="D560" t="inlineStr">
        <is>
          <t>S031</t>
        </is>
      </c>
      <c r="E560" t="inlineStr">
        <is>
          <t>PDF page 16 through PDF page 17</t>
        </is>
      </c>
      <c r="F560" t="inlineStr">
        <is>
          <t>Reference formulation — not released for production</t>
        </is>
      </c>
      <c r="G560"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61">
      <c r="A561" t="inlineStr">
        <is>
          <t>R169</t>
        </is>
      </c>
      <c r="B561" t="inlineStr">
        <is>
          <t>🍫 Recette 5 : Bâtonnets de Glace au Lait au Chocolat Blanc (10</t>
        </is>
      </c>
      <c r="C561" t="inlineStr">
        <is>
          <t>Research recipe/collection/page</t>
        </is>
      </c>
      <c r="D561" t="inlineStr">
        <is>
          <t>S031</t>
        </is>
      </c>
      <c r="E561" t="inlineStr">
        <is>
          <t>PDF page 17 through PDF page 18</t>
        </is>
      </c>
      <c r="F561" t="inlineStr">
        <is>
          <t>Reference formulation — not released for production</t>
        </is>
      </c>
      <c r="G561"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62">
      <c r="A562" t="inlineStr">
        <is>
          <t>R170</t>
        </is>
      </c>
      <c r="B562" t="inlineStr">
        <is>
          <t>☕ Recette 6 : Bâtonnets de Glace au Lait au Café Corsé (10 Litres)</t>
        </is>
      </c>
      <c r="C562" t="inlineStr">
        <is>
          <t>Research recipe/collection/page</t>
        </is>
      </c>
      <c r="D562" t="inlineStr">
        <is>
          <t>S031</t>
        </is>
      </c>
      <c r="E562" t="inlineStr">
        <is>
          <t>PDF page 18 through PDF page 20</t>
        </is>
      </c>
      <c r="F562" t="inlineStr">
        <is>
          <t>Reference formulation — not released for production</t>
        </is>
      </c>
      <c r="G562"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63">
      <c r="A563" t="inlineStr">
        <is>
          <t>R171</t>
        </is>
      </c>
      <c r="B563" t="inlineStr">
        <is>
          <t>🥥 Recette 7 : Bâtonnets de Glace au Jus de Noix de Coco</t>
        </is>
      </c>
      <c r="C563" t="inlineStr">
        <is>
          <t>Research recipe/collection/page</t>
        </is>
      </c>
      <c r="D563" t="inlineStr">
        <is>
          <t>S031</t>
        </is>
      </c>
      <c r="E563" t="inlineStr">
        <is>
          <t>PDF page 20 through PDF page 22</t>
        </is>
      </c>
      <c r="F563" t="inlineStr">
        <is>
          <t>Reference formulation — not released for production</t>
        </is>
      </c>
      <c r="G563"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64">
      <c r="A564" t="inlineStr">
        <is>
          <t>R172</t>
        </is>
      </c>
      <c r="B564" t="inlineStr">
        <is>
          <t>🍓 Recette 8 : Bâtonnets de Glace au Lait Goût Fraise Optimisé (10</t>
        </is>
      </c>
      <c r="C564" t="inlineStr">
        <is>
          <t>Research recipe/collection/page</t>
        </is>
      </c>
      <c r="D564" t="inlineStr">
        <is>
          <t>S031</t>
        </is>
      </c>
      <c r="E564" t="inlineStr">
        <is>
          <t>PDF page 22 through PDF page 23</t>
        </is>
      </c>
      <c r="F564" t="inlineStr">
        <is>
          <t>Reference formulation — not released for production</t>
        </is>
      </c>
      <c r="G564"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65">
      <c r="A565" t="inlineStr">
        <is>
          <t>R173</t>
        </is>
      </c>
      <c r="B565" t="inlineStr">
        <is>
          <t>🍌 Recette 9 : Bâtonnets de Glace au Lait Goût Banane (10 Litres)</t>
        </is>
      </c>
      <c r="C565" t="inlineStr">
        <is>
          <t>Research recipe/collection/page</t>
        </is>
      </c>
      <c r="D565" t="inlineStr">
        <is>
          <t>S031</t>
        </is>
      </c>
      <c r="E565" t="inlineStr">
        <is>
          <t>PDF page 23 through PDF page 24</t>
        </is>
      </c>
      <c r="F565" t="inlineStr">
        <is>
          <t>Reference formulation — not released for production</t>
        </is>
      </c>
      <c r="G565"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66">
      <c r="A566" t="inlineStr">
        <is>
          <t>R174</t>
        </is>
      </c>
      <c r="B566" t="inlineStr">
        <is>
          <t>🍊 Recette 10 : Bâtonnets de Glace au Lait à l'Orange Fraîche (10</t>
        </is>
      </c>
      <c r="C566" t="inlineStr">
        <is>
          <t>Research recipe/collection/page</t>
        </is>
      </c>
      <c r="D566" t="inlineStr">
        <is>
          <t>S031</t>
        </is>
      </c>
      <c r="E566" t="inlineStr">
        <is>
          <t>PDF page 24 through PDF page 25</t>
        </is>
      </c>
      <c r="F566" t="inlineStr">
        <is>
          <t>Reference formulation — not released for production</t>
        </is>
      </c>
      <c r="G566"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67">
      <c r="A567" t="inlineStr">
        <is>
          <t>R175</t>
        </is>
      </c>
      <c r="B567" t="inlineStr">
        <is>
          <t>🥭 Recette 11 : Bâtonnets de Glace au Lait à la Papaye Mûre (10</t>
        </is>
      </c>
      <c r="C567" t="inlineStr">
        <is>
          <t>Research recipe/collection/page</t>
        </is>
      </c>
      <c r="D567" t="inlineStr">
        <is>
          <t>S031</t>
        </is>
      </c>
      <c r="E567" t="inlineStr">
        <is>
          <t>PDF page 26 through PDF page 27</t>
        </is>
      </c>
      <c r="F567" t="inlineStr">
        <is>
          <t>Reference formulation — not released for production</t>
        </is>
      </c>
      <c r="G567"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68">
      <c r="A568" t="inlineStr">
        <is>
          <t>R176</t>
        </is>
      </c>
      <c r="B568" t="inlineStr">
        <is>
          <t>🍍 Recette 12 : Bâtonnets de Glace au Lait à l’Ananas Frais (10</t>
        </is>
      </c>
      <c r="C568" t="inlineStr">
        <is>
          <t>Research recipe/collection/page</t>
        </is>
      </c>
      <c r="D568" t="inlineStr">
        <is>
          <t>S031</t>
        </is>
      </c>
      <c r="E568" t="inlineStr">
        <is>
          <t>PDF page 27 through PDF page 28</t>
        </is>
      </c>
      <c r="F568" t="inlineStr">
        <is>
          <t>Reference formulation — not released for production</t>
        </is>
      </c>
      <c r="G568"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69">
      <c r="A569" t="inlineStr">
        <is>
          <t>R177</t>
        </is>
      </c>
      <c r="B569" t="inlineStr">
        <is>
          <t>🥭 Recette 13 : Bâtonnets de Glace au Lait à la Mangue Fraîche (10</t>
        </is>
      </c>
      <c r="C569" t="inlineStr">
        <is>
          <t>Research recipe/collection/page</t>
        </is>
      </c>
      <c r="D569" t="inlineStr">
        <is>
          <t>S031</t>
        </is>
      </c>
      <c r="E569" t="inlineStr">
        <is>
          <t>PDF page 28 through PDF page 29</t>
        </is>
      </c>
      <c r="F569" t="inlineStr">
        <is>
          <t>Reference formulation — not released for production</t>
        </is>
      </c>
      <c r="G569"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70">
      <c r="A570" t="inlineStr">
        <is>
          <t>R178</t>
        </is>
      </c>
      <c r="B570" t="inlineStr">
        <is>
          <t>🌳 Recette 14 : Bâtonnets de Glace au Lait au Baobab (10 Litres)</t>
        </is>
      </c>
      <c r="C570" t="inlineStr">
        <is>
          <t>Research recipe/collection/page</t>
        </is>
      </c>
      <c r="D570" t="inlineStr">
        <is>
          <t>S031</t>
        </is>
      </c>
      <c r="E570" t="inlineStr">
        <is>
          <t>PDF page 29 through PDF page 31</t>
        </is>
      </c>
      <c r="F570" t="inlineStr">
        <is>
          <t>Reference formulation — not released for production</t>
        </is>
      </c>
      <c r="G570"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71">
      <c r="A571" t="inlineStr">
        <is>
          <t>R179</t>
        </is>
      </c>
      <c r="B571" t="inlineStr">
        <is>
          <t>🍈 Recette 15 : Bâtonnets de Glace au Lait à la Goyave Fraîche (10</t>
        </is>
      </c>
      <c r="C571" t="inlineStr">
        <is>
          <t>Research recipe/collection/page</t>
        </is>
      </c>
      <c r="D571" t="inlineStr">
        <is>
          <t>S031</t>
        </is>
      </c>
      <c r="E571" t="inlineStr">
        <is>
          <t>PDF page 31 through PDF page 32</t>
        </is>
      </c>
      <c r="F571" t="inlineStr">
        <is>
          <t>Reference formulation — not released for production</t>
        </is>
      </c>
      <c r="G571"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72">
      <c r="A572" t="inlineStr">
        <is>
          <t>R180</t>
        </is>
      </c>
      <c r="B572" t="inlineStr">
        <is>
          <t>🍊 Recette 16 : Bâtonnets de Glace au Lait au Fruit de la Passion</t>
        </is>
      </c>
      <c r="C572" t="inlineStr">
        <is>
          <t>Research recipe/collection/page</t>
        </is>
      </c>
      <c r="D572" t="inlineStr">
        <is>
          <t>S031</t>
        </is>
      </c>
      <c r="E572" t="inlineStr">
        <is>
          <t>PDF page 32 through PDF page 34</t>
        </is>
      </c>
      <c r="F572" t="inlineStr">
        <is>
          <t>Reference formulation — not released for production</t>
        </is>
      </c>
      <c r="G572"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73">
      <c r="A573" t="inlineStr">
        <is>
          <t>R181</t>
        </is>
      </c>
      <c r="B573" t="inlineStr">
        <is>
          <t>Recette 17 : Bâtonnets de Glace à l'Eau Ultra-Douce (Base Neutre)</t>
        </is>
      </c>
      <c r="C573" t="inlineStr">
        <is>
          <t>Research recipe/collection/page</t>
        </is>
      </c>
      <c r="D573" t="inlineStr">
        <is>
          <t>S031</t>
        </is>
      </c>
      <c r="E573" t="inlineStr">
        <is>
          <t>PDF page 34 through PDF page 36</t>
        </is>
      </c>
      <c r="F573" t="inlineStr">
        <is>
          <t>Reference formulation — not released for production</t>
        </is>
      </c>
      <c r="G573"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74">
      <c r="A574" t="inlineStr">
        <is>
          <t>R182</t>
        </is>
      </c>
      <c r="B574" t="inlineStr">
        <is>
          <t>Recette 18 : Bâtonnets de Glace à l'Eau Goût Chocolat Intense</t>
        </is>
      </c>
      <c r="C574" t="inlineStr">
        <is>
          <t>Research recipe/collection/page</t>
        </is>
      </c>
      <c r="D574" t="inlineStr">
        <is>
          <t>S031</t>
        </is>
      </c>
      <c r="E574" t="inlineStr">
        <is>
          <t>PDF page 36 through PDF page 46</t>
        </is>
      </c>
      <c r="F574" t="inlineStr">
        <is>
          <t>Reference formulation — not released for production</t>
        </is>
      </c>
      <c r="G574"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75">
      <c r="A575" t="inlineStr">
        <is>
          <t>R183</t>
        </is>
      </c>
      <c r="B575" t="inlineStr">
        <is>
          <t>RECETTE 1 — MAGNUM VANILLE</t>
        </is>
      </c>
      <c r="C575" t="inlineStr">
        <is>
          <t>Research recipe/collection/page</t>
        </is>
      </c>
      <c r="D575" t="inlineStr">
        <is>
          <t>S036</t>
        </is>
      </c>
      <c r="E575" t="inlineStr">
        <is>
          <t>PDF page 4 through PDF page 6</t>
        </is>
      </c>
      <c r="F575" t="inlineStr">
        <is>
          <t>Reference formulation — not released for production</t>
        </is>
      </c>
      <c r="G575"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76">
      <c r="A576" t="inlineStr">
        <is>
          <t>R184</t>
        </is>
      </c>
      <c r="B576" t="inlineStr">
        <is>
          <t>RECETTE 2 — MAGNUM FRAISE</t>
        </is>
      </c>
      <c r="C576" t="inlineStr">
        <is>
          <t>Research recipe/collection/page</t>
        </is>
      </c>
      <c r="D576" t="inlineStr">
        <is>
          <t>S036</t>
        </is>
      </c>
      <c r="E576" t="inlineStr">
        <is>
          <t>PDF page 7 through PDF page 9</t>
        </is>
      </c>
      <c r="F576" t="inlineStr">
        <is>
          <t>Reference formulation — not released for production</t>
        </is>
      </c>
      <c r="G576"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77">
      <c r="A577" t="inlineStr">
        <is>
          <t>R185</t>
        </is>
      </c>
      <c r="B577" t="inlineStr">
        <is>
          <t>RECETTE 3 — MAGNUM COCO</t>
        </is>
      </c>
      <c r="C577" t="inlineStr">
        <is>
          <t>Research recipe/collection/page</t>
        </is>
      </c>
      <c r="D577" t="inlineStr">
        <is>
          <t>S036</t>
        </is>
      </c>
      <c r="E577" t="inlineStr">
        <is>
          <t>PDF page 10 through PDF page 12</t>
        </is>
      </c>
      <c r="F577" t="inlineStr">
        <is>
          <t>Reference formulation — not released for production</t>
        </is>
      </c>
      <c r="G577"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78">
      <c r="A578" t="inlineStr">
        <is>
          <t>R186</t>
        </is>
      </c>
      <c r="B578" t="inlineStr">
        <is>
          <t>RECETTE 4 — MAGNUM ANANAS</t>
        </is>
      </c>
      <c r="C578" t="inlineStr">
        <is>
          <t>Research recipe/collection/page</t>
        </is>
      </c>
      <c r="D578" t="inlineStr">
        <is>
          <t>S036</t>
        </is>
      </c>
      <c r="E578" t="inlineStr">
        <is>
          <t>PDF page 13 through PDF page 15</t>
        </is>
      </c>
      <c r="F578" t="inlineStr">
        <is>
          <t>Reference formulation — not released for production</t>
        </is>
      </c>
      <c r="G578"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79">
      <c r="A579" t="inlineStr">
        <is>
          <t>R187</t>
        </is>
      </c>
      <c r="B579" t="inlineStr">
        <is>
          <t>RECETTE 5 — MAGNUM BANANE</t>
        </is>
      </c>
      <c r="C579" t="inlineStr">
        <is>
          <t>Research recipe/collection/page</t>
        </is>
      </c>
      <c r="D579" t="inlineStr">
        <is>
          <t>S036</t>
        </is>
      </c>
      <c r="E579" t="inlineStr">
        <is>
          <t>PDF page 16 through PDF page 20</t>
        </is>
      </c>
      <c r="F579" t="inlineStr">
        <is>
          <t>Reference formulation — not released for production</t>
        </is>
      </c>
      <c r="G579"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row>
    <row r="580">
      <c r="A580" t="inlineStr">
        <is>
          <t>R188</t>
        </is>
      </c>
      <c r="B580" t="inlineStr">
        <is>
          <t>Simple Vanilla Ice Cream</t>
        </is>
      </c>
      <c r="C580" t="inlineStr">
        <is>
          <t>Research recipe/collection/page</t>
        </is>
      </c>
      <c r="D580" t="inlineStr">
        <is>
          <t>S127</t>
        </is>
      </c>
      <c r="E580" t="inlineStr">
        <is>
          <t>PDF page 6 (shared page may contain adjacent recipe)</t>
        </is>
      </c>
      <c r="F580" t="inlineStr">
        <is>
          <t>Reference formulation — not released for production</t>
        </is>
      </c>
      <c r="G580"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81">
      <c r="A581" t="inlineStr">
        <is>
          <t>R189</t>
        </is>
      </c>
      <c r="B581" t="inlineStr">
        <is>
          <t>Simple Chocolate Ice Cream</t>
        </is>
      </c>
      <c r="C581" t="inlineStr">
        <is>
          <t>Research recipe/collection/page</t>
        </is>
      </c>
      <c r="D581" t="inlineStr">
        <is>
          <t>S127</t>
        </is>
      </c>
      <c r="E581" t="inlineStr">
        <is>
          <t>PDF page 6 (shared page may contain adjacent recipe)</t>
        </is>
      </c>
      <c r="F581" t="inlineStr">
        <is>
          <t>Reference formulation — not released for production</t>
        </is>
      </c>
      <c r="G581"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82">
      <c r="A582" t="inlineStr">
        <is>
          <t>R190</t>
        </is>
      </c>
      <c r="B582" t="inlineStr">
        <is>
          <t>Butter Pecan Ice Cream</t>
        </is>
      </c>
      <c r="C582" t="inlineStr">
        <is>
          <t>Research recipe/collection/page</t>
        </is>
      </c>
      <c r="D582" t="inlineStr">
        <is>
          <t>S127</t>
        </is>
      </c>
      <c r="E582" t="inlineStr">
        <is>
          <t>PDF page 7 (shared page may contain adjacent recipe)</t>
        </is>
      </c>
      <c r="F582" t="inlineStr">
        <is>
          <t>Reference formulation — not released for production</t>
        </is>
      </c>
      <c r="G582"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83">
      <c r="A583" t="inlineStr">
        <is>
          <t>R191</t>
        </is>
      </c>
      <c r="B583" t="inlineStr">
        <is>
          <t>Fresh Strawberry Ice Cream</t>
        </is>
      </c>
      <c r="C583" t="inlineStr">
        <is>
          <t>Research recipe/collection/page</t>
        </is>
      </c>
      <c r="D583" t="inlineStr">
        <is>
          <t>S127</t>
        </is>
      </c>
      <c r="E583" t="inlineStr">
        <is>
          <t>PDF page 7 (shared page may contain adjacent recipe)</t>
        </is>
      </c>
      <c r="F583" t="inlineStr">
        <is>
          <t>Reference formulation — not released for production</t>
        </is>
      </c>
      <c r="G583"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84">
      <c r="A584" t="inlineStr">
        <is>
          <t>R192</t>
        </is>
      </c>
      <c r="B584" t="inlineStr">
        <is>
          <t>Vanilla Bean Ice Cream</t>
        </is>
      </c>
      <c r="C584" t="inlineStr">
        <is>
          <t>Research recipe/collection/page</t>
        </is>
      </c>
      <c r="D584" t="inlineStr">
        <is>
          <t>S127</t>
        </is>
      </c>
      <c r="E584" t="inlineStr">
        <is>
          <t>PDF page 8 (shared page may contain adjacent recipe)</t>
        </is>
      </c>
      <c r="F584" t="inlineStr">
        <is>
          <t>Reference formulation — not released for production</t>
        </is>
      </c>
      <c r="G584"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85">
      <c r="A585" t="inlineStr">
        <is>
          <t>R193</t>
        </is>
      </c>
      <c r="B585" t="inlineStr">
        <is>
          <t>Buttermilk Ice Cream</t>
        </is>
      </c>
      <c r="C585" t="inlineStr">
        <is>
          <t>Research recipe/collection/page</t>
        </is>
      </c>
      <c r="D585" t="inlineStr">
        <is>
          <t>S127</t>
        </is>
      </c>
      <c r="E585" t="inlineStr">
        <is>
          <t>PDF page 8 (shared page may contain adjacent recipe)</t>
        </is>
      </c>
      <c r="F585" t="inlineStr">
        <is>
          <t>Reference formulation — not released for production</t>
        </is>
      </c>
      <c r="G585"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86">
      <c r="A586" t="inlineStr">
        <is>
          <t>R194</t>
        </is>
      </c>
      <c r="B586" t="inlineStr">
        <is>
          <t>Fresh Mint With Chocolate Cookies</t>
        </is>
      </c>
      <c r="C586" t="inlineStr">
        <is>
          <t>Research recipe/collection/page</t>
        </is>
      </c>
      <c r="D586" t="inlineStr">
        <is>
          <t>S127</t>
        </is>
      </c>
      <c r="E586" t="inlineStr">
        <is>
          <t>PDF page 9 (shared page may contain adjacent recipe)</t>
        </is>
      </c>
      <c r="F586" t="inlineStr">
        <is>
          <t>Reference formulation — not released for production</t>
        </is>
      </c>
      <c r="G586"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87">
      <c r="A587" t="inlineStr">
        <is>
          <t>R195</t>
        </is>
      </c>
      <c r="B587" t="inlineStr">
        <is>
          <t>Mexican Style Chocolate Ice Cream</t>
        </is>
      </c>
      <c r="C587" t="inlineStr">
        <is>
          <t>Research recipe/collection/page</t>
        </is>
      </c>
      <c r="D587" t="inlineStr">
        <is>
          <t>S127</t>
        </is>
      </c>
      <c r="E587" t="inlineStr">
        <is>
          <t>PDF page 9 (shared page may contain adjacent recipe)</t>
        </is>
      </c>
      <c r="F587" t="inlineStr">
        <is>
          <t>Reference formulation — not released for production</t>
        </is>
      </c>
      <c r="G587"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88">
      <c r="A588" t="inlineStr">
        <is>
          <t>R196</t>
        </is>
      </c>
      <c r="B588" t="inlineStr">
        <is>
          <t>Grand Marnier Ice Cream</t>
        </is>
      </c>
      <c r="C588" t="inlineStr">
        <is>
          <t>Research recipe/collection/page</t>
        </is>
      </c>
      <c r="D588" t="inlineStr">
        <is>
          <t>S127</t>
        </is>
      </c>
      <c r="E588" t="inlineStr">
        <is>
          <t>PDF page 10 (shared page may contain adjacent recipe)</t>
        </is>
      </c>
      <c r="F588" t="inlineStr">
        <is>
          <t>Reference formulation — not released for production</t>
        </is>
      </c>
      <c r="G588"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89">
      <c r="A589" t="inlineStr">
        <is>
          <t>R197</t>
        </is>
      </c>
      <c r="B589" t="inlineStr">
        <is>
          <t>Dairy-Free Vanilla Ice Cream</t>
        </is>
      </c>
      <c r="C589" t="inlineStr">
        <is>
          <t>Research recipe/collection/page</t>
        </is>
      </c>
      <c r="D589" t="inlineStr">
        <is>
          <t>S127</t>
        </is>
      </c>
      <c r="E589" t="inlineStr">
        <is>
          <t>PDF page 11 (shared page may contain adjacent recipe)</t>
        </is>
      </c>
      <c r="F589" t="inlineStr">
        <is>
          <t>Reference formulation — not released for production</t>
        </is>
      </c>
      <c r="G589"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90">
      <c r="A590" t="inlineStr">
        <is>
          <t>R198</t>
        </is>
      </c>
      <c r="B590" t="inlineStr">
        <is>
          <t>Dairy-Free Vanilla Custard Ice Cream</t>
        </is>
      </c>
      <c r="C590" t="inlineStr">
        <is>
          <t>Research recipe/collection/page</t>
        </is>
      </c>
      <c r="D590" t="inlineStr">
        <is>
          <t>S127</t>
        </is>
      </c>
      <c r="E590" t="inlineStr">
        <is>
          <t>PDF page 11 (shared page may contain adjacent recipe)</t>
        </is>
      </c>
      <c r="F590" t="inlineStr">
        <is>
          <t>Reference formulation — not released for production</t>
        </is>
      </c>
      <c r="G590"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91">
      <c r="A591" t="inlineStr">
        <is>
          <t>R199</t>
        </is>
      </c>
      <c r="B591" t="inlineStr">
        <is>
          <t>Sugar-Free Vanilla Ice Cream</t>
        </is>
      </c>
      <c r="C591" t="inlineStr">
        <is>
          <t>Research recipe/collection/page</t>
        </is>
      </c>
      <c r="D591" t="inlineStr">
        <is>
          <t>S127</t>
        </is>
      </c>
      <c r="E591" t="inlineStr">
        <is>
          <t>PDF page 12 (shared page may contain adjacent recipe)</t>
        </is>
      </c>
      <c r="F591" t="inlineStr">
        <is>
          <t>Reference formulation — not released for production</t>
        </is>
      </c>
      <c r="G591"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92">
      <c r="A592" t="inlineStr">
        <is>
          <t>R200</t>
        </is>
      </c>
      <c r="B592" t="inlineStr">
        <is>
          <t>Goat Milk Ice Cream</t>
        </is>
      </c>
      <c r="C592" t="inlineStr">
        <is>
          <t>Research recipe/collection/page</t>
        </is>
      </c>
      <c r="D592" t="inlineStr">
        <is>
          <t>S127</t>
        </is>
      </c>
      <c r="E592" t="inlineStr">
        <is>
          <t>PDF page 12 (shared page may contain adjacent recipe)</t>
        </is>
      </c>
      <c r="F592" t="inlineStr">
        <is>
          <t>Reference formulation — not released for production</t>
        </is>
      </c>
      <c r="G592"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93">
      <c r="A593" t="inlineStr">
        <is>
          <t>R201</t>
        </is>
      </c>
      <c r="B593" t="inlineStr">
        <is>
          <t>Coconut Chocolate Ice Cream</t>
        </is>
      </c>
      <c r="C593" t="inlineStr">
        <is>
          <t>Research recipe/collection/page</t>
        </is>
      </c>
      <c r="D593" t="inlineStr">
        <is>
          <t>S127</t>
        </is>
      </c>
      <c r="E593" t="inlineStr">
        <is>
          <t>PDF page 12 (shared page may contain adjacent recipe)</t>
        </is>
      </c>
      <c r="F593" t="inlineStr">
        <is>
          <t>Reference formulation — not released for production</t>
        </is>
      </c>
      <c r="G593"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94">
      <c r="A594" t="inlineStr">
        <is>
          <t>R202</t>
        </is>
      </c>
      <c r="B594" t="inlineStr">
        <is>
          <t>Basic Vanilla Gelato</t>
        </is>
      </c>
      <c r="C594" t="inlineStr">
        <is>
          <t>Research recipe/collection/page</t>
        </is>
      </c>
      <c r="D594" t="inlineStr">
        <is>
          <t>S127</t>
        </is>
      </c>
      <c r="E594" t="inlineStr">
        <is>
          <t>PDF page 13 (shared page may contain adjacent recipe)</t>
        </is>
      </c>
      <c r="F594" t="inlineStr">
        <is>
          <t>Reference formulation — not released for production</t>
        </is>
      </c>
      <c r="G594"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95">
      <c r="A595" t="inlineStr">
        <is>
          <t>R203</t>
        </is>
      </c>
      <c r="B595" t="inlineStr">
        <is>
          <t>Chocolate-Hazelnut Gelato</t>
        </is>
      </c>
      <c r="C595" t="inlineStr">
        <is>
          <t>Research recipe/collection/page</t>
        </is>
      </c>
      <c r="D595" t="inlineStr">
        <is>
          <t>S127</t>
        </is>
      </c>
      <c r="E595" t="inlineStr">
        <is>
          <t>PDF page 13 (shared page may contain adjacent recipe)</t>
        </is>
      </c>
      <c r="F595" t="inlineStr">
        <is>
          <t>Reference formulation — not released for production</t>
        </is>
      </c>
      <c r="G595"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96">
      <c r="A596" t="inlineStr">
        <is>
          <t>R204</t>
        </is>
      </c>
      <c r="B596" t="inlineStr">
        <is>
          <t>Custard Gelato</t>
        </is>
      </c>
      <c r="C596" t="inlineStr">
        <is>
          <t>Research recipe/collection/page</t>
        </is>
      </c>
      <c r="D596" t="inlineStr">
        <is>
          <t>S127</t>
        </is>
      </c>
      <c r="E596" t="inlineStr">
        <is>
          <t>PDF page 14 (shared page may contain adjacent recipe)</t>
        </is>
      </c>
      <c r="F596" t="inlineStr">
        <is>
          <t>Reference formulation — not released for production</t>
        </is>
      </c>
      <c r="G596"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97">
      <c r="A597" t="inlineStr">
        <is>
          <t>R205</t>
        </is>
      </c>
      <c r="B597" t="inlineStr">
        <is>
          <t>Espresso Gelato</t>
        </is>
      </c>
      <c r="C597" t="inlineStr">
        <is>
          <t>Research recipe/collection/page</t>
        </is>
      </c>
      <c r="D597" t="inlineStr">
        <is>
          <t>S127</t>
        </is>
      </c>
      <c r="E597" t="inlineStr">
        <is>
          <t>PDF page 14 (shared page may contain adjacent recipe)</t>
        </is>
      </c>
      <c r="F597" t="inlineStr">
        <is>
          <t>Reference formulation — not released for production</t>
        </is>
      </c>
      <c r="G597"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98">
      <c r="A598" t="inlineStr">
        <is>
          <t>R206</t>
        </is>
      </c>
      <c r="B598" t="inlineStr">
        <is>
          <t>Lemon Gelato</t>
        </is>
      </c>
      <c r="C598" t="inlineStr">
        <is>
          <t>Research recipe/collection/page</t>
        </is>
      </c>
      <c r="D598" t="inlineStr">
        <is>
          <t>S127</t>
        </is>
      </c>
      <c r="E598" t="inlineStr">
        <is>
          <t>PDF page 15 (shared page may contain adjacent recipe)</t>
        </is>
      </c>
      <c r="F598" t="inlineStr">
        <is>
          <t>Reference formulation — not released for production</t>
        </is>
      </c>
      <c r="G598"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599">
      <c r="A599" t="inlineStr">
        <is>
          <t>R207</t>
        </is>
      </c>
      <c r="B599" t="inlineStr">
        <is>
          <t>Mascarpone And Fig Gelato</t>
        </is>
      </c>
      <c r="C599" t="inlineStr">
        <is>
          <t>Research recipe/collection/page</t>
        </is>
      </c>
      <c r="D599" t="inlineStr">
        <is>
          <t>S127</t>
        </is>
      </c>
      <c r="E599" t="inlineStr">
        <is>
          <t>PDF page 15 (shared page may contain adjacent recipe)</t>
        </is>
      </c>
      <c r="F599" t="inlineStr">
        <is>
          <t>Reference formulation — not released for production</t>
        </is>
      </c>
      <c r="G599"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600">
      <c r="A600" t="inlineStr">
        <is>
          <t>R208</t>
        </is>
      </c>
      <c r="B600" t="inlineStr">
        <is>
          <t>Mixed Berry Gelato</t>
        </is>
      </c>
      <c r="C600" t="inlineStr">
        <is>
          <t>Research recipe/collection/page</t>
        </is>
      </c>
      <c r="D600" t="inlineStr">
        <is>
          <t>S127</t>
        </is>
      </c>
      <c r="E600" t="inlineStr">
        <is>
          <t>PDF page 16 (shared page may contain adjacent recipe)</t>
        </is>
      </c>
      <c r="F600" t="inlineStr">
        <is>
          <t>Reference formulation — not released for production</t>
        </is>
      </c>
      <c r="G600"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601">
      <c r="A601" t="inlineStr">
        <is>
          <t>R209</t>
        </is>
      </c>
      <c r="B601" t="inlineStr">
        <is>
          <t>Olive Oil-Thyme Gelato</t>
        </is>
      </c>
      <c r="C601" t="inlineStr">
        <is>
          <t>Research recipe/collection/page</t>
        </is>
      </c>
      <c r="D601" t="inlineStr">
        <is>
          <t>S127</t>
        </is>
      </c>
      <c r="E601" t="inlineStr">
        <is>
          <t>PDF page 17 (shared page may contain adjacent recipe)</t>
        </is>
      </c>
      <c r="F601" t="inlineStr">
        <is>
          <t>Reference formulation — not released for production</t>
        </is>
      </c>
      <c r="G601"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602">
      <c r="A602" t="inlineStr">
        <is>
          <t>R210</t>
        </is>
      </c>
      <c r="B602" t="inlineStr">
        <is>
          <t>Pistachio Gelato</t>
        </is>
      </c>
      <c r="C602" t="inlineStr">
        <is>
          <t>Research recipe/collection/page</t>
        </is>
      </c>
      <c r="D602" t="inlineStr">
        <is>
          <t>S127</t>
        </is>
      </c>
      <c r="E602" t="inlineStr">
        <is>
          <t>PDF page 17 (shared page may contain adjacent recipe)</t>
        </is>
      </c>
      <c r="F602" t="inlineStr">
        <is>
          <t>Reference formulation — not released for production</t>
        </is>
      </c>
      <c r="G602"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603">
      <c r="A603" t="inlineStr">
        <is>
          <t>R211</t>
        </is>
      </c>
      <c r="B603" t="inlineStr">
        <is>
          <t>Honey-Almond Frozen Yoghurt</t>
        </is>
      </c>
      <c r="C603" t="inlineStr">
        <is>
          <t>Research recipe/collection/page</t>
        </is>
      </c>
      <c r="D603" t="inlineStr">
        <is>
          <t>S127</t>
        </is>
      </c>
      <c r="E603" t="inlineStr">
        <is>
          <t>PDF page 18 (shared page may contain adjacent recipe)</t>
        </is>
      </c>
      <c r="F603" t="inlineStr">
        <is>
          <t>Reference formulation — not released for production</t>
        </is>
      </c>
      <c r="G603"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604">
      <c r="A604" t="inlineStr">
        <is>
          <t>R212</t>
        </is>
      </c>
      <c r="B604" t="inlineStr">
        <is>
          <t>Pumpkin Frozen Yoghurt</t>
        </is>
      </c>
      <c r="C604" t="inlineStr">
        <is>
          <t>Research recipe/collection/page</t>
        </is>
      </c>
      <c r="D604" t="inlineStr">
        <is>
          <t>S127</t>
        </is>
      </c>
      <c r="E604" t="inlineStr">
        <is>
          <t>PDF page 18 (shared page may contain adjacent recipe)</t>
        </is>
      </c>
      <c r="F604" t="inlineStr">
        <is>
          <t>Reference formulation — not released for production</t>
        </is>
      </c>
      <c r="G604"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605">
      <c r="A605" t="inlineStr">
        <is>
          <t>R213</t>
        </is>
      </c>
      <c r="B605" t="inlineStr">
        <is>
          <t>Coconut Sorbet</t>
        </is>
      </c>
      <c r="C605" t="inlineStr">
        <is>
          <t>Research recipe/collection/page</t>
        </is>
      </c>
      <c r="D605" t="inlineStr">
        <is>
          <t>S127</t>
        </is>
      </c>
      <c r="E605" t="inlineStr">
        <is>
          <t>PDF page 19 (shared page may contain adjacent recipe)</t>
        </is>
      </c>
      <c r="F605" t="inlineStr">
        <is>
          <t>Reference formulation — not released for production</t>
        </is>
      </c>
      <c r="G605"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606">
      <c r="A606" t="inlineStr">
        <is>
          <t>R214</t>
        </is>
      </c>
      <c r="B606" t="inlineStr">
        <is>
          <t>Prosecco-Grapefruit Sorbet</t>
        </is>
      </c>
      <c r="C606" t="inlineStr">
        <is>
          <t>Research recipe/collection/page</t>
        </is>
      </c>
      <c r="D606" t="inlineStr">
        <is>
          <t>S127</t>
        </is>
      </c>
      <c r="E606" t="inlineStr">
        <is>
          <t>PDF page 19 (shared page may contain adjacent recipe)</t>
        </is>
      </c>
      <c r="F606" t="inlineStr">
        <is>
          <t>Reference formulation — not released for production</t>
        </is>
      </c>
      <c r="G606"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607">
      <c r="A607" t="inlineStr">
        <is>
          <t>R215</t>
        </is>
      </c>
      <c r="B607" t="inlineStr">
        <is>
          <t>Caramel Sauce</t>
        </is>
      </c>
      <c r="C607" t="inlineStr">
        <is>
          <t>Research recipe/collection/page</t>
        </is>
      </c>
      <c r="D607" t="inlineStr">
        <is>
          <t>S127</t>
        </is>
      </c>
      <c r="E607" t="inlineStr">
        <is>
          <t>PDF page 20 (shared page may contain adjacent recipe)</t>
        </is>
      </c>
      <c r="F607" t="inlineStr">
        <is>
          <t>Reference formulation — not released for production</t>
        </is>
      </c>
      <c r="G607"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608">
      <c r="A608" t="inlineStr">
        <is>
          <t>R216</t>
        </is>
      </c>
      <c r="B608" t="inlineStr">
        <is>
          <t>Hot Fudge Sauce</t>
        </is>
      </c>
      <c r="C608" t="inlineStr">
        <is>
          <t>Research recipe/collection/page</t>
        </is>
      </c>
      <c r="D608" t="inlineStr">
        <is>
          <t>S127</t>
        </is>
      </c>
      <c r="E608" t="inlineStr">
        <is>
          <t>PDF page 20 (shared page may contain adjacent recipe)</t>
        </is>
      </c>
      <c r="F608" t="inlineStr">
        <is>
          <t>Reference formulation — not released for production</t>
        </is>
      </c>
      <c r="G608"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row>
    <row r="609">
      <c r="A609" t="inlineStr">
        <is>
          <t>R217</t>
        </is>
      </c>
      <c r="B609" t="inlineStr">
        <is>
          <t>RECIPE MANUAL</t>
        </is>
      </c>
      <c r="C609" t="inlineStr">
        <is>
          <t>Research recipe/collection/page</t>
        </is>
      </c>
      <c r="D609" t="inlineStr">
        <is>
          <t>S126</t>
        </is>
      </c>
      <c r="E609" t="inlineStr">
        <is>
          <t>PDF page 1</t>
        </is>
      </c>
      <c r="F609" t="inlineStr">
        <is>
          <t>Reference page — normalization and release unresolved</t>
        </is>
      </c>
      <c r="G609"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10">
      <c r="A610" t="inlineStr">
        <is>
          <t>R218</t>
        </is>
      </c>
      <c r="B610" t="inlineStr">
        <is>
          <t>Pour the mixture into the bowl of the ice cream maker and freeze. Please follow</t>
        </is>
      </c>
      <c r="C610" t="inlineStr">
        <is>
          <t>Research recipe/collection/page</t>
        </is>
      </c>
      <c r="D610" t="inlineStr">
        <is>
          <t>S126</t>
        </is>
      </c>
      <c r="E610" t="inlineStr">
        <is>
          <t>PDF page 2</t>
        </is>
      </c>
      <c r="F610" t="inlineStr">
        <is>
          <t>Reference page — normalization and release unresolved</t>
        </is>
      </c>
      <c r="G610"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11">
      <c r="A611" t="inlineStr">
        <is>
          <t>R219</t>
        </is>
      </c>
      <c r="B611" t="inlineStr">
        <is>
          <t>Apricot Ice Cream</t>
        </is>
      </c>
      <c r="C611" t="inlineStr">
        <is>
          <t>Research recipe/collection/page</t>
        </is>
      </c>
      <c r="D611" t="inlineStr">
        <is>
          <t>S126</t>
        </is>
      </c>
      <c r="E611" t="inlineStr">
        <is>
          <t>PDF page 3</t>
        </is>
      </c>
      <c r="F611" t="inlineStr">
        <is>
          <t>Reference page — normalization and release unresolved</t>
        </is>
      </c>
      <c r="G611"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12">
      <c r="A612" t="inlineStr">
        <is>
          <t>R220</t>
        </is>
      </c>
      <c r="B612" t="inlineStr">
        <is>
          <t>Pour the mixture into the bowl of the ice cream maker and freeze. Please follow</t>
        </is>
      </c>
      <c r="C612" t="inlineStr">
        <is>
          <t>Research recipe/collection/page</t>
        </is>
      </c>
      <c r="D612" t="inlineStr">
        <is>
          <t>S126</t>
        </is>
      </c>
      <c r="E612" t="inlineStr">
        <is>
          <t>PDF page 4</t>
        </is>
      </c>
      <c r="F612" t="inlineStr">
        <is>
          <t>Reference page — normalization and release unresolved</t>
        </is>
      </c>
      <c r="G612"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13">
      <c r="A613" t="inlineStr">
        <is>
          <t>R221</t>
        </is>
      </c>
      <c r="B613" t="inlineStr">
        <is>
          <t>Rich Vanilla Ice Cream</t>
        </is>
      </c>
      <c r="C613" t="inlineStr">
        <is>
          <t>Research recipe/collection/page</t>
        </is>
      </c>
      <c r="D613" t="inlineStr">
        <is>
          <t>S126</t>
        </is>
      </c>
      <c r="E613" t="inlineStr">
        <is>
          <t>PDF page 5</t>
        </is>
      </c>
      <c r="F613" t="inlineStr">
        <is>
          <t>Reference page — normalization and release unresolved</t>
        </is>
      </c>
      <c r="G613"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14">
      <c r="A614" t="inlineStr">
        <is>
          <t>R222</t>
        </is>
      </c>
      <c r="B614" t="inlineStr">
        <is>
          <t>Coffee Ice Cream</t>
        </is>
      </c>
      <c r="C614" t="inlineStr">
        <is>
          <t>Research recipe/collection/page</t>
        </is>
      </c>
      <c r="D614" t="inlineStr">
        <is>
          <t>S126</t>
        </is>
      </c>
      <c r="E614" t="inlineStr">
        <is>
          <t>PDF page 6</t>
        </is>
      </c>
      <c r="F614" t="inlineStr">
        <is>
          <t>Reference page — normalization and release unresolved</t>
        </is>
      </c>
      <c r="G614"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15">
      <c r="A615" t="inlineStr">
        <is>
          <t>R223</t>
        </is>
      </c>
      <c r="B615" t="inlineStr">
        <is>
          <t>Peach Pit Ice Cream</t>
        </is>
      </c>
      <c r="C615" t="inlineStr">
        <is>
          <t>Research recipe/collection/page</t>
        </is>
      </c>
      <c r="D615" t="inlineStr">
        <is>
          <t>S126</t>
        </is>
      </c>
      <c r="E615" t="inlineStr">
        <is>
          <t>PDF page 7</t>
        </is>
      </c>
      <c r="F615" t="inlineStr">
        <is>
          <t>Reference page — normalization and release unresolved</t>
        </is>
      </c>
      <c r="G615"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16">
      <c r="A616" t="inlineStr">
        <is>
          <t>R224</t>
        </is>
      </c>
      <c r="B616" t="inlineStr">
        <is>
          <t>Brown Sugar Pecan Ice Cream</t>
        </is>
      </c>
      <c r="C616" t="inlineStr">
        <is>
          <t>Research recipe/collection/page</t>
        </is>
      </c>
      <c r="D616" t="inlineStr">
        <is>
          <t>S126</t>
        </is>
      </c>
      <c r="E616" t="inlineStr">
        <is>
          <t>PDF page 8</t>
        </is>
      </c>
      <c r="F616" t="inlineStr">
        <is>
          <t>Reference page — normalization and release unresolved</t>
        </is>
      </c>
      <c r="G616"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17">
      <c r="A617" t="inlineStr">
        <is>
          <t>R225</t>
        </is>
      </c>
      <c r="B617" t="inlineStr">
        <is>
          <t>make a batch of any quantity, forget about it for months (although fresh sorbets are</t>
        </is>
      </c>
      <c r="C617" t="inlineStr">
        <is>
          <t>Research recipe/collection/page</t>
        </is>
      </c>
      <c r="D617" t="inlineStr">
        <is>
          <t>S126</t>
        </is>
      </c>
      <c r="E617" t="inlineStr">
        <is>
          <t>PDF page 10</t>
        </is>
      </c>
      <c r="F617" t="inlineStr">
        <is>
          <t>Reference page — normalization and release unresolved</t>
        </is>
      </c>
      <c r="G617"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18">
      <c r="A618" t="inlineStr">
        <is>
          <t>R226</t>
        </is>
      </c>
      <c r="B618" t="inlineStr">
        <is>
          <t>About 1660, it is said, a Sicilian named Francisco Procopio introduced ice cream</t>
        </is>
      </c>
      <c r="C618" t="inlineStr">
        <is>
          <t>Research recipe/collection/page</t>
        </is>
      </c>
      <c r="D618" t="inlineStr">
        <is>
          <t>S126</t>
        </is>
      </c>
      <c r="E618" t="inlineStr">
        <is>
          <t>PDF page 11</t>
        </is>
      </c>
      <c r="F618" t="inlineStr">
        <is>
          <t>Reference page — normalization and release unresolved</t>
        </is>
      </c>
      <c r="G618"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19">
      <c r="A619" t="inlineStr">
        <is>
          <t>R227</t>
        </is>
      </c>
      <c r="B619" t="inlineStr">
        <is>
          <t>By 1676 there were 250 official limonadiers, sellers of ice creams and water ices,</t>
        </is>
      </c>
      <c r="C619" t="inlineStr">
        <is>
          <t>Research recipe/collection/page</t>
        </is>
      </c>
      <c r="D619" t="inlineStr">
        <is>
          <t>S126</t>
        </is>
      </c>
      <c r="E619" t="inlineStr">
        <is>
          <t>PDF page 12</t>
        </is>
      </c>
      <c r="F619" t="inlineStr">
        <is>
          <t>Reference page — normalization and release unresolved</t>
        </is>
      </c>
      <c r="G619"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20">
      <c r="A620" t="inlineStr">
        <is>
          <t>R228</t>
        </is>
      </c>
      <c r="B620" t="inlineStr">
        <is>
          <t>Pour the mixture into the bowl of the ice cream maker and freeze. Please follow</t>
        </is>
      </c>
      <c r="C620" t="inlineStr">
        <is>
          <t>Research recipe/collection/page</t>
        </is>
      </c>
      <c r="D620" t="inlineStr">
        <is>
          <t>S126</t>
        </is>
      </c>
      <c r="E620" t="inlineStr">
        <is>
          <t>PDF page 13</t>
        </is>
      </c>
      <c r="F620" t="inlineStr">
        <is>
          <t>Reference page — normalization and release unresolved</t>
        </is>
      </c>
      <c r="G620"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21">
      <c r="A621" t="inlineStr">
        <is>
          <t>R229</t>
        </is>
      </c>
      <c r="B621" t="inlineStr">
        <is>
          <t>Pour the mixture into the bowl of the ice cream maker and freeze. Please follow</t>
        </is>
      </c>
      <c r="C621" t="inlineStr">
        <is>
          <t>Research recipe/collection/page</t>
        </is>
      </c>
      <c r="D621" t="inlineStr">
        <is>
          <t>S126</t>
        </is>
      </c>
      <c r="E621" t="inlineStr">
        <is>
          <t>PDF page 14</t>
        </is>
      </c>
      <c r="F621" t="inlineStr">
        <is>
          <t>Reference page — normalization and release unresolved</t>
        </is>
      </c>
      <c r="G621"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22">
      <c r="A622" t="inlineStr">
        <is>
          <t>R230</t>
        </is>
      </c>
      <c r="B622" t="inlineStr">
        <is>
          <t>it is complicated to make, the resulting sorbet is truly special. The same procedure</t>
        </is>
      </c>
      <c r="C622" t="inlineStr">
        <is>
          <t>Research recipe/collection/page</t>
        </is>
      </c>
      <c r="D622" t="inlineStr">
        <is>
          <t>S126</t>
        </is>
      </c>
      <c r="E622" t="inlineStr">
        <is>
          <t>PDF page 15</t>
        </is>
      </c>
      <c r="F622" t="inlineStr">
        <is>
          <t>Reference page — normalization and release unresolved</t>
        </is>
      </c>
      <c r="G622"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23">
      <c r="A623" t="inlineStr">
        <is>
          <t>R231</t>
        </is>
      </c>
      <c r="B623" t="inlineStr">
        <is>
          <t>Cranberry Juice Sorbet</t>
        </is>
      </c>
      <c r="C623" t="inlineStr">
        <is>
          <t>Research recipe/collection/page</t>
        </is>
      </c>
      <c r="D623" t="inlineStr">
        <is>
          <t>S126</t>
        </is>
      </c>
      <c r="E623" t="inlineStr">
        <is>
          <t>PDF page 16</t>
        </is>
      </c>
      <c r="F623" t="inlineStr">
        <is>
          <t>Reference page — normalization and release unresolved</t>
        </is>
      </c>
      <c r="G623"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24">
      <c r="A624" t="inlineStr">
        <is>
          <t>R232</t>
        </is>
      </c>
      <c r="B624" t="inlineStr">
        <is>
          <t>Lemon Sorbet</t>
        </is>
      </c>
      <c r="C624" t="inlineStr">
        <is>
          <t>Research recipe/collection/page</t>
        </is>
      </c>
      <c r="D624" t="inlineStr">
        <is>
          <t>S126</t>
        </is>
      </c>
      <c r="E624" t="inlineStr">
        <is>
          <t>PDF page 17</t>
        </is>
      </c>
      <c r="F624" t="inlineStr">
        <is>
          <t>Reference page — normalization and release unresolved</t>
        </is>
      </c>
      <c r="G624"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25">
      <c r="A625" t="inlineStr">
        <is>
          <t>R233</t>
        </is>
      </c>
      <c r="B625" t="inlineStr">
        <is>
          <t>Heat the water and sugar together in a saucepan. Add the chocolate and simmer</t>
        </is>
      </c>
      <c r="C625" t="inlineStr">
        <is>
          <t>Research recipe/collection/page</t>
        </is>
      </c>
      <c r="D625" t="inlineStr">
        <is>
          <t>S126</t>
        </is>
      </c>
      <c r="E625" t="inlineStr">
        <is>
          <t>PDF page 18</t>
        </is>
      </c>
      <c r="F625" t="inlineStr">
        <is>
          <t>Reference page — normalization and release unresolved</t>
        </is>
      </c>
      <c r="G625"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26">
      <c r="A626" t="inlineStr">
        <is>
          <t>R234</t>
        </is>
      </c>
      <c r="B626" t="inlineStr">
        <is>
          <t>Chicken Soup and Dill Sorbet</t>
        </is>
      </c>
      <c r="C626" t="inlineStr">
        <is>
          <t>Research recipe/collection/page</t>
        </is>
      </c>
      <c r="D626" t="inlineStr">
        <is>
          <t>S126</t>
        </is>
      </c>
      <c r="E626" t="inlineStr">
        <is>
          <t>PDF page 19</t>
        </is>
      </c>
      <c r="F626" t="inlineStr">
        <is>
          <t>Reference page — normalization and release unresolved</t>
        </is>
      </c>
      <c r="G626"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27">
      <c r="A627" t="inlineStr">
        <is>
          <t>R235</t>
        </is>
      </c>
      <c r="B627" t="inlineStr">
        <is>
          <t>Borscht Sorbet</t>
        </is>
      </c>
      <c r="C627" t="inlineStr">
        <is>
          <t>Research recipe/collection/page</t>
        </is>
      </c>
      <c r="D627" t="inlineStr">
        <is>
          <t>S126</t>
        </is>
      </c>
      <c r="E627" t="inlineStr">
        <is>
          <t>PDF page 20</t>
        </is>
      </c>
      <c r="F627" t="inlineStr">
        <is>
          <t>Reference page — normalization and release unresolved</t>
        </is>
      </c>
      <c r="G627"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28">
      <c r="A628" t="inlineStr">
        <is>
          <t>R236</t>
        </is>
      </c>
      <c r="B628" t="inlineStr">
        <is>
          <t>Pour the mixture into the bowl of the ice cream maker and freeze. Please follow</t>
        </is>
      </c>
      <c r="C628" t="inlineStr">
        <is>
          <t>Research recipe/collection/page</t>
        </is>
      </c>
      <c r="D628" t="inlineStr">
        <is>
          <t>S126</t>
        </is>
      </c>
      <c r="E628" t="inlineStr">
        <is>
          <t>PDF page 21</t>
        </is>
      </c>
      <c r="F628" t="inlineStr">
        <is>
          <t>Reference page — normalization and release unresolved</t>
        </is>
      </c>
      <c r="G628"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29">
      <c r="A629" t="inlineStr">
        <is>
          <t>R237</t>
        </is>
      </c>
      <c r="B629" t="inlineStr">
        <is>
          <t>Champagne Sorbet</t>
        </is>
      </c>
      <c r="C629" t="inlineStr">
        <is>
          <t>Research recipe/collection/page</t>
        </is>
      </c>
      <c r="D629" t="inlineStr">
        <is>
          <t>S126</t>
        </is>
      </c>
      <c r="E629" t="inlineStr">
        <is>
          <t>PDF page 22</t>
        </is>
      </c>
      <c r="F629" t="inlineStr">
        <is>
          <t>Reference page — normalization and release unresolved</t>
        </is>
      </c>
      <c r="G629"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30">
      <c r="A630" t="inlineStr">
        <is>
          <t>R238</t>
        </is>
      </c>
      <c r="B630" t="inlineStr">
        <is>
          <t>skim and non-fat dry milk instead of whole milk. The fruit recipes can be varied in</t>
        </is>
      </c>
      <c r="C630" t="inlineStr">
        <is>
          <t>Research recipe/collection/page</t>
        </is>
      </c>
      <c r="D630" t="inlineStr">
        <is>
          <t>S126</t>
        </is>
      </c>
      <c r="E630" t="inlineStr">
        <is>
          <t>PDF page 23</t>
        </is>
      </c>
      <c r="F630" t="inlineStr">
        <is>
          <t>Reference page — normalization and release unresolved</t>
        </is>
      </c>
      <c r="G630"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31">
      <c r="A631" t="inlineStr">
        <is>
          <t>R239</t>
        </is>
      </c>
      <c r="B631" t="inlineStr">
        <is>
          <t>Heat the milk, sugar and non-fat dry milk in a saucepan, stirring until the sugar and</t>
        </is>
      </c>
      <c r="C631" t="inlineStr">
        <is>
          <t>Research recipe/collection/page</t>
        </is>
      </c>
      <c r="D631" t="inlineStr">
        <is>
          <t>S126</t>
        </is>
      </c>
      <c r="E631" t="inlineStr">
        <is>
          <t>PDF page 24</t>
        </is>
      </c>
      <c r="F631" t="inlineStr">
        <is>
          <t>Reference page — normalization and release unresolved</t>
        </is>
      </c>
      <c r="G631"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32">
      <c r="A632" t="inlineStr">
        <is>
          <t>R240</t>
        </is>
      </c>
      <c r="B632" t="inlineStr">
        <is>
          <t>Honey frozen yogurt</t>
        </is>
      </c>
      <c r="C632" t="inlineStr">
        <is>
          <t>Research recipe/collection/page</t>
        </is>
      </c>
      <c r="D632" t="inlineStr">
        <is>
          <t>S126</t>
        </is>
      </c>
      <c r="E632" t="inlineStr">
        <is>
          <t>PDF page 25</t>
        </is>
      </c>
      <c r="F632" t="inlineStr">
        <is>
          <t>Reference page — normalization and release unresolved</t>
        </is>
      </c>
      <c r="G632"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33">
      <c r="A633" t="inlineStr">
        <is>
          <t>R241</t>
        </is>
      </c>
      <c r="B633" t="inlineStr">
        <is>
          <t>sauce.</t>
        </is>
      </c>
      <c r="C633" t="inlineStr">
        <is>
          <t>Research recipe/collection/page</t>
        </is>
      </c>
      <c r="D633" t="inlineStr">
        <is>
          <t>S126</t>
        </is>
      </c>
      <c r="E633" t="inlineStr">
        <is>
          <t>PDF page 26</t>
        </is>
      </c>
      <c r="F633" t="inlineStr">
        <is>
          <t>Reference page — normalization and release unresolved</t>
        </is>
      </c>
      <c r="G633"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34">
      <c r="A634" t="inlineStr">
        <is>
          <t>R242</t>
        </is>
      </c>
      <c r="B634" t="inlineStr">
        <is>
          <t>Place the sugar in a heavy saucepan over medium heat and stir continuously until</t>
        </is>
      </c>
      <c r="C634" t="inlineStr">
        <is>
          <t>Research recipe/collection/page</t>
        </is>
      </c>
      <c r="D634" t="inlineStr">
        <is>
          <t>S126</t>
        </is>
      </c>
      <c r="E634" t="inlineStr">
        <is>
          <t>PDF page 27</t>
        </is>
      </c>
      <c r="F634" t="inlineStr">
        <is>
          <t>Reference page — normalization and release unresolved</t>
        </is>
      </c>
      <c r="G634"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35">
      <c r="A635" t="inlineStr">
        <is>
          <t>R243</t>
        </is>
      </c>
      <c r="B635" t="inlineStr">
        <is>
          <t>Myths abound about the origin of the ice cream sundae. In all stories the spelling</t>
        </is>
      </c>
      <c r="C635" t="inlineStr">
        <is>
          <t>Research recipe/collection/page</t>
        </is>
      </c>
      <c r="D635" t="inlineStr">
        <is>
          <t>S126</t>
        </is>
      </c>
      <c r="E635" t="inlineStr">
        <is>
          <t>PDF page 28</t>
        </is>
      </c>
      <c r="F635" t="inlineStr">
        <is>
          <t>Reference page — normalization and release unresolved</t>
        </is>
      </c>
      <c r="G635"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36">
      <c r="A636" t="inlineStr">
        <is>
          <t>R244</t>
        </is>
      </c>
      <c r="B636" t="inlineStr">
        <is>
          <t>Pour the mixture into the bowl of the ice cream maker and freeze. Please follow</t>
        </is>
      </c>
      <c r="C636" t="inlineStr">
        <is>
          <t>Research recipe/collection/page</t>
        </is>
      </c>
      <c r="D636" t="inlineStr">
        <is>
          <t>S126</t>
        </is>
      </c>
      <c r="E636" t="inlineStr">
        <is>
          <t>PDF page 29</t>
        </is>
      </c>
      <c r="F636" t="inlineStr">
        <is>
          <t>Reference page — normalization and release unresolved</t>
        </is>
      </c>
      <c r="G636"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row>
    <row r="637">
      <c r="A637" t="inlineStr">
        <is>
          <t>R245</t>
        </is>
      </c>
      <c r="B637" t="inlineStr">
        <is>
          <t>Balsamic Gelato</t>
        </is>
      </c>
      <c r="C637" t="inlineStr">
        <is>
          <t>Research recipe/collection/page</t>
        </is>
      </c>
      <c r="D637" t="inlineStr">
        <is>
          <t>S128</t>
        </is>
      </c>
      <c r="E637" t="inlineStr">
        <is>
          <t>PDF page 7</t>
        </is>
      </c>
      <c r="F637" t="inlineStr">
        <is>
          <t>Reference page — normalization and release unresolved</t>
        </is>
      </c>
      <c r="G637" t="inlineStr">
        <is>
          <t>Source page may contain several variants or continued recipes; retain all listed quantities and see the adjoining original page for context. Vague household measures, product specifications and commercial process/yield remain unresolved.</t>
        </is>
      </c>
    </row>
    <row r="638">
      <c r="A638" t="inlineStr">
        <is>
          <t>R246</t>
        </is>
      </c>
      <c r="B638" t="inlineStr">
        <is>
          <t>Vanilla Ice Cream</t>
        </is>
      </c>
      <c r="C638" t="inlineStr">
        <is>
          <t>Research recipe/collection/page</t>
        </is>
      </c>
      <c r="D638" t="inlineStr">
        <is>
          <t>S128</t>
        </is>
      </c>
      <c r="E638" t="inlineStr">
        <is>
          <t>PDF page 11</t>
        </is>
      </c>
      <c r="F638" t="inlineStr">
        <is>
          <t>Reference page — normalization and release unresolved</t>
        </is>
      </c>
      <c r="G638" t="inlineStr">
        <is>
          <t>Source page may contain several variants or continued recipes; retain all listed quantities and see the adjoining original page for context. Vague household measures, product specifications and commercial process/yield remain unresolved.</t>
        </is>
      </c>
    </row>
    <row r="639">
      <c r="A639" t="inlineStr">
        <is>
          <t>R247</t>
        </is>
      </c>
      <c r="B639" t="inlineStr">
        <is>
          <t>Ice Cream</t>
        </is>
      </c>
      <c r="C639" t="inlineStr">
        <is>
          <t>Research recipe/collection/page</t>
        </is>
      </c>
      <c r="D639" t="inlineStr">
        <is>
          <t>S128</t>
        </is>
      </c>
      <c r="E639" t="inlineStr">
        <is>
          <t>PDF page 17</t>
        </is>
      </c>
      <c r="F639" t="inlineStr">
        <is>
          <t>Reference page — normalization and release unresolved</t>
        </is>
      </c>
      <c r="G639" t="inlineStr">
        <is>
          <t>Source page may contain several variants or continued recipes; retain all listed quantities and see the adjoining original page for context. Vague household measures, product specifications and commercial process/yield remain unresolved.</t>
        </is>
      </c>
    </row>
    <row r="640">
      <c r="A640" t="inlineStr">
        <is>
          <t>R248</t>
        </is>
      </c>
      <c r="B640" t="inlineStr">
        <is>
          <t>17 Commercial Yoghurt production by Chef Tilda Culinary School</t>
        </is>
      </c>
      <c r="C640" t="inlineStr">
        <is>
          <t>Research recipe/collection/page</t>
        </is>
      </c>
      <c r="D640" t="inlineStr">
        <is>
          <t>S179</t>
        </is>
      </c>
      <c r="E640" t="inlineStr">
        <is>
          <t>PDF page 18</t>
        </is>
      </c>
      <c r="F640" t="inlineStr">
        <is>
          <t>Reference page — normalization and release unresolved</t>
        </is>
      </c>
      <c r="G640"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row>
    <row r="641">
      <c r="A641" t="inlineStr">
        <is>
          <t>R249</t>
        </is>
      </c>
      <c r="B641" t="inlineStr">
        <is>
          <t>18 Commercial Yoghurt production by Chef Tilda Culinary School</t>
        </is>
      </c>
      <c r="C641" t="inlineStr">
        <is>
          <t>Research recipe/collection/page</t>
        </is>
      </c>
      <c r="D641" t="inlineStr">
        <is>
          <t>S179</t>
        </is>
      </c>
      <c r="E641" t="inlineStr">
        <is>
          <t>PDF page 19</t>
        </is>
      </c>
      <c r="F641" t="inlineStr">
        <is>
          <t>Reference page — normalization and release unresolved</t>
        </is>
      </c>
      <c r="G641"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row>
    <row r="642">
      <c r="A642" t="inlineStr">
        <is>
          <t>R250</t>
        </is>
      </c>
      <c r="B642" t="inlineStr">
        <is>
          <t>23 Commercial Yoghurt production by Chef Tilda Culinary School</t>
        </is>
      </c>
      <c r="C642" t="inlineStr">
        <is>
          <t>Research recipe/collection/page</t>
        </is>
      </c>
      <c r="D642" t="inlineStr">
        <is>
          <t>S179</t>
        </is>
      </c>
      <c r="E642" t="inlineStr">
        <is>
          <t>PDF page 24</t>
        </is>
      </c>
      <c r="F642" t="inlineStr">
        <is>
          <t>Reference page — normalization and release unresolved</t>
        </is>
      </c>
      <c r="G642"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row>
    <row r="643">
      <c r="A643" t="inlineStr">
        <is>
          <t>R251</t>
        </is>
      </c>
      <c r="B643" t="inlineStr">
        <is>
          <t>24 Commercial Yoghurt production by Chef Tilda Culinary School</t>
        </is>
      </c>
      <c r="C643" t="inlineStr">
        <is>
          <t>Research recipe/collection/page</t>
        </is>
      </c>
      <c r="D643" t="inlineStr">
        <is>
          <t>S179</t>
        </is>
      </c>
      <c r="E643" t="inlineStr">
        <is>
          <t>PDF page 25</t>
        </is>
      </c>
      <c r="F643" t="inlineStr">
        <is>
          <t>Reference page — normalization and release unresolved</t>
        </is>
      </c>
      <c r="G643"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row>
    <row r="644">
      <c r="A644" t="inlineStr">
        <is>
          <t>R252</t>
        </is>
      </c>
      <c r="B644" t="inlineStr">
        <is>
          <t>25 Commercial Yoghurt production by Chef Tilda Culinary School</t>
        </is>
      </c>
      <c r="C644" t="inlineStr">
        <is>
          <t>Research recipe/collection/page</t>
        </is>
      </c>
      <c r="D644" t="inlineStr">
        <is>
          <t>S179</t>
        </is>
      </c>
      <c r="E644" t="inlineStr">
        <is>
          <t>PDF page 26</t>
        </is>
      </c>
      <c r="F644" t="inlineStr">
        <is>
          <t>Reference page — normalization and release unresolved</t>
        </is>
      </c>
      <c r="G644"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row>
    <row r="645">
      <c r="A645" t="inlineStr">
        <is>
          <t>R253</t>
        </is>
      </c>
      <c r="B645" t="inlineStr">
        <is>
          <t>26 Commercial Yoghurt production by Chef Tilda Culinary School</t>
        </is>
      </c>
      <c r="C645" t="inlineStr">
        <is>
          <t>Research recipe/collection/page</t>
        </is>
      </c>
      <c r="D645" t="inlineStr">
        <is>
          <t>S179</t>
        </is>
      </c>
      <c r="E645" t="inlineStr">
        <is>
          <t>PDF page 27</t>
        </is>
      </c>
      <c r="F645" t="inlineStr">
        <is>
          <t>Reference page — normalization and release unresolved</t>
        </is>
      </c>
      <c r="G645"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row>
    <row r="646">
      <c r="A646" t="inlineStr">
        <is>
          <t>R254</t>
        </is>
      </c>
      <c r="B646" t="inlineStr">
        <is>
          <t>28 Commercial Yoghurt production by Chef Tilda Culinary School</t>
        </is>
      </c>
      <c r="C646" t="inlineStr">
        <is>
          <t>Research recipe/collection/page</t>
        </is>
      </c>
      <c r="D646" t="inlineStr">
        <is>
          <t>S179</t>
        </is>
      </c>
      <c r="E646" t="inlineStr">
        <is>
          <t>PDF page 29</t>
        </is>
      </c>
      <c r="F646" t="inlineStr">
        <is>
          <t>Reference page — normalization and release unresolved</t>
        </is>
      </c>
      <c r="G646"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row>
    <row r="647">
      <c r="A647" t="inlineStr">
        <is>
          <t>R255</t>
        </is>
      </c>
      <c r="B647" t="inlineStr">
        <is>
          <t>29 Commercial Yoghurt production by Chef Tilda Culinary School</t>
        </is>
      </c>
      <c r="C647" t="inlineStr">
        <is>
          <t>Research recipe/collection/page</t>
        </is>
      </c>
      <c r="D647" t="inlineStr">
        <is>
          <t>S179</t>
        </is>
      </c>
      <c r="E647" t="inlineStr">
        <is>
          <t>PDF page 30</t>
        </is>
      </c>
      <c r="F647" t="inlineStr">
        <is>
          <t>Reference page — normalization and release unresolved</t>
        </is>
      </c>
      <c r="G647"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row>
    <row r="648">
      <c r="A648" t="inlineStr">
        <is>
          <t>R256</t>
        </is>
      </c>
      <c r="B648" t="inlineStr">
        <is>
          <t>30 Commercial Yoghurt production by Chef Tilda Culinary School</t>
        </is>
      </c>
      <c r="C648" t="inlineStr">
        <is>
          <t>Research recipe/collection/page</t>
        </is>
      </c>
      <c r="D648" t="inlineStr">
        <is>
          <t>S179</t>
        </is>
      </c>
      <c r="E648" t="inlineStr">
        <is>
          <t>PDF page 31</t>
        </is>
      </c>
      <c r="F648" t="inlineStr">
        <is>
          <t>Reference page — normalization and release unresolved</t>
        </is>
      </c>
      <c r="G648"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row>
    <row r="649">
      <c r="A649" t="inlineStr">
        <is>
          <t>R257</t>
        </is>
      </c>
      <c r="B649" t="inlineStr">
        <is>
          <t>Bread Baking University by Chef Hwnry</t>
        </is>
      </c>
      <c r="C649" t="inlineStr">
        <is>
          <t>Research recipe/collection/page</t>
        </is>
      </c>
      <c r="D649" t="inlineStr">
        <is>
          <t>S049</t>
        </is>
      </c>
      <c r="E649" t="inlineStr">
        <is>
          <t>PDF page 20</t>
        </is>
      </c>
      <c r="F649" t="inlineStr">
        <is>
          <t>Reference page — normalization and release unresolved</t>
        </is>
      </c>
      <c r="G649"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50">
      <c r="A650" t="inlineStr">
        <is>
          <t>R258</t>
        </is>
      </c>
      <c r="B650" t="inlineStr">
        <is>
          <t>Bread Baking University by Chef Hwnry</t>
        </is>
      </c>
      <c r="C650" t="inlineStr">
        <is>
          <t>Research recipe/collection/page</t>
        </is>
      </c>
      <c r="D650" t="inlineStr">
        <is>
          <t>S049</t>
        </is>
      </c>
      <c r="E650" t="inlineStr">
        <is>
          <t>PDF page 21</t>
        </is>
      </c>
      <c r="F650" t="inlineStr">
        <is>
          <t>Reference page — normalization and release unresolved</t>
        </is>
      </c>
      <c r="G650"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51">
      <c r="A651" t="inlineStr">
        <is>
          <t>R259</t>
        </is>
      </c>
      <c r="B651" t="inlineStr">
        <is>
          <t>Bread Baking University by Chef Hwnry</t>
        </is>
      </c>
      <c r="C651" t="inlineStr">
        <is>
          <t>Research recipe/collection/page</t>
        </is>
      </c>
      <c r="D651" t="inlineStr">
        <is>
          <t>S049</t>
        </is>
      </c>
      <c r="E651" t="inlineStr">
        <is>
          <t>PDF page 22</t>
        </is>
      </c>
      <c r="F651" t="inlineStr">
        <is>
          <t>Reference page — normalization and release unresolved</t>
        </is>
      </c>
      <c r="G651"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52">
      <c r="A652" t="inlineStr">
        <is>
          <t>R260</t>
        </is>
      </c>
      <c r="B652" t="inlineStr">
        <is>
          <t>Bread Baking University by Chef Hwnry</t>
        </is>
      </c>
      <c r="C652" t="inlineStr">
        <is>
          <t>Research recipe/collection/page</t>
        </is>
      </c>
      <c r="D652" t="inlineStr">
        <is>
          <t>S049</t>
        </is>
      </c>
      <c r="E652" t="inlineStr">
        <is>
          <t>PDF page 23</t>
        </is>
      </c>
      <c r="F652" t="inlineStr">
        <is>
          <t>Reference page — normalization and release unresolved</t>
        </is>
      </c>
      <c r="G652"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53">
      <c r="A653" t="inlineStr">
        <is>
          <t>R261</t>
        </is>
      </c>
      <c r="B653" t="inlineStr">
        <is>
          <t>Bread Baking University by Chef Hwnry</t>
        </is>
      </c>
      <c r="C653" t="inlineStr">
        <is>
          <t>Research recipe/collection/page</t>
        </is>
      </c>
      <c r="D653" t="inlineStr">
        <is>
          <t>S049</t>
        </is>
      </c>
      <c r="E653" t="inlineStr">
        <is>
          <t>PDF page 24</t>
        </is>
      </c>
      <c r="F653" t="inlineStr">
        <is>
          <t>Reference page — normalization and release unresolved</t>
        </is>
      </c>
      <c r="G653"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54">
      <c r="A654" t="inlineStr">
        <is>
          <t>R262</t>
        </is>
      </c>
      <c r="B654" t="inlineStr">
        <is>
          <t>Bread Baking University by Chef Hwnry</t>
        </is>
      </c>
      <c r="C654" t="inlineStr">
        <is>
          <t>Research recipe/collection/page</t>
        </is>
      </c>
      <c r="D654" t="inlineStr">
        <is>
          <t>S049</t>
        </is>
      </c>
      <c r="E654" t="inlineStr">
        <is>
          <t>PDF page 25</t>
        </is>
      </c>
      <c r="F654" t="inlineStr">
        <is>
          <t>Reference page — normalization and release unresolved</t>
        </is>
      </c>
      <c r="G654"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55">
      <c r="A655" t="inlineStr">
        <is>
          <t>R263</t>
        </is>
      </c>
      <c r="B655" t="inlineStr">
        <is>
          <t>Bread Baking University by Chef Hwnry</t>
        </is>
      </c>
      <c r="C655" t="inlineStr">
        <is>
          <t>Research recipe/collection/page</t>
        </is>
      </c>
      <c r="D655" t="inlineStr">
        <is>
          <t>S049</t>
        </is>
      </c>
      <c r="E655" t="inlineStr">
        <is>
          <t>PDF page 26</t>
        </is>
      </c>
      <c r="F655" t="inlineStr">
        <is>
          <t>Reference page — normalization and release unresolved</t>
        </is>
      </c>
      <c r="G655"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56">
      <c r="A656" t="inlineStr">
        <is>
          <t>R264</t>
        </is>
      </c>
      <c r="B656" t="inlineStr">
        <is>
          <t>Bread Baking University by Chef Hwnry</t>
        </is>
      </c>
      <c r="C656" t="inlineStr">
        <is>
          <t>Research recipe/collection/page</t>
        </is>
      </c>
      <c r="D656" t="inlineStr">
        <is>
          <t>S049</t>
        </is>
      </c>
      <c r="E656" t="inlineStr">
        <is>
          <t>PDF page 27</t>
        </is>
      </c>
      <c r="F656" t="inlineStr">
        <is>
          <t>Reference page — normalization and release unresolved</t>
        </is>
      </c>
      <c r="G656"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57">
      <c r="A657" t="inlineStr">
        <is>
          <t>R265</t>
        </is>
      </c>
      <c r="B657" t="inlineStr">
        <is>
          <t>Bread Baking University by Chef Hwnry</t>
        </is>
      </c>
      <c r="C657" t="inlineStr">
        <is>
          <t>Research recipe/collection/page</t>
        </is>
      </c>
      <c r="D657" t="inlineStr">
        <is>
          <t>S049</t>
        </is>
      </c>
      <c r="E657" t="inlineStr">
        <is>
          <t>PDF page 28</t>
        </is>
      </c>
      <c r="F657" t="inlineStr">
        <is>
          <t>Reference page — normalization and release unresolved</t>
        </is>
      </c>
      <c r="G657"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58">
      <c r="A658" t="inlineStr">
        <is>
          <t>R266</t>
        </is>
      </c>
      <c r="B658" t="inlineStr">
        <is>
          <t>Bread Baking University by Chef Hwnry</t>
        </is>
      </c>
      <c r="C658" t="inlineStr">
        <is>
          <t>Research recipe/collection/page</t>
        </is>
      </c>
      <c r="D658" t="inlineStr">
        <is>
          <t>S049</t>
        </is>
      </c>
      <c r="E658" t="inlineStr">
        <is>
          <t>PDF page 29</t>
        </is>
      </c>
      <c r="F658" t="inlineStr">
        <is>
          <t>Reference page — normalization and release unresolved</t>
        </is>
      </c>
      <c r="G658"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59">
      <c r="A659" t="inlineStr">
        <is>
          <t>R267</t>
        </is>
      </c>
      <c r="B659" t="inlineStr">
        <is>
          <t>Bread Baking University by Chef Hwnry</t>
        </is>
      </c>
      <c r="C659" t="inlineStr">
        <is>
          <t>Research recipe/collection/page</t>
        </is>
      </c>
      <c r="D659" t="inlineStr">
        <is>
          <t>S049</t>
        </is>
      </c>
      <c r="E659" t="inlineStr">
        <is>
          <t>PDF page 30</t>
        </is>
      </c>
      <c r="F659" t="inlineStr">
        <is>
          <t>Reference page — normalization and release unresolved</t>
        </is>
      </c>
      <c r="G659"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60">
      <c r="A660" t="inlineStr">
        <is>
          <t>R268</t>
        </is>
      </c>
      <c r="B660" t="inlineStr">
        <is>
          <t>Bread Baking University by Chef Hwnry</t>
        </is>
      </c>
      <c r="C660" t="inlineStr">
        <is>
          <t>Research recipe/collection/page</t>
        </is>
      </c>
      <c r="D660" t="inlineStr">
        <is>
          <t>S049</t>
        </is>
      </c>
      <c r="E660" t="inlineStr">
        <is>
          <t>PDF page 31</t>
        </is>
      </c>
      <c r="F660" t="inlineStr">
        <is>
          <t>Reference page — normalization and release unresolved</t>
        </is>
      </c>
      <c r="G660"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61">
      <c r="A661" t="inlineStr">
        <is>
          <t>R269</t>
        </is>
      </c>
      <c r="B661" t="inlineStr">
        <is>
          <t>Bread Baking University by Chef Hwnry</t>
        </is>
      </c>
      <c r="C661" t="inlineStr">
        <is>
          <t>Research recipe/collection/page</t>
        </is>
      </c>
      <c r="D661" t="inlineStr">
        <is>
          <t>S049</t>
        </is>
      </c>
      <c r="E661" t="inlineStr">
        <is>
          <t>PDF page 32</t>
        </is>
      </c>
      <c r="F661" t="inlineStr">
        <is>
          <t>Reference page — normalization and release unresolved</t>
        </is>
      </c>
      <c r="G661"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62">
      <c r="A662" t="inlineStr">
        <is>
          <t>R270</t>
        </is>
      </c>
      <c r="B662" t="inlineStr">
        <is>
          <t>Bread Baking University by Chef Hwnry</t>
        </is>
      </c>
      <c r="C662" t="inlineStr">
        <is>
          <t>Research recipe/collection/page</t>
        </is>
      </c>
      <c r="D662" t="inlineStr">
        <is>
          <t>S049</t>
        </is>
      </c>
      <c r="E662" t="inlineStr">
        <is>
          <t>PDF page 33</t>
        </is>
      </c>
      <c r="F662" t="inlineStr">
        <is>
          <t>Reference page — normalization and release unresolved</t>
        </is>
      </c>
      <c r="G662"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63">
      <c r="A663" t="inlineStr">
        <is>
          <t>R271</t>
        </is>
      </c>
      <c r="B663" t="inlineStr">
        <is>
          <t>Bread Baking University by Chef Hwnry</t>
        </is>
      </c>
      <c r="C663" t="inlineStr">
        <is>
          <t>Research recipe/collection/page</t>
        </is>
      </c>
      <c r="D663" t="inlineStr">
        <is>
          <t>S049</t>
        </is>
      </c>
      <c r="E663" t="inlineStr">
        <is>
          <t>PDF page 34</t>
        </is>
      </c>
      <c r="F663" t="inlineStr">
        <is>
          <t>Reference page — normalization and release unresolved</t>
        </is>
      </c>
      <c r="G663"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64">
      <c r="A664" t="inlineStr">
        <is>
          <t>R272</t>
        </is>
      </c>
      <c r="B664" t="inlineStr">
        <is>
          <t>Bread Baking University by Chef Hwnry</t>
        </is>
      </c>
      <c r="C664" t="inlineStr">
        <is>
          <t>Research recipe/collection/page</t>
        </is>
      </c>
      <c r="D664" t="inlineStr">
        <is>
          <t>S049</t>
        </is>
      </c>
      <c r="E664" t="inlineStr">
        <is>
          <t>PDF page 35</t>
        </is>
      </c>
      <c r="F664" t="inlineStr">
        <is>
          <t>Reference page — normalization and release unresolved</t>
        </is>
      </c>
      <c r="G664"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65">
      <c r="A665" t="inlineStr">
        <is>
          <t>R273</t>
        </is>
      </c>
      <c r="B665" t="inlineStr">
        <is>
          <t>Bread Baking University by Chef Hwnry</t>
        </is>
      </c>
      <c r="C665" t="inlineStr">
        <is>
          <t>Research recipe/collection/page</t>
        </is>
      </c>
      <c r="D665" t="inlineStr">
        <is>
          <t>S049</t>
        </is>
      </c>
      <c r="E665" t="inlineStr">
        <is>
          <t>PDF page 36</t>
        </is>
      </c>
      <c r="F665" t="inlineStr">
        <is>
          <t>Reference page — normalization and release unresolved</t>
        </is>
      </c>
      <c r="G665"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66">
      <c r="A666" t="inlineStr">
        <is>
          <t>R274</t>
        </is>
      </c>
      <c r="B666" t="inlineStr">
        <is>
          <t>Bread Baking University by Chef Hwnry</t>
        </is>
      </c>
      <c r="C666" t="inlineStr">
        <is>
          <t>Research recipe/collection/page</t>
        </is>
      </c>
      <c r="D666" t="inlineStr">
        <is>
          <t>S049</t>
        </is>
      </c>
      <c r="E666" t="inlineStr">
        <is>
          <t>PDF page 37</t>
        </is>
      </c>
      <c r="F666" t="inlineStr">
        <is>
          <t>Reference page — normalization and release unresolved</t>
        </is>
      </c>
      <c r="G666"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67">
      <c r="A667" t="inlineStr">
        <is>
          <t>R275</t>
        </is>
      </c>
      <c r="B667" t="inlineStr">
        <is>
          <t>Bread Baking University by Chef Hwnry</t>
        </is>
      </c>
      <c r="C667" t="inlineStr">
        <is>
          <t>Research recipe/collection/page</t>
        </is>
      </c>
      <c r="D667" t="inlineStr">
        <is>
          <t>S049</t>
        </is>
      </c>
      <c r="E667" t="inlineStr">
        <is>
          <t>PDF page 38</t>
        </is>
      </c>
      <c r="F667" t="inlineStr">
        <is>
          <t>Reference page — normalization and release unresolved</t>
        </is>
      </c>
      <c r="G667"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68">
      <c r="A668" t="inlineStr">
        <is>
          <t>R276</t>
        </is>
      </c>
      <c r="B668" t="inlineStr">
        <is>
          <t>Bread Baking University by Chef Hwnry</t>
        </is>
      </c>
      <c r="C668" t="inlineStr">
        <is>
          <t>Research recipe/collection/page</t>
        </is>
      </c>
      <c r="D668" t="inlineStr">
        <is>
          <t>S049</t>
        </is>
      </c>
      <c r="E668" t="inlineStr">
        <is>
          <t>PDF page 39</t>
        </is>
      </c>
      <c r="F668" t="inlineStr">
        <is>
          <t>Reference page — normalization and release unresolved</t>
        </is>
      </c>
      <c r="G668"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69">
      <c r="A669" t="inlineStr">
        <is>
          <t>R277</t>
        </is>
      </c>
      <c r="B669" t="inlineStr">
        <is>
          <t>Bread Baking University by Chef Hwnry</t>
        </is>
      </c>
      <c r="C669" t="inlineStr">
        <is>
          <t>Research recipe/collection/page</t>
        </is>
      </c>
      <c r="D669" t="inlineStr">
        <is>
          <t>S049</t>
        </is>
      </c>
      <c r="E669" t="inlineStr">
        <is>
          <t>PDF page 43</t>
        </is>
      </c>
      <c r="F669" t="inlineStr">
        <is>
          <t>Reference page — normalization and release unresolved</t>
        </is>
      </c>
      <c r="G669"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70">
      <c r="A670" t="inlineStr">
        <is>
          <t>R278</t>
        </is>
      </c>
      <c r="B670" t="inlineStr">
        <is>
          <t>Bread Baking University by Chef Hwnry</t>
        </is>
      </c>
      <c r="C670" t="inlineStr">
        <is>
          <t>Research recipe/collection/page</t>
        </is>
      </c>
      <c r="D670" t="inlineStr">
        <is>
          <t>S049</t>
        </is>
      </c>
      <c r="E670" t="inlineStr">
        <is>
          <t>PDF page 45</t>
        </is>
      </c>
      <c r="F670" t="inlineStr">
        <is>
          <t>Reference page — normalization and release unresolved</t>
        </is>
      </c>
      <c r="G670"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71">
      <c r="A671" t="inlineStr">
        <is>
          <t>R279</t>
        </is>
      </c>
      <c r="B671" t="inlineStr">
        <is>
          <t>Bread Baking University by Chef Hwnry</t>
        </is>
      </c>
      <c r="C671" t="inlineStr">
        <is>
          <t>Research recipe/collection/page</t>
        </is>
      </c>
      <c r="D671" t="inlineStr">
        <is>
          <t>S049</t>
        </is>
      </c>
      <c r="E671" t="inlineStr">
        <is>
          <t>PDF page 46</t>
        </is>
      </c>
      <c r="F671" t="inlineStr">
        <is>
          <t>Reference page — normalization and release unresolved</t>
        </is>
      </c>
      <c r="G671"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72">
      <c r="A672" t="inlineStr">
        <is>
          <t>R280</t>
        </is>
      </c>
      <c r="B672" t="inlineStr">
        <is>
          <t>Bread Baking University by Chef Hwnry</t>
        </is>
      </c>
      <c r="C672" t="inlineStr">
        <is>
          <t>Research recipe/collection/page</t>
        </is>
      </c>
      <c r="D672" t="inlineStr">
        <is>
          <t>S049</t>
        </is>
      </c>
      <c r="E672" t="inlineStr">
        <is>
          <t>PDF page 47</t>
        </is>
      </c>
      <c r="F672" t="inlineStr">
        <is>
          <t>Reference page — normalization and release unresolved</t>
        </is>
      </c>
      <c r="G672"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73">
      <c r="A673" t="inlineStr">
        <is>
          <t>R281</t>
        </is>
      </c>
      <c r="B673" t="inlineStr">
        <is>
          <t>Bread Baking University by Chef Hwnry</t>
        </is>
      </c>
      <c r="C673" t="inlineStr">
        <is>
          <t>Research recipe/collection/page</t>
        </is>
      </c>
      <c r="D673" t="inlineStr">
        <is>
          <t>S049</t>
        </is>
      </c>
      <c r="E673" t="inlineStr">
        <is>
          <t>PDF page 48</t>
        </is>
      </c>
      <c r="F673" t="inlineStr">
        <is>
          <t>Reference page — normalization and release unresolved</t>
        </is>
      </c>
      <c r="G673"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74">
      <c r="A674" t="inlineStr">
        <is>
          <t>R282</t>
        </is>
      </c>
      <c r="B674" t="inlineStr">
        <is>
          <t>Bread Baking University by Chef Hwnry</t>
        </is>
      </c>
      <c r="C674" t="inlineStr">
        <is>
          <t>Research recipe/collection/page</t>
        </is>
      </c>
      <c r="D674" t="inlineStr">
        <is>
          <t>S049</t>
        </is>
      </c>
      <c r="E674" t="inlineStr">
        <is>
          <t>PDF page 49</t>
        </is>
      </c>
      <c r="F674" t="inlineStr">
        <is>
          <t>Reference page — normalization and release unresolved</t>
        </is>
      </c>
      <c r="G674"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75">
      <c r="A675" t="inlineStr">
        <is>
          <t>R283</t>
        </is>
      </c>
      <c r="B675" t="inlineStr">
        <is>
          <t>Bread Baking University by Chef Hwnry</t>
        </is>
      </c>
      <c r="C675" t="inlineStr">
        <is>
          <t>Research recipe/collection/page</t>
        </is>
      </c>
      <c r="D675" t="inlineStr">
        <is>
          <t>S049</t>
        </is>
      </c>
      <c r="E675" t="inlineStr">
        <is>
          <t>PDF page 50</t>
        </is>
      </c>
      <c r="F675" t="inlineStr">
        <is>
          <t>Reference page — normalization and release unresolved</t>
        </is>
      </c>
      <c r="G675"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76">
      <c r="A676" t="inlineStr">
        <is>
          <t>R284</t>
        </is>
      </c>
      <c r="B676" t="inlineStr">
        <is>
          <t>Bread Baking University by Chef Hwnry</t>
        </is>
      </c>
      <c r="C676" t="inlineStr">
        <is>
          <t>Research recipe/collection/page</t>
        </is>
      </c>
      <c r="D676" t="inlineStr">
        <is>
          <t>S049</t>
        </is>
      </c>
      <c r="E676" t="inlineStr">
        <is>
          <t>PDF page 54</t>
        </is>
      </c>
      <c r="F676" t="inlineStr">
        <is>
          <t>Reference page — normalization and release unresolved</t>
        </is>
      </c>
      <c r="G676"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row>
    <row r="677">
      <c r="A677" t="inlineStr">
        <is>
          <t>R285</t>
        </is>
      </c>
      <c r="B677" t="inlineStr">
        <is>
          <t>Commercial_Baguette_Production_Guide</t>
        </is>
      </c>
      <c r="C677" t="inlineStr">
        <is>
          <t>Research recipe/collection/page</t>
        </is>
      </c>
      <c r="D677" t="inlineStr">
        <is>
          <t>S030</t>
        </is>
      </c>
      <c r="E677" t="inlineStr">
        <is>
          <t>full recipe document; body blocks/pages in source inventory</t>
        </is>
      </c>
      <c r="F677" t="inlineStr">
        <is>
          <t>Reference formulation — not released for production</t>
        </is>
      </c>
      <c r="G677"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78">
      <c r="A678" t="inlineStr">
        <is>
          <t>R286</t>
        </is>
      </c>
      <c r="B678" t="inlineStr">
        <is>
          <t>Professional Popsicle production</t>
        </is>
      </c>
      <c r="C678" t="inlineStr">
        <is>
          <t>Research recipe/collection/page</t>
        </is>
      </c>
      <c r="D678" t="inlineStr">
        <is>
          <t>S035</t>
        </is>
      </c>
      <c r="E678" t="inlineStr">
        <is>
          <t>full recipe document; body blocks/pages in source inventory</t>
        </is>
      </c>
      <c r="F678" t="inlineStr">
        <is>
          <t>Reference formulation — not released for production</t>
        </is>
      </c>
      <c r="G678"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79">
      <c r="A679" t="inlineStr">
        <is>
          <t>R287</t>
        </is>
      </c>
      <c r="B679" t="inlineStr">
        <is>
          <t>shawarma_garlic_sauces_recipe</t>
        </is>
      </c>
      <c r="C679" t="inlineStr">
        <is>
          <t>Research recipe/collection/page</t>
        </is>
      </c>
      <c r="D679" t="inlineStr">
        <is>
          <t>S037</t>
        </is>
      </c>
      <c r="E679" t="inlineStr">
        <is>
          <t>full recipe document; body blocks/pages in source inventory</t>
        </is>
      </c>
      <c r="F679" t="inlineStr">
        <is>
          <t>Reference formulation — not released for production</t>
        </is>
      </c>
      <c r="G679"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80">
      <c r="A680" t="inlineStr">
        <is>
          <t>R288</t>
        </is>
      </c>
      <c r="B680" t="inlineStr">
        <is>
          <t>baguette recipe</t>
        </is>
      </c>
      <c r="C680" t="inlineStr">
        <is>
          <t>Research recipe/collection/page</t>
        </is>
      </c>
      <c r="D680" t="inlineStr">
        <is>
          <t>S071</t>
        </is>
      </c>
      <c r="E680" t="inlineStr">
        <is>
          <t>full recipe document; body blocks/pages in source inventory</t>
        </is>
      </c>
      <c r="F680" t="inlineStr">
        <is>
          <t>Reference formulation — not released for production</t>
        </is>
      </c>
      <c r="G680"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81">
      <c r="A681" t="inlineStr">
        <is>
          <t>R289</t>
        </is>
      </c>
      <c r="B681" t="inlineStr">
        <is>
          <t>burger buns recipe</t>
        </is>
      </c>
      <c r="C681" t="inlineStr">
        <is>
          <t>Research recipe/collection/page</t>
        </is>
      </c>
      <c r="D681" t="inlineStr">
        <is>
          <t>S072</t>
        </is>
      </c>
      <c r="E681" t="inlineStr">
        <is>
          <t>full recipe document; body blocks/pages in source inventory</t>
        </is>
      </c>
      <c r="F681" t="inlineStr">
        <is>
          <t>Reference formulation — not released for production</t>
        </is>
      </c>
      <c r="G681"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82">
      <c r="A682" t="inlineStr">
        <is>
          <t>R290</t>
        </is>
      </c>
      <c r="B682" t="inlineStr">
        <is>
          <t>Kumba bread and Cassava bread 2 most valued Cameroonian bakery breads</t>
        </is>
      </c>
      <c r="C682" t="inlineStr">
        <is>
          <t>Research recipe/collection/page</t>
        </is>
      </c>
      <c r="D682" t="inlineStr">
        <is>
          <t>S073</t>
        </is>
      </c>
      <c r="E682" t="inlineStr">
        <is>
          <t>full recipe document; body blocks/pages in source inventory</t>
        </is>
      </c>
      <c r="F682" t="inlineStr">
        <is>
          <t>Reference formulation — not released for production</t>
        </is>
      </c>
      <c r="G682"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83">
      <c r="A683" t="inlineStr">
        <is>
          <t>R291</t>
        </is>
      </c>
      <c r="B683" t="inlineStr">
        <is>
          <t>Pain au lait</t>
        </is>
      </c>
      <c r="C683" t="inlineStr">
        <is>
          <t>Research recipe/collection/page</t>
        </is>
      </c>
      <c r="D683" t="inlineStr">
        <is>
          <t>S074</t>
        </is>
      </c>
      <c r="E683" t="inlineStr">
        <is>
          <t>full recipe document; body blocks/pages in source inventory</t>
        </is>
      </c>
      <c r="F683" t="inlineStr">
        <is>
          <t>Reference formulation — not released for production</t>
        </is>
      </c>
      <c r="G683"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84">
      <c r="A684" t="inlineStr">
        <is>
          <t>R292</t>
        </is>
      </c>
      <c r="B684" t="inlineStr">
        <is>
          <t>Danisa biscuits  and Baguette productionl manual</t>
        </is>
      </c>
      <c r="C684" t="inlineStr">
        <is>
          <t>Research recipe/collection/page</t>
        </is>
      </c>
      <c r="D684" t="inlineStr">
        <is>
          <t>S075</t>
        </is>
      </c>
      <c r="E684" t="inlineStr">
        <is>
          <t>full recipe document; body blocks/pages in source inventory</t>
        </is>
      </c>
      <c r="F684" t="inlineStr">
        <is>
          <t>Reference formulation — not released for production</t>
        </is>
      </c>
      <c r="G684"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85">
      <c r="A685" t="inlineStr">
        <is>
          <t>R293</t>
        </is>
      </c>
      <c r="B685" t="inlineStr">
        <is>
          <t>Delicious breads classic French Baguette rich Italian Ciabatta and soft Japanese Milk Bread</t>
        </is>
      </c>
      <c r="C685" t="inlineStr">
        <is>
          <t>Research recipe/collection/page</t>
        </is>
      </c>
      <c r="D685" t="inlineStr">
        <is>
          <t>S081</t>
        </is>
      </c>
      <c r="E685" t="inlineStr">
        <is>
          <t>full recipe document; body blocks/pages in source inventory</t>
        </is>
      </c>
      <c r="F685" t="inlineStr">
        <is>
          <t>Reference formulation — not released for production</t>
        </is>
      </c>
      <c r="G685"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86">
      <c r="A686" t="inlineStr">
        <is>
          <t>R294</t>
        </is>
      </c>
      <c r="B686" t="inlineStr">
        <is>
          <t>brioche new recipes 27 juLY 2024</t>
        </is>
      </c>
      <c r="C686" t="inlineStr">
        <is>
          <t>Research recipe/collection/page</t>
        </is>
      </c>
      <c r="D686" t="inlineStr">
        <is>
          <t>S082</t>
        </is>
      </c>
      <c r="E686" t="inlineStr">
        <is>
          <t>full recipe document; body blocks/pages in source inventory</t>
        </is>
      </c>
      <c r="F686" t="inlineStr">
        <is>
          <t>Reference formulation — not released for production</t>
        </is>
      </c>
      <c r="G686"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87">
      <c r="A687" t="inlineStr">
        <is>
          <t>R295</t>
        </is>
      </c>
      <c r="B687" t="inlineStr">
        <is>
          <t>Most Profitable Bakery Products for Yaoundé</t>
        </is>
      </c>
      <c r="C687" t="inlineStr">
        <is>
          <t>Research recipe/collection/page</t>
        </is>
      </c>
      <c r="D687" t="inlineStr">
        <is>
          <t>S088</t>
        </is>
      </c>
      <c r="E687" t="inlineStr">
        <is>
          <t>full recipe document; body blocks/pages in source inventory</t>
        </is>
      </c>
      <c r="F687" t="inlineStr">
        <is>
          <t>Reference formulation — not released for production</t>
        </is>
      </c>
      <c r="G687"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88">
      <c r="A688" t="inlineStr">
        <is>
          <t>R296</t>
        </is>
      </c>
      <c r="B688" t="inlineStr">
        <is>
          <t>Most Profitable Bakery Products in Yaoundé</t>
        </is>
      </c>
      <c r="C688" t="inlineStr">
        <is>
          <t>Research recipe/collection/page</t>
        </is>
      </c>
      <c r="D688" t="inlineStr">
        <is>
          <t>S089</t>
        </is>
      </c>
      <c r="E688" t="inlineStr">
        <is>
          <t>full recipe document; body blocks/pages in source inventory</t>
        </is>
      </c>
      <c r="F688" t="inlineStr">
        <is>
          <t>Reference formulation — not released for production</t>
        </is>
      </c>
      <c r="G688"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89">
      <c r="A689" t="inlineStr">
        <is>
          <t>R297</t>
        </is>
      </c>
      <c r="B689" t="inlineStr">
        <is>
          <t>New baguette recipe</t>
        </is>
      </c>
      <c r="C689" t="inlineStr">
        <is>
          <t>Research recipe/collection/page</t>
        </is>
      </c>
      <c r="D689" t="inlineStr">
        <is>
          <t>S091</t>
        </is>
      </c>
      <c r="E689" t="inlineStr">
        <is>
          <t>full recipe document; body blocks/pages in source inventory</t>
        </is>
      </c>
      <c r="F689" t="inlineStr">
        <is>
          <t>Reference formulation — not released for production</t>
        </is>
      </c>
      <c r="G689"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90">
      <c r="A690" t="inlineStr">
        <is>
          <t>R298</t>
        </is>
      </c>
      <c r="B690" t="inlineStr">
        <is>
          <t>professional danisa cookies recipe</t>
        </is>
      </c>
      <c r="C690" t="inlineStr">
        <is>
          <t>Research recipe/collection/page</t>
        </is>
      </c>
      <c r="D690" t="inlineStr">
        <is>
          <t>S096</t>
        </is>
      </c>
      <c r="E690" t="inlineStr">
        <is>
          <t>full recipe document; body blocks/pages in source inventory</t>
        </is>
      </c>
      <c r="F690" t="inlineStr">
        <is>
          <t>Reference formulation — not released for production</t>
        </is>
      </c>
      <c r="G690"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91">
      <c r="A691" t="inlineStr">
        <is>
          <t>R299</t>
        </is>
      </c>
      <c r="B691" t="inlineStr">
        <is>
          <t>Professional French Baguette Recipe</t>
        </is>
      </c>
      <c r="C691" t="inlineStr">
        <is>
          <t>Research recipe/collection/page</t>
        </is>
      </c>
      <c r="D691" t="inlineStr">
        <is>
          <t>S097</t>
        </is>
      </c>
      <c r="E691" t="inlineStr">
        <is>
          <t>full recipe document; body blocks/pages in source inventory</t>
        </is>
      </c>
      <c r="F691" t="inlineStr">
        <is>
          <t>Reference formulation — not released for production</t>
        </is>
      </c>
      <c r="G691"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92">
      <c r="A692" t="inlineStr">
        <is>
          <t>R300</t>
        </is>
      </c>
      <c r="B692" t="inlineStr">
        <is>
          <t>Recipes for Bakery</t>
        </is>
      </c>
      <c r="C692" t="inlineStr">
        <is>
          <t>Research recipe/collection/page</t>
        </is>
      </c>
      <c r="D692" t="inlineStr">
        <is>
          <t>S099</t>
        </is>
      </c>
      <c r="E692" t="inlineStr">
        <is>
          <t>full recipe document; body blocks/pages in source inventory</t>
        </is>
      </c>
      <c r="F692" t="inlineStr">
        <is>
          <t>Reference formulation — not released for production</t>
        </is>
      </c>
      <c r="G692"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93">
      <c r="A693" t="inlineStr">
        <is>
          <t>R301</t>
        </is>
      </c>
      <c r="B693" t="inlineStr">
        <is>
          <t>beignet soufle recipe</t>
        </is>
      </c>
      <c r="C693" t="inlineStr">
        <is>
          <t>Research recipe/collection/page</t>
        </is>
      </c>
      <c r="D693" t="inlineStr">
        <is>
          <t>S133</t>
        </is>
      </c>
      <c r="E693" t="inlineStr">
        <is>
          <t>full recipe document; body blocks/pages in source inventory</t>
        </is>
      </c>
      <c r="F693" t="inlineStr">
        <is>
          <t>Reference formulation — not released for production</t>
        </is>
      </c>
      <c r="G693"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94">
      <c r="A694" t="inlineStr">
        <is>
          <t>R302</t>
        </is>
      </c>
      <c r="B694" t="inlineStr">
        <is>
          <t>The Premium Kumba Bread Formulation</t>
        </is>
      </c>
      <c r="C694" t="inlineStr">
        <is>
          <t>Research recipe/collection/page</t>
        </is>
      </c>
      <c r="D694" t="inlineStr">
        <is>
          <t>S134</t>
        </is>
      </c>
      <c r="E694" t="inlineStr">
        <is>
          <t>full recipe document; body blocks/pages in source inventory</t>
        </is>
      </c>
      <c r="F694" t="inlineStr">
        <is>
          <t>Reference formulation — not released for production</t>
        </is>
      </c>
      <c r="G694"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95">
      <c r="A695" t="inlineStr">
        <is>
          <t>R303</t>
        </is>
      </c>
      <c r="B695" t="inlineStr">
        <is>
          <t>Galette Recipe-WPS Office</t>
        </is>
      </c>
      <c r="C695" t="inlineStr">
        <is>
          <t>Research recipe/collection/page</t>
        </is>
      </c>
      <c r="D695" t="inlineStr">
        <is>
          <t>S144</t>
        </is>
      </c>
      <c r="E695" t="inlineStr">
        <is>
          <t>full recipe document; body blocks/pages in source inventory</t>
        </is>
      </c>
      <c r="F695" t="inlineStr">
        <is>
          <t>Reference formulation — not released for production</t>
        </is>
      </c>
      <c r="G695"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96">
      <c r="A696" t="inlineStr">
        <is>
          <t>R304</t>
        </is>
      </c>
      <c r="B696" t="inlineStr">
        <is>
          <t>The Premium Burger Bun</t>
        </is>
      </c>
      <c r="C696" t="inlineStr">
        <is>
          <t>Research recipe/collection/page</t>
        </is>
      </c>
      <c r="D696" t="inlineStr">
        <is>
          <t>S151</t>
        </is>
      </c>
      <c r="E696" t="inlineStr">
        <is>
          <t>full recipe document; body blocks/pages in source inventory</t>
        </is>
      </c>
      <c r="F696" t="inlineStr">
        <is>
          <t>Reference formulation — not released for production</t>
        </is>
      </c>
      <c r="G696"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97">
      <c r="A697" t="inlineStr">
        <is>
          <t>R305</t>
        </is>
      </c>
      <c r="B697" t="inlineStr">
        <is>
          <t>NKAMBE_BAKERY_RECIPES_EQUIPMENT_AND_MARKET_STRATEGY</t>
        </is>
      </c>
      <c r="C697" t="inlineStr">
        <is>
          <t>Research recipe/collection/page</t>
        </is>
      </c>
      <c r="D697" t="inlineStr">
        <is>
          <t>S156</t>
        </is>
      </c>
      <c r="E697" t="inlineStr">
        <is>
          <t>full recipe document; body blocks/pages in source inventory</t>
        </is>
      </c>
      <c r="F697" t="inlineStr">
        <is>
          <t>Reference formulation — not released for production</t>
        </is>
      </c>
      <c r="G697"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row>
    <row r="698">
      <c r="A698" t="inlineStr">
        <is>
          <t>R306</t>
        </is>
      </c>
      <c r="B698" t="inlineStr">
        <is>
          <t>Bread fillings</t>
        </is>
      </c>
      <c r="C698" t="inlineStr">
        <is>
          <t>Research recipe/collection/page</t>
        </is>
      </c>
      <c r="D698" t="inlineStr">
        <is>
          <t>S050</t>
        </is>
      </c>
      <c r="E698" t="inlineStr">
        <is>
          <t>OCR PDF page 2</t>
        </is>
      </c>
      <c r="F698" t="inlineStr">
        <is>
          <t>OCR reference — original measures retained</t>
        </is>
      </c>
      <c r="G698"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699">
      <c r="A699" t="inlineStr">
        <is>
          <t>R307</t>
        </is>
      </c>
      <c r="B699" t="inlineStr">
        <is>
          <t>Bread fillings</t>
        </is>
      </c>
      <c r="C699" t="inlineStr">
        <is>
          <t>Research recipe/collection/page</t>
        </is>
      </c>
      <c r="D699" t="inlineStr">
        <is>
          <t>S050</t>
        </is>
      </c>
      <c r="E699" t="inlineStr">
        <is>
          <t>OCR PDF page 3</t>
        </is>
      </c>
      <c r="F699" t="inlineStr">
        <is>
          <t>OCR reference — original measures retained</t>
        </is>
      </c>
      <c r="G699"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00">
      <c r="A700" t="inlineStr">
        <is>
          <t>R308</t>
        </is>
      </c>
      <c r="B700" t="inlineStr">
        <is>
          <t>Thin hamburger assembly</t>
        </is>
      </c>
      <c r="C700" t="inlineStr">
        <is>
          <t>Research recipe/collection/page</t>
        </is>
      </c>
      <c r="D700" t="inlineStr">
        <is>
          <t>S056</t>
        </is>
      </c>
      <c r="E700" t="inlineStr">
        <is>
          <t>OCR PDF page 1</t>
        </is>
      </c>
      <c r="F700" t="inlineStr">
        <is>
          <t>OCR reference — original measures retained</t>
        </is>
      </c>
      <c r="G700"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01">
      <c r="A701" t="inlineStr">
        <is>
          <t>R309</t>
        </is>
      </c>
      <c r="B701" t="inlineStr">
        <is>
          <t>Phyllo dough</t>
        </is>
      </c>
      <c r="C701" t="inlineStr">
        <is>
          <t>Research recipe/collection/page</t>
        </is>
      </c>
      <c r="D701" t="inlineStr">
        <is>
          <t>S087</t>
        </is>
      </c>
      <c r="E701" t="inlineStr">
        <is>
          <t>OCR PDF page 2</t>
        </is>
      </c>
      <c r="F701" t="inlineStr">
        <is>
          <t>OCR reference — original measures retained</t>
        </is>
      </c>
      <c r="G701"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02">
      <c r="A702" t="inlineStr">
        <is>
          <t>R310</t>
        </is>
      </c>
      <c r="B702" t="inlineStr">
        <is>
          <t>Phyllo dough</t>
        </is>
      </c>
      <c r="C702" t="inlineStr">
        <is>
          <t>Research recipe/collection/page</t>
        </is>
      </c>
      <c r="D702" t="inlineStr">
        <is>
          <t>S087</t>
        </is>
      </c>
      <c r="E702" t="inlineStr">
        <is>
          <t>OCR PDF page 3</t>
        </is>
      </c>
      <c r="F702" t="inlineStr">
        <is>
          <t>OCR reference — original measures retained</t>
        </is>
      </c>
      <c r="G702"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03">
      <c r="A703" t="inlineStr">
        <is>
          <t>R311</t>
        </is>
      </c>
      <c r="B703" t="inlineStr">
        <is>
          <t>Phyllo dough</t>
        </is>
      </c>
      <c r="C703" t="inlineStr">
        <is>
          <t>Research recipe/collection/page</t>
        </is>
      </c>
      <c r="D703" t="inlineStr">
        <is>
          <t>S087</t>
        </is>
      </c>
      <c r="E703" t="inlineStr">
        <is>
          <t>OCR PDF page 4</t>
        </is>
      </c>
      <c r="F703" t="inlineStr">
        <is>
          <t>OCR reference — original measures retained</t>
        </is>
      </c>
      <c r="G703"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04">
      <c r="A704" t="inlineStr">
        <is>
          <t>R312</t>
        </is>
      </c>
      <c r="B704" t="inlineStr">
        <is>
          <t>Phyllo dough</t>
        </is>
      </c>
      <c r="C704" t="inlineStr">
        <is>
          <t>Research recipe/collection/page</t>
        </is>
      </c>
      <c r="D704" t="inlineStr">
        <is>
          <t>S087</t>
        </is>
      </c>
      <c r="E704" t="inlineStr">
        <is>
          <t>OCR PDF page 5</t>
        </is>
      </c>
      <c r="F704" t="inlineStr">
        <is>
          <t>OCR reference — original measures retained</t>
        </is>
      </c>
      <c r="G704"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05">
      <c r="A705" t="inlineStr">
        <is>
          <t>R313</t>
        </is>
      </c>
      <c r="B705" t="inlineStr">
        <is>
          <t>Phyllo dough</t>
        </is>
      </c>
      <c r="C705" t="inlineStr">
        <is>
          <t>Research recipe/collection/page</t>
        </is>
      </c>
      <c r="D705" t="inlineStr">
        <is>
          <t>S087</t>
        </is>
      </c>
      <c r="E705" t="inlineStr">
        <is>
          <t>OCR PDF page 6</t>
        </is>
      </c>
      <c r="F705" t="inlineStr">
        <is>
          <t>OCR reference — original measures retained</t>
        </is>
      </c>
      <c r="G705"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06">
      <c r="A706" t="inlineStr">
        <is>
          <t>R314</t>
        </is>
      </c>
      <c r="B706" t="inlineStr">
        <is>
          <t>Phyllo dough</t>
        </is>
      </c>
      <c r="C706" t="inlineStr">
        <is>
          <t>Research recipe/collection/page</t>
        </is>
      </c>
      <c r="D706" t="inlineStr">
        <is>
          <t>S087</t>
        </is>
      </c>
      <c r="E706" t="inlineStr">
        <is>
          <t>OCR PDF page 7</t>
        </is>
      </c>
      <c r="F706" t="inlineStr">
        <is>
          <t>OCR reference — original measures retained</t>
        </is>
      </c>
      <c r="G706"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07">
      <c r="A707" t="inlineStr">
        <is>
          <t>R315</t>
        </is>
      </c>
      <c r="B707" t="inlineStr">
        <is>
          <t>Phyllo dough</t>
        </is>
      </c>
      <c r="C707" t="inlineStr">
        <is>
          <t>Research recipe/collection/page</t>
        </is>
      </c>
      <c r="D707" t="inlineStr">
        <is>
          <t>S087</t>
        </is>
      </c>
      <c r="E707" t="inlineStr">
        <is>
          <t>OCR PDF page 8</t>
        </is>
      </c>
      <c r="F707" t="inlineStr">
        <is>
          <t>OCR reference — original measures retained</t>
        </is>
      </c>
      <c r="G707"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08">
      <c r="A708" t="inlineStr">
        <is>
          <t>R316</t>
        </is>
      </c>
      <c r="B708" t="inlineStr">
        <is>
          <t>Phyllo dough</t>
        </is>
      </c>
      <c r="C708" t="inlineStr">
        <is>
          <t>Research recipe/collection/page</t>
        </is>
      </c>
      <c r="D708" t="inlineStr">
        <is>
          <t>S087</t>
        </is>
      </c>
      <c r="E708" t="inlineStr">
        <is>
          <t>OCR PDF page 9</t>
        </is>
      </c>
      <c r="F708" t="inlineStr">
        <is>
          <t>OCR reference — original measures retained</t>
        </is>
      </c>
      <c r="G708"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09">
      <c r="A709" t="inlineStr">
        <is>
          <t>R317</t>
        </is>
      </c>
      <c r="B709" t="inlineStr">
        <is>
          <t>Phyllo dough</t>
        </is>
      </c>
      <c r="C709" t="inlineStr">
        <is>
          <t>Research recipe/collection/page</t>
        </is>
      </c>
      <c r="D709" t="inlineStr">
        <is>
          <t>S087</t>
        </is>
      </c>
      <c r="E709" t="inlineStr">
        <is>
          <t>OCR PDF page 10</t>
        </is>
      </c>
      <c r="F709" t="inlineStr">
        <is>
          <t>OCR reference — original measures retained</t>
        </is>
      </c>
      <c r="G709" t="inlineStr">
        <is>
          <t>Check OCR against the image; weigh count/cup/spoon ingredients before scaling. A short cook time or microwave finish does not establish a safe burger centre. Wet fillings require C01 cooling and cold holding. H18/H19 provide two explicit filling adaptations.</t>
        </is>
      </c>
    </row>
    <row r="710">
      <c r="A710" t="inlineStr">
        <is>
          <t>R318</t>
        </is>
      </c>
      <c r="B710" t="inlineStr">
        <is>
          <t>Ice cream cake assembly and component routing</t>
        </is>
      </c>
      <c r="C710" t="inlineStr">
        <is>
          <t>Research recipe/collection/page</t>
        </is>
      </c>
      <c r="D710" t="inlineStr">
        <is>
          <t>S129</t>
        </is>
      </c>
      <c r="E710" t="inlineStr">
        <is>
          <t>PDF pages 49–52</t>
        </is>
      </c>
      <c r="F710" t="inlineStr">
        <is>
          <t>Reference formulation — not released for production</t>
        </is>
      </c>
      <c r="G710" t="inlineStr">
        <is>
          <t>Supporting preparation preserved separately from the named flavours. Confirm quantities, component yield and household measures on the original page. Follow the commercial safety controls; no domestic storage-duration claim is adopted.</t>
        </is>
      </c>
    </row>
    <row r="711">
      <c r="A711" t="inlineStr">
        <is>
          <t>R319</t>
        </is>
      </c>
      <c r="B711" t="inlineStr">
        <is>
          <t>Cookie crumb pie crust and ice cream pie assembly</t>
        </is>
      </c>
      <c r="C711" t="inlineStr">
        <is>
          <t>Research recipe/collection/page</t>
        </is>
      </c>
      <c r="D711" t="inlineStr">
        <is>
          <t>S129</t>
        </is>
      </c>
      <c r="E711" t="inlineStr">
        <is>
          <t>PDF pages 55–59</t>
        </is>
      </c>
      <c r="F711" t="inlineStr">
        <is>
          <t>Reference formulation — not released for production</t>
        </is>
      </c>
      <c r="G711" t="inlineStr">
        <is>
          <t>Supporting preparation preserved separately from the named flavours. Confirm quantities, component yield and household measures on the original page. Follow the commercial safety controls; no domestic storage-duration claim is adopted.</t>
        </is>
      </c>
    </row>
    <row r="712">
      <c r="A712" t="inlineStr">
        <is>
          <t>R320</t>
        </is>
      </c>
      <c r="B712" t="inlineStr">
        <is>
          <t>Ice cream sandwich assembly</t>
        </is>
      </c>
      <c r="C712" t="inlineStr">
        <is>
          <t>Research recipe/collection/page</t>
        </is>
      </c>
      <c r="D712" t="inlineStr">
        <is>
          <t>S129</t>
        </is>
      </c>
      <c r="E712" t="inlineStr">
        <is>
          <t>PDF pages 61–64</t>
        </is>
      </c>
      <c r="F712" t="inlineStr">
        <is>
          <t>Reference formulation — not released for production</t>
        </is>
      </c>
      <c r="G712" t="inlineStr">
        <is>
          <t>Supporting preparation preserved separately from the named flavours. Confirm quantities, component yield and household measures on the original page. Follow the commercial safety controls; no domestic storage-duration claim is adopted.</t>
        </is>
      </c>
    </row>
    <row r="713">
      <c r="A713" t="inlineStr">
        <is>
          <t>R321</t>
        </is>
      </c>
      <c r="B713" t="inlineStr">
        <is>
          <t>General popsicle base and preparation</t>
        </is>
      </c>
      <c r="C713" t="inlineStr">
        <is>
          <t>Research recipe/collection/page</t>
        </is>
      </c>
      <c r="D713" t="inlineStr">
        <is>
          <t>S031</t>
        </is>
      </c>
      <c r="E713" t="inlineStr">
        <is>
          <t>PDF pages 11–12</t>
        </is>
      </c>
      <c r="F713" t="inlineStr">
        <is>
          <t>Reference formulation — not released for production</t>
        </is>
      </c>
      <c r="G713" t="inlineStr">
        <is>
          <t>Supporting preparation preserved separately from the named flavours. Confirm quantities, component yield and household measures on the original page. Follow the commercial safety controls; no domestic storage-duration claim is adopted.</t>
        </is>
      </c>
    </row>
    <row r="714">
      <c r="A714" t="inlineStr">
        <is>
          <t>R322</t>
        </is>
      </c>
      <c r="B714" t="inlineStr">
        <is>
          <t>Yummy bread screenshot, July 27 2024</t>
        </is>
      </c>
      <c r="C714" t="inlineStr">
        <is>
          <t>Research recipe/collection/page</t>
        </is>
      </c>
      <c r="D714" t="inlineStr">
        <is>
          <t>I07</t>
        </is>
      </c>
      <c r="E714" t="inlineStr">
        <is>
          <t>C:\Users\J COMPUTER\OneDrive - Questindustries\dbakes management\yummu bread july 27 24.png</t>
        </is>
      </c>
      <c r="F714" t="inlineStr">
        <is>
          <t>Image-derived historical formula — held</t>
        </is>
      </c>
      <c r="G714" t="inlineStr">
        <is>
          <t>This screenshot is retained even if it duplicates a workbook column. Milk type, method, piece weight and successful-trial evidence remain unresolved. Use a selected milk-bread working card until this original variant has been specified and trialled.</t>
        </is>
      </c>
    </row>
    <row r="715">
      <c r="A715" t="inlineStr">
        <is>
          <t>V001</t>
        </is>
      </c>
      <c r="B715" t="inlineStr">
        <is>
          <t>Plain butter biscuits</t>
        </is>
      </c>
      <c r="C715" t="inlineStr">
        <is>
          <t>Earlier handbook retained variant</t>
        </is>
      </c>
      <c r="D715" t="inlineStr">
        <is>
          <t>S163</t>
        </is>
      </c>
      <c r="E715" t="inlineStr">
        <is>
          <t>V-series table row Plain butter biscuits</t>
        </is>
      </c>
      <c r="F715" t="inlineStr">
        <is>
          <t>Held / working alternative as noted</t>
        </is>
      </c>
      <c r="G715" t="inlineStr">
        <is>
          <t>Distinct from S-P04 coconut biscuits. Confirm fat, portion, mixing and water activity; reject six-month life claim.</t>
        </is>
      </c>
    </row>
    <row r="716">
      <c r="A716" t="inlineStr">
        <is>
          <t>V002</t>
        </is>
      </c>
      <c r="B716" t="inlineStr">
        <is>
          <t>Croissant</t>
        </is>
      </c>
      <c r="C716" t="inlineStr">
        <is>
          <t>Earlier handbook retained variant</t>
        </is>
      </c>
      <c r="D716" t="inlineStr">
        <is>
          <t>S163</t>
        </is>
      </c>
      <c r="E716" t="inlineStr">
        <is>
          <t>V-series table row Croissant</t>
        </is>
      </c>
      <c r="F716" t="inlineStr">
        <is>
          <t>Held / working alternative as noted</t>
        </is>
      </c>
      <c r="G716" t="inlineStr">
        <is>
          <t>Other drafts use 9.72 kg water, 900 g dough fat and different roll-in percentages. Select one formula; do not combine them. Confirm lamination equipment, fat plasticity and proof conditions.</t>
        </is>
      </c>
    </row>
    <row r="717">
      <c r="A717" t="inlineStr">
        <is>
          <t>V003</t>
        </is>
      </c>
      <c r="B717" t="inlineStr">
        <is>
          <t>Pain au chocolat</t>
        </is>
      </c>
      <c r="C717" t="inlineStr">
        <is>
          <t>Earlier handbook retained variant</t>
        </is>
      </c>
      <c r="D717" t="inlineStr">
        <is>
          <t>S163</t>
        </is>
      </c>
      <c r="E717" t="inlineStr">
        <is>
          <t>V-series table row Pain au chocolat</t>
        </is>
      </c>
      <c r="F717" t="inlineStr">
        <is>
          <t>Held / working alternative as noted</t>
        </is>
      </c>
      <c r="G717" t="inlineStr">
        <is>
          <t>Define baton mass and dough weight. Pilot 4 mm sheet and 8 × 12 cm rectangles only after the base is fixed.</t>
        </is>
      </c>
    </row>
    <row r="718">
      <c r="A718" t="inlineStr">
        <is>
          <t>V004</t>
        </is>
      </c>
      <c r="B718" t="inlineStr">
        <is>
          <t>Pound cake</t>
        </is>
      </c>
      <c r="C718" t="inlineStr">
        <is>
          <t>Earlier handbook retained variant</t>
        </is>
      </c>
      <c r="D718" t="inlineStr">
        <is>
          <t>S163</t>
        </is>
      </c>
      <c r="E718" t="inlineStr">
        <is>
          <t>V-series table row Pound cake</t>
        </is>
      </c>
      <c r="F718" t="inlineStr">
        <is>
          <t>Held / working alternative as noted</t>
        </is>
      </c>
      <c r="G718" t="inlineStr">
        <is>
          <t>Another draft has 18 kg egg and 360 g baking powder. Select a fixed version, edible egg mass, tin fill and mixing method; use a creaming-capable mixer.</t>
        </is>
      </c>
    </row>
    <row r="719">
      <c r="A719" t="inlineStr">
        <is>
          <t>V005</t>
        </is>
      </c>
      <c r="B719" t="inlineStr">
        <is>
          <t>Hard dough loaf</t>
        </is>
      </c>
      <c r="C719" t="inlineStr">
        <is>
          <t>Earlier handbook retained variant</t>
        </is>
      </c>
      <c r="D719" t="inlineStr">
        <is>
          <t>S163</t>
        </is>
      </c>
      <c r="E719" t="inlineStr">
        <is>
          <t>V-series table row Hard dough loaf</t>
        </is>
      </c>
      <c r="F719" t="inlineStr">
        <is>
          <t>Held / working alternative as noted</t>
        </is>
      </c>
      <c r="G719" t="inlineStr">
        <is>
          <t>Other versions differ materially in water, sugar and fat. Validate dense-dough load and moulder limits; do not force tight rollers.</t>
        </is>
      </c>
    </row>
    <row r="720">
      <c r="A720" t="inlineStr">
        <is>
          <t>V006</t>
        </is>
      </c>
      <c r="B720" t="inlineStr">
        <is>
          <t>Pain aux raisins</t>
        </is>
      </c>
      <c r="C720" t="inlineStr">
        <is>
          <t>Earlier handbook retained variant</t>
        </is>
      </c>
      <c r="D720" t="inlineStr">
        <is>
          <t>S163</t>
        </is>
      </c>
      <c r="E720" t="inlineStr">
        <is>
          <t>V-series table row Pain aux raisins</t>
        </is>
      </c>
      <c r="F720" t="inlineStr">
        <is>
          <t>Held / working alternative as noted</t>
        </is>
      </c>
      <c r="G720" t="inlineStr">
        <is>
          <t>Incomplete: define cream recipe, quantity, treatment and chilled handling.</t>
        </is>
      </c>
    </row>
    <row r="721">
      <c r="A721" t="inlineStr">
        <is>
          <t>V007</t>
        </is>
      </c>
      <c r="B721" t="inlineStr">
        <is>
          <t>Vendéenne-style braid</t>
        </is>
      </c>
      <c r="C721" t="inlineStr">
        <is>
          <t>Earlier handbook retained variant</t>
        </is>
      </c>
      <c r="D721" t="inlineStr">
        <is>
          <t>S163</t>
        </is>
      </c>
      <c r="E721" t="inlineStr">
        <is>
          <t>V-series table row Vendéenne-style braid</t>
        </is>
      </c>
      <c r="F721" t="inlineStr">
        <is>
          <t>Held / working alternative as noted</t>
        </is>
      </c>
      <c r="G721" t="inlineStr">
        <is>
          <t>A 25%-butter variant, distinct from S-B06 50%-butter brioche. Regional naming needs care; validate cold fermentation and shaping.</t>
        </is>
      </c>
    </row>
    <row r="722">
      <c r="A722" t="inlineStr">
        <is>
          <t>V008</t>
        </is>
      </c>
      <c r="B722" t="inlineStr">
        <is>
          <t>Long sandwich roll</t>
        </is>
      </c>
      <c r="C722" t="inlineStr">
        <is>
          <t>Earlier handbook retained variant</t>
        </is>
      </c>
      <c r="D722" t="inlineStr">
        <is>
          <t>S163</t>
        </is>
      </c>
      <c r="E722" t="inlineStr">
        <is>
          <t>V-series table row Long sandwich roll</t>
        </is>
      </c>
      <c r="F722" t="inlineStr">
        <is>
          <t>Held / working alternative as noted</t>
        </is>
      </c>
      <c r="G722" t="inlineStr">
        <is>
          <t>Define malt type and activity. Original 150 g dough piece is a pilot size, not final label mass.</t>
        </is>
      </c>
    </row>
    <row r="723">
      <c r="A723" t="inlineStr">
        <is>
          <t>V009</t>
        </is>
      </c>
      <c r="B723" t="inlineStr">
        <is>
          <t>Coconut crunch bread</t>
        </is>
      </c>
      <c r="C723" t="inlineStr">
        <is>
          <t>Earlier handbook retained variant</t>
        </is>
      </c>
      <c r="D723" t="inlineStr">
        <is>
          <t>S163</t>
        </is>
      </c>
      <c r="E723" t="inlineStr">
        <is>
          <t>V-series table row Coconut crunch bread</t>
        </is>
      </c>
      <c r="F723" t="inlineStr">
        <is>
          <t>Held / working alternative as noted</t>
        </is>
      </c>
      <c r="G723" t="inlineStr">
        <is>
          <t>Topping quantity absent; specify coconut moisture and topping before costing.</t>
        </is>
      </c>
    </row>
    <row r="724">
      <c r="A724" t="inlineStr">
        <is>
          <t>V010</t>
        </is>
      </c>
      <c r="B724" t="inlineStr">
        <is>
          <t>Whole-wheat loaf</t>
        </is>
      </c>
      <c r="C724" t="inlineStr">
        <is>
          <t>Earlier handbook retained variant</t>
        </is>
      </c>
      <c r="D724" t="inlineStr">
        <is>
          <t>S163</t>
        </is>
      </c>
      <c r="E724" t="inlineStr">
        <is>
          <t>V-series table row Whole-wheat loaf</t>
        </is>
      </c>
      <c r="F724" t="inlineStr">
        <is>
          <t>Held / working alternative as noted</t>
        </is>
      </c>
      <c r="G724" t="inlineStr">
        <is>
          <t>Select honey or molasses. Optional oats/flax not quantified. Compare with V04’s 60% whole-wheat formula.</t>
        </is>
      </c>
    </row>
    <row r="725">
      <c r="A725" t="inlineStr">
        <is>
          <t>V011</t>
        </is>
      </c>
      <c r="B725" t="inlineStr">
        <is>
          <t>Garlic-herb-cheese fougasse</t>
        </is>
      </c>
      <c r="C725" t="inlineStr">
        <is>
          <t>Earlier handbook retained variant</t>
        </is>
      </c>
      <c r="D725" t="inlineStr">
        <is>
          <t>S163</t>
        </is>
      </c>
      <c r="E725" t="inlineStr">
        <is>
          <t>V-series table row Garlic-herb-cheese fougasse</t>
        </is>
      </c>
      <c r="F725" t="inlineStr">
        <is>
          <t>Held / working alternative as noted</t>
        </is>
      </c>
      <c r="G725" t="inlineStr">
        <is>
          <t>Garlic-oil and cheese topping amounts absent. Define yeast type and topping yield.</t>
        </is>
      </c>
    </row>
    <row r="726">
      <c r="A726" t="inlineStr">
        <is>
          <t>V012</t>
        </is>
      </c>
      <c r="B726" t="inlineStr">
        <is>
          <t>Laminated sausage roll</t>
        </is>
      </c>
      <c r="C726" t="inlineStr">
        <is>
          <t>Earlier handbook retained variant</t>
        </is>
      </c>
      <c r="D726" t="inlineStr">
        <is>
          <t>S163</t>
        </is>
      </c>
      <c r="E726" t="inlineStr">
        <is>
          <t>V-series table row Laminated sausage roll</t>
        </is>
      </c>
      <c r="F726" t="inlineStr">
        <is>
          <t>Held / working alternative as noted</t>
        </is>
      </c>
      <c r="G726" t="inlineStr">
        <is>
          <t>Pastry liquid, seasoning and binding missing. O-P08 is a complete shortcrust alternative, not an equivalent laminated formula.</t>
        </is>
      </c>
    </row>
    <row r="727">
      <c r="A727" t="inlineStr">
        <is>
          <t>V013</t>
        </is>
      </c>
      <c r="B727" t="inlineStr">
        <is>
          <t>Brownie</t>
        </is>
      </c>
      <c r="C727" t="inlineStr">
        <is>
          <t>Earlier handbook retained variant</t>
        </is>
      </c>
      <c r="D727" t="inlineStr">
        <is>
          <t>S163</t>
        </is>
      </c>
      <c r="E727" t="inlineStr">
        <is>
          <t>V-series table row Brownie</t>
        </is>
      </c>
      <c r="F727" t="inlineStr">
        <is>
          <t>Held / working alternative as noted</t>
        </is>
      </c>
      <c r="G727" t="inlineStr">
        <is>
          <t>Identify fat and tray depth; validate center set and cooled cut yield. Do not approve from surface colour alone.</t>
        </is>
      </c>
    </row>
    <row r="728">
      <c r="A728" t="inlineStr">
        <is>
          <t>V014</t>
        </is>
      </c>
      <c r="B728" t="inlineStr">
        <is>
          <t>Pain viennoise</t>
        </is>
      </c>
      <c r="C728" t="inlineStr">
        <is>
          <t>Earlier handbook retained variant</t>
        </is>
      </c>
      <c r="D728" t="inlineStr">
        <is>
          <t>S163</t>
        </is>
      </c>
      <c r="E728" t="inlineStr">
        <is>
          <t>V-series table row Pain viennoise</t>
        </is>
      </c>
      <c r="F728" t="inlineStr">
        <is>
          <t>Held / working alternative as noted</t>
        </is>
      </c>
      <c r="G728" t="inlineStr">
        <is>
          <t>Distinct from S-B07 pain au lait. Cost and label the chocolate version separately.</t>
        </is>
      </c>
    </row>
    <row r="729">
      <c r="A729" t="inlineStr">
        <is>
          <t>V015</t>
        </is>
      </c>
      <c r="B729" t="inlineStr">
        <is>
          <t>Levain boule</t>
        </is>
      </c>
      <c r="C729" t="inlineStr">
        <is>
          <t>Earlier handbook retained variant</t>
        </is>
      </c>
      <c r="D729" t="inlineStr">
        <is>
          <t>S163</t>
        </is>
      </c>
      <c r="E729" t="inlineStr">
        <is>
          <t>V-series table row Levain boule</t>
        </is>
      </c>
      <c r="F729" t="inlineStr">
        <is>
          <t>Held / working alternative as noted</t>
        </is>
      </c>
      <c r="G729" t="inlineStr">
        <is>
          <t>Levain hydration, flour contribution and maturity missing; total hydration cannot be established.</t>
        </is>
      </c>
    </row>
    <row r="730">
      <c r="A730" t="inlineStr">
        <is>
          <t>V016</t>
        </is>
      </c>
      <c r="B730" t="inlineStr">
        <is>
          <t>Vanilla gelato</t>
        </is>
      </c>
      <c r="C730" t="inlineStr">
        <is>
          <t>Earlier handbook retained variant</t>
        </is>
      </c>
      <c r="D730" t="inlineStr">
        <is>
          <t>S163</t>
        </is>
      </c>
      <c r="E730" t="inlineStr">
        <is>
          <t>V-series table row Vanilla gelato</t>
        </is>
      </c>
      <c r="F730" t="inlineStr">
        <is>
          <t>Held / working alternative as noted</t>
        </is>
      </c>
      <c r="G730" t="inlineStr">
        <is>
          <t>Ingredient types/solids and stabilizer unidentified. Prefer S-D02; do not assume a soft-serve machine is a batch freezer.</t>
        </is>
      </c>
    </row>
    <row r="731">
      <c r="A731" t="inlineStr">
        <is>
          <t>V017</t>
        </is>
      </c>
      <c r="B731" t="inlineStr">
        <is>
          <t>Pineapple-ginger pop</t>
        </is>
      </c>
      <c r="C731" t="inlineStr">
        <is>
          <t>Earlier handbook retained variant</t>
        </is>
      </c>
      <c r="D731" t="inlineStr">
        <is>
          <t>S163</t>
        </is>
      </c>
      <c r="E731" t="inlineStr">
        <is>
          <t>V-series table row Pineapple-ginger pop</t>
        </is>
      </c>
      <c r="F731" t="inlineStr">
        <is>
          <t>Held / working alternative as noted</t>
        </is>
      </c>
      <c r="G731" t="inlineStr">
        <is>
          <t>Fruit composition and treatment missing. S-I01 is the more specified trial.</t>
        </is>
      </c>
    </row>
    <row r="732">
      <c r="A732" t="inlineStr">
        <is>
          <t>V018</t>
        </is>
      </c>
      <c r="B732" t="inlineStr">
        <is>
          <t>Cocoa cream pop</t>
        </is>
      </c>
      <c r="C732" t="inlineStr">
        <is>
          <t>Earlier handbook retained variant</t>
        </is>
      </c>
      <c r="D732" t="inlineStr">
        <is>
          <t>S163</t>
        </is>
      </c>
      <c r="E732" t="inlineStr">
        <is>
          <t>V-series table row Cocoa cream pop</t>
        </is>
      </c>
      <c r="F732" t="inlineStr">
        <is>
          <t>Held / working alternative as noted</t>
        </is>
      </c>
      <c r="G732" t="inlineStr">
        <is>
          <t>Starch and stabilizer are not interchangeable. Prefer S-I03 or develop a separate specified starch formula.</t>
        </is>
      </c>
    </row>
    <row r="733">
      <c r="A733" t="inlineStr">
        <is>
          <t>V019</t>
        </is>
      </c>
      <c r="B733" t="inlineStr">
        <is>
          <t>Cocoa-banana gelato</t>
        </is>
      </c>
      <c r="C733" t="inlineStr">
        <is>
          <t>Earlier handbook retained variant</t>
        </is>
      </c>
      <c r="D733" t="inlineStr">
        <is>
          <t>S163</t>
        </is>
      </c>
      <c r="E733" t="inlineStr">
        <is>
          <t>V-series table row Cocoa-banana gelato</t>
        </is>
      </c>
      <c r="F733" t="inlineStr">
        <is>
          <t>Held / working alternative as noted</t>
        </is>
      </c>
      <c r="G733" t="inlineStr">
        <is>
          <t>Determine fat/solids, fruit treatment, freezing behaviour, equipment and portions.</t>
        </is>
      </c>
    </row>
    <row r="734">
      <c r="A734" t="inlineStr">
        <is>
          <t>V020</t>
        </is>
      </c>
      <c r="B734" t="inlineStr">
        <is>
          <t>Cocoa-groundnut breakfast loaf</t>
        </is>
      </c>
      <c r="C734" t="inlineStr">
        <is>
          <t>Earlier handbook retained variant</t>
        </is>
      </c>
      <c r="D734" t="inlineStr">
        <is>
          <t>S163</t>
        </is>
      </c>
      <c r="E734" t="inlineStr">
        <is>
          <t>V-series table row Cocoa-groundnut breakfast loaf</t>
        </is>
      </c>
      <c r="F734" t="inlineStr">
        <is>
          <t>Held / working alternative as noted</t>
        </is>
      </c>
      <c r="G734" t="inlineStr">
        <is>
          <t>Select water or milk; test absorption, nut quality, allergens and portion yield. Initial 250–300 g dough, 190°C/18–22 minutes are trial starting points.</t>
        </is>
      </c>
    </row>
    <row r="735">
      <c r="A735" t="inlineStr">
        <is>
          <t>V021</t>
        </is>
      </c>
      <c r="B735" t="inlineStr">
        <is>
          <t>Chicken-vegetable pocket</t>
        </is>
      </c>
      <c r="C735" t="inlineStr">
        <is>
          <t>Earlier handbook retained variant</t>
        </is>
      </c>
      <c r="D735" t="inlineStr">
        <is>
          <t>S163</t>
        </is>
      </c>
      <c r="E735" t="inlineStr">
        <is>
          <t>V-series table row Chicken-vegetable pocket</t>
        </is>
      </c>
      <c r="F735" t="inlineStr">
        <is>
          <t>Held / working alternative as noted</t>
        </is>
      </c>
      <c r="G735" t="inlineStr">
        <is>
          <t>Select binder and seasoning; quantify egg wash and cooked filling loss. Original assembly 60–70 g dough + 40 g filling; bake trial 195–205°C/15–18 minutes with verified core cooking.</t>
        </is>
      </c>
    </row>
    <row r="736">
      <c r="A736" t="inlineStr">
        <is>
          <t>V022</t>
        </is>
      </c>
      <c r="B736" t="inlineStr">
        <is>
          <t>Mango “ginger” soft serve</t>
        </is>
      </c>
      <c r="C736" t="inlineStr">
        <is>
          <t>Earlier handbook retained variant</t>
        </is>
      </c>
      <c r="D736" t="inlineStr">
        <is>
          <t>S163</t>
        </is>
      </c>
      <c r="E736" t="inlineStr">
        <is>
          <t>V-series table row Mango “ginger” soft serve</t>
        </is>
      </c>
      <c r="F736" t="inlineStr">
        <is>
          <t>Held / working alternative as noted</t>
        </is>
      </c>
      <c r="G736" t="inlineStr">
        <is>
          <t>No ginger amount is supplied despite the name. Total is 10.25 kg before adjustments. Select dry sugar type and specified stabilizer; qualify treated fruit additions and machine compatibility.</t>
        </is>
      </c>
    </row>
    <row r="737">
      <c r="A737" t="inlineStr">
        <is>
          <t>V023</t>
        </is>
      </c>
      <c r="B737" t="inlineStr">
        <is>
          <t>Early bissap pop</t>
        </is>
      </c>
      <c r="C737" t="inlineStr">
        <is>
          <t>Earlier handbook retained variant</t>
        </is>
      </c>
      <c r="D737" t="inlineStr">
        <is>
          <t>S163</t>
        </is>
      </c>
      <c r="E737" t="inlineStr">
        <is>
          <t>V-series table row Early bissap pop</t>
        </is>
      </c>
      <c r="F737" t="inlineStr">
        <is>
          <t>Held / working alternative as noted</t>
        </is>
      </c>
      <c r="G737" t="inlineStr">
        <is>
          <t>Syrup contributes only 1.17 kg sugar, so the original 18–22°Brix assertion is not supported by the listed sugars. Use S-I02 as the revised trial.</t>
        </is>
      </c>
    </row>
    <row r="738">
      <c r="A738" t="inlineStr">
        <is>
          <t>V024</t>
        </is>
      </c>
      <c r="B738" t="inlineStr">
        <is>
          <t>Shawarma baguette</t>
        </is>
      </c>
      <c r="C738" t="inlineStr">
        <is>
          <t>Earlier handbook retained variant</t>
        </is>
      </c>
      <c r="D738" t="inlineStr">
        <is>
          <t>S163</t>
        </is>
      </c>
      <c r="E738" t="inlineStr">
        <is>
          <t>V-series table row Shawarma baguette</t>
        </is>
      </c>
      <c r="F738" t="inlineStr">
        <is>
          <t>Held / working alternative as noted</t>
        </is>
      </c>
      <c r="G738" t="inlineStr">
        <is>
          <t>A portion-range concept. Fix exact weights and costs using O-B18/O-B20/O-B22/O-B24 and S-B01 before sale.</t>
        </is>
      </c>
    </row>
    <row r="739">
      <c r="A739" t="inlineStr">
        <is>
          <t>V025</t>
        </is>
      </c>
      <c r="B739" t="inlineStr">
        <is>
          <t>Spring rolls</t>
        </is>
      </c>
      <c r="C739" t="inlineStr">
        <is>
          <t>Earlier handbook retained variant</t>
        </is>
      </c>
      <c r="D739" t="inlineStr">
        <is>
          <t>S163</t>
        </is>
      </c>
      <c r="E739" t="inlineStr">
        <is>
          <t>V-series table row Spring rolls</t>
        </is>
      </c>
      <c r="F739" t="inlineStr">
        <is>
          <t>Held / working alternative as noted</t>
        </is>
      </c>
      <c r="G739" t="inlineStr">
        <is>
          <t>Original target about 100 pieces, with 45–50 g filling each, purchased wrappers and 170–175°C frying trial. Define wrapper mass/count, split seasonings, sealing paste, absorbed oil and cooked filling yield; validate the center rather than relying on the original 3–4-minute time.</t>
        </is>
      </c>
    </row>
    <row r="740">
      <c r="A740" t="inlineStr">
        <is>
          <t>V026</t>
        </is>
      </c>
      <c r="B740" t="inlineStr">
        <is>
          <t>Focaccia slab; coconut nondairy frozen dessert; mango/passionfruit/banana fruit trio</t>
        </is>
      </c>
      <c r="C740" t="inlineStr">
        <is>
          <t>Earlier handbook retained variant</t>
        </is>
      </c>
      <c r="D740" t="inlineStr">
        <is>
          <t>S163</t>
        </is>
      </c>
      <c r="E740" t="inlineStr">
        <is>
          <t>V-series table row Focaccia slab; coconut nondairy frozen dessert; mango/passionfruit/banana fruit trio</t>
        </is>
      </c>
      <c r="F740" t="inlineStr">
        <is>
          <t>Held / working alternative as noted</t>
        </is>
      </c>
      <c r="G740" t="inlineStr">
        <is>
          <t>Keep on the development list; do not imply a complete recipe was supplied. Rebalance fruit sugar/acid and coconut fat/solids separately.</t>
        </is>
      </c>
    </row>
    <row r="741">
      <c r="A741" t="inlineStr">
        <is>
          <t>V027</t>
        </is>
      </c>
      <c r="B741" t="inlineStr">
        <is>
          <t>Milk sandwich bread</t>
        </is>
      </c>
      <c r="C741" t="inlineStr">
        <is>
          <t>Earlier handbook retained variant</t>
        </is>
      </c>
      <c r="D741" t="inlineStr">
        <is>
          <t>S163</t>
        </is>
      </c>
      <c r="E741" t="inlineStr">
        <is>
          <t>V-series table row Milk sandwich bread</t>
        </is>
      </c>
      <c r="F741" t="inlineStr">
        <is>
          <t>Held / working alternative as noted</t>
        </is>
      </c>
      <c r="G741" t="inlineStr">
        <is>
          <t>Older milk-powder alternative to O-P01/S-B04; do not assume four-day life.</t>
        </is>
      </c>
    </row>
    <row r="742">
      <c r="A742" t="inlineStr">
        <is>
          <t>V028</t>
        </is>
      </c>
      <c r="B742" t="inlineStr">
        <is>
          <t>Hard-crust baguette</t>
        </is>
      </c>
      <c r="C742" t="inlineStr">
        <is>
          <t>Earlier handbook retained variant</t>
        </is>
      </c>
      <c r="D742" t="inlineStr">
        <is>
          <t>S163</t>
        </is>
      </c>
      <c r="E742" t="inlineStr">
        <is>
          <t>V-series table row Hard-crust baguette</t>
        </is>
      </c>
      <c r="F742" t="inlineStr">
        <is>
          <t>Held / working alternative as noted</t>
        </is>
      </c>
      <c r="G742" t="inlineStr">
        <is>
          <t>Improver specification and supplier dose required; S-B01 is the clearer working card.</t>
        </is>
      </c>
    </row>
    <row r="743">
      <c r="A743" t="inlineStr">
        <is>
          <t>V029</t>
        </is>
      </c>
      <c r="B743" t="inlineStr">
        <is>
          <t>Chin-chin</t>
        </is>
      </c>
      <c r="C743" t="inlineStr">
        <is>
          <t>Earlier handbook retained variant</t>
        </is>
      </c>
      <c r="D743" t="inlineStr">
        <is>
          <t>S163</t>
        </is>
      </c>
      <c r="E743" t="inlineStr">
        <is>
          <t>V-series table row Chin-chin</t>
        </is>
      </c>
      <c r="F743" t="inlineStr">
        <is>
          <t>Held / working alternative as noted</t>
        </is>
      </c>
      <c r="G743" t="inlineStr">
        <is>
          <t>Weigh eggs, split flavour quantities, specify dough thickness and fry endpoint. Three-month life unsupported.</t>
        </is>
      </c>
    </row>
    <row r="744">
      <c r="A744" t="inlineStr">
        <is>
          <t>V030</t>
        </is>
      </c>
      <c r="B744" t="inlineStr">
        <is>
          <t>Dual-leavened beignets</t>
        </is>
      </c>
      <c r="C744" t="inlineStr">
        <is>
          <t>Earlier handbook retained variant</t>
        </is>
      </c>
      <c r="D744" t="inlineStr">
        <is>
          <t>S163</t>
        </is>
      </c>
      <c r="E744" t="inlineStr">
        <is>
          <t>V-series table row Dual-leavened beignets</t>
        </is>
      </c>
      <c r="F744" t="inlineStr">
        <is>
          <t>Held / working alternative as noted</t>
        </is>
      </c>
      <c r="G744" t="inlineStr">
        <is>
          <t>Distinct from yeast puff-puff and cake beignets. Fix leavener types and test; no guarantee of hollow or oil-free texture.</t>
        </is>
      </c>
    </row>
    <row r="745">
      <c r="A745" t="inlineStr">
        <is>
          <t>V031</t>
        </is>
      </c>
      <c r="B745" t="inlineStr">
        <is>
          <t>Powder-milk yogurt</t>
        </is>
      </c>
      <c r="C745" t="inlineStr">
        <is>
          <t>Earlier handbook retained variant</t>
        </is>
      </c>
      <c r="D745" t="inlineStr">
        <is>
          <t>S163</t>
        </is>
      </c>
      <c r="E745" t="inlineStr">
        <is>
          <t>V-series table row Powder-milk yogurt</t>
        </is>
      </c>
      <c r="F745" t="inlineStr">
        <is>
          <t>Held / working alternative as noted</t>
        </is>
      </c>
      <c r="G745" t="inlineStr">
        <is>
          <t>Culture units, supplier dose, total solids and working tank volume unresolved; do not inherit S-Y culture dosing.</t>
        </is>
      </c>
    </row>
    <row r="746">
      <c r="A746" t="inlineStr">
        <is>
          <t>V032</t>
        </is>
      </c>
      <c r="B746" t="inlineStr">
        <is>
          <t>Chicken marinade</t>
        </is>
      </c>
      <c r="C746" t="inlineStr">
        <is>
          <t>Earlier handbook retained variant</t>
        </is>
      </c>
      <c r="D746" t="inlineStr">
        <is>
          <t>S163</t>
        </is>
      </c>
      <c r="E746" t="inlineStr">
        <is>
          <t>V-series table row Chicken marinade</t>
        </is>
      </c>
      <c r="F746" t="inlineStr">
        <is>
          <t>Held / working alternative as noted</t>
        </is>
      </c>
      <c r="G746" t="inlineStr">
        <is>
          <t>Weigh liquids and identify spices; marination is refrigerated and does not replace cooking.</t>
        </is>
      </c>
    </row>
    <row r="747">
      <c r="A747" t="inlineStr">
        <is>
          <t>V033</t>
        </is>
      </c>
      <c r="B747" t="inlineStr">
        <is>
          <t>Yogurt-mayo sauce</t>
        </is>
      </c>
      <c r="C747" t="inlineStr">
        <is>
          <t>Earlier handbook retained variant</t>
        </is>
      </c>
      <c r="D747" t="inlineStr">
        <is>
          <t>S163</t>
        </is>
      </c>
      <c r="E747" t="inlineStr">
        <is>
          <t>V-series table row Yogurt-mayo sauce</t>
        </is>
      </c>
      <c r="F747" t="inlineStr">
        <is>
          <t>Held / working alternative as noted</t>
        </is>
      </c>
      <c r="G747" t="inlineStr">
        <is>
          <t>SRC26 splits seasoning into 40 g salt + 15 g pepper and adds mint. Keep refrigerated; final mass/volume unmeasured.</t>
        </is>
      </c>
    </row>
    <row r="748">
      <c r="A748" t="inlineStr">
        <is>
          <t>V034</t>
        </is>
      </c>
      <c r="B748" t="inlineStr">
        <is>
          <t>Meat-pie filling</t>
        </is>
      </c>
      <c r="C748" t="inlineStr">
        <is>
          <t>Earlier handbook retained variant</t>
        </is>
      </c>
      <c r="D748" t="inlineStr">
        <is>
          <t>S163</t>
        </is>
      </c>
      <c r="E748" t="inlineStr">
        <is>
          <t>V-series table row Meat-pie filling</t>
        </is>
      </c>
      <c r="F748" t="inlineStr">
        <is>
          <t>Held / working alternative as noted</t>
        </is>
      </c>
      <c r="G748" t="inlineStr">
        <is>
          <t>Seasoning versus water unresolved. O-B09 provides a complete alternative; no unsupported 40% saving claim.</t>
        </is>
      </c>
    </row>
    <row r="749">
      <c r="A749" t="inlineStr">
        <is>
          <t>V035</t>
        </is>
      </c>
      <c r="B749" t="inlineStr">
        <is>
          <t>Pie crust</t>
        </is>
      </c>
      <c r="C749" t="inlineStr">
        <is>
          <t>Earlier handbook retained variant</t>
        </is>
      </c>
      <c r="D749" t="inlineStr">
        <is>
          <t>S163</t>
        </is>
      </c>
      <c r="E749" t="inlineStr">
        <is>
          <t>V-series table row Pie crust</t>
        </is>
      </c>
      <c r="F749" t="inlineStr">
        <is>
          <t>Held / working alternative as noted</t>
        </is>
      </c>
      <c r="G749" t="inlineStr">
        <is>
          <t>Distinct fat ratio from O-B07; validate short mixing and chilled handling.</t>
        </is>
      </c>
    </row>
    <row r="750">
      <c r="A750" t="inlineStr">
        <is>
          <t>V036</t>
        </is>
      </c>
      <c r="B750" t="inlineStr">
        <is>
          <t>Koki corn</t>
        </is>
      </c>
      <c r="C750" t="inlineStr">
        <is>
          <t>Earlier handbook retained variant</t>
        </is>
      </c>
      <c r="D750" t="inlineStr">
        <is>
          <t>S163</t>
        </is>
      </c>
      <c r="E750" t="inlineStr">
        <is>
          <t>V-series table row Koki corn</t>
        </is>
      </c>
      <c r="F750" t="inlineStr">
        <is>
          <t>Held / working alternative as noted</t>
        </is>
      </c>
      <c r="G750" t="inlineStr">
        <is>
          <t>Specify corn solids, grinding, wrap size and validated steaming endpoint. Do not assume scraper aeration.</t>
        </is>
      </c>
    </row>
    <row r="751">
      <c r="A751" t="inlineStr">
        <is>
          <t>V037</t>
        </is>
      </c>
      <c r="B751" t="inlineStr">
        <is>
          <t>Ndjansang chilli sauce</t>
        </is>
      </c>
      <c r="C751" t="inlineStr">
        <is>
          <t>Earlier handbook retained variant</t>
        </is>
      </c>
      <c r="D751" t="inlineStr">
        <is>
          <t>S163</t>
        </is>
      </c>
      <c r="E751" t="inlineStr">
        <is>
          <t>V-series table row Ndjansang chilli sauce</t>
        </is>
      </c>
      <c r="F751" t="inlineStr">
        <is>
          <t>Held / working alternative as noted</t>
        </is>
      </c>
      <c r="G751" t="inlineStr">
        <is>
          <t>Split all combined ingredients. Hot bottling and oil separation do not establish ambient safety.</t>
        </is>
      </c>
    </row>
    <row r="752">
      <c r="A752" t="inlineStr">
        <is>
          <t>V038</t>
        </is>
      </c>
      <c r="B752" t="inlineStr">
        <is>
          <t>Coconut tarts</t>
        </is>
      </c>
      <c r="C752" t="inlineStr">
        <is>
          <t>Earlier handbook retained variant</t>
        </is>
      </c>
      <c r="D752" t="inlineStr">
        <is>
          <t>S163</t>
        </is>
      </c>
      <c r="E752" t="inlineStr">
        <is>
          <t>V-series table row Coconut tarts</t>
        </is>
      </c>
      <c r="F752" t="inlineStr">
        <is>
          <t>Held / working alternative as noted</t>
        </is>
      </c>
      <c r="G752" t="inlineStr">
        <is>
          <t>Specify syrup solids and shell mass/formula. Measure oven temperature throughout baking; residual heat is not automatically adequate.</t>
        </is>
      </c>
    </row>
    <row r="753">
      <c r="A753" t="inlineStr">
        <is>
          <t>V039</t>
        </is>
      </c>
      <c r="B753" t="inlineStr">
        <is>
          <t>Brioche poulet</t>
        </is>
      </c>
      <c r="C753" t="inlineStr">
        <is>
          <t>Earlier handbook retained variant</t>
        </is>
      </c>
      <c r="D753" t="inlineStr">
        <is>
          <t>S163</t>
        </is>
      </c>
      <c r="E753" t="inlineStr">
        <is>
          <t>V-series table row Brioche poulet</t>
        </is>
      </c>
      <c r="F753" t="inlineStr">
        <is>
          <t>Held / working alternative as noted</t>
        </is>
      </c>
      <c r="G753" t="inlineStr">
        <is>
          <t>Original assembly 80 g dough + 40 g filling gives 125 units before losses; define the dough/filling versions and actual yield.</t>
        </is>
      </c>
    </row>
    <row r="754">
      <c r="A754" t="inlineStr">
        <is>
          <t>V040</t>
        </is>
      </c>
      <c r="B754" t="inlineStr">
        <is>
          <t>Caramel topping</t>
        </is>
      </c>
      <c r="C754" t="inlineStr">
        <is>
          <t>Earlier handbook retained variant</t>
        </is>
      </c>
      <c r="D754" t="inlineStr">
        <is>
          <t>S163</t>
        </is>
      </c>
      <c r="E754" t="inlineStr">
        <is>
          <t>V-series table row Caramel topping</t>
        </is>
      </c>
      <c r="F754" t="inlineStr">
        <is>
          <t>Held / working alternative as noted</t>
        </is>
      </c>
      <c r="G754" t="inlineStr">
        <is>
          <t>The original 120°C caramelization claim is inadequate. Use a qualified controlled caramel method and appropriate vessel; dairy sauce is not automatically shelf-stable.</t>
        </is>
      </c>
    </row>
    <row r="755">
      <c r="A755" t="inlineStr">
        <is>
          <t>V041</t>
        </is>
      </c>
      <c r="B755" t="inlineStr">
        <is>
          <t>Sugar ring donuts</t>
        </is>
      </c>
      <c r="C755" t="inlineStr">
        <is>
          <t>Earlier handbook retained variant</t>
        </is>
      </c>
      <c r="D755" t="inlineStr">
        <is>
          <t>S163</t>
        </is>
      </c>
      <c r="E755" t="inlineStr">
        <is>
          <t>V-series table row Sugar ring donuts</t>
        </is>
      </c>
      <c r="F755" t="inlineStr">
        <is>
          <t>Held / working alternative as noted</t>
        </is>
      </c>
      <c r="G755" t="inlineStr">
        <is>
          <t>Salt absent in original; resolve deliberate omission and formula before trial. Sugar coating unquantified.</t>
        </is>
      </c>
    </row>
    <row r="756">
      <c r="A756" t="inlineStr">
        <is>
          <t>V042</t>
        </is>
      </c>
      <c r="B756" t="inlineStr">
        <is>
          <t>Ganache rings</t>
        </is>
      </c>
      <c r="C756" t="inlineStr">
        <is>
          <t>Earlier handbook retained variant</t>
        </is>
      </c>
      <c r="D756" t="inlineStr">
        <is>
          <t>S163</t>
        </is>
      </c>
      <c r="E756" t="inlineStr">
        <is>
          <t>V-series table row Ganache rings</t>
        </is>
      </c>
      <c r="F756" t="inlineStr">
        <is>
          <t>Held / working alternative as noted</t>
        </is>
      </c>
      <c r="G756" t="inlineStr">
        <is>
          <t>Define cream mass/fat, chocolate type, pickup and chilled handling. No all-day warm holding claim.</t>
        </is>
      </c>
    </row>
    <row r="757">
      <c r="A757" t="inlineStr">
        <is>
          <t>V043</t>
        </is>
      </c>
      <c r="B757" t="inlineStr">
        <is>
          <t>60% whole-wheat loaf</t>
        </is>
      </c>
      <c r="C757" t="inlineStr">
        <is>
          <t>Earlier handbook retained variant</t>
        </is>
      </c>
      <c r="D757" t="inlineStr">
        <is>
          <t>S163</t>
        </is>
      </c>
      <c r="E757" t="inlineStr">
        <is>
          <t>V-series table row 60% whole-wheat loaf</t>
        </is>
      </c>
      <c r="F757" t="inlineStr">
        <is>
          <t>Held / working alternative as noted</t>
        </is>
      </c>
      <c r="G757" t="inlineStr">
        <is>
          <t>Distinct from V02 50% version. Hydration is 66%; adjust by measured absorption, not an automatic extra 10%.</t>
        </is>
      </c>
    </row>
    <row r="758">
      <c r="A758" t="inlineStr">
        <is>
          <t>V044</t>
        </is>
      </c>
      <c r="B758" t="inlineStr">
        <is>
          <t>Avocado-banana cream</t>
        </is>
      </c>
      <c r="C758" t="inlineStr">
        <is>
          <t>Earlier handbook retained variant</t>
        </is>
      </c>
      <c r="D758" t="inlineStr">
        <is>
          <t>S163</t>
        </is>
      </c>
      <c r="E758" t="inlineStr">
        <is>
          <t>V-series table row Avocado-banana cream</t>
        </is>
      </c>
      <c r="F758" t="inlineStr">
        <is>
          <t>Held / working alternative as noted</t>
        </is>
      </c>
      <c r="G758" t="inlineStr">
        <is>
          <t>Antibrowning ingredients do not confer shelf stability. Treat as perishable with a qualified process.</t>
        </is>
      </c>
    </row>
    <row r="759">
      <c r="A759" t="inlineStr">
        <is>
          <t>V045</t>
        </is>
      </c>
      <c r="B759" t="inlineStr">
        <is>
          <t>Savoury puff-puff</t>
        </is>
      </c>
      <c r="C759" t="inlineStr">
        <is>
          <t>Earlier handbook retained variant</t>
        </is>
      </c>
      <c r="D759" t="inlineStr">
        <is>
          <t>S163</t>
        </is>
      </c>
      <c r="E759" t="inlineStr">
        <is>
          <t>V-series table row Savoury puff-puff</t>
        </is>
      </c>
      <c r="F759" t="inlineStr">
        <is>
          <t>Held / working alternative as noted</t>
        </is>
      </c>
      <c r="G759" t="inlineStr">
        <is>
          <t>Sauté/cool vegetables under control, define batter mass/portion and fry endpoint; cooking oil allowance absent.</t>
        </is>
      </c>
    </row>
    <row r="760">
      <c r="A760" t="inlineStr">
        <is>
          <t>V046</t>
        </is>
      </c>
      <c r="B760" t="inlineStr">
        <is>
          <t>Akara</t>
        </is>
      </c>
      <c r="C760" t="inlineStr">
        <is>
          <t>Earlier handbook retained variant</t>
        </is>
      </c>
      <c r="D760" t="inlineStr">
        <is>
          <t>S163</t>
        </is>
      </c>
      <c r="E760" t="inlineStr">
        <is>
          <t>V-series table row Akara</t>
        </is>
      </c>
      <c r="F760" t="inlineStr">
        <is>
          <t>Held / working alternative as noted</t>
        </is>
      </c>
      <c r="G760" t="inlineStr">
        <is>
          <t>Specify mash solids, milling and hydration; validate cooking and aeration with suitable equipment.</t>
        </is>
      </c>
    </row>
    <row r="761">
      <c r="A761" t="inlineStr">
        <is>
          <t>V047</t>
        </is>
      </c>
      <c r="B761" t="inlineStr">
        <is>
          <t>Corn/makabo paste</t>
        </is>
      </c>
      <c r="C761" t="inlineStr">
        <is>
          <t>Earlier handbook retained variant</t>
        </is>
      </c>
      <c r="D761" t="inlineStr">
        <is>
          <t>S163</t>
        </is>
      </c>
      <c r="E761" t="inlineStr">
        <is>
          <t>V-series table row Corn/makabo paste</t>
        </is>
      </c>
      <c r="F761" t="inlineStr">
        <is>
          <t>Held / working alternative as noted</t>
        </is>
      </c>
      <c r="G761" t="inlineStr">
        <is>
          <t>Corn and makabo are not interchangeable raw materials; makabo needs a separately established preparation/cooking process. Frying or baking cannot be assumed equivalent to steamed koki.</t>
        </is>
      </c>
    </row>
    <row r="762">
      <c r="A762" t="inlineStr">
        <is>
          <t>V048</t>
        </is>
      </c>
      <c r="B762" t="inlineStr">
        <is>
          <t>Chin-chin</t>
        </is>
      </c>
      <c r="C762" t="inlineStr">
        <is>
          <t>Earlier handbook retained variant</t>
        </is>
      </c>
      <c r="D762" t="inlineStr">
        <is>
          <t>S163</t>
        </is>
      </c>
      <c r="E762" t="inlineStr">
        <is>
          <t>V-series table row Chin-chin</t>
        </is>
      </c>
      <c r="F762" t="inlineStr">
        <is>
          <t>Held / working alternative as noted</t>
        </is>
      </c>
      <c r="G762" t="inlineStr">
        <is>
          <t>Record edible egg mass and final hydration. Life requires water-activity, packaging and microbial assessment.</t>
        </is>
      </c>
    </row>
    <row r="763">
      <c r="A763" t="inlineStr">
        <is>
          <t>V049</t>
        </is>
      </c>
      <c r="B763" t="inlineStr">
        <is>
          <t>Brioche poulet</t>
        </is>
      </c>
      <c r="C763" t="inlineStr">
        <is>
          <t>Earlier handbook retained variant</t>
        </is>
      </c>
      <c r="D763" t="inlineStr">
        <is>
          <t>S163</t>
        </is>
      </c>
      <c r="E763" t="inlineStr">
        <is>
          <t>V-series table row Brioche poulet</t>
        </is>
      </c>
      <c r="F763" t="inlineStr">
        <is>
          <t>Held / working alternative as noted</t>
        </is>
      </c>
      <c r="G763" t="inlineStr">
        <is>
          <t>Dough liquid/egg missing. Original 80 g dough + 30 g filling differs from V04; do not blend counts.</t>
        </is>
      </c>
    </row>
    <row r="764">
      <c r="A764" t="inlineStr">
        <is>
          <t>V050</t>
        </is>
      </c>
      <c r="B764" t="inlineStr">
        <is>
          <t>Drinking yogurt</t>
        </is>
      </c>
      <c r="C764" t="inlineStr">
        <is>
          <t>Earlier handbook retained variant</t>
        </is>
      </c>
      <c r="D764" t="inlineStr">
        <is>
          <t>S163</t>
        </is>
      </c>
      <c r="E764" t="inlineStr">
        <is>
          <t>V-series table row Drinking yogurt</t>
        </is>
      </c>
      <c r="F764" t="inlineStr">
        <is>
          <t>Held / working alternative as noted</t>
        </is>
      </c>
      <c r="G764" t="inlineStr">
        <is>
          <t>Starter alternatives and gelling agents are not interchangeable. Sugar/additive post-treatment introduction and chilling need redesign.</t>
        </is>
      </c>
    </row>
    <row r="765">
      <c r="A765" t="inlineStr">
        <is>
          <t>V051</t>
        </is>
      </c>
      <c r="B765" t="inlineStr">
        <is>
          <t>Vinegar chilli sauce</t>
        </is>
      </c>
      <c r="C765" t="inlineStr">
        <is>
          <t>Earlier handbook retained variant</t>
        </is>
      </c>
      <c r="D765" t="inlineStr">
        <is>
          <t>S163</t>
        </is>
      </c>
      <c r="E765" t="inlineStr">
        <is>
          <t>V-series table row Vinegar chilli sauce</t>
        </is>
      </c>
      <c r="F765" t="inlineStr">
        <is>
          <t>Held / working alternative as noted</t>
        </is>
      </c>
      <c r="G765" t="inlineStr">
        <is>
          <t>Vinegar acidity, final pH and thermal process unspecified; refrigerate under approved process, not an ambient claim.</t>
        </is>
      </c>
    </row>
    <row r="766">
      <c r="A766" t="inlineStr">
        <is>
          <t>V052</t>
        </is>
      </c>
      <c r="B766" t="inlineStr">
        <is>
          <t>Sweet milk loaf</t>
        </is>
      </c>
      <c r="C766" t="inlineStr">
        <is>
          <t>Earlier handbook retained variant</t>
        </is>
      </c>
      <c r="D766" t="inlineStr">
        <is>
          <t>S163</t>
        </is>
      </c>
      <c r="E766" t="inlineStr">
        <is>
          <t>V-series table row Sweet milk loaf</t>
        </is>
      </c>
      <c r="F766" t="inlineStr">
        <is>
          <t>Held / working alternative as noted</t>
        </is>
      </c>
      <c r="G766" t="inlineStr">
        <is>
          <t>Salt missing. Improver label required. Extra softness is not validated life extension.</t>
        </is>
      </c>
    </row>
    <row r="767">
      <c r="A767" t="inlineStr">
        <is>
          <t>V053</t>
        </is>
      </c>
      <c r="B767" t="inlineStr">
        <is>
          <t>Meat pie</t>
        </is>
      </c>
      <c r="C767" t="inlineStr">
        <is>
          <t>Earlier handbook retained variant</t>
        </is>
      </c>
      <c r="D767" t="inlineStr">
        <is>
          <t>S163</t>
        </is>
      </c>
      <c r="E767" t="inlineStr">
        <is>
          <t>V-series table row Meat pie</t>
        </is>
      </c>
      <c r="F767" t="inlineStr">
        <is>
          <t>Held / working alternative as noted</t>
        </is>
      </c>
      <c r="G767" t="inlineStr">
        <is>
          <t>Pastry water/salt and filling process loss omitted. Prefer O-P07 until completed.</t>
        </is>
      </c>
    </row>
    <row r="768">
      <c r="A768" t="inlineStr">
        <is>
          <t>V054</t>
        </is>
      </c>
      <c r="B768" t="inlineStr">
        <is>
          <t>Dual-leavened beignets</t>
        </is>
      </c>
      <c r="C768" t="inlineStr">
        <is>
          <t>Earlier handbook retained variant</t>
        </is>
      </c>
      <c r="D768" t="inlineStr">
        <is>
          <t>S163</t>
        </is>
      </c>
      <c r="E768" t="inlineStr">
        <is>
          <t>V-series table row Dual-leavened beignets</t>
        </is>
      </c>
      <c r="F768" t="inlineStr">
        <is>
          <t>Held / working alternative as noted</t>
        </is>
      </c>
      <c r="G768" t="inlineStr">
        <is>
          <t>Compare with V04, with each leavener fixed and measurable. Salt omitted in original.</t>
        </is>
      </c>
    </row>
    <row r="769">
      <c r="A769" t="inlineStr">
        <is>
          <t>V055</t>
        </is>
      </c>
      <c r="B769" t="inlineStr">
        <is>
          <t>Caramel</t>
        </is>
      </c>
      <c r="C769" t="inlineStr">
        <is>
          <t>Earlier handbook retained variant</t>
        </is>
      </c>
      <c r="D769" t="inlineStr">
        <is>
          <t>S163</t>
        </is>
      </c>
      <c r="E769" t="inlineStr">
        <is>
          <t>V-series table row Caramel</t>
        </is>
      </c>
      <c r="F769" t="inlineStr">
        <is>
          <t>Held / working alternative as noted</t>
        </is>
      </c>
      <c r="G769" t="inlineStr">
        <is>
          <t>Cream and margarine are not interchangeable, and margarine volume is ambiguous. Use heat-safe equipment; adding dairy to caramel causes vigorous bubbling.</t>
        </is>
      </c>
    </row>
    <row r="770">
      <c r="A770" t="inlineStr">
        <is>
          <t>V056</t>
        </is>
      </c>
      <c r="B770" t="inlineStr">
        <is>
          <t>Avocado-banana cream</t>
        </is>
      </c>
      <c r="C770" t="inlineStr">
        <is>
          <t>Earlier handbook retained variant</t>
        </is>
      </c>
      <c r="D770" t="inlineStr">
        <is>
          <t>S163</t>
        </is>
      </c>
      <c r="E770" t="inlineStr">
        <is>
          <t>V-series table row Avocado-banana cream</t>
        </is>
      </c>
      <c r="F770" t="inlineStr">
        <is>
          <t>Held / working alternative as noted</t>
        </is>
      </c>
      <c r="G770" t="inlineStr">
        <is>
          <t>Weigh syrup and specify solids; original 48-hour colour claim is unverified and not a safety period.</t>
        </is>
      </c>
    </row>
    <row r="771">
      <c r="A771" t="inlineStr">
        <is>
          <t>V057</t>
        </is>
      </c>
      <c r="B771" t="inlineStr">
        <is>
          <t>Soft-serve mix</t>
        </is>
      </c>
      <c r="C771" t="inlineStr">
        <is>
          <t>Earlier handbook retained variant</t>
        </is>
      </c>
      <c r="D771" t="inlineStr">
        <is>
          <t>S163</t>
        </is>
      </c>
      <c r="E771" t="inlineStr">
        <is>
          <t>V-series table row Soft-serve mix</t>
        </is>
      </c>
      <c r="F771" t="inlineStr">
        <is>
          <t>Held / working alternative as noted</t>
        </is>
      </c>
      <c r="G771" t="inlineStr">
        <is>
          <t>Weigh dairy; identify stabilizer and final solids. O-FBASE1 is the more specified trial.</t>
        </is>
      </c>
    </row>
    <row r="772">
      <c r="A772" t="inlineStr">
        <is>
          <t>V058</t>
        </is>
      </c>
      <c r="B772" t="inlineStr">
        <is>
          <t>Yogurt/frozen yogurt</t>
        </is>
      </c>
      <c r="C772" t="inlineStr">
        <is>
          <t>Earlier handbook retained variant</t>
        </is>
      </c>
      <c r="D772" t="inlineStr">
        <is>
          <t>S163</t>
        </is>
      </c>
      <c r="E772" t="inlineStr">
        <is>
          <t>V-series table row Yogurt/frozen yogurt</t>
        </is>
      </c>
      <c r="F772" t="inlineStr">
        <is>
          <t>Held / working alternative as noted</t>
        </is>
      </c>
      <c r="G772" t="inlineStr">
        <is>
          <t>Culture identity/dose and fermentation curve absent. Not automatically compatible with a soft-serve machine.</t>
        </is>
      </c>
    </row>
    <row r="773">
      <c r="A773" t="inlineStr">
        <is>
          <t>V059</t>
        </is>
      </c>
      <c r="B773" t="inlineStr">
        <is>
          <t>Milky pops</t>
        </is>
      </c>
      <c r="C773" t="inlineStr">
        <is>
          <t>Earlier handbook retained variant</t>
        </is>
      </c>
      <c r="D773" t="inlineStr">
        <is>
          <t>S163</t>
        </is>
      </c>
      <c r="E773" t="inlineStr">
        <is>
          <t>V-series table row Milky pops</t>
        </is>
      </c>
      <c r="F773" t="inlineStr">
        <is>
          <t>Held / working alternative as noted</t>
        </is>
      </c>
      <c r="G773" t="inlineStr">
        <is>
          <t>Coconut and mango are distinct variants; treatment and composition differ.</t>
        </is>
      </c>
    </row>
    <row r="774">
      <c r="A774" t="inlineStr">
        <is>
          <t>V060</t>
        </is>
      </c>
      <c r="B774" t="inlineStr">
        <is>
          <t>Pita</t>
        </is>
      </c>
      <c r="C774" t="inlineStr">
        <is>
          <t>Earlier handbook retained variant</t>
        </is>
      </c>
      <c r="D774" t="inlineStr">
        <is>
          <t>S163</t>
        </is>
      </c>
      <c r="E774" t="inlineStr">
        <is>
          <t>V-series table row Pita</t>
        </is>
      </c>
      <c r="F774" t="inlineStr">
        <is>
          <t>Held / working alternative as noted</t>
        </is>
      </c>
      <c r="G774" t="inlineStr">
        <is>
          <t>Active dry yeast requires its own handling; not gram-for-gram instant yeast. Moulder flattening capability unverified.</t>
        </is>
      </c>
    </row>
    <row r="775">
      <c r="A775" t="inlineStr">
        <is>
          <t>V061</t>
        </is>
      </c>
      <c r="B775" t="inlineStr">
        <is>
          <t>Meat marinade</t>
        </is>
      </c>
      <c r="C775" t="inlineStr">
        <is>
          <t>Earlier handbook retained variant</t>
        </is>
      </c>
      <c r="D775" t="inlineStr">
        <is>
          <t>S163</t>
        </is>
      </c>
      <c r="E775" t="inlineStr">
        <is>
          <t>V-series table row Meat marinade</t>
        </is>
      </c>
      <c r="F775" t="inlineStr">
        <is>
          <t>Held / working alternative as noted</t>
        </is>
      </c>
      <c r="G775" t="inlineStr">
        <is>
          <t>Beef and chicken require separate specifications and cooking records.</t>
        </is>
      </c>
    </row>
    <row r="776">
      <c r="A776" t="inlineStr">
        <is>
          <t>V062</t>
        </is>
      </c>
      <c r="B776" t="inlineStr">
        <is>
          <t>Refrigerator pickle concept</t>
        </is>
      </c>
      <c r="C776" t="inlineStr">
        <is>
          <t>Earlier handbook retained variant</t>
        </is>
      </c>
      <c r="D776" t="inlineStr">
        <is>
          <t>S163</t>
        </is>
      </c>
      <c r="E776" t="inlineStr">
        <is>
          <t>V-series table row Refrigerator pickle concept</t>
        </is>
      </c>
      <c r="F776" t="inlineStr">
        <is>
          <t>Held / working alternative as noted</t>
        </is>
      </c>
      <c r="G776" t="inlineStr">
        <is>
          <t>Vinegar acidity and garlic mass absent; sealed buckets are not an ambient preservation process. Use O-B23.</t>
        </is>
      </c>
    </row>
    <row r="777">
      <c r="A777" t="inlineStr">
        <is>
          <t>V063</t>
        </is>
      </c>
      <c r="B777" t="inlineStr">
        <is>
          <t>Ndjansang sauce</t>
        </is>
      </c>
      <c r="C777" t="inlineStr">
        <is>
          <t>Earlier handbook retained variant</t>
        </is>
      </c>
      <c r="D777" t="inlineStr">
        <is>
          <t>S163</t>
        </is>
      </c>
      <c r="E777" t="inlineStr">
        <is>
          <t>V-series table row Ndjansang sauce</t>
        </is>
      </c>
      <c r="F777" t="inlineStr">
        <is>
          <t>Held / working alternative as noted</t>
        </is>
      </c>
      <c r="G777" t="inlineStr">
        <is>
          <t>No acid control claimed. Treat as a refrigerated perishable sauce.</t>
        </is>
      </c>
    </row>
    <row r="778">
      <c r="A778" t="inlineStr">
        <is>
          <t>V064</t>
        </is>
      </c>
      <c r="B778" t="inlineStr">
        <is>
          <t>Condensed-milk burger buns</t>
        </is>
      </c>
      <c r="C778" t="inlineStr">
        <is>
          <t>Earlier handbook retained variant</t>
        </is>
      </c>
      <c r="D778" t="inlineStr">
        <is>
          <t>S163</t>
        </is>
      </c>
      <c r="E778" t="inlineStr">
        <is>
          <t>V-series table row Condensed-milk burger buns</t>
        </is>
      </c>
      <c r="F778" t="inlineStr">
        <is>
          <t>Held / working alternative as noted</t>
        </is>
      </c>
      <c r="G778" t="inlineStr">
        <is>
          <t>Weigh egg and sesame/egg wash; use O-B25 as working alternative.</t>
        </is>
      </c>
    </row>
    <row r="779">
      <c r="A779" t="inlineStr">
        <is>
          <t>V065</t>
        </is>
      </c>
      <c r="B779" t="inlineStr">
        <is>
          <t>Smash burger</t>
        </is>
      </c>
      <c r="C779" t="inlineStr">
        <is>
          <t>Earlier handbook retained variant</t>
        </is>
      </c>
      <c r="D779" t="inlineStr">
        <is>
          <t>S163</t>
        </is>
      </c>
      <c r="E779" t="inlineStr">
        <is>
          <t>V-series table row Smash burger</t>
        </is>
      </c>
      <c r="F779" t="inlineStr">
        <is>
          <t>Held / working alternative as noted</t>
        </is>
      </c>
      <c r="G779" t="inlineStr">
        <is>
          <t>Toppings unquantified. Original 90-second cook is not a safety endpoint; follow O-P16/H01.</t>
        </is>
      </c>
    </row>
    <row r="780">
      <c r="A780" t="inlineStr">
        <is>
          <t>V066</t>
        </is>
      </c>
      <c r="B780" t="inlineStr">
        <is>
          <t>Pain chargé beef filling</t>
        </is>
      </c>
      <c r="C780" t="inlineStr">
        <is>
          <t>Earlier handbook retained variant</t>
        </is>
      </c>
      <c r="D780" t="inlineStr">
        <is>
          <t>S163</t>
        </is>
      </c>
      <c r="E780" t="inlineStr">
        <is>
          <t>V-series table row Pain chargé beef filling</t>
        </is>
      </c>
      <c r="F780" t="inlineStr">
        <is>
          <t>Held / working alternative as noted</t>
        </is>
      </c>
      <c r="G780" t="inlineStr">
        <is>
          <t>Separate combined ingredients; weigh cooked output and portion.</t>
        </is>
      </c>
    </row>
    <row r="781">
      <c r="A781" t="inlineStr">
        <is>
          <t>V067</t>
        </is>
      </c>
      <c r="B781" t="inlineStr">
        <is>
          <t>Chips and pain chargé</t>
        </is>
      </c>
      <c r="C781" t="inlineStr">
        <is>
          <t>Earlier handbook retained variant</t>
        </is>
      </c>
      <c r="D781" t="inlineStr">
        <is>
          <t>S163</t>
        </is>
      </c>
      <c r="E781" t="inlineStr">
        <is>
          <t>V-series table row Chips and pain chargé</t>
        </is>
      </c>
      <c r="F781" t="inlineStr">
        <is>
          <t>Held / working alternative as noted</t>
        </is>
      </c>
      <c r="G781" t="inlineStr">
        <is>
          <t>Potato and plantain need separate trials. Use O-B24 for fries; define bread and all portions.</t>
        </is>
      </c>
    </row>
    <row r="782">
      <c r="A782" t="inlineStr">
        <is>
          <t>V068</t>
        </is>
      </c>
      <c r="B782" t="inlineStr">
        <is>
          <t>Condensed-milk sandwich loaf</t>
        </is>
      </c>
      <c r="C782" t="inlineStr">
        <is>
          <t>Earlier handbook retained variant</t>
        </is>
      </c>
      <c r="D782" t="inlineStr">
        <is>
          <t>S163</t>
        </is>
      </c>
      <c r="E782" t="inlineStr">
        <is>
          <t>V-series table row Condensed-milk sandwich loaf</t>
        </is>
      </c>
      <c r="F782" t="inlineStr">
        <is>
          <t>Held / working alternative as noted</t>
        </is>
      </c>
      <c r="G782" t="inlineStr">
        <is>
          <t>Working alternatives O-P01/O-P02; qualify pan load and finished mass.</t>
        </is>
      </c>
    </row>
    <row r="783">
      <c r="A783" t="inlineStr">
        <is>
          <t>V069</t>
        </is>
      </c>
      <c r="B783" t="inlineStr">
        <is>
          <t>Condensed-milk baguette</t>
        </is>
      </c>
      <c r="C783" t="inlineStr">
        <is>
          <t>Earlier handbook retained variant</t>
        </is>
      </c>
      <c r="D783" t="inlineStr">
        <is>
          <t>S163</t>
        </is>
      </c>
      <c r="E783" t="inlineStr">
        <is>
          <t>V-series table row Condensed-milk baguette</t>
        </is>
      </c>
      <c r="F783" t="inlineStr">
        <is>
          <t>Held / working alternative as noted</t>
        </is>
      </c>
      <c r="G783" t="inlineStr">
        <is>
          <t>Distinct enriched bread, not S-B01 lean baguette.</t>
        </is>
      </c>
    </row>
    <row r="784">
      <c r="A784" t="inlineStr">
        <is>
          <t>V070</t>
        </is>
      </c>
      <c r="B784" t="inlineStr">
        <is>
          <t>Condensed-milk chin-chin</t>
        </is>
      </c>
      <c r="C784" t="inlineStr">
        <is>
          <t>Earlier handbook retained variant</t>
        </is>
      </c>
      <c r="D784" t="inlineStr">
        <is>
          <t>S163</t>
        </is>
      </c>
      <c r="E784" t="inlineStr">
        <is>
          <t>V-series table row Condensed-milk chin-chin</t>
        </is>
      </c>
      <c r="F784" t="inlineStr">
        <is>
          <t>Held / working alternative as noted</t>
        </is>
      </c>
      <c r="G784" t="inlineStr">
        <is>
          <t>Edible egg, hydration, oil use and finished yield unresolved.</t>
        </is>
      </c>
    </row>
    <row r="785">
      <c r="A785" t="inlineStr">
        <is>
          <t>V071</t>
        </is>
      </c>
      <c r="B785" t="inlineStr">
        <is>
          <t>Condensed-milk puff-puff</t>
        </is>
      </c>
      <c r="C785" t="inlineStr">
        <is>
          <t>Earlier handbook retained variant</t>
        </is>
      </c>
      <c r="D785" t="inlineStr">
        <is>
          <t>S163</t>
        </is>
      </c>
      <c r="E785" t="inlineStr">
        <is>
          <t>V-series table row Condensed-milk puff-puff</t>
        </is>
      </c>
      <c r="F785" t="inlineStr">
        <is>
          <t>Held / working alternative as noted</t>
        </is>
      </c>
      <c r="G785" t="inlineStr">
        <is>
          <t>Trial sweetness/proof/fry behaviour; “oil-free” claim rejected.</t>
        </is>
      </c>
    </row>
    <row r="786">
      <c r="A786" t="inlineStr">
        <is>
          <t>V072</t>
        </is>
      </c>
      <c r="B786" t="inlineStr">
        <is>
          <t>Koki corn</t>
        </is>
      </c>
      <c r="C786" t="inlineStr">
        <is>
          <t>Earlier handbook retained variant</t>
        </is>
      </c>
      <c r="D786" t="inlineStr">
        <is>
          <t>S163</t>
        </is>
      </c>
      <c r="E786" t="inlineStr">
        <is>
          <t>V-series table row Koki corn</t>
        </is>
      </c>
      <c r="F786" t="inlineStr">
        <is>
          <t>Held / working alternative as noted</t>
        </is>
      </c>
      <c r="G786" t="inlineStr">
        <is>
          <t>Specify steaming and mash consistency; a scraper does not guarantee aeration.</t>
        </is>
      </c>
    </row>
    <row r="787">
      <c r="A787" t="inlineStr">
        <is>
          <t>V073</t>
        </is>
      </c>
      <c r="B787" t="inlineStr">
        <is>
          <t>Condensed-milk caramel</t>
        </is>
      </c>
      <c r="C787" t="inlineStr">
        <is>
          <t>Earlier handbook retained variant</t>
        </is>
      </c>
      <c r="D787" t="inlineStr">
        <is>
          <t>S163</t>
        </is>
      </c>
      <c r="E787" t="inlineStr">
        <is>
          <t>V-series table row Condensed-milk caramel</t>
        </is>
      </c>
      <c r="F787" t="inlineStr">
        <is>
          <t>Held / working alternative as noted</t>
        </is>
      </c>
      <c r="G787" t="inlineStr">
        <is>
          <t>Qualify vessel, heat range, controlled dairy addition, chilling and life; no ambient claim.</t>
        </is>
      </c>
    </row>
    <row r="788">
      <c r="A788" t="inlineStr">
        <is>
          <t>V074</t>
        </is>
      </c>
      <c r="B788" t="inlineStr">
        <is>
          <t>Coconut pastry slices</t>
        </is>
      </c>
      <c r="C788" t="inlineStr">
        <is>
          <t>Earlier handbook retained variant</t>
        </is>
      </c>
      <c r="D788" t="inlineStr">
        <is>
          <t>S163</t>
        </is>
      </c>
      <c r="E788" t="inlineStr">
        <is>
          <t>V-series table row Coconut pastry slices</t>
        </is>
      </c>
      <c r="F788" t="inlineStr">
        <is>
          <t>Held / working alternative as noted</t>
        </is>
      </c>
      <c r="G788" t="inlineStr">
        <is>
          <t>Specify sheet formula, mass, pan depth and measured bake program.</t>
        </is>
      </c>
    </row>
    <row r="789">
      <c r="A789" t="inlineStr">
        <is>
          <t>V075</t>
        </is>
      </c>
      <c r="B789" t="inlineStr">
        <is>
          <t>Agege original ranges</t>
        </is>
      </c>
      <c r="C789" t="inlineStr">
        <is>
          <t>Earlier handbook prose variant</t>
        </is>
      </c>
      <c r="D789" t="inlineStr">
        <is>
          <t>S163</t>
        </is>
      </c>
      <c r="E789" t="inlineStr">
        <is>
          <t>V01/V07/V08</t>
        </is>
      </c>
      <c r="F789" t="inlineStr">
        <is>
          <t>Retained; see comparison volume</t>
        </is>
      </c>
      <c r="G789" t="inlineStr">
        <is>
          <t>Use H01/H02 or qualified source-specific trial; do not average</t>
        </is>
      </c>
    </row>
    <row r="790">
      <c r="A790" t="inlineStr">
        <is>
          <t>V076</t>
        </is>
      </c>
      <c r="B790" t="inlineStr">
        <is>
          <t>Tangzhong original ambiguous liquid</t>
        </is>
      </c>
      <c r="C790" t="inlineStr">
        <is>
          <t>Earlier handbook prose variant</t>
        </is>
      </c>
      <c r="D790" t="inlineStr">
        <is>
          <t>S163</t>
        </is>
      </c>
      <c r="E790" t="inlineStr">
        <is>
          <t>V01/V07/V08</t>
        </is>
      </c>
      <c r="F790" t="inlineStr">
        <is>
          <t>Retained; see comparison volume</t>
        </is>
      </c>
      <c r="G790" t="inlineStr">
        <is>
          <t>Use H01/H02 or qualified source-specific trial; do not average</t>
        </is>
      </c>
    </row>
    <row r="791">
      <c r="A791" t="inlineStr">
        <is>
          <t>V077</t>
        </is>
      </c>
      <c r="B791" t="inlineStr">
        <is>
          <t>Toum original volume formula</t>
        </is>
      </c>
      <c r="C791" t="inlineStr">
        <is>
          <t>Earlier handbook prose variant</t>
        </is>
      </c>
      <c r="D791" t="inlineStr">
        <is>
          <t>S163</t>
        </is>
      </c>
      <c r="E791" t="inlineStr">
        <is>
          <t>V01/V07/V08</t>
        </is>
      </c>
      <c r="F791" t="inlineStr">
        <is>
          <t>Retained; see comparison volume</t>
        </is>
      </c>
      <c r="G791" t="inlineStr">
        <is>
          <t>Use H01/H02 or qualified source-specific trial; do not average</t>
        </is>
      </c>
    </row>
    <row r="792">
      <c r="A792" t="inlineStr">
        <is>
          <t>V078</t>
        </is>
      </c>
      <c r="B792" t="inlineStr">
        <is>
          <t>Yogurt mayo original volume formula</t>
        </is>
      </c>
      <c r="C792" t="inlineStr">
        <is>
          <t>Earlier handbook prose variant</t>
        </is>
      </c>
      <c r="D792" t="inlineStr">
        <is>
          <t>S163</t>
        </is>
      </c>
      <c r="E792" t="inlineStr">
        <is>
          <t>V01/V07/V08</t>
        </is>
      </c>
      <c r="F792" t="inlineStr">
        <is>
          <t>Retained; see comparison volume</t>
        </is>
      </c>
      <c r="G792" t="inlineStr">
        <is>
          <t>Use H01/H02 or qualified source-specific trial; do not average</t>
        </is>
      </c>
    </row>
    <row r="793">
      <c r="A793" t="inlineStr">
        <is>
          <t>V079</t>
        </is>
      </c>
      <c r="B793" t="inlineStr">
        <is>
          <t>Brioche alternate shapes</t>
        </is>
      </c>
      <c r="C793" t="inlineStr">
        <is>
          <t>Earlier handbook prose variant</t>
        </is>
      </c>
      <c r="D793" t="inlineStr">
        <is>
          <t>S163</t>
        </is>
      </c>
      <c r="E793" t="inlineStr">
        <is>
          <t>V01/V07/V08</t>
        </is>
      </c>
      <c r="F793" t="inlineStr">
        <is>
          <t>Retained; see comparison volume</t>
        </is>
      </c>
      <c r="G793" t="inlineStr">
        <is>
          <t>Use H01/H02 or qualified source-specific trial; do not average</t>
        </is>
      </c>
    </row>
    <row r="794">
      <c r="A794" t="inlineStr">
        <is>
          <t>BAG-H2-01</t>
        </is>
      </c>
      <c r="B794" t="inlineStr">
        <is>
          <t>Direct-dough commercial baguette</t>
        </is>
      </c>
      <c r="C794" t="inlineStr">
        <is>
          <t>Working card</t>
        </is>
      </c>
      <c r="D794" t="inlineStr">
        <is>
          <t>S038; S030; S027</t>
        </is>
      </c>
      <c r="E794" t="inlineStr">
        <is>
          <t>S038 pp1–2; S030 pp1–2; S027 pp1–2</t>
        </is>
      </c>
      <c r="F794" t="inlineStr">
        <is>
          <t>Harmonized H2 trial</t>
        </is>
      </c>
      <c r="G794" t="inlineStr">
        <is>
          <t>Correct total; 1% handling; 300 g portion; 80 pieces per full load</t>
        </is>
      </c>
    </row>
    <row r="795">
      <c r="A795" t="inlineStr">
        <is>
          <t>PLAN-BAG-P</t>
        </is>
      </c>
      <c r="B795" t="inlineStr">
        <is>
          <t>80 raw-piece campaign</t>
        </is>
      </c>
      <c r="C795" t="inlineStr">
        <is>
          <t>Production scenario</t>
        </is>
      </c>
      <c r="D795" t="inlineStr">
        <is>
          <t>S038; S026; S027</t>
        </is>
      </c>
      <c r="E795" t="inlineStr">
        <is>
          <t>H2 baguette planning chapter</t>
        </is>
      </c>
      <c r="F795" t="inlineStr">
        <is>
          <t>Conditional proposed programme</t>
        </is>
      </c>
      <c r="G795" t="inlineStr">
        <is>
          <t>Not an additional recipe; resources and times require commissioning</t>
        </is>
      </c>
    </row>
    <row r="796">
      <c r="A796" t="inlineStr">
        <is>
          <t>PLAN-BAG-N</t>
        </is>
      </c>
      <c r="B796" t="inlineStr">
        <is>
          <t>400 raw-piece campaign</t>
        </is>
      </c>
      <c r="C796" t="inlineStr">
        <is>
          <t>Production scenario</t>
        </is>
      </c>
      <c r="D796" t="inlineStr">
        <is>
          <t>S038; S026; S027</t>
        </is>
      </c>
      <c r="E796" t="inlineStr">
        <is>
          <t>H2 baguette planning chapter</t>
        </is>
      </c>
      <c r="F796" t="inlineStr">
        <is>
          <t>Conditional proposed programme</t>
        </is>
      </c>
      <c r="G796" t="inlineStr">
        <is>
          <t>Not an additional recipe; resources and times require commissioning</t>
        </is>
      </c>
    </row>
    <row r="797">
      <c r="A797" t="inlineStr">
        <is>
          <t>PLAN-BAG-H</t>
        </is>
      </c>
      <c r="B797" t="inlineStr">
        <is>
          <t>800 raw-piece campaign</t>
        </is>
      </c>
      <c r="C797" t="inlineStr">
        <is>
          <t>Production scenario</t>
        </is>
      </c>
      <c r="D797" t="inlineStr">
        <is>
          <t>S038; S026; S027</t>
        </is>
      </c>
      <c r="E797" t="inlineStr">
        <is>
          <t>H2 baguette planning chapter</t>
        </is>
      </c>
      <c r="F797" t="inlineStr">
        <is>
          <t>Conditional proposed programme</t>
        </is>
      </c>
      <c r="G797" t="inlineStr">
        <is>
          <t>Not an additional recipe; resources and times require commissioning</t>
        </is>
      </c>
    </row>
  </sheetData>
  <autoFilter ref="A1:G7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11"/>
  <sheetViews>
    <sheetView showGridLines="0" workbookViewId="0">
      <pane ySplit="1" topLeftCell="A2" activePane="bottomLeft" state="frozen"/>
      <selection pane="bottomLeft" activeCell="A1" sqref="A1"/>
    </sheetView>
  </sheetViews>
  <sheetFormatPr baseColWidth="8" defaultRowHeight="15"/>
  <cols>
    <col width="18" customWidth="1" min="1" max="1"/>
    <col width="36" customWidth="1" min="2" max="2"/>
    <col width="36" customWidth="1" min="3" max="3"/>
    <col width="36" customWidth="1" min="4" max="4"/>
    <col width="36" customWidth="1" min="5" max="5"/>
    <col width="36" customWidth="1" min="6" max="6"/>
    <col width="36" customWidth="1" min="7" max="7"/>
    <col width="36" customWidth="1" min="8" max="8"/>
  </cols>
  <sheetData>
    <row r="1" ht="32" customHeight="1">
      <c r="A1" s="1" t="inlineStr">
        <is>
          <t>Variant ID</t>
        </is>
      </c>
      <c r="B1" s="1" t="inlineStr">
        <is>
          <t>Sheet</t>
        </is>
      </c>
      <c r="C1" s="1" t="inlineStr">
        <is>
          <t>Source</t>
        </is>
      </c>
      <c r="D1" s="1" t="inlineStr">
        <is>
          <t>Cell</t>
        </is>
      </c>
      <c r="E1" s="1" t="inlineStr">
        <is>
          <t>Ingredient</t>
        </is>
      </c>
      <c r="F1" s="1" t="inlineStr">
        <is>
          <t>Original g</t>
        </is>
      </c>
      <c r="G1" s="1" t="inlineStr">
        <is>
          <t>Cell value/formula</t>
        </is>
      </c>
      <c r="H1" s="1" t="inlineStr">
        <is>
          <t>Working alternative</t>
        </is>
      </c>
    </row>
    <row r="2">
      <c r="A2" s="2" t="inlineStr">
        <is>
          <t>L001</t>
        </is>
      </c>
      <c r="B2" s="2" t="inlineStr">
        <is>
          <t>Baguette AI</t>
        </is>
      </c>
      <c r="C2" s="2" t="inlineStr">
        <is>
          <t>S132</t>
        </is>
      </c>
      <c r="D2" s="2" t="inlineStr">
        <is>
          <t>'Baguette AI'!C5,D5</t>
        </is>
      </c>
      <c r="E2" s="2" t="inlineStr">
        <is>
          <t>flour</t>
        </is>
      </c>
      <c r="F2" s="3" t="n">
        <v>18000</v>
      </c>
      <c r="G2" s="2" t="inlineStr">
        <is>
          <t>18000</t>
        </is>
      </c>
      <c r="H2" s="2" t="inlineStr">
        <is>
          <t>M1-B12 / M1-B13 / S-B01</t>
        </is>
      </c>
    </row>
    <row r="3">
      <c r="A3" s="2" t="inlineStr">
        <is>
          <t>L001</t>
        </is>
      </c>
      <c r="B3" s="2" t="inlineStr">
        <is>
          <t>Baguette AI</t>
        </is>
      </c>
      <c r="C3" s="2" t="inlineStr">
        <is>
          <t>S132</t>
        </is>
      </c>
      <c r="D3" s="2" t="inlineStr">
        <is>
          <t>'Baguette AI'!C6,D6</t>
        </is>
      </c>
      <c r="E3" s="2" t="inlineStr">
        <is>
          <t>yeast</t>
        </is>
      </c>
      <c r="F3" s="3" t="n">
        <v>100</v>
      </c>
      <c r="G3" s="2" t="inlineStr">
        <is>
          <t>100</t>
        </is>
      </c>
      <c r="H3" s="2" t="inlineStr">
        <is>
          <t>M1-B12 / M1-B13 / S-B01</t>
        </is>
      </c>
    </row>
    <row r="4">
      <c r="A4" s="2" t="inlineStr">
        <is>
          <t>L001</t>
        </is>
      </c>
      <c r="B4" s="2" t="inlineStr">
        <is>
          <t>Baguette AI</t>
        </is>
      </c>
      <c r="C4" s="2" t="inlineStr">
        <is>
          <t>S132</t>
        </is>
      </c>
      <c r="D4" s="2" t="inlineStr">
        <is>
          <t>'Baguette AI'!C7,D7</t>
        </is>
      </c>
      <c r="E4" s="2" t="inlineStr">
        <is>
          <t>salt</t>
        </is>
      </c>
      <c r="F4" s="3" t="n">
        <v>350</v>
      </c>
      <c r="G4" s="2" t="inlineStr">
        <is>
          <t>350</t>
        </is>
      </c>
      <c r="H4" s="2" t="inlineStr">
        <is>
          <t>M1-B12 / M1-B13 / S-B01</t>
        </is>
      </c>
    </row>
    <row r="5">
      <c r="A5" s="2" t="inlineStr">
        <is>
          <t>L001</t>
        </is>
      </c>
      <c r="B5" s="2" t="inlineStr">
        <is>
          <t>Baguette AI</t>
        </is>
      </c>
      <c r="C5" s="2" t="inlineStr">
        <is>
          <t>S132</t>
        </is>
      </c>
      <c r="D5" s="2" t="inlineStr">
        <is>
          <t>'Baguette AI'!C8,D8</t>
        </is>
      </c>
      <c r="E5" s="2" t="inlineStr">
        <is>
          <t>ice water</t>
        </is>
      </c>
      <c r="F5" s="3" t="n">
        <v>12000</v>
      </c>
      <c r="G5" s="2" t="inlineStr">
        <is>
          <t>12000</t>
        </is>
      </c>
      <c r="H5" s="2" t="inlineStr">
        <is>
          <t>M1-B12 / M1-B13 / S-B01</t>
        </is>
      </c>
    </row>
    <row r="6">
      <c r="A6" s="2" t="inlineStr">
        <is>
          <t>L001</t>
        </is>
      </c>
      <c r="B6" s="2" t="inlineStr">
        <is>
          <t>Baguette AI</t>
        </is>
      </c>
      <c r="C6" s="2" t="inlineStr">
        <is>
          <t>S132</t>
        </is>
      </c>
      <c r="D6" s="2" t="inlineStr">
        <is>
          <t>'Baguette AI'!C9,D9</t>
        </is>
      </c>
      <c r="E6" s="2" t="inlineStr">
        <is>
          <t>improver</t>
        </is>
      </c>
      <c r="F6" s="3" t="n">
        <v>70</v>
      </c>
      <c r="G6" s="2" t="inlineStr">
        <is>
          <t>70</t>
        </is>
      </c>
      <c r="H6" s="2" t="inlineStr">
        <is>
          <t>M1-B12 / M1-B13 / S-B01</t>
        </is>
      </c>
    </row>
    <row r="7">
      <c r="A7" s="2" t="inlineStr">
        <is>
          <t>L002</t>
        </is>
      </c>
      <c r="B7" s="2" t="inlineStr">
        <is>
          <t>Baguette AI</t>
        </is>
      </c>
      <c r="C7" s="2" t="inlineStr">
        <is>
          <t>S132</t>
        </is>
      </c>
      <c r="D7" s="2" t="inlineStr">
        <is>
          <t>'Baguette AI'!C5,F5</t>
        </is>
      </c>
      <c r="E7" s="2" t="inlineStr">
        <is>
          <t>flour</t>
        </is>
      </c>
      <c r="F7" s="3" t="n">
        <v>350</v>
      </c>
      <c r="G7" s="2" t="inlineStr">
        <is>
          <t>350</t>
        </is>
      </c>
      <c r="H7" s="2" t="inlineStr">
        <is>
          <t>M1-B12 / M1-B13 / S-B01</t>
        </is>
      </c>
    </row>
    <row r="8">
      <c r="A8" s="2" t="inlineStr">
        <is>
          <t>L002</t>
        </is>
      </c>
      <c r="B8" s="2" t="inlineStr">
        <is>
          <t>Baguette AI</t>
        </is>
      </c>
      <c r="C8" s="2" t="inlineStr">
        <is>
          <t>S132</t>
        </is>
      </c>
      <c r="D8" s="2" t="inlineStr">
        <is>
          <t>'Baguette AI'!C6,F6</t>
        </is>
      </c>
      <c r="E8" s="2" t="inlineStr">
        <is>
          <t>yeast</t>
        </is>
      </c>
      <c r="F8" s="3" t="n">
        <v>2</v>
      </c>
      <c r="G8" s="2" t="inlineStr">
        <is>
          <t>2</t>
        </is>
      </c>
      <c r="H8" s="2" t="inlineStr">
        <is>
          <t>M1-B12 / M1-B13 / S-B01</t>
        </is>
      </c>
    </row>
    <row r="9">
      <c r="A9" s="2" t="inlineStr">
        <is>
          <t>L002</t>
        </is>
      </c>
      <c r="B9" s="2" t="inlineStr">
        <is>
          <t>Baguette AI</t>
        </is>
      </c>
      <c r="C9" s="2" t="inlineStr">
        <is>
          <t>S132</t>
        </is>
      </c>
      <c r="D9" s="2" t="inlineStr">
        <is>
          <t>'Baguette AI'!C7,F7</t>
        </is>
      </c>
      <c r="E9" s="2" t="inlineStr">
        <is>
          <t>salt</t>
        </is>
      </c>
      <c r="F9" s="3" t="n">
        <v>10</v>
      </c>
      <c r="G9" s="2" t="inlineStr">
        <is>
          <t>10</t>
        </is>
      </c>
      <c r="H9" s="2" t="inlineStr">
        <is>
          <t>M1-B12 / M1-B13 / S-B01</t>
        </is>
      </c>
    </row>
    <row r="10">
      <c r="A10" s="2" t="inlineStr">
        <is>
          <t>L002</t>
        </is>
      </c>
      <c r="B10" s="2" t="inlineStr">
        <is>
          <t>Baguette AI</t>
        </is>
      </c>
      <c r="C10" s="2" t="inlineStr">
        <is>
          <t>S132</t>
        </is>
      </c>
      <c r="D10" s="2" t="inlineStr">
        <is>
          <t>'Baguette AI'!C8,F8</t>
        </is>
      </c>
      <c r="E10" s="2" t="inlineStr">
        <is>
          <t>ice water</t>
        </is>
      </c>
      <c r="F10" s="3" t="n">
        <v>210</v>
      </c>
      <c r="G10" s="2" t="inlineStr">
        <is>
          <t>210</t>
        </is>
      </c>
      <c r="H10" s="2" t="inlineStr">
        <is>
          <t>M1-B12 / M1-B13 / S-B01</t>
        </is>
      </c>
    </row>
    <row r="11">
      <c r="A11" s="2" t="inlineStr">
        <is>
          <t>L002</t>
        </is>
      </c>
      <c r="B11" s="2" t="inlineStr">
        <is>
          <t>Baguette AI</t>
        </is>
      </c>
      <c r="C11" s="2" t="inlineStr">
        <is>
          <t>S132</t>
        </is>
      </c>
      <c r="D11" s="2" t="inlineStr">
        <is>
          <t>'Baguette AI'!C9,F9</t>
        </is>
      </c>
      <c r="E11" s="2" t="inlineStr">
        <is>
          <t>improver</t>
        </is>
      </c>
      <c r="F11" s="3" t="n">
        <v>20</v>
      </c>
      <c r="G11" s="2" t="inlineStr">
        <is>
          <t>20</t>
        </is>
      </c>
      <c r="H11" s="2" t="inlineStr">
        <is>
          <t>M1-B12 / M1-B13 / S-B01</t>
        </is>
      </c>
    </row>
    <row r="12">
      <c r="A12" s="2" t="inlineStr">
        <is>
          <t>L003</t>
        </is>
      </c>
      <c r="B12" s="2" t="inlineStr">
        <is>
          <t>Banh Mi</t>
        </is>
      </c>
      <c r="C12" s="2" t="inlineStr">
        <is>
          <t>S132</t>
        </is>
      </c>
      <c r="D12" s="2" t="inlineStr">
        <is>
          <t>'Banh Mi'!C5,D5</t>
        </is>
      </c>
      <c r="E12" s="2" t="inlineStr">
        <is>
          <t>flour</t>
        </is>
      </c>
      <c r="F12" s="3" t="n">
        <v>120000</v>
      </c>
      <c r="G12" s="2" t="inlineStr">
        <is>
          <t>=F5*20 [cached: 120000]</t>
        </is>
      </c>
      <c r="H12" s="2" t="inlineStr">
        <is>
          <t>M1-B13; distinct Banh Mi trial remains open</t>
        </is>
      </c>
    </row>
    <row r="13">
      <c r="A13" s="2" t="inlineStr">
        <is>
          <t>L003</t>
        </is>
      </c>
      <c r="B13" s="2" t="inlineStr">
        <is>
          <t>Banh Mi</t>
        </is>
      </c>
      <c r="C13" s="2" t="inlineStr">
        <is>
          <t>S132</t>
        </is>
      </c>
      <c r="D13" s="2" t="inlineStr">
        <is>
          <t>'Banh Mi'!C6,D6</t>
        </is>
      </c>
      <c r="E13" s="2" t="inlineStr">
        <is>
          <t>yeast</t>
        </is>
      </c>
      <c r="F13" s="3" t="n">
        <v>1800</v>
      </c>
      <c r="G13" s="2" t="inlineStr">
        <is>
          <t>=F6*20 [cached: 1800]</t>
        </is>
      </c>
      <c r="H13" s="2" t="inlineStr">
        <is>
          <t>M1-B13; distinct Banh Mi trial remains open</t>
        </is>
      </c>
    </row>
    <row r="14">
      <c r="A14" s="2" t="inlineStr">
        <is>
          <t>L003</t>
        </is>
      </c>
      <c r="B14" s="2" t="inlineStr">
        <is>
          <t>Banh Mi</t>
        </is>
      </c>
      <c r="C14" s="2" t="inlineStr">
        <is>
          <t>S132</t>
        </is>
      </c>
      <c r="D14" s="2" t="inlineStr">
        <is>
          <t>'Banh Mi'!C7,D7</t>
        </is>
      </c>
      <c r="E14" s="2" t="inlineStr">
        <is>
          <t>sugar</t>
        </is>
      </c>
      <c r="F14" s="3" t="n">
        <v>900</v>
      </c>
      <c r="G14" s="2" t="inlineStr">
        <is>
          <t>=F7*20 [cached: 900]</t>
        </is>
      </c>
      <c r="H14" s="2" t="inlineStr">
        <is>
          <t>M1-B13; distinct Banh Mi trial remains open</t>
        </is>
      </c>
    </row>
    <row r="15">
      <c r="A15" s="2" t="inlineStr">
        <is>
          <t>L003</t>
        </is>
      </c>
      <c r="B15" s="2" t="inlineStr">
        <is>
          <t>Banh Mi</t>
        </is>
      </c>
      <c r="C15" s="2" t="inlineStr">
        <is>
          <t>S132</t>
        </is>
      </c>
      <c r="D15" s="2" t="inlineStr">
        <is>
          <t>'Banh Mi'!C8,D8</t>
        </is>
      </c>
      <c r="E15" s="2" t="inlineStr">
        <is>
          <t>salt</t>
        </is>
      </c>
      <c r="F15" s="3" t="n">
        <v>900</v>
      </c>
      <c r="G15" s="2" t="inlineStr">
        <is>
          <t>=F8*20 [cached: 900]</t>
        </is>
      </c>
      <c r="H15" s="2" t="inlineStr">
        <is>
          <t>M1-B13; distinct Banh Mi trial remains open</t>
        </is>
      </c>
    </row>
    <row r="16">
      <c r="A16" s="2" t="inlineStr">
        <is>
          <t>L003</t>
        </is>
      </c>
      <c r="B16" s="2" t="inlineStr">
        <is>
          <t>Banh Mi</t>
        </is>
      </c>
      <c r="C16" s="2" t="inlineStr">
        <is>
          <t>S132</t>
        </is>
      </c>
      <c r="D16" s="2" t="inlineStr">
        <is>
          <t>'Banh Mi'!C9,D9</t>
        </is>
      </c>
      <c r="E16" s="2" t="inlineStr">
        <is>
          <t>water</t>
        </is>
      </c>
      <c r="F16" s="3" t="n">
        <v>84000</v>
      </c>
      <c r="G16" s="2" t="inlineStr">
        <is>
          <t>=F9*20 [cached: 84000]</t>
        </is>
      </c>
      <c r="H16" s="2" t="inlineStr">
        <is>
          <t>M1-B13; distinct Banh Mi trial remains open</t>
        </is>
      </c>
    </row>
    <row r="17">
      <c r="A17" s="2" t="inlineStr">
        <is>
          <t>L003</t>
        </is>
      </c>
      <c r="B17" s="2" t="inlineStr">
        <is>
          <t>Banh Mi</t>
        </is>
      </c>
      <c r="C17" s="2" t="inlineStr">
        <is>
          <t>S132</t>
        </is>
      </c>
      <c r="D17" s="2" t="inlineStr">
        <is>
          <t>'Banh Mi'!C10,D10</t>
        </is>
      </c>
      <c r="E17" s="2" t="inlineStr">
        <is>
          <t>improver</t>
        </is>
      </c>
      <c r="F17" s="3" t="n">
        <v>3000</v>
      </c>
      <c r="G17" s="2" t="inlineStr">
        <is>
          <t>=F10*20 [cached: 3000]</t>
        </is>
      </c>
      <c r="H17" s="2" t="inlineStr">
        <is>
          <t>M1-B13; distinct Banh Mi trial remains open</t>
        </is>
      </c>
    </row>
    <row r="18">
      <c r="A18" s="2" t="inlineStr">
        <is>
          <t>L004</t>
        </is>
      </c>
      <c r="B18" s="2" t="inlineStr">
        <is>
          <t>Beignet soufle</t>
        </is>
      </c>
      <c r="C18" s="2" t="inlineStr">
        <is>
          <t>S132</t>
        </is>
      </c>
      <c r="D18" s="2" t="inlineStr">
        <is>
          <t>'Beignet soufle'!C5,D5</t>
        </is>
      </c>
      <c r="E18" s="2" t="inlineStr">
        <is>
          <t>flour</t>
        </is>
      </c>
      <c r="F18" s="3" t="n">
        <v>10000</v>
      </c>
      <c r="G18" s="2" t="inlineStr">
        <is>
          <t>10000</t>
        </is>
      </c>
      <c r="H18" s="2" t="inlineStr">
        <is>
          <t>H11</t>
        </is>
      </c>
    </row>
    <row r="19">
      <c r="A19" s="2" t="inlineStr">
        <is>
          <t>L004</t>
        </is>
      </c>
      <c r="B19" s="2" t="inlineStr">
        <is>
          <t>Beignet soufle</t>
        </is>
      </c>
      <c r="C19" s="2" t="inlineStr">
        <is>
          <t>S132</t>
        </is>
      </c>
      <c r="D19" s="2" t="inlineStr">
        <is>
          <t>'Beignet soufle'!C6,D6</t>
        </is>
      </c>
      <c r="E19" s="2" t="inlineStr">
        <is>
          <t>Butter</t>
        </is>
      </c>
      <c r="F19" s="3" t="n">
        <v>1600</v>
      </c>
      <c r="G19" s="2" t="inlineStr">
        <is>
          <t>1600</t>
        </is>
      </c>
      <c r="H19" s="2" t="inlineStr">
        <is>
          <t>H11</t>
        </is>
      </c>
    </row>
    <row r="20">
      <c r="A20" s="2" t="inlineStr">
        <is>
          <t>L004</t>
        </is>
      </c>
      <c r="B20" s="2" t="inlineStr">
        <is>
          <t>Beignet soufle</t>
        </is>
      </c>
      <c r="C20" s="2" t="inlineStr">
        <is>
          <t>S132</t>
        </is>
      </c>
      <c r="D20" s="2" t="inlineStr">
        <is>
          <t>'Beignet soufle'!C7,D7</t>
        </is>
      </c>
      <c r="E20" s="2" t="inlineStr">
        <is>
          <t>sugar</t>
        </is>
      </c>
      <c r="F20" s="3" t="n">
        <v>2000</v>
      </c>
      <c r="G20" s="2" t="inlineStr">
        <is>
          <t>2000</t>
        </is>
      </c>
      <c r="H20" s="2" t="inlineStr">
        <is>
          <t>H11</t>
        </is>
      </c>
    </row>
    <row r="21">
      <c r="A21" s="2" t="inlineStr">
        <is>
          <t>L004</t>
        </is>
      </c>
      <c r="B21" s="2" t="inlineStr">
        <is>
          <t>Beignet soufle</t>
        </is>
      </c>
      <c r="C21" s="2" t="inlineStr">
        <is>
          <t>S132</t>
        </is>
      </c>
      <c r="D21" s="2" t="inlineStr">
        <is>
          <t>'Beignet soufle'!C8,D8</t>
        </is>
      </c>
      <c r="E21" s="2" t="inlineStr">
        <is>
          <t>Milk</t>
        </is>
      </c>
      <c r="F21" s="3" t="n">
        <v>500</v>
      </c>
      <c r="G21" s="2" t="inlineStr">
        <is>
          <t>500</t>
        </is>
      </c>
      <c r="H21" s="2" t="inlineStr">
        <is>
          <t>H11</t>
        </is>
      </c>
    </row>
    <row r="22">
      <c r="A22" s="2" t="inlineStr">
        <is>
          <t>L004</t>
        </is>
      </c>
      <c r="B22" s="2" t="inlineStr">
        <is>
          <t>Beignet soufle</t>
        </is>
      </c>
      <c r="C22" s="2" t="inlineStr">
        <is>
          <t>S132</t>
        </is>
      </c>
      <c r="D22" s="2" t="inlineStr">
        <is>
          <t>'Beignet soufle'!C9,D9</t>
        </is>
      </c>
      <c r="E22" s="2" t="inlineStr">
        <is>
          <t>egg</t>
        </is>
      </c>
      <c r="F22" s="3" t="n">
        <v>2300</v>
      </c>
      <c r="G22" s="2" t="inlineStr">
        <is>
          <t>2300</t>
        </is>
      </c>
      <c r="H22" s="2" t="inlineStr">
        <is>
          <t>H11</t>
        </is>
      </c>
    </row>
    <row r="23">
      <c r="A23" s="2" t="inlineStr">
        <is>
          <t>L004</t>
        </is>
      </c>
      <c r="B23" s="2" t="inlineStr">
        <is>
          <t>Beignet soufle</t>
        </is>
      </c>
      <c r="C23" s="2" t="inlineStr">
        <is>
          <t>S132</t>
        </is>
      </c>
      <c r="D23" s="2" t="inlineStr">
        <is>
          <t>'Beignet soufle'!C10,D10</t>
        </is>
      </c>
      <c r="E23" s="2" t="inlineStr">
        <is>
          <t>Baking powder</t>
        </is>
      </c>
      <c r="F23" s="3" t="n">
        <v>100</v>
      </c>
      <c r="G23" s="2" t="inlineStr">
        <is>
          <t>100</t>
        </is>
      </c>
      <c r="H23" s="2" t="inlineStr">
        <is>
          <t>H11</t>
        </is>
      </c>
    </row>
    <row r="24">
      <c r="A24" s="2" t="inlineStr">
        <is>
          <t>L004</t>
        </is>
      </c>
      <c r="B24" s="2" t="inlineStr">
        <is>
          <t>Beignet soufle</t>
        </is>
      </c>
      <c r="C24" s="2" t="inlineStr">
        <is>
          <t>S132</t>
        </is>
      </c>
      <c r="D24" s="2" t="inlineStr">
        <is>
          <t>'Beignet soufle'!C11,D11</t>
        </is>
      </c>
      <c r="E24" s="2" t="inlineStr">
        <is>
          <t>salt</t>
        </is>
      </c>
      <c r="F24" s="3" t="n">
        <v>100</v>
      </c>
      <c r="G24" s="2" t="inlineStr">
        <is>
          <t>100</t>
        </is>
      </c>
      <c r="H24" s="2" t="inlineStr">
        <is>
          <t>H11</t>
        </is>
      </c>
    </row>
    <row r="25">
      <c r="A25" s="2" t="inlineStr">
        <is>
          <t>L004</t>
        </is>
      </c>
      <c r="B25" s="2" t="inlineStr">
        <is>
          <t>Beignet soufle</t>
        </is>
      </c>
      <c r="C25" s="2" t="inlineStr">
        <is>
          <t>S132</t>
        </is>
      </c>
      <c r="D25" s="2" t="inlineStr">
        <is>
          <t>'Beignet soufle'!C12,D12</t>
        </is>
      </c>
      <c r="E25" s="2" t="inlineStr">
        <is>
          <t>water</t>
        </is>
      </c>
      <c r="F25" s="3" t="n">
        <v>3300</v>
      </c>
      <c r="G25" s="2" t="inlineStr">
        <is>
          <t>3300</t>
        </is>
      </c>
      <c r="H25" s="2" t="inlineStr">
        <is>
          <t>H11</t>
        </is>
      </c>
    </row>
    <row r="26">
      <c r="A26" s="2" t="inlineStr">
        <is>
          <t>L004</t>
        </is>
      </c>
      <c r="B26" s="2" t="inlineStr">
        <is>
          <t>Beignet soufle</t>
        </is>
      </c>
      <c r="C26" s="2" t="inlineStr">
        <is>
          <t>S132</t>
        </is>
      </c>
      <c r="D26" s="2" t="inlineStr">
        <is>
          <t>'Beignet soufle'!C13,D13</t>
        </is>
      </c>
      <c r="E26" s="2" t="inlineStr">
        <is>
          <t>improver</t>
        </is>
      </c>
      <c r="F26" s="3" t="n">
        <v>30</v>
      </c>
      <c r="G26" s="2" t="inlineStr">
        <is>
          <t>30</t>
        </is>
      </c>
      <c r="H26" s="2" t="inlineStr">
        <is>
          <t>H11</t>
        </is>
      </c>
    </row>
    <row r="27">
      <c r="A27" s="2" t="inlineStr">
        <is>
          <t>L004</t>
        </is>
      </c>
      <c r="B27" s="2" t="inlineStr">
        <is>
          <t>Beignet soufle</t>
        </is>
      </c>
      <c r="C27" s="2" t="inlineStr">
        <is>
          <t>S132</t>
        </is>
      </c>
      <c r="D27" s="2" t="inlineStr">
        <is>
          <t>'Beignet soufle'!C14,D14</t>
        </is>
      </c>
      <c r="E27" s="2" t="inlineStr">
        <is>
          <t>EDC</t>
        </is>
      </c>
      <c r="F27" s="3" t="n">
        <v>25</v>
      </c>
      <c r="G27" s="2" t="inlineStr">
        <is>
          <t>25</t>
        </is>
      </c>
      <c r="H27" s="2" t="inlineStr">
        <is>
          <t>H11</t>
        </is>
      </c>
    </row>
    <row r="28">
      <c r="A28" s="2" t="inlineStr">
        <is>
          <t>L005</t>
        </is>
      </c>
      <c r="B28" s="2" t="inlineStr">
        <is>
          <t>Beignet soufle</t>
        </is>
      </c>
      <c r="C28" s="2" t="inlineStr">
        <is>
          <t>S132</t>
        </is>
      </c>
      <c r="D28" s="2" t="inlineStr">
        <is>
          <t>'Beignet soufle'!C5,H5</t>
        </is>
      </c>
      <c r="E28" s="2" t="inlineStr">
        <is>
          <t>flour</t>
        </is>
      </c>
      <c r="F28" s="3" t="n">
        <v>49999.99992</v>
      </c>
      <c r="G28" s="2" t="inlineStr">
        <is>
          <t>=J5*4.16666666 [cached: 49999.99992]</t>
        </is>
      </c>
      <c r="H28" s="2" t="inlineStr">
        <is>
          <t>H11</t>
        </is>
      </c>
    </row>
    <row r="29">
      <c r="A29" s="2" t="inlineStr">
        <is>
          <t>L005</t>
        </is>
      </c>
      <c r="B29" s="2" t="inlineStr">
        <is>
          <t>Beignet soufle</t>
        </is>
      </c>
      <c r="C29" s="2" t="inlineStr">
        <is>
          <t>S132</t>
        </is>
      </c>
      <c r="D29" s="2" t="inlineStr">
        <is>
          <t>'Beignet soufle'!C6,H6</t>
        </is>
      </c>
      <c r="E29" s="2" t="inlineStr">
        <is>
          <t>Butter</t>
        </is>
      </c>
      <c r="F29" s="3" t="n">
        <v>6666.666656</v>
      </c>
      <c r="G29" s="2" t="inlineStr">
        <is>
          <t>=J6*4.16666666 [cached: 6666.666656]</t>
        </is>
      </c>
      <c r="H29" s="2" t="inlineStr">
        <is>
          <t>H11</t>
        </is>
      </c>
    </row>
    <row r="30">
      <c r="A30" s="2" t="inlineStr">
        <is>
          <t>L005</t>
        </is>
      </c>
      <c r="B30" s="2" t="inlineStr">
        <is>
          <t>Beignet soufle</t>
        </is>
      </c>
      <c r="C30" s="2" t="inlineStr">
        <is>
          <t>S132</t>
        </is>
      </c>
      <c r="D30" s="2" t="inlineStr">
        <is>
          <t>'Beignet soufle'!C7,H7</t>
        </is>
      </c>
      <c r="E30" s="2" t="inlineStr">
        <is>
          <t>sugar</t>
        </is>
      </c>
      <c r="F30" s="3" t="n">
        <v>9166.666652</v>
      </c>
      <c r="G30" s="2" t="inlineStr">
        <is>
          <t>=J7*4.16666666 [cached: 9166.666652]</t>
        </is>
      </c>
      <c r="H30" s="2" t="inlineStr">
        <is>
          <t>H11</t>
        </is>
      </c>
    </row>
    <row r="31">
      <c r="A31" s="2" t="inlineStr">
        <is>
          <t>L005</t>
        </is>
      </c>
      <c r="B31" s="2" t="inlineStr">
        <is>
          <t>Beignet soufle</t>
        </is>
      </c>
      <c r="C31" s="2" t="inlineStr">
        <is>
          <t>S132</t>
        </is>
      </c>
      <c r="D31" s="2" t="inlineStr">
        <is>
          <t>'Beignet soufle'!C8,H8</t>
        </is>
      </c>
      <c r="E31" s="2" t="inlineStr">
        <is>
          <t>Milk</t>
        </is>
      </c>
      <c r="F31" s="3" t="n">
        <v>2083.33333</v>
      </c>
      <c r="G31" s="2" t="inlineStr">
        <is>
          <t>=J8*4.16666666 [cached: 2083.33333]</t>
        </is>
      </c>
      <c r="H31" s="2" t="inlineStr">
        <is>
          <t>H11</t>
        </is>
      </c>
    </row>
    <row r="32">
      <c r="A32" s="2" t="inlineStr">
        <is>
          <t>L005</t>
        </is>
      </c>
      <c r="B32" s="2" t="inlineStr">
        <is>
          <t>Beignet soufle</t>
        </is>
      </c>
      <c r="C32" s="2" t="inlineStr">
        <is>
          <t>S132</t>
        </is>
      </c>
      <c r="D32" s="2" t="inlineStr">
        <is>
          <t>'Beignet soufle'!C9,H9</t>
        </is>
      </c>
      <c r="E32" s="2" t="inlineStr">
        <is>
          <t>egg</t>
        </is>
      </c>
      <c r="F32" s="3" t="n">
        <v>8333.33332</v>
      </c>
      <c r="G32" s="2" t="inlineStr">
        <is>
          <t>=J9*4.16666666 [cached: 8333.33332]</t>
        </is>
      </c>
      <c r="H32" s="2" t="inlineStr">
        <is>
          <t>H11</t>
        </is>
      </c>
    </row>
    <row r="33">
      <c r="A33" s="2" t="inlineStr">
        <is>
          <t>L005</t>
        </is>
      </c>
      <c r="B33" s="2" t="inlineStr">
        <is>
          <t>Beignet soufle</t>
        </is>
      </c>
      <c r="C33" s="2" t="inlineStr">
        <is>
          <t>S132</t>
        </is>
      </c>
      <c r="D33" s="2" t="inlineStr">
        <is>
          <t>'Beignet soufle'!C10,H10</t>
        </is>
      </c>
      <c r="E33" s="2" t="inlineStr">
        <is>
          <t>Baking powder</t>
        </is>
      </c>
      <c r="F33" s="3" t="n">
        <v>416.666666</v>
      </c>
      <c r="G33" s="2" t="inlineStr">
        <is>
          <t>=J10*4.16666666 [cached: 416.666666]</t>
        </is>
      </c>
      <c r="H33" s="2" t="inlineStr">
        <is>
          <t>H11</t>
        </is>
      </c>
    </row>
    <row r="34">
      <c r="A34" s="2" t="inlineStr">
        <is>
          <t>L005</t>
        </is>
      </c>
      <c r="B34" s="2" t="inlineStr">
        <is>
          <t>Beignet soufle</t>
        </is>
      </c>
      <c r="C34" s="2" t="inlineStr">
        <is>
          <t>S132</t>
        </is>
      </c>
      <c r="D34" s="2" t="inlineStr">
        <is>
          <t>'Beignet soufle'!C11,H11</t>
        </is>
      </c>
      <c r="E34" s="2" t="inlineStr">
        <is>
          <t>salt</t>
        </is>
      </c>
      <c r="F34" s="3" t="n">
        <v>499.9999992</v>
      </c>
      <c r="G34" s="2" t="inlineStr">
        <is>
          <t>=J11*4.16666666 [cached: 499.9999992]</t>
        </is>
      </c>
      <c r="H34" s="2" t="inlineStr">
        <is>
          <t>H11</t>
        </is>
      </c>
    </row>
    <row r="35">
      <c r="A35" s="2" t="inlineStr">
        <is>
          <t>L005</t>
        </is>
      </c>
      <c r="B35" s="2" t="inlineStr">
        <is>
          <t>Beignet soufle</t>
        </is>
      </c>
      <c r="C35" s="2" t="inlineStr">
        <is>
          <t>S132</t>
        </is>
      </c>
      <c r="D35" s="2" t="inlineStr">
        <is>
          <t>'Beignet soufle'!C12,H12</t>
        </is>
      </c>
      <c r="E35" s="2" t="inlineStr">
        <is>
          <t>water</t>
        </is>
      </c>
      <c r="F35" s="3" t="n">
        <v>20833.3333</v>
      </c>
      <c r="G35" s="2" t="inlineStr">
        <is>
          <t>=J12*4.16666666 [cached: 20833.3333]</t>
        </is>
      </c>
      <c r="H35" s="2" t="inlineStr">
        <is>
          <t>H11</t>
        </is>
      </c>
    </row>
    <row r="36">
      <c r="A36" s="2" t="inlineStr">
        <is>
          <t>L005</t>
        </is>
      </c>
      <c r="B36" s="2" t="inlineStr">
        <is>
          <t>Beignet soufle</t>
        </is>
      </c>
      <c r="C36" s="2" t="inlineStr">
        <is>
          <t>S132</t>
        </is>
      </c>
      <c r="D36" s="2" t="inlineStr">
        <is>
          <t>'Beignet soufle'!C13,H13</t>
        </is>
      </c>
      <c r="E36" s="2" t="inlineStr">
        <is>
          <t>improver</t>
        </is>
      </c>
      <c r="F36" s="3" t="n">
        <v>243.055541277778</v>
      </c>
      <c r="G36" s="2" t="inlineStr">
        <is>
          <t>=J13*4.16666666 [cached: 243.055541277778]</t>
        </is>
      </c>
      <c r="H36" s="2" t="inlineStr">
        <is>
          <t>H11</t>
        </is>
      </c>
    </row>
    <row r="37">
      <c r="A37" s="2" t="inlineStr">
        <is>
          <t>L005</t>
        </is>
      </c>
      <c r="B37" s="2" t="inlineStr">
        <is>
          <t>Beignet soufle</t>
        </is>
      </c>
      <c r="C37" s="2" t="inlineStr">
        <is>
          <t>S132</t>
        </is>
      </c>
      <c r="D37" s="2" t="inlineStr">
        <is>
          <t>'Beignet soufle'!C14,H14</t>
        </is>
      </c>
      <c r="E37" s="2" t="inlineStr">
        <is>
          <t>EDC</t>
        </is>
      </c>
      <c r="F37" s="3" t="n">
        <v>83.3333332</v>
      </c>
      <c r="G37" s="2" t="inlineStr">
        <is>
          <t>=J14*4.16666666 [cached: 83.3333332]</t>
        </is>
      </c>
      <c r="H37" s="2" t="inlineStr">
        <is>
          <t>H11</t>
        </is>
      </c>
    </row>
    <row r="38">
      <c r="A38" s="2" t="inlineStr">
        <is>
          <t>L006</t>
        </is>
      </c>
      <c r="B38" s="2" t="inlineStr">
        <is>
          <t>Best Chinchin</t>
        </is>
      </c>
      <c r="C38" s="2" t="inlineStr">
        <is>
          <t>S132</t>
        </is>
      </c>
      <c r="D38" s="2" t="inlineStr">
        <is>
          <t>'Best Chinchin'!C5,D5</t>
        </is>
      </c>
      <c r="E38" s="2" t="inlineStr">
        <is>
          <t>flour</t>
        </is>
      </c>
      <c r="F38" s="3" t="n">
        <v>25000</v>
      </c>
      <c r="G38" s="2" t="inlineStr">
        <is>
          <t>25000</t>
        </is>
      </c>
      <c r="H38" s="2" t="inlineStr">
        <is>
          <t>H10</t>
        </is>
      </c>
    </row>
    <row r="39">
      <c r="A39" s="2" t="inlineStr">
        <is>
          <t>L006</t>
        </is>
      </c>
      <c r="B39" s="2" t="inlineStr">
        <is>
          <t>Best Chinchin</t>
        </is>
      </c>
      <c r="C39" s="2" t="inlineStr">
        <is>
          <t>S132</t>
        </is>
      </c>
      <c r="D39" s="2" t="inlineStr">
        <is>
          <t>'Best Chinchin'!C6,D6</t>
        </is>
      </c>
      <c r="E39" s="2" t="inlineStr">
        <is>
          <t>baking powder</t>
        </is>
      </c>
      <c r="F39" s="3" t="n">
        <v>500</v>
      </c>
      <c r="G39" s="2" t="inlineStr">
        <is>
          <t>500</t>
        </is>
      </c>
      <c r="H39" s="2" t="inlineStr">
        <is>
          <t>H10</t>
        </is>
      </c>
    </row>
    <row r="40">
      <c r="A40" s="2" t="inlineStr">
        <is>
          <t>L006</t>
        </is>
      </c>
      <c r="B40" s="2" t="inlineStr">
        <is>
          <t>Best Chinchin</t>
        </is>
      </c>
      <c r="C40" s="2" t="inlineStr">
        <is>
          <t>S132</t>
        </is>
      </c>
      <c r="D40" s="2" t="inlineStr">
        <is>
          <t>'Best Chinchin'!C7,D7</t>
        </is>
      </c>
      <c r="E40" s="2" t="inlineStr">
        <is>
          <t>nut meg</t>
        </is>
      </c>
      <c r="F40" s="3" t="n">
        <v>50</v>
      </c>
      <c r="G40" s="2" t="inlineStr">
        <is>
          <t>50</t>
        </is>
      </c>
      <c r="H40" s="2" t="inlineStr">
        <is>
          <t>H10</t>
        </is>
      </c>
    </row>
    <row r="41">
      <c r="A41" s="2" t="inlineStr">
        <is>
          <t>L006</t>
        </is>
      </c>
      <c r="B41" s="2" t="inlineStr">
        <is>
          <t>Best Chinchin</t>
        </is>
      </c>
      <c r="C41" s="2" t="inlineStr">
        <is>
          <t>S132</t>
        </is>
      </c>
      <c r="D41" s="2" t="inlineStr">
        <is>
          <t>'Best Chinchin'!C8,D8</t>
        </is>
      </c>
      <c r="E41" s="2" t="inlineStr">
        <is>
          <t>sugar</t>
        </is>
      </c>
      <c r="F41" s="3" t="n">
        <v>4500</v>
      </c>
      <c r="G41" s="2" t="inlineStr">
        <is>
          <t>4500</t>
        </is>
      </c>
      <c r="H41" s="2" t="inlineStr">
        <is>
          <t>H10</t>
        </is>
      </c>
    </row>
    <row r="42">
      <c r="A42" s="2" t="inlineStr">
        <is>
          <t>L006</t>
        </is>
      </c>
      <c r="B42" s="2" t="inlineStr">
        <is>
          <t>Best Chinchin</t>
        </is>
      </c>
      <c r="C42" s="2" t="inlineStr">
        <is>
          <t>S132</t>
        </is>
      </c>
      <c r="D42" s="2" t="inlineStr">
        <is>
          <t>'Best Chinchin'!C9,D9</t>
        </is>
      </c>
      <c r="E42" s="2" t="inlineStr">
        <is>
          <t>Butter</t>
        </is>
      </c>
      <c r="F42" s="3" t="n">
        <v>4000</v>
      </c>
      <c r="G42" s="2" t="inlineStr">
        <is>
          <t>4000</t>
        </is>
      </c>
      <c r="H42" s="2" t="inlineStr">
        <is>
          <t>H10</t>
        </is>
      </c>
    </row>
    <row r="43">
      <c r="A43" s="2" t="inlineStr">
        <is>
          <t>L006</t>
        </is>
      </c>
      <c r="B43" s="2" t="inlineStr">
        <is>
          <t>Best Chinchin</t>
        </is>
      </c>
      <c r="C43" s="2" t="inlineStr">
        <is>
          <t>S132</t>
        </is>
      </c>
      <c r="D43" s="2" t="inlineStr">
        <is>
          <t>'Best Chinchin'!C10,D10</t>
        </is>
      </c>
      <c r="E43" s="2" t="inlineStr">
        <is>
          <t>egg</t>
        </is>
      </c>
      <c r="F43" s="3" t="n">
        <v>10500</v>
      </c>
      <c r="G43" s="2" t="inlineStr">
        <is>
          <t>10500</t>
        </is>
      </c>
      <c r="H43" s="2" t="inlineStr">
        <is>
          <t>H10</t>
        </is>
      </c>
    </row>
    <row r="44">
      <c r="A44" s="2" t="inlineStr">
        <is>
          <t>L006</t>
        </is>
      </c>
      <c r="B44" s="2" t="inlineStr">
        <is>
          <t>Best Chinchin</t>
        </is>
      </c>
      <c r="C44" s="2" t="inlineStr">
        <is>
          <t>S132</t>
        </is>
      </c>
      <c r="D44" s="2" t="inlineStr">
        <is>
          <t>'Best Chinchin'!C11,D11</t>
        </is>
      </c>
      <c r="E44" s="2" t="inlineStr">
        <is>
          <t>salt</t>
        </is>
      </c>
      <c r="F44" s="3" t="n">
        <v>250</v>
      </c>
      <c r="G44" s="2" t="inlineStr">
        <is>
          <t>250</t>
        </is>
      </c>
      <c r="H44" s="2" t="inlineStr">
        <is>
          <t>H10</t>
        </is>
      </c>
    </row>
    <row r="45">
      <c r="A45" s="2" t="inlineStr">
        <is>
          <t>L006</t>
        </is>
      </c>
      <c r="B45" s="2" t="inlineStr">
        <is>
          <t>Best Chinchin</t>
        </is>
      </c>
      <c r="C45" s="2" t="inlineStr">
        <is>
          <t>S132</t>
        </is>
      </c>
      <c r="D45" s="2" t="inlineStr">
        <is>
          <t>'Best Chinchin'!C12,D12</t>
        </is>
      </c>
      <c r="E45" s="2" t="inlineStr">
        <is>
          <t>Improver</t>
        </is>
      </c>
      <c r="F45" s="3" t="n">
        <v>200</v>
      </c>
      <c r="G45" s="2" t="inlineStr">
        <is>
          <t>200</t>
        </is>
      </c>
      <c r="H45" s="2" t="inlineStr">
        <is>
          <t>H10</t>
        </is>
      </c>
    </row>
    <row r="46">
      <c r="A46" s="2" t="inlineStr">
        <is>
          <t>L006</t>
        </is>
      </c>
      <c r="B46" s="2" t="inlineStr">
        <is>
          <t>Best Chinchin</t>
        </is>
      </c>
      <c r="C46" s="2" t="inlineStr">
        <is>
          <t>S132</t>
        </is>
      </c>
      <c r="D46" s="2" t="inlineStr">
        <is>
          <t>'Best Chinchin'!C13,D13</t>
        </is>
      </c>
      <c r="E46" s="2" t="inlineStr">
        <is>
          <t>oil</t>
        </is>
      </c>
      <c r="F46" s="3" t="n">
        <v>400</v>
      </c>
      <c r="G46" s="2" t="inlineStr">
        <is>
          <t>400</t>
        </is>
      </c>
      <c r="H46" s="2" t="inlineStr">
        <is>
          <t>H10</t>
        </is>
      </c>
    </row>
    <row r="47">
      <c r="A47" s="2" t="inlineStr">
        <is>
          <t>L006</t>
        </is>
      </c>
      <c r="B47" s="2" t="inlineStr">
        <is>
          <t>Best Chinchin</t>
        </is>
      </c>
      <c r="C47" s="2" t="inlineStr">
        <is>
          <t>S132</t>
        </is>
      </c>
      <c r="D47" s="2" t="inlineStr">
        <is>
          <t>'Best Chinchin'!C14,D14</t>
        </is>
      </c>
      <c r="E47" s="2" t="inlineStr">
        <is>
          <t>oil</t>
        </is>
      </c>
      <c r="F47" s="3" t="n">
        <v>15000</v>
      </c>
      <c r="G47" s="2" t="inlineStr">
        <is>
          <t>15000</t>
        </is>
      </c>
      <c r="H47" s="2" t="inlineStr">
        <is>
          <t>H10</t>
        </is>
      </c>
    </row>
    <row r="48">
      <c r="A48" s="2" t="inlineStr">
        <is>
          <t>L007</t>
        </is>
      </c>
      <c r="B48" s="2" t="inlineStr">
        <is>
          <t>Best Chinchin</t>
        </is>
      </c>
      <c r="C48" s="2" t="inlineStr">
        <is>
          <t>S132</t>
        </is>
      </c>
      <c r="D48" s="2" t="inlineStr">
        <is>
          <t>'Best Chinchin'!C5,H5</t>
        </is>
      </c>
      <c r="E48" s="2" t="inlineStr">
        <is>
          <t>flour</t>
        </is>
      </c>
      <c r="F48" s="3" t="n">
        <v>17000</v>
      </c>
      <c r="G48" s="2" t="inlineStr">
        <is>
          <t>17000</t>
        </is>
      </c>
      <c r="H48" s="2" t="inlineStr">
        <is>
          <t>H10</t>
        </is>
      </c>
    </row>
    <row r="49">
      <c r="A49" s="2" t="inlineStr">
        <is>
          <t>L007</t>
        </is>
      </c>
      <c r="B49" s="2" t="inlineStr">
        <is>
          <t>Best Chinchin</t>
        </is>
      </c>
      <c r="C49" s="2" t="inlineStr">
        <is>
          <t>S132</t>
        </is>
      </c>
      <c r="D49" s="2" t="inlineStr">
        <is>
          <t>'Best Chinchin'!C6,H6</t>
        </is>
      </c>
      <c r="E49" s="2" t="inlineStr">
        <is>
          <t>baking powder</t>
        </is>
      </c>
      <c r="F49" s="3" t="n">
        <v>300</v>
      </c>
      <c r="G49" s="2" t="inlineStr">
        <is>
          <t>=(D6/5)*3 [cached: 300]</t>
        </is>
      </c>
      <c r="H49" s="2" t="inlineStr">
        <is>
          <t>H10</t>
        </is>
      </c>
    </row>
    <row r="50">
      <c r="A50" s="2" t="inlineStr">
        <is>
          <t>L007</t>
        </is>
      </c>
      <c r="B50" s="2" t="inlineStr">
        <is>
          <t>Best Chinchin</t>
        </is>
      </c>
      <c r="C50" s="2" t="inlineStr">
        <is>
          <t>S132</t>
        </is>
      </c>
      <c r="D50" s="2" t="inlineStr">
        <is>
          <t>'Best Chinchin'!C7,H7</t>
        </is>
      </c>
      <c r="E50" s="2" t="inlineStr">
        <is>
          <t>nut meg</t>
        </is>
      </c>
      <c r="F50" s="3" t="n">
        <v>30</v>
      </c>
      <c r="G50" s="2" t="inlineStr">
        <is>
          <t>=(D7/5)*3 [cached: 30]</t>
        </is>
      </c>
      <c r="H50" s="2" t="inlineStr">
        <is>
          <t>H10</t>
        </is>
      </c>
    </row>
    <row r="51">
      <c r="A51" s="2" t="inlineStr">
        <is>
          <t>L007</t>
        </is>
      </c>
      <c r="B51" s="2" t="inlineStr">
        <is>
          <t>Best Chinchin</t>
        </is>
      </c>
      <c r="C51" s="2" t="inlineStr">
        <is>
          <t>S132</t>
        </is>
      </c>
      <c r="D51" s="2" t="inlineStr">
        <is>
          <t>'Best Chinchin'!C8,H8</t>
        </is>
      </c>
      <c r="E51" s="2" t="inlineStr">
        <is>
          <t>sugar</t>
        </is>
      </c>
      <c r="F51" s="3" t="n">
        <v>3000</v>
      </c>
      <c r="G51" s="2" t="inlineStr">
        <is>
          <t>3000</t>
        </is>
      </c>
      <c r="H51" s="2" t="inlineStr">
        <is>
          <t>H10</t>
        </is>
      </c>
    </row>
    <row r="52">
      <c r="A52" s="2" t="inlineStr">
        <is>
          <t>L007</t>
        </is>
      </c>
      <c r="B52" s="2" t="inlineStr">
        <is>
          <t>Best Chinchin</t>
        </is>
      </c>
      <c r="C52" s="2" t="inlineStr">
        <is>
          <t>S132</t>
        </is>
      </c>
      <c r="D52" s="2" t="inlineStr">
        <is>
          <t>'Best Chinchin'!C9,H9</t>
        </is>
      </c>
      <c r="E52" s="2" t="inlineStr">
        <is>
          <t>Butter</t>
        </is>
      </c>
      <c r="F52" s="3" t="n">
        <v>2700</v>
      </c>
      <c r="G52" s="2" t="inlineStr">
        <is>
          <t>2700</t>
        </is>
      </c>
      <c r="H52" s="2" t="inlineStr">
        <is>
          <t>H10</t>
        </is>
      </c>
    </row>
    <row r="53">
      <c r="A53" s="2" t="inlineStr">
        <is>
          <t>L007</t>
        </is>
      </c>
      <c r="B53" s="2" t="inlineStr">
        <is>
          <t>Best Chinchin</t>
        </is>
      </c>
      <c r="C53" s="2" t="inlineStr">
        <is>
          <t>S132</t>
        </is>
      </c>
      <c r="D53" s="2" t="inlineStr">
        <is>
          <t>'Best Chinchin'!C10,H10</t>
        </is>
      </c>
      <c r="E53" s="2" t="inlineStr">
        <is>
          <t>egg</t>
        </is>
      </c>
      <c r="F53" s="3" t="n">
        <v>6300</v>
      </c>
      <c r="G53" s="2" t="inlineStr">
        <is>
          <t>=(D10/5)*3 [cached: 6300]</t>
        </is>
      </c>
      <c r="H53" s="2" t="inlineStr">
        <is>
          <t>H10</t>
        </is>
      </c>
    </row>
    <row r="54">
      <c r="A54" s="2" t="inlineStr">
        <is>
          <t>L007</t>
        </is>
      </c>
      <c r="B54" s="2" t="inlineStr">
        <is>
          <t>Best Chinchin</t>
        </is>
      </c>
      <c r="C54" s="2" t="inlineStr">
        <is>
          <t>S132</t>
        </is>
      </c>
      <c r="D54" s="2" t="inlineStr">
        <is>
          <t>'Best Chinchin'!C11,H11</t>
        </is>
      </c>
      <c r="E54" s="2" t="inlineStr">
        <is>
          <t>salt</t>
        </is>
      </c>
      <c r="F54" s="3" t="n">
        <v>170</v>
      </c>
      <c r="G54" s="2" t="inlineStr">
        <is>
          <t>170</t>
        </is>
      </c>
      <c r="H54" s="2" t="inlineStr">
        <is>
          <t>H10</t>
        </is>
      </c>
    </row>
    <row r="55">
      <c r="A55" s="2" t="inlineStr">
        <is>
          <t>L007</t>
        </is>
      </c>
      <c r="B55" s="2" t="inlineStr">
        <is>
          <t>Best Chinchin</t>
        </is>
      </c>
      <c r="C55" s="2" t="inlineStr">
        <is>
          <t>S132</t>
        </is>
      </c>
      <c r="D55" s="2" t="inlineStr">
        <is>
          <t>'Best Chinchin'!C12,H12</t>
        </is>
      </c>
      <c r="E55" s="2" t="inlineStr">
        <is>
          <t>Improver</t>
        </is>
      </c>
      <c r="F55" s="3" t="n">
        <v>120</v>
      </c>
      <c r="G55" s="2" t="inlineStr">
        <is>
          <t>=(D12/5)*3 [cached: 120]</t>
        </is>
      </c>
      <c r="H55" s="2" t="inlineStr">
        <is>
          <t>H10</t>
        </is>
      </c>
    </row>
    <row r="56">
      <c r="A56" s="2" t="inlineStr">
        <is>
          <t>L007</t>
        </is>
      </c>
      <c r="B56" s="2" t="inlineStr">
        <is>
          <t>Best Chinchin</t>
        </is>
      </c>
      <c r="C56" s="2" t="inlineStr">
        <is>
          <t>S132</t>
        </is>
      </c>
      <c r="D56" s="2" t="inlineStr">
        <is>
          <t>'Best Chinchin'!C13,H13</t>
        </is>
      </c>
      <c r="E56" s="2" t="inlineStr">
        <is>
          <t>oil</t>
        </is>
      </c>
      <c r="F56" s="3" t="n">
        <v>150</v>
      </c>
      <c r="G56" s="2" t="inlineStr">
        <is>
          <t>150</t>
        </is>
      </c>
      <c r="H56" s="2" t="inlineStr">
        <is>
          <t>H10</t>
        </is>
      </c>
    </row>
    <row r="57">
      <c r="A57" s="2" t="inlineStr">
        <is>
          <t>L007</t>
        </is>
      </c>
      <c r="B57" s="2" t="inlineStr">
        <is>
          <t>Best Chinchin</t>
        </is>
      </c>
      <c r="C57" s="2" t="inlineStr">
        <is>
          <t>S132</t>
        </is>
      </c>
      <c r="D57" s="2" t="inlineStr">
        <is>
          <t>'Best Chinchin'!C14,H14</t>
        </is>
      </c>
      <c r="E57" s="2" t="inlineStr">
        <is>
          <t>oil</t>
        </is>
      </c>
      <c r="F57" s="3" t="n">
        <v>9000</v>
      </c>
      <c r="G57" s="2" t="inlineStr">
        <is>
          <t>=(D14/5)*3 [cached: 9000]</t>
        </is>
      </c>
      <c r="H57" s="2" t="inlineStr">
        <is>
          <t>H10</t>
        </is>
      </c>
    </row>
    <row r="58">
      <c r="A58" s="2" t="inlineStr">
        <is>
          <t>L008</t>
        </is>
      </c>
      <c r="B58" s="2" t="inlineStr">
        <is>
          <t>Brioche Professionel</t>
        </is>
      </c>
      <c r="C58" s="2" t="inlineStr">
        <is>
          <t>S132</t>
        </is>
      </c>
      <c r="D58" s="2" t="inlineStr">
        <is>
          <t>'Brioche Professionel'!C5,D5</t>
        </is>
      </c>
      <c r="E58" s="2" t="inlineStr">
        <is>
          <t>flour</t>
        </is>
      </c>
      <c r="F58" s="3" t="n">
        <v>6000</v>
      </c>
      <c r="G58" s="2" t="inlineStr">
        <is>
          <t>6000</t>
        </is>
      </c>
      <c r="H58" s="2" t="inlineStr">
        <is>
          <t>S-B06; richer true-butter variant</t>
        </is>
      </c>
    </row>
    <row r="59">
      <c r="A59" s="2" t="inlineStr">
        <is>
          <t>L008</t>
        </is>
      </c>
      <c r="B59" s="2" t="inlineStr">
        <is>
          <t>Brioche Professionel</t>
        </is>
      </c>
      <c r="C59" s="2" t="inlineStr">
        <is>
          <t>S132</t>
        </is>
      </c>
      <c r="D59" s="2" t="inlineStr">
        <is>
          <t>'Brioche Professionel'!C6,D6</t>
        </is>
      </c>
      <c r="E59" s="2" t="inlineStr">
        <is>
          <t>Butter</t>
        </is>
      </c>
      <c r="F59" s="3" t="n">
        <v>1800</v>
      </c>
      <c r="G59" s="2" t="inlineStr">
        <is>
          <t>1800</t>
        </is>
      </c>
      <c r="H59" s="2" t="inlineStr">
        <is>
          <t>S-B06; richer true-butter variant</t>
        </is>
      </c>
    </row>
    <row r="60">
      <c r="A60" s="2" t="inlineStr">
        <is>
          <t>L008</t>
        </is>
      </c>
      <c r="B60" s="2" t="inlineStr">
        <is>
          <t>Brioche Professionel</t>
        </is>
      </c>
      <c r="C60" s="2" t="inlineStr">
        <is>
          <t>S132</t>
        </is>
      </c>
      <c r="D60" s="2" t="inlineStr">
        <is>
          <t>'Brioche Professionel'!C7,D7</t>
        </is>
      </c>
      <c r="E60" s="2" t="inlineStr">
        <is>
          <t>sugar</t>
        </is>
      </c>
      <c r="F60" s="3" t="n">
        <v>800</v>
      </c>
      <c r="G60" s="2" t="inlineStr">
        <is>
          <t>800</t>
        </is>
      </c>
      <c r="H60" s="2" t="inlineStr">
        <is>
          <t>S-B06; richer true-butter variant</t>
        </is>
      </c>
    </row>
    <row r="61">
      <c r="A61" s="2" t="inlineStr">
        <is>
          <t>L008</t>
        </is>
      </c>
      <c r="B61" s="2" t="inlineStr">
        <is>
          <t>Brioche Professionel</t>
        </is>
      </c>
      <c r="C61" s="2" t="inlineStr">
        <is>
          <t>S132</t>
        </is>
      </c>
      <c r="D61" s="2" t="inlineStr">
        <is>
          <t>'Brioche Professionel'!C8,D8</t>
        </is>
      </c>
      <c r="E61" s="2" t="inlineStr">
        <is>
          <t>CONC MILK</t>
        </is>
      </c>
      <c r="F61" s="3" t="n">
        <v>1000</v>
      </c>
      <c r="G61" s="2" t="inlineStr">
        <is>
          <t>1000</t>
        </is>
      </c>
      <c r="H61" s="2" t="inlineStr">
        <is>
          <t>S-B06; richer true-butter variant</t>
        </is>
      </c>
    </row>
    <row r="62">
      <c r="A62" s="2" t="inlineStr">
        <is>
          <t>L008</t>
        </is>
      </c>
      <c r="B62" s="2" t="inlineStr">
        <is>
          <t>Brioche Professionel</t>
        </is>
      </c>
      <c r="C62" s="2" t="inlineStr">
        <is>
          <t>S132</t>
        </is>
      </c>
      <c r="D62" s="2" t="inlineStr">
        <is>
          <t>'Brioche Professionel'!C9,D9</t>
        </is>
      </c>
      <c r="E62" s="2" t="inlineStr">
        <is>
          <t>egg</t>
        </is>
      </c>
      <c r="F62" s="3" t="n">
        <v>800</v>
      </c>
      <c r="G62" s="2" t="inlineStr">
        <is>
          <t>800</t>
        </is>
      </c>
      <c r="H62" s="2" t="inlineStr">
        <is>
          <t>S-B06; richer true-butter variant</t>
        </is>
      </c>
    </row>
    <row r="63">
      <c r="A63" s="2" t="inlineStr">
        <is>
          <t>L008</t>
        </is>
      </c>
      <c r="B63" s="2" t="inlineStr">
        <is>
          <t>Brioche Professionel</t>
        </is>
      </c>
      <c r="C63" s="2" t="inlineStr">
        <is>
          <t>S132</t>
        </is>
      </c>
      <c r="D63" s="2" t="inlineStr">
        <is>
          <t>'Brioche Professionel'!C10,D10</t>
        </is>
      </c>
      <c r="E63" s="2" t="inlineStr">
        <is>
          <t>salt</t>
        </is>
      </c>
      <c r="F63" s="3" t="n">
        <v>60</v>
      </c>
      <c r="G63" s="2" t="inlineStr">
        <is>
          <t>60</t>
        </is>
      </c>
      <c r="H63" s="2" t="inlineStr">
        <is>
          <t>S-B06; richer true-butter variant</t>
        </is>
      </c>
    </row>
    <row r="64">
      <c r="A64" s="2" t="inlineStr">
        <is>
          <t>L008</t>
        </is>
      </c>
      <c r="B64" s="2" t="inlineStr">
        <is>
          <t>Brioche Professionel</t>
        </is>
      </c>
      <c r="C64" s="2" t="inlineStr">
        <is>
          <t>S132</t>
        </is>
      </c>
      <c r="D64" s="2" t="inlineStr">
        <is>
          <t>'Brioche Professionel'!C11,D11</t>
        </is>
      </c>
      <c r="E64" s="2" t="inlineStr">
        <is>
          <t>improver</t>
        </is>
      </c>
      <c r="F64" s="3" t="n">
        <v>100</v>
      </c>
      <c r="G64" s="2" t="inlineStr">
        <is>
          <t>100</t>
        </is>
      </c>
      <c r="H64" s="2" t="inlineStr">
        <is>
          <t>S-B06; richer true-butter variant</t>
        </is>
      </c>
    </row>
    <row r="65">
      <c r="A65" s="2" t="inlineStr">
        <is>
          <t>L008</t>
        </is>
      </c>
      <c r="B65" s="2" t="inlineStr">
        <is>
          <t>Brioche Professionel</t>
        </is>
      </c>
      <c r="C65" s="2" t="inlineStr">
        <is>
          <t>S132</t>
        </is>
      </c>
      <c r="D65" s="2" t="inlineStr">
        <is>
          <t>'Brioche Professionel'!C12,D12</t>
        </is>
      </c>
      <c r="E65" s="2" t="inlineStr">
        <is>
          <t>yeast</t>
        </is>
      </c>
      <c r="F65" s="3" t="n">
        <v>120</v>
      </c>
      <c r="G65" s="2" t="inlineStr">
        <is>
          <t>120</t>
        </is>
      </c>
      <c r="H65" s="2" t="inlineStr">
        <is>
          <t>S-B06; richer true-butter variant</t>
        </is>
      </c>
    </row>
    <row r="66">
      <c r="A66" s="2" t="inlineStr">
        <is>
          <t>L008</t>
        </is>
      </c>
      <c r="B66" s="2" t="inlineStr">
        <is>
          <t>Brioche Professionel</t>
        </is>
      </c>
      <c r="C66" s="2" t="inlineStr">
        <is>
          <t>S132</t>
        </is>
      </c>
      <c r="D66" s="2" t="inlineStr">
        <is>
          <t>'Brioche Professionel'!C13,D13</t>
        </is>
      </c>
      <c r="E66" s="2" t="inlineStr">
        <is>
          <t>Nutmeg</t>
        </is>
      </c>
      <c r="F66" s="3" t="n">
        <v>70</v>
      </c>
      <c r="G66" s="2" t="inlineStr">
        <is>
          <t>70</t>
        </is>
      </c>
      <c r="H66" s="2" t="inlineStr">
        <is>
          <t>S-B06; richer true-butter variant</t>
        </is>
      </c>
    </row>
    <row r="67">
      <c r="A67" s="2" t="inlineStr">
        <is>
          <t>L009</t>
        </is>
      </c>
      <c r="B67" s="2" t="inlineStr">
        <is>
          <t>CAKE NOW</t>
        </is>
      </c>
      <c r="C67" s="2" t="inlineStr">
        <is>
          <t>S132</t>
        </is>
      </c>
      <c r="D67" s="2" t="inlineStr">
        <is>
          <t>'CAKE NOW'!C5,D5</t>
        </is>
      </c>
      <c r="E67" s="2" t="inlineStr">
        <is>
          <t>flour</t>
        </is>
      </c>
      <c r="F67" s="3" t="n">
        <v>3000</v>
      </c>
      <c r="G67" s="2" t="inlineStr">
        <is>
          <t>3000</t>
        </is>
      </c>
      <c r="H67" s="2" t="inlineStr">
        <is>
          <t>H08 / H09; exact style differs</t>
        </is>
      </c>
    </row>
    <row r="68">
      <c r="A68" s="2" t="inlineStr">
        <is>
          <t>L009</t>
        </is>
      </c>
      <c r="B68" s="2" t="inlineStr">
        <is>
          <t>CAKE NOW</t>
        </is>
      </c>
      <c r="C68" s="2" t="inlineStr">
        <is>
          <t>S132</t>
        </is>
      </c>
      <c r="D68" s="2" t="inlineStr">
        <is>
          <t>'CAKE NOW'!C6,D6</t>
        </is>
      </c>
      <c r="E68" s="2" t="inlineStr">
        <is>
          <t>baking powder</t>
        </is>
      </c>
      <c r="F68" s="3" t="n">
        <v>100</v>
      </c>
      <c r="G68" s="2" t="inlineStr">
        <is>
          <t>100</t>
        </is>
      </c>
      <c r="H68" s="2" t="inlineStr">
        <is>
          <t>H08 / H09; exact style differs</t>
        </is>
      </c>
    </row>
    <row r="69">
      <c r="A69" s="2" t="inlineStr">
        <is>
          <t>L009</t>
        </is>
      </c>
      <c r="B69" s="2" t="inlineStr">
        <is>
          <t>CAKE NOW</t>
        </is>
      </c>
      <c r="C69" s="2" t="inlineStr">
        <is>
          <t>S132</t>
        </is>
      </c>
      <c r="D69" s="2" t="inlineStr">
        <is>
          <t>'CAKE NOW'!C7,D7</t>
        </is>
      </c>
      <c r="E69" s="2" t="inlineStr">
        <is>
          <t>Egg</t>
        </is>
      </c>
      <c r="F69" s="3" t="n">
        <v>1500</v>
      </c>
      <c r="G69" s="2" t="inlineStr">
        <is>
          <t>1500</t>
        </is>
      </c>
      <c r="H69" s="2" t="inlineStr">
        <is>
          <t>H08 / H09; exact style differs</t>
        </is>
      </c>
    </row>
    <row r="70">
      <c r="A70" s="2" t="inlineStr">
        <is>
          <t>L009</t>
        </is>
      </c>
      <c r="B70" s="2" t="inlineStr">
        <is>
          <t>CAKE NOW</t>
        </is>
      </c>
      <c r="C70" s="2" t="inlineStr">
        <is>
          <t>S132</t>
        </is>
      </c>
      <c r="D70" s="2" t="inlineStr">
        <is>
          <t>'CAKE NOW'!C9,D9</t>
        </is>
      </c>
      <c r="E70" s="2" t="inlineStr">
        <is>
          <t>Butter</t>
        </is>
      </c>
      <c r="F70" s="3" t="n">
        <v>1500</v>
      </c>
      <c r="G70" s="2" t="inlineStr">
        <is>
          <t>1500</t>
        </is>
      </c>
      <c r="H70" s="2" t="inlineStr">
        <is>
          <t>H08 / H09; exact style differs</t>
        </is>
      </c>
    </row>
    <row r="71">
      <c r="A71" s="2" t="inlineStr">
        <is>
          <t>L009</t>
        </is>
      </c>
      <c r="B71" s="2" t="inlineStr">
        <is>
          <t>CAKE NOW</t>
        </is>
      </c>
      <c r="C71" s="2" t="inlineStr">
        <is>
          <t>S132</t>
        </is>
      </c>
      <c r="D71" s="2" t="inlineStr">
        <is>
          <t>'CAKE NOW'!C10,D10</t>
        </is>
      </c>
      <c r="E71" s="2" t="inlineStr">
        <is>
          <t>sugar</t>
        </is>
      </c>
      <c r="F71" s="3" t="n">
        <v>1000</v>
      </c>
      <c r="G71" s="2" t="inlineStr">
        <is>
          <t>1000</t>
        </is>
      </c>
      <c r="H71" s="2" t="inlineStr">
        <is>
          <t>H08 / H09; exact style differs</t>
        </is>
      </c>
    </row>
    <row r="72">
      <c r="A72" s="2" t="inlineStr">
        <is>
          <t>L010</t>
        </is>
      </c>
      <c r="B72" s="2" t="inlineStr">
        <is>
          <t>Cake Prof</t>
        </is>
      </c>
      <c r="C72" s="2" t="inlineStr">
        <is>
          <t>S132</t>
        </is>
      </c>
      <c r="D72" s="2" t="inlineStr">
        <is>
          <t>'Cake Prof'!C5,D5</t>
        </is>
      </c>
      <c r="E72" s="2" t="inlineStr">
        <is>
          <t>flour</t>
        </is>
      </c>
      <c r="F72" s="3" t="n">
        <v>3500</v>
      </c>
      <c r="G72" s="2" t="inlineStr">
        <is>
          <t>3500</t>
        </is>
      </c>
      <c r="H72" s="2" t="inlineStr">
        <is>
          <t>H08 / H09; exact style differs</t>
        </is>
      </c>
    </row>
    <row r="73">
      <c r="A73" s="2" t="inlineStr">
        <is>
          <t>L010</t>
        </is>
      </c>
      <c r="B73" s="2" t="inlineStr">
        <is>
          <t>Cake Prof</t>
        </is>
      </c>
      <c r="C73" s="2" t="inlineStr">
        <is>
          <t>S132</t>
        </is>
      </c>
      <c r="D73" s="2" t="inlineStr">
        <is>
          <t>'Cake Prof'!C6,D6</t>
        </is>
      </c>
      <c r="E73" s="2" t="inlineStr">
        <is>
          <t>baking powder</t>
        </is>
      </c>
      <c r="F73" s="3" t="n">
        <v>100</v>
      </c>
      <c r="G73" s="2" t="inlineStr">
        <is>
          <t>100</t>
        </is>
      </c>
      <c r="H73" s="2" t="inlineStr">
        <is>
          <t>H08 / H09; exact style differs</t>
        </is>
      </c>
    </row>
    <row r="74">
      <c r="A74" s="2" t="inlineStr">
        <is>
          <t>L010</t>
        </is>
      </c>
      <c r="B74" s="2" t="inlineStr">
        <is>
          <t>Cake Prof</t>
        </is>
      </c>
      <c r="C74" s="2" t="inlineStr">
        <is>
          <t>S132</t>
        </is>
      </c>
      <c r="D74" s="2" t="inlineStr">
        <is>
          <t>'Cake Prof'!C7,D7</t>
        </is>
      </c>
      <c r="E74" s="2" t="inlineStr">
        <is>
          <t>Egg</t>
        </is>
      </c>
      <c r="F74" s="3" t="n">
        <v>1800</v>
      </c>
      <c r="G74" s="2" t="inlineStr">
        <is>
          <t>1800</t>
        </is>
      </c>
      <c r="H74" s="2" t="inlineStr">
        <is>
          <t>H08 / H09; exact style differs</t>
        </is>
      </c>
    </row>
    <row r="75">
      <c r="A75" s="2" t="inlineStr">
        <is>
          <t>L010</t>
        </is>
      </c>
      <c r="B75" s="2" t="inlineStr">
        <is>
          <t>Cake Prof</t>
        </is>
      </c>
      <c r="C75" s="2" t="inlineStr">
        <is>
          <t>S132</t>
        </is>
      </c>
      <c r="D75" s="2" t="inlineStr">
        <is>
          <t>'Cake Prof'!C8,D8</t>
        </is>
      </c>
      <c r="E75" s="2" t="inlineStr">
        <is>
          <t>water</t>
        </is>
      </c>
      <c r="F75" s="3" t="n">
        <v>500</v>
      </c>
      <c r="G75" s="2" t="inlineStr">
        <is>
          <t>500</t>
        </is>
      </c>
      <c r="H75" s="2" t="inlineStr">
        <is>
          <t>H08 / H09; exact style differs</t>
        </is>
      </c>
    </row>
    <row r="76">
      <c r="A76" s="2" t="inlineStr">
        <is>
          <t>L010</t>
        </is>
      </c>
      <c r="B76" s="2" t="inlineStr">
        <is>
          <t>Cake Prof</t>
        </is>
      </c>
      <c r="C76" s="2" t="inlineStr">
        <is>
          <t>S132</t>
        </is>
      </c>
      <c r="D76" s="2" t="inlineStr">
        <is>
          <t>'Cake Prof'!C9,D9</t>
        </is>
      </c>
      <c r="E76" s="2" t="inlineStr">
        <is>
          <t>Butter</t>
        </is>
      </c>
      <c r="F76" s="3" t="n">
        <v>1500</v>
      </c>
      <c r="G76" s="2" t="inlineStr">
        <is>
          <t>1500</t>
        </is>
      </c>
      <c r="H76" s="2" t="inlineStr">
        <is>
          <t>H08 / H09; exact style differs</t>
        </is>
      </c>
    </row>
    <row r="77">
      <c r="A77" s="2" t="inlineStr">
        <is>
          <t>L010</t>
        </is>
      </c>
      <c r="B77" s="2" t="inlineStr">
        <is>
          <t>Cake Prof</t>
        </is>
      </c>
      <c r="C77" s="2" t="inlineStr">
        <is>
          <t>S132</t>
        </is>
      </c>
      <c r="D77" s="2" t="inlineStr">
        <is>
          <t>'Cake Prof'!C10,D10</t>
        </is>
      </c>
      <c r="E77" s="2" t="inlineStr">
        <is>
          <t>sugar</t>
        </is>
      </c>
      <c r="F77" s="3" t="n">
        <v>1000</v>
      </c>
      <c r="G77" s="2" t="inlineStr">
        <is>
          <t>1000</t>
        </is>
      </c>
      <c r="H77" s="2" t="inlineStr">
        <is>
          <t>H08 / H09; exact style differs</t>
        </is>
      </c>
    </row>
    <row r="78">
      <c r="A78" s="2" t="inlineStr">
        <is>
          <t>L011</t>
        </is>
      </c>
      <c r="B78" s="2" t="inlineStr">
        <is>
          <t>Cake Prof</t>
        </is>
      </c>
      <c r="C78" s="2" t="inlineStr">
        <is>
          <t>S132</t>
        </is>
      </c>
      <c r="D78" s="2" t="inlineStr">
        <is>
          <t>'Cake Prof'!C5,H5</t>
        </is>
      </c>
      <c r="E78" s="2" t="inlineStr">
        <is>
          <t>flour</t>
        </is>
      </c>
      <c r="F78" s="3" t="n">
        <v>3500</v>
      </c>
      <c r="G78" s="2" t="inlineStr">
        <is>
          <t>3500</t>
        </is>
      </c>
      <c r="H78" s="2" t="inlineStr">
        <is>
          <t>H08 / H09; exact style differs</t>
        </is>
      </c>
    </row>
    <row r="79">
      <c r="A79" s="2" t="inlineStr">
        <is>
          <t>L011</t>
        </is>
      </c>
      <c r="B79" s="2" t="inlineStr">
        <is>
          <t>Cake Prof</t>
        </is>
      </c>
      <c r="C79" s="2" t="inlineStr">
        <is>
          <t>S132</t>
        </is>
      </c>
      <c r="D79" s="2" t="inlineStr">
        <is>
          <t>'Cake Prof'!C6,H6</t>
        </is>
      </c>
      <c r="E79" s="2" t="inlineStr">
        <is>
          <t>baking powder</t>
        </is>
      </c>
      <c r="F79" s="3" t="n">
        <v>80</v>
      </c>
      <c r="G79" s="2" t="inlineStr">
        <is>
          <t>80</t>
        </is>
      </c>
      <c r="H79" s="2" t="inlineStr">
        <is>
          <t>H08 / H09; exact style differs</t>
        </is>
      </c>
    </row>
    <row r="80">
      <c r="A80" s="2" t="inlineStr">
        <is>
          <t>L011</t>
        </is>
      </c>
      <c r="B80" s="2" t="inlineStr">
        <is>
          <t>Cake Prof</t>
        </is>
      </c>
      <c r="C80" s="2" t="inlineStr">
        <is>
          <t>S132</t>
        </is>
      </c>
      <c r="D80" s="2" t="inlineStr">
        <is>
          <t>'Cake Prof'!C7,H7</t>
        </is>
      </c>
      <c r="E80" s="2" t="inlineStr">
        <is>
          <t>Egg</t>
        </is>
      </c>
      <c r="F80" s="3" t="n">
        <v>1400</v>
      </c>
      <c r="G80" s="2" t="inlineStr">
        <is>
          <t>1400</t>
        </is>
      </c>
      <c r="H80" s="2" t="inlineStr">
        <is>
          <t>H08 / H09; exact style differs</t>
        </is>
      </c>
    </row>
    <row r="81">
      <c r="A81" s="2" t="inlineStr">
        <is>
          <t>L011</t>
        </is>
      </c>
      <c r="B81" s="2" t="inlineStr">
        <is>
          <t>Cake Prof</t>
        </is>
      </c>
      <c r="C81" s="2" t="inlineStr">
        <is>
          <t>S132</t>
        </is>
      </c>
      <c r="D81" s="2" t="inlineStr">
        <is>
          <t>'Cake Prof'!C8,H8</t>
        </is>
      </c>
      <c r="E81" s="2" t="inlineStr">
        <is>
          <t>water</t>
        </is>
      </c>
      <c r="F81" s="3" t="n">
        <v>500</v>
      </c>
      <c r="G81" s="2" t="inlineStr">
        <is>
          <t>500</t>
        </is>
      </c>
      <c r="H81" s="2" t="inlineStr">
        <is>
          <t>H08 / H09; exact style differs</t>
        </is>
      </c>
    </row>
    <row r="82">
      <c r="A82" s="2" t="inlineStr">
        <is>
          <t>L011</t>
        </is>
      </c>
      <c r="B82" s="2" t="inlineStr">
        <is>
          <t>Cake Prof</t>
        </is>
      </c>
      <c r="C82" s="2" t="inlineStr">
        <is>
          <t>S132</t>
        </is>
      </c>
      <c r="D82" s="2" t="inlineStr">
        <is>
          <t>'Cake Prof'!C9,H9</t>
        </is>
      </c>
      <c r="E82" s="2" t="inlineStr">
        <is>
          <t>Butter</t>
        </is>
      </c>
      <c r="F82" s="3" t="n">
        <v>1500</v>
      </c>
      <c r="G82" s="2" t="inlineStr">
        <is>
          <t>1500</t>
        </is>
      </c>
      <c r="H82" s="2" t="inlineStr">
        <is>
          <t>H08 / H09; exact style differs</t>
        </is>
      </c>
    </row>
    <row r="83">
      <c r="A83" s="2" t="inlineStr">
        <is>
          <t>L011</t>
        </is>
      </c>
      <c r="B83" s="2" t="inlineStr">
        <is>
          <t>Cake Prof</t>
        </is>
      </c>
      <c r="C83" s="2" t="inlineStr">
        <is>
          <t>S132</t>
        </is>
      </c>
      <c r="D83" s="2" t="inlineStr">
        <is>
          <t>'Cake Prof'!C10,H10</t>
        </is>
      </c>
      <c r="E83" s="2" t="inlineStr">
        <is>
          <t>sugar</t>
        </is>
      </c>
      <c r="F83" s="3" t="n">
        <v>1000</v>
      </c>
      <c r="G83" s="2" t="inlineStr">
        <is>
          <t>1000</t>
        </is>
      </c>
      <c r="H83" s="2" t="inlineStr">
        <is>
          <t>H08 / H09; exact style differs</t>
        </is>
      </c>
    </row>
    <row r="84">
      <c r="A84" s="2" t="inlineStr">
        <is>
          <t>L012</t>
        </is>
      </c>
      <c r="B84" s="2" t="inlineStr">
        <is>
          <t>Chinchin</t>
        </is>
      </c>
      <c r="C84" s="2" t="inlineStr">
        <is>
          <t>S132</t>
        </is>
      </c>
      <c r="D84" s="2" t="inlineStr">
        <is>
          <t>'Chinchin'!C5,D5</t>
        </is>
      </c>
      <c r="E84" s="2" t="inlineStr">
        <is>
          <t>flour</t>
        </is>
      </c>
      <c r="F84" s="3" t="n">
        <v>3600</v>
      </c>
      <c r="G84" s="2" t="inlineStr">
        <is>
          <t>3600</t>
        </is>
      </c>
      <c r="H84" s="2" t="inlineStr">
        <is>
          <t>H10</t>
        </is>
      </c>
    </row>
    <row r="85">
      <c r="A85" s="2" t="inlineStr">
        <is>
          <t>L012</t>
        </is>
      </c>
      <c r="B85" s="2" t="inlineStr">
        <is>
          <t>Chinchin</t>
        </is>
      </c>
      <c r="C85" s="2" t="inlineStr">
        <is>
          <t>S132</t>
        </is>
      </c>
      <c r="D85" s="2" t="inlineStr">
        <is>
          <t>'Chinchin'!C6,D6</t>
        </is>
      </c>
      <c r="E85" s="2" t="inlineStr">
        <is>
          <t>baking powder</t>
        </is>
      </c>
      <c r="F85" s="3" t="n">
        <v>70</v>
      </c>
      <c r="G85" s="2" t="inlineStr">
        <is>
          <t>70</t>
        </is>
      </c>
      <c r="H85" s="2" t="inlineStr">
        <is>
          <t>H10</t>
        </is>
      </c>
    </row>
    <row r="86">
      <c r="A86" s="2" t="inlineStr">
        <is>
          <t>L012</t>
        </is>
      </c>
      <c r="B86" s="2" t="inlineStr">
        <is>
          <t>Chinchin</t>
        </is>
      </c>
      <c r="C86" s="2" t="inlineStr">
        <is>
          <t>S132</t>
        </is>
      </c>
      <c r="D86" s="2" t="inlineStr">
        <is>
          <t>'Chinchin'!C7,D7</t>
        </is>
      </c>
      <c r="E86" s="2" t="inlineStr">
        <is>
          <t>nut meg</t>
        </is>
      </c>
      <c r="F86" s="3" t="n">
        <v>5</v>
      </c>
      <c r="G86" s="2" t="inlineStr">
        <is>
          <t>5</t>
        </is>
      </c>
      <c r="H86" s="2" t="inlineStr">
        <is>
          <t>H10</t>
        </is>
      </c>
    </row>
    <row r="87">
      <c r="A87" s="2" t="inlineStr">
        <is>
          <t>L012</t>
        </is>
      </c>
      <c r="B87" s="2" t="inlineStr">
        <is>
          <t>Chinchin</t>
        </is>
      </c>
      <c r="C87" s="2" t="inlineStr">
        <is>
          <t>S132</t>
        </is>
      </c>
      <c r="D87" s="2" t="inlineStr">
        <is>
          <t>'Chinchin'!C8,D8</t>
        </is>
      </c>
      <c r="E87" s="2" t="inlineStr">
        <is>
          <t>sugar</t>
        </is>
      </c>
      <c r="F87" s="3" t="n">
        <v>650</v>
      </c>
      <c r="G87" s="2" t="inlineStr">
        <is>
          <t>650</t>
        </is>
      </c>
      <c r="H87" s="2" t="inlineStr">
        <is>
          <t>H10</t>
        </is>
      </c>
    </row>
    <row r="88">
      <c r="A88" s="2" t="inlineStr">
        <is>
          <t>L012</t>
        </is>
      </c>
      <c r="B88" s="2" t="inlineStr">
        <is>
          <t>Chinchin</t>
        </is>
      </c>
      <c r="C88" s="2" t="inlineStr">
        <is>
          <t>S132</t>
        </is>
      </c>
      <c r="D88" s="2" t="inlineStr">
        <is>
          <t>'Chinchin'!C9,D9</t>
        </is>
      </c>
      <c r="E88" s="2" t="inlineStr">
        <is>
          <t>Butter</t>
        </is>
      </c>
      <c r="F88" s="3" t="n">
        <v>450</v>
      </c>
      <c r="G88" s="2" t="inlineStr">
        <is>
          <t>450</t>
        </is>
      </c>
      <c r="H88" s="2" t="inlineStr">
        <is>
          <t>H10</t>
        </is>
      </c>
    </row>
    <row r="89">
      <c r="A89" s="2" t="inlineStr">
        <is>
          <t>L012</t>
        </is>
      </c>
      <c r="B89" s="2" t="inlineStr">
        <is>
          <t>Chinchin</t>
        </is>
      </c>
      <c r="C89" s="2" t="inlineStr">
        <is>
          <t>S132</t>
        </is>
      </c>
      <c r="D89" s="2" t="inlineStr">
        <is>
          <t>'Chinchin'!C10,D10</t>
        </is>
      </c>
      <c r="E89" s="2" t="inlineStr">
        <is>
          <t>egg</t>
        </is>
      </c>
      <c r="F89" s="3" t="n">
        <v>1200</v>
      </c>
      <c r="G89" s="2" t="inlineStr">
        <is>
          <t>1200</t>
        </is>
      </c>
      <c r="H89" s="2" t="inlineStr">
        <is>
          <t>H10</t>
        </is>
      </c>
    </row>
    <row r="90">
      <c r="A90" s="2" t="inlineStr">
        <is>
          <t>L012</t>
        </is>
      </c>
      <c r="B90" s="2" t="inlineStr">
        <is>
          <t>Chinchin</t>
        </is>
      </c>
      <c r="C90" s="2" t="inlineStr">
        <is>
          <t>S132</t>
        </is>
      </c>
      <c r="D90" s="2" t="inlineStr">
        <is>
          <t>'Chinchin'!C11,D11</t>
        </is>
      </c>
      <c r="E90" s="2" t="inlineStr">
        <is>
          <t>salt</t>
        </is>
      </c>
      <c r="F90" s="3" t="n">
        <v>50</v>
      </c>
      <c r="G90" s="2" t="inlineStr">
        <is>
          <t>50</t>
        </is>
      </c>
      <c r="H90" s="2" t="inlineStr">
        <is>
          <t>H10</t>
        </is>
      </c>
    </row>
    <row r="91">
      <c r="A91" s="2" t="inlineStr">
        <is>
          <t>L012</t>
        </is>
      </c>
      <c r="B91" s="2" t="inlineStr">
        <is>
          <t>Chinchin</t>
        </is>
      </c>
      <c r="C91" s="2" t="inlineStr">
        <is>
          <t>S132</t>
        </is>
      </c>
      <c r="D91" s="2" t="inlineStr">
        <is>
          <t>'Chinchin'!C12,D12</t>
        </is>
      </c>
      <c r="E91" s="2" t="inlineStr">
        <is>
          <t>improver</t>
        </is>
      </c>
      <c r="F91" s="3" t="n">
        <v>40</v>
      </c>
      <c r="G91" s="2" t="inlineStr">
        <is>
          <t>40</t>
        </is>
      </c>
      <c r="H91" s="2" t="inlineStr">
        <is>
          <t>H10</t>
        </is>
      </c>
    </row>
    <row r="92">
      <c r="A92" s="2" t="inlineStr">
        <is>
          <t>L012</t>
        </is>
      </c>
      <c r="B92" s="2" t="inlineStr">
        <is>
          <t>Chinchin</t>
        </is>
      </c>
      <c r="C92" s="2" t="inlineStr">
        <is>
          <t>S132</t>
        </is>
      </c>
      <c r="D92" s="2" t="inlineStr">
        <is>
          <t>'Chinchin'!C13,D13</t>
        </is>
      </c>
      <c r="E92" s="2" t="inlineStr">
        <is>
          <t>oil</t>
        </is>
      </c>
      <c r="F92" s="3" t="n">
        <v>2</v>
      </c>
      <c r="G92" s="2" t="inlineStr">
        <is>
          <t>2</t>
        </is>
      </c>
      <c r="H92" s="2" t="inlineStr">
        <is>
          <t>H10</t>
        </is>
      </c>
    </row>
    <row r="93">
      <c r="A93" s="2" t="inlineStr">
        <is>
          <t>L013</t>
        </is>
      </c>
      <c r="B93" s="2" t="inlineStr">
        <is>
          <t>Croissant</t>
        </is>
      </c>
      <c r="C93" s="2" t="inlineStr">
        <is>
          <t>S132</t>
        </is>
      </c>
      <c r="D93" s="2" t="inlineStr">
        <is>
          <t>'Croissant'!C5,D5</t>
        </is>
      </c>
      <c r="E93" s="2" t="inlineStr">
        <is>
          <t>flour</t>
        </is>
      </c>
      <c r="F93" s="3" t="n">
        <v>3100</v>
      </c>
      <c r="G93" s="2" t="inlineStr">
        <is>
          <t>3100</t>
        </is>
      </c>
      <c r="H93" s="2" t="inlineStr">
        <is>
          <t>H12</t>
        </is>
      </c>
    </row>
    <row r="94">
      <c r="A94" s="2" t="inlineStr">
        <is>
          <t>L013</t>
        </is>
      </c>
      <c r="B94" s="2" t="inlineStr">
        <is>
          <t>Croissant</t>
        </is>
      </c>
      <c r="C94" s="2" t="inlineStr">
        <is>
          <t>S132</t>
        </is>
      </c>
      <c r="D94" s="2" t="inlineStr">
        <is>
          <t>'Croissant'!C6,D6</t>
        </is>
      </c>
      <c r="E94" s="2" t="inlineStr">
        <is>
          <t>Butter</t>
        </is>
      </c>
      <c r="F94" s="3" t="n">
        <v>1000</v>
      </c>
      <c r="G94" s="2" t="inlineStr">
        <is>
          <t>1000</t>
        </is>
      </c>
      <c r="H94" s="2" t="inlineStr">
        <is>
          <t>H12</t>
        </is>
      </c>
    </row>
    <row r="95">
      <c r="A95" s="2" t="inlineStr">
        <is>
          <t>L013</t>
        </is>
      </c>
      <c r="B95" s="2" t="inlineStr">
        <is>
          <t>Croissant</t>
        </is>
      </c>
      <c r="C95" s="2" t="inlineStr">
        <is>
          <t>S132</t>
        </is>
      </c>
      <c r="D95" s="2" t="inlineStr">
        <is>
          <t>'Croissant'!C7,D7</t>
        </is>
      </c>
      <c r="E95" s="2" t="inlineStr">
        <is>
          <t>sugar</t>
        </is>
      </c>
      <c r="F95" s="3" t="n">
        <v>300</v>
      </c>
      <c r="G95" s="2" t="inlineStr">
        <is>
          <t>300</t>
        </is>
      </c>
      <c r="H95" s="2" t="inlineStr">
        <is>
          <t>H12</t>
        </is>
      </c>
    </row>
    <row r="96">
      <c r="A96" s="2" t="inlineStr">
        <is>
          <t>L013</t>
        </is>
      </c>
      <c r="B96" s="2" t="inlineStr">
        <is>
          <t>Croissant</t>
        </is>
      </c>
      <c r="C96" s="2" t="inlineStr">
        <is>
          <t>S132</t>
        </is>
      </c>
      <c r="D96" s="2" t="inlineStr">
        <is>
          <t>'Croissant'!C8,D8</t>
        </is>
      </c>
      <c r="E96" s="2" t="inlineStr">
        <is>
          <t>salt</t>
        </is>
      </c>
      <c r="F96" s="3" t="n">
        <v>30</v>
      </c>
      <c r="G96" s="2" t="inlineStr">
        <is>
          <t>30</t>
        </is>
      </c>
      <c r="H96" s="2" t="inlineStr">
        <is>
          <t>H12</t>
        </is>
      </c>
    </row>
    <row r="97">
      <c r="A97" s="2" t="inlineStr">
        <is>
          <t>L013</t>
        </is>
      </c>
      <c r="B97" s="2" t="inlineStr">
        <is>
          <t>Croissant</t>
        </is>
      </c>
      <c r="C97" s="2" t="inlineStr">
        <is>
          <t>S132</t>
        </is>
      </c>
      <c r="D97" s="2" t="inlineStr">
        <is>
          <t>'Croissant'!C9,D9</t>
        </is>
      </c>
      <c r="E97" s="2" t="inlineStr">
        <is>
          <t>egg</t>
        </is>
      </c>
      <c r="F97" s="3" t="n">
        <v>100</v>
      </c>
      <c r="G97" s="2" t="inlineStr">
        <is>
          <t>100</t>
        </is>
      </c>
      <c r="H97" s="2" t="inlineStr">
        <is>
          <t>H12</t>
        </is>
      </c>
    </row>
    <row r="98">
      <c r="A98" s="2" t="inlineStr">
        <is>
          <t>L013</t>
        </is>
      </c>
      <c r="B98" s="2" t="inlineStr">
        <is>
          <t>Croissant</t>
        </is>
      </c>
      <c r="C98" s="2" t="inlineStr">
        <is>
          <t>S132</t>
        </is>
      </c>
      <c r="D98" s="2" t="inlineStr">
        <is>
          <t>'Croissant'!C10,D10</t>
        </is>
      </c>
      <c r="E98" s="2" t="inlineStr">
        <is>
          <t>improver</t>
        </is>
      </c>
      <c r="F98" s="3" t="n">
        <v>30</v>
      </c>
      <c r="G98" s="2" t="inlineStr">
        <is>
          <t>30</t>
        </is>
      </c>
      <c r="H98" s="2" t="inlineStr">
        <is>
          <t>H12</t>
        </is>
      </c>
    </row>
    <row r="99">
      <c r="A99" s="2" t="inlineStr">
        <is>
          <t>L013</t>
        </is>
      </c>
      <c r="B99" s="2" t="inlineStr">
        <is>
          <t>Croissant</t>
        </is>
      </c>
      <c r="C99" s="2" t="inlineStr">
        <is>
          <t>S132</t>
        </is>
      </c>
      <c r="D99" s="2" t="inlineStr">
        <is>
          <t>'Croissant'!C11,D11</t>
        </is>
      </c>
      <c r="E99" s="2" t="inlineStr">
        <is>
          <t>yeast</t>
        </is>
      </c>
      <c r="F99" s="3" t="n">
        <v>30</v>
      </c>
      <c r="G99" s="2" t="inlineStr">
        <is>
          <t>30</t>
        </is>
      </c>
      <c r="H99" s="2" t="inlineStr">
        <is>
          <t>H12</t>
        </is>
      </c>
    </row>
    <row r="100">
      <c r="A100" s="2" t="inlineStr">
        <is>
          <t>L013</t>
        </is>
      </c>
      <c r="B100" s="2" t="inlineStr">
        <is>
          <t>Croissant</t>
        </is>
      </c>
      <c r="C100" s="2" t="inlineStr">
        <is>
          <t>S132</t>
        </is>
      </c>
      <c r="D100" s="2" t="inlineStr">
        <is>
          <t>'Croissant'!C12,D12</t>
        </is>
      </c>
      <c r="E100" s="2" t="inlineStr">
        <is>
          <t>water</t>
        </is>
      </c>
      <c r="F100" s="3" t="n">
        <v>2000</v>
      </c>
      <c r="G100" s="2" t="inlineStr">
        <is>
          <t>2000</t>
        </is>
      </c>
      <c r="H100" s="2" t="inlineStr">
        <is>
          <t>H12</t>
        </is>
      </c>
    </row>
    <row r="101">
      <c r="A101" s="2" t="inlineStr">
        <is>
          <t>L014</t>
        </is>
      </c>
      <c r="B101" s="2" t="inlineStr">
        <is>
          <t>Croissant new</t>
        </is>
      </c>
      <c r="C101" s="2" t="inlineStr">
        <is>
          <t>S132</t>
        </is>
      </c>
      <c r="D101" s="2" t="inlineStr">
        <is>
          <t>'Croissant new'!C5,F5</t>
        </is>
      </c>
      <c r="E101" s="2" t="inlineStr">
        <is>
          <t>flour</t>
        </is>
      </c>
      <c r="F101" s="3" t="n">
        <v>2500</v>
      </c>
      <c r="G101" s="2" t="inlineStr">
        <is>
          <t>=J5*0.5 [cached: 2500]</t>
        </is>
      </c>
      <c r="H101" s="2" t="inlineStr">
        <is>
          <t>H12</t>
        </is>
      </c>
    </row>
    <row r="102">
      <c r="A102" s="2" t="inlineStr">
        <is>
          <t>L014</t>
        </is>
      </c>
      <c r="B102" s="2" t="inlineStr">
        <is>
          <t>Croissant new</t>
        </is>
      </c>
      <c r="C102" s="2" t="inlineStr">
        <is>
          <t>S132</t>
        </is>
      </c>
      <c r="D102" s="2" t="inlineStr">
        <is>
          <t>'Croissant new'!C6,F6</t>
        </is>
      </c>
      <c r="E102" s="2" t="inlineStr">
        <is>
          <t>Butter</t>
        </is>
      </c>
      <c r="F102" s="3" t="n">
        <v>450</v>
      </c>
      <c r="G102" s="2" t="inlineStr">
        <is>
          <t>=J6*0.5 [cached: 450]</t>
        </is>
      </c>
      <c r="H102" s="2" t="inlineStr">
        <is>
          <t>H12</t>
        </is>
      </c>
    </row>
    <row r="103">
      <c r="A103" s="2" t="inlineStr">
        <is>
          <t>L014</t>
        </is>
      </c>
      <c r="B103" s="2" t="inlineStr">
        <is>
          <t>Croissant new</t>
        </is>
      </c>
      <c r="C103" s="2" t="inlineStr">
        <is>
          <t>S132</t>
        </is>
      </c>
      <c r="D103" s="2" t="inlineStr">
        <is>
          <t>'Croissant new'!C7,F7</t>
        </is>
      </c>
      <c r="E103" s="2" t="inlineStr">
        <is>
          <t>sugar</t>
        </is>
      </c>
      <c r="F103" s="3" t="n">
        <v>600</v>
      </c>
      <c r="G103" s="2" t="inlineStr">
        <is>
          <t>=J7*0.5 [cached: 600]</t>
        </is>
      </c>
      <c r="H103" s="2" t="inlineStr">
        <is>
          <t>H12</t>
        </is>
      </c>
    </row>
    <row r="104">
      <c r="A104" s="2" t="inlineStr">
        <is>
          <t>L014</t>
        </is>
      </c>
      <c r="B104" s="2" t="inlineStr">
        <is>
          <t>Croissant new</t>
        </is>
      </c>
      <c r="C104" s="2" t="inlineStr">
        <is>
          <t>S132</t>
        </is>
      </c>
      <c r="D104" s="2" t="inlineStr">
        <is>
          <t>'Croissant new'!C8,F8</t>
        </is>
      </c>
      <c r="E104" s="2" t="inlineStr">
        <is>
          <t>Milk</t>
        </is>
      </c>
      <c r="F104" s="3" t="n">
        <v>200</v>
      </c>
      <c r="G104" s="2" t="inlineStr">
        <is>
          <t>=J8*0.5 [cached: 200]</t>
        </is>
      </c>
      <c r="H104" s="2" t="inlineStr">
        <is>
          <t>H12</t>
        </is>
      </c>
    </row>
    <row r="105">
      <c r="A105" s="2" t="inlineStr">
        <is>
          <t>L014</t>
        </is>
      </c>
      <c r="B105" s="2" t="inlineStr">
        <is>
          <t>Croissant new</t>
        </is>
      </c>
      <c r="C105" s="2" t="inlineStr">
        <is>
          <t>S132</t>
        </is>
      </c>
      <c r="D105" s="2" t="inlineStr">
        <is>
          <t>'Croissant new'!C9,F9</t>
        </is>
      </c>
      <c r="E105" s="2" t="inlineStr">
        <is>
          <t>egg</t>
        </is>
      </c>
      <c r="F105" s="3" t="n">
        <v>375</v>
      </c>
      <c r="G105" s="2" t="inlineStr">
        <is>
          <t>=J9*0.5 [cached: 375]</t>
        </is>
      </c>
      <c r="H105" s="2" t="inlineStr">
        <is>
          <t>H12</t>
        </is>
      </c>
    </row>
    <row r="106">
      <c r="A106" s="2" t="inlineStr">
        <is>
          <t>L014</t>
        </is>
      </c>
      <c r="B106" s="2" t="inlineStr">
        <is>
          <t>Croissant new</t>
        </is>
      </c>
      <c r="C106" s="2" t="inlineStr">
        <is>
          <t>S132</t>
        </is>
      </c>
      <c r="D106" s="2" t="inlineStr">
        <is>
          <t>'Croissant new'!C10,F10</t>
        </is>
      </c>
      <c r="E106" s="2" t="inlineStr">
        <is>
          <t>salt</t>
        </is>
      </c>
      <c r="F106" s="3" t="n">
        <v>25</v>
      </c>
      <c r="G106" s="2" t="inlineStr">
        <is>
          <t>=J10*0.5 [cached: 25]</t>
        </is>
      </c>
      <c r="H106" s="2" t="inlineStr">
        <is>
          <t>H12</t>
        </is>
      </c>
    </row>
    <row r="107">
      <c r="A107" s="2" t="inlineStr">
        <is>
          <t>L014</t>
        </is>
      </c>
      <c r="B107" s="2" t="inlineStr">
        <is>
          <t>Croissant new</t>
        </is>
      </c>
      <c r="C107" s="2" t="inlineStr">
        <is>
          <t>S132</t>
        </is>
      </c>
      <c r="D107" s="2" t="inlineStr">
        <is>
          <t>'Croissant new'!C11,F11</t>
        </is>
      </c>
      <c r="E107" s="2" t="inlineStr">
        <is>
          <t>improver</t>
        </is>
      </c>
      <c r="F107" s="3" t="n">
        <v>20</v>
      </c>
      <c r="G107" s="2" t="inlineStr">
        <is>
          <t>=J11*0.5 [cached: 20]</t>
        </is>
      </c>
      <c r="H107" s="2" t="inlineStr">
        <is>
          <t>H12</t>
        </is>
      </c>
    </row>
    <row r="108">
      <c r="A108" s="2" t="inlineStr">
        <is>
          <t>L014</t>
        </is>
      </c>
      <c r="B108" s="2" t="inlineStr">
        <is>
          <t>Croissant new</t>
        </is>
      </c>
      <c r="C108" s="2" t="inlineStr">
        <is>
          <t>S132</t>
        </is>
      </c>
      <c r="D108" s="2" t="inlineStr">
        <is>
          <t>'Croissant new'!C12,F12</t>
        </is>
      </c>
      <c r="E108" s="2" t="inlineStr">
        <is>
          <t>yeast</t>
        </is>
      </c>
      <c r="F108" s="3" t="n">
        <v>30</v>
      </c>
      <c r="G108" s="2" t="inlineStr">
        <is>
          <t>=J12*0.5 [cached: 30]</t>
        </is>
      </c>
      <c r="H108" s="2" t="inlineStr">
        <is>
          <t>H12</t>
        </is>
      </c>
    </row>
    <row r="109">
      <c r="A109" s="2" t="inlineStr">
        <is>
          <t>L014</t>
        </is>
      </c>
      <c r="B109" s="2" t="inlineStr">
        <is>
          <t>Croissant new</t>
        </is>
      </c>
      <c r="C109" s="2" t="inlineStr">
        <is>
          <t>S132</t>
        </is>
      </c>
      <c r="D109" s="2" t="inlineStr">
        <is>
          <t>'Croissant new'!C13,F13</t>
        </is>
      </c>
      <c r="E109" s="2" t="inlineStr">
        <is>
          <t>water</t>
        </is>
      </c>
      <c r="F109" s="3" t="n">
        <v>1000</v>
      </c>
      <c r="G109" s="2" t="inlineStr">
        <is>
          <t>=J13*0.5 [cached: 1000]</t>
        </is>
      </c>
      <c r="H109" s="2" t="inlineStr">
        <is>
          <t>H12</t>
        </is>
      </c>
    </row>
    <row r="110">
      <c r="A110" s="2" t="inlineStr">
        <is>
          <t>L014</t>
        </is>
      </c>
      <c r="B110" s="2" t="inlineStr">
        <is>
          <t>Croissant new</t>
        </is>
      </c>
      <c r="C110" s="2" t="inlineStr">
        <is>
          <t>S132</t>
        </is>
      </c>
      <c r="D110" s="2" t="inlineStr">
        <is>
          <t>'Croissant new'!C14,F14</t>
        </is>
      </c>
      <c r="E110" s="2" t="inlineStr">
        <is>
          <t>butter for layers</t>
        </is>
      </c>
      <c r="F110" s="3" t="n">
        <v>600</v>
      </c>
      <c r="G110" s="2" t="inlineStr">
        <is>
          <t>=J14*0.5 [cached: 600]</t>
        </is>
      </c>
      <c r="H110" s="2" t="inlineStr">
        <is>
          <t>H12</t>
        </is>
      </c>
    </row>
    <row r="111">
      <c r="A111" s="2" t="inlineStr">
        <is>
          <t>L015</t>
        </is>
      </c>
      <c r="B111" s="2" t="inlineStr">
        <is>
          <t>Danisa biscuits</t>
        </is>
      </c>
      <c r="C111" s="2" t="inlineStr">
        <is>
          <t>S132</t>
        </is>
      </c>
      <c r="D111" s="2" t="inlineStr">
        <is>
          <t>'Danisa biscuits'!C5,D5</t>
        </is>
      </c>
      <c r="E111" s="2" t="inlineStr">
        <is>
          <t>flour</t>
        </is>
      </c>
      <c r="F111" s="3" t="n">
        <v>18000</v>
      </c>
      <c r="G111" s="2" t="inlineStr">
        <is>
          <t>18000</t>
        </is>
      </c>
      <c r="H111" s="2" t="inlineStr">
        <is>
          <t>H05</t>
        </is>
      </c>
    </row>
    <row r="112">
      <c r="A112" s="2" t="inlineStr">
        <is>
          <t>L015</t>
        </is>
      </c>
      <c r="B112" s="2" t="inlineStr">
        <is>
          <t>Danisa biscuits</t>
        </is>
      </c>
      <c r="C112" s="2" t="inlineStr">
        <is>
          <t>S132</t>
        </is>
      </c>
      <c r="D112" s="2" t="inlineStr">
        <is>
          <t>'Danisa biscuits'!C6,D6</t>
        </is>
      </c>
      <c r="E112" s="2" t="inlineStr">
        <is>
          <t>Butter</t>
        </is>
      </c>
      <c r="F112" s="3" t="n">
        <v>9000</v>
      </c>
      <c r="G112" s="2" t="inlineStr">
        <is>
          <t>9000</t>
        </is>
      </c>
      <c r="H112" s="2" t="inlineStr">
        <is>
          <t>H05</t>
        </is>
      </c>
    </row>
    <row r="113">
      <c r="A113" s="2" t="inlineStr">
        <is>
          <t>L015</t>
        </is>
      </c>
      <c r="B113" s="2" t="inlineStr">
        <is>
          <t>Danisa biscuits</t>
        </is>
      </c>
      <c r="C113" s="2" t="inlineStr">
        <is>
          <t>S132</t>
        </is>
      </c>
      <c r="D113" s="2" t="inlineStr">
        <is>
          <t>'Danisa biscuits'!C7,D7</t>
        </is>
      </c>
      <c r="E113" s="2" t="inlineStr">
        <is>
          <t>sugar</t>
        </is>
      </c>
      <c r="F113" s="3" t="n">
        <v>5000</v>
      </c>
      <c r="G113" s="2" t="inlineStr">
        <is>
          <t>5000</t>
        </is>
      </c>
      <c r="H113" s="2" t="inlineStr">
        <is>
          <t>H05</t>
        </is>
      </c>
    </row>
    <row r="114">
      <c r="A114" s="2" t="inlineStr">
        <is>
          <t>L015</t>
        </is>
      </c>
      <c r="B114" s="2" t="inlineStr">
        <is>
          <t>Danisa biscuits</t>
        </is>
      </c>
      <c r="C114" s="2" t="inlineStr">
        <is>
          <t>S132</t>
        </is>
      </c>
      <c r="D114" s="2" t="inlineStr">
        <is>
          <t>'Danisa biscuits'!C8,D8</t>
        </is>
      </c>
      <c r="E114" s="2" t="inlineStr">
        <is>
          <t>Powdered Milk</t>
        </is>
      </c>
      <c r="F114" s="3" t="n">
        <v>900</v>
      </c>
      <c r="G114" s="2" t="inlineStr">
        <is>
          <t>900</t>
        </is>
      </c>
      <c r="H114" s="2" t="inlineStr">
        <is>
          <t>H05</t>
        </is>
      </c>
    </row>
    <row r="115">
      <c r="A115" s="2" t="inlineStr">
        <is>
          <t>L015</t>
        </is>
      </c>
      <c r="B115" s="2" t="inlineStr">
        <is>
          <t>Danisa biscuits</t>
        </is>
      </c>
      <c r="C115" s="2" t="inlineStr">
        <is>
          <t>S132</t>
        </is>
      </c>
      <c r="D115" s="2" t="inlineStr">
        <is>
          <t>'Danisa biscuits'!C9,D9</t>
        </is>
      </c>
      <c r="E115" s="2" t="inlineStr">
        <is>
          <t>egg</t>
        </is>
      </c>
      <c r="F115" s="3" t="n">
        <v>2500</v>
      </c>
      <c r="G115" s="2" t="inlineStr">
        <is>
          <t>2500</t>
        </is>
      </c>
      <c r="H115" s="2" t="inlineStr">
        <is>
          <t>H05</t>
        </is>
      </c>
    </row>
    <row r="116">
      <c r="A116" s="2" t="inlineStr">
        <is>
          <t>L015</t>
        </is>
      </c>
      <c r="B116" s="2" t="inlineStr">
        <is>
          <t>Danisa biscuits</t>
        </is>
      </c>
      <c r="C116" s="2" t="inlineStr">
        <is>
          <t>S132</t>
        </is>
      </c>
      <c r="D116" s="2" t="inlineStr">
        <is>
          <t>'Danisa biscuits'!C10,D10</t>
        </is>
      </c>
      <c r="E116" s="2" t="inlineStr">
        <is>
          <t>salt</t>
        </is>
      </c>
      <c r="F116" s="3" t="n">
        <v>100</v>
      </c>
      <c r="G116" s="2" t="inlineStr">
        <is>
          <t>100</t>
        </is>
      </c>
      <c r="H116" s="2" t="inlineStr">
        <is>
          <t>H05</t>
        </is>
      </c>
    </row>
    <row r="117">
      <c r="A117" s="2" t="inlineStr">
        <is>
          <t>L015</t>
        </is>
      </c>
      <c r="B117" s="2" t="inlineStr">
        <is>
          <t>Danisa biscuits</t>
        </is>
      </c>
      <c r="C117" s="2" t="inlineStr">
        <is>
          <t>S132</t>
        </is>
      </c>
      <c r="D117" s="2" t="inlineStr">
        <is>
          <t>'Danisa biscuits'!C11,D11</t>
        </is>
      </c>
      <c r="E117" s="2" t="inlineStr">
        <is>
          <t>improver</t>
        </is>
      </c>
      <c r="F117" s="3" t="n">
        <v>40</v>
      </c>
      <c r="G117" s="2" t="inlineStr">
        <is>
          <t>40</t>
        </is>
      </c>
      <c r="H117" s="2" t="inlineStr">
        <is>
          <t>H05</t>
        </is>
      </c>
    </row>
    <row r="118">
      <c r="A118" s="2" t="inlineStr">
        <is>
          <t>L015</t>
        </is>
      </c>
      <c r="B118" s="2" t="inlineStr">
        <is>
          <t>Danisa biscuits</t>
        </is>
      </c>
      <c r="C118" s="2" t="inlineStr">
        <is>
          <t>S132</t>
        </is>
      </c>
      <c r="D118" s="2" t="inlineStr">
        <is>
          <t>'Danisa biscuits'!C12,D12</t>
        </is>
      </c>
      <c r="E118" s="2" t="inlineStr">
        <is>
          <t>EDC</t>
        </is>
      </c>
      <c r="F118" s="3" t="n">
        <v>50</v>
      </c>
      <c r="G118" s="2" t="inlineStr">
        <is>
          <t>50</t>
        </is>
      </c>
      <c r="H118" s="2" t="inlineStr">
        <is>
          <t>H05</t>
        </is>
      </c>
    </row>
    <row r="119">
      <c r="A119" s="2" t="inlineStr">
        <is>
          <t>L016</t>
        </is>
      </c>
      <c r="B119" s="2" t="inlineStr">
        <is>
          <t>Delice</t>
        </is>
      </c>
      <c r="C119" s="2" t="inlineStr">
        <is>
          <t>S132</t>
        </is>
      </c>
      <c r="D119" s="2" t="inlineStr">
        <is>
          <t>'Delice'!C5,D5</t>
        </is>
      </c>
      <c r="E119" s="2" t="inlineStr">
        <is>
          <t>flour</t>
        </is>
      </c>
      <c r="F119" s="3" t="n">
        <v>3000</v>
      </c>
      <c r="G119" s="2" t="inlineStr">
        <is>
          <t>3000</t>
        </is>
      </c>
      <c r="H119" s="2" t="inlineStr">
        <is>
          <t>Retain unique variant; no equivalent operating card selected</t>
        </is>
      </c>
    </row>
    <row r="120">
      <c r="A120" s="2" t="inlineStr">
        <is>
          <t>L016</t>
        </is>
      </c>
      <c r="B120" s="2" t="inlineStr">
        <is>
          <t>Delice</t>
        </is>
      </c>
      <c r="C120" s="2" t="inlineStr">
        <is>
          <t>S132</t>
        </is>
      </c>
      <c r="D120" s="2" t="inlineStr">
        <is>
          <t>'Delice'!C6,D6</t>
        </is>
      </c>
      <c r="E120" s="2" t="inlineStr">
        <is>
          <t>Butter</t>
        </is>
      </c>
      <c r="F120" s="3" t="n">
        <v>500</v>
      </c>
      <c r="G120" s="2" t="inlineStr">
        <is>
          <t>500</t>
        </is>
      </c>
      <c r="H120" s="2" t="inlineStr">
        <is>
          <t>Retain unique variant; no equivalent operating card selected</t>
        </is>
      </c>
    </row>
    <row r="121">
      <c r="A121" s="2" t="inlineStr">
        <is>
          <t>L016</t>
        </is>
      </c>
      <c r="B121" s="2" t="inlineStr">
        <is>
          <t>Delice</t>
        </is>
      </c>
      <c r="C121" s="2" t="inlineStr">
        <is>
          <t>S132</t>
        </is>
      </c>
      <c r="D121" s="2" t="inlineStr">
        <is>
          <t>'Delice'!C7,D7</t>
        </is>
      </c>
      <c r="E121" s="2" t="inlineStr">
        <is>
          <t>sugar</t>
        </is>
      </c>
      <c r="F121" s="3" t="n">
        <v>300</v>
      </c>
      <c r="G121" s="2" t="inlineStr">
        <is>
          <t>300</t>
        </is>
      </c>
      <c r="H121" s="2" t="inlineStr">
        <is>
          <t>Retain unique variant; no equivalent operating card selected</t>
        </is>
      </c>
    </row>
    <row r="122">
      <c r="A122" s="2" t="inlineStr">
        <is>
          <t>L016</t>
        </is>
      </c>
      <c r="B122" s="2" t="inlineStr">
        <is>
          <t>Delice</t>
        </is>
      </c>
      <c r="C122" s="2" t="inlineStr">
        <is>
          <t>S132</t>
        </is>
      </c>
      <c r="D122" s="2" t="inlineStr">
        <is>
          <t>'Delice'!C8,D8</t>
        </is>
      </c>
      <c r="E122" s="2" t="inlineStr">
        <is>
          <t>Milk</t>
        </is>
      </c>
      <c r="F122" s="3" t="n">
        <v>250</v>
      </c>
      <c r="G122" s="2" t="inlineStr">
        <is>
          <t>250</t>
        </is>
      </c>
      <c r="H122" s="2" t="inlineStr">
        <is>
          <t>Retain unique variant; no equivalent operating card selected</t>
        </is>
      </c>
    </row>
    <row r="123">
      <c r="A123" s="2" t="inlineStr">
        <is>
          <t>L016</t>
        </is>
      </c>
      <c r="B123" s="2" t="inlineStr">
        <is>
          <t>Delice</t>
        </is>
      </c>
      <c r="C123" s="2" t="inlineStr">
        <is>
          <t>S132</t>
        </is>
      </c>
      <c r="D123" s="2" t="inlineStr">
        <is>
          <t>'Delice'!C9,D9</t>
        </is>
      </c>
      <c r="E123" s="2" t="inlineStr">
        <is>
          <t>egg</t>
        </is>
      </c>
      <c r="F123" s="3" t="n">
        <v>250</v>
      </c>
      <c r="G123" s="2" t="inlineStr">
        <is>
          <t>250</t>
        </is>
      </c>
      <c r="H123" s="2" t="inlineStr">
        <is>
          <t>Retain unique variant; no equivalent operating card selected</t>
        </is>
      </c>
    </row>
    <row r="124">
      <c r="A124" s="2" t="inlineStr">
        <is>
          <t>L016</t>
        </is>
      </c>
      <c r="B124" s="2" t="inlineStr">
        <is>
          <t>Delice</t>
        </is>
      </c>
      <c r="C124" s="2" t="inlineStr">
        <is>
          <t>S132</t>
        </is>
      </c>
      <c r="D124" s="2" t="inlineStr">
        <is>
          <t>'Delice'!C10,D10</t>
        </is>
      </c>
      <c r="E124" s="2" t="inlineStr">
        <is>
          <t>salt</t>
        </is>
      </c>
      <c r="F124" s="3" t="n">
        <v>35</v>
      </c>
      <c r="G124" s="2" t="inlineStr">
        <is>
          <t>35</t>
        </is>
      </c>
      <c r="H124" s="2" t="inlineStr">
        <is>
          <t>Retain unique variant; no equivalent operating card selected</t>
        </is>
      </c>
    </row>
    <row r="125">
      <c r="A125" s="2" t="inlineStr">
        <is>
          <t>L016</t>
        </is>
      </c>
      <c r="B125" s="2" t="inlineStr">
        <is>
          <t>Delice</t>
        </is>
      </c>
      <c r="C125" s="2" t="inlineStr">
        <is>
          <t>S132</t>
        </is>
      </c>
      <c r="D125" s="2" t="inlineStr">
        <is>
          <t>'Delice'!C11,D11</t>
        </is>
      </c>
      <c r="E125" s="2" t="inlineStr">
        <is>
          <t>improver</t>
        </is>
      </c>
      <c r="F125" s="3" t="n">
        <v>40</v>
      </c>
      <c r="G125" s="2" t="inlineStr">
        <is>
          <t>40</t>
        </is>
      </c>
      <c r="H125" s="2" t="inlineStr">
        <is>
          <t>Retain unique variant; no equivalent operating card selected</t>
        </is>
      </c>
    </row>
    <row r="126">
      <c r="A126" s="2" t="inlineStr">
        <is>
          <t>L016</t>
        </is>
      </c>
      <c r="B126" s="2" t="inlineStr">
        <is>
          <t>Delice</t>
        </is>
      </c>
      <c r="C126" s="2" t="inlineStr">
        <is>
          <t>S132</t>
        </is>
      </c>
      <c r="D126" s="2" t="inlineStr">
        <is>
          <t>'Delice'!C12,D12</t>
        </is>
      </c>
      <c r="E126" s="2" t="inlineStr">
        <is>
          <t>yeast</t>
        </is>
      </c>
      <c r="F126" s="3" t="n">
        <v>30</v>
      </c>
      <c r="G126" s="2" t="inlineStr">
        <is>
          <t>30</t>
        </is>
      </c>
      <c r="H126" s="2" t="inlineStr">
        <is>
          <t>Retain unique variant; no equivalent operating card selected</t>
        </is>
      </c>
    </row>
    <row r="127">
      <c r="A127" s="2" t="inlineStr">
        <is>
          <t>L016</t>
        </is>
      </c>
      <c r="B127" s="2" t="inlineStr">
        <is>
          <t>Delice</t>
        </is>
      </c>
      <c r="C127" s="2" t="inlineStr">
        <is>
          <t>S132</t>
        </is>
      </c>
      <c r="D127" s="2" t="inlineStr">
        <is>
          <t>'Delice'!C13,D13</t>
        </is>
      </c>
      <c r="E127" s="2" t="inlineStr">
        <is>
          <t>water</t>
        </is>
      </c>
      <c r="F127" s="3" t="n">
        <v>1200</v>
      </c>
      <c r="G127" s="2" t="inlineStr">
        <is>
          <t>1200</t>
        </is>
      </c>
      <c r="H127" s="2" t="inlineStr">
        <is>
          <t>Retain unique variant; no equivalent operating card selected</t>
        </is>
      </c>
    </row>
    <row r="128">
      <c r="A128" s="2" t="inlineStr">
        <is>
          <t>L016</t>
        </is>
      </c>
      <c r="B128" s="2" t="inlineStr">
        <is>
          <t>Delice</t>
        </is>
      </c>
      <c r="C128" s="2" t="inlineStr">
        <is>
          <t>S132</t>
        </is>
      </c>
      <c r="D128" s="2" t="inlineStr">
        <is>
          <t>'Delice'!C14,D14</t>
        </is>
      </c>
      <c r="E128" s="2" t="inlineStr">
        <is>
          <t>baking powder</t>
        </is>
      </c>
      <c r="F128" s="3" t="n">
        <v>30</v>
      </c>
      <c r="G128" s="2" t="inlineStr">
        <is>
          <t>30</t>
        </is>
      </c>
      <c r="H128" s="2" t="inlineStr">
        <is>
          <t>Retain unique variant; no equivalent operating card selected</t>
        </is>
      </c>
    </row>
    <row r="129">
      <c r="A129" s="2" t="inlineStr">
        <is>
          <t>L016</t>
        </is>
      </c>
      <c r="B129" s="2" t="inlineStr">
        <is>
          <t>Delice</t>
        </is>
      </c>
      <c r="C129" s="2" t="inlineStr">
        <is>
          <t>S132</t>
        </is>
      </c>
      <c r="D129" s="2" t="inlineStr">
        <is>
          <t>'Delice'!C15,D15</t>
        </is>
      </c>
      <c r="E129" s="2" t="inlineStr">
        <is>
          <t>Chocolate</t>
        </is>
      </c>
      <c r="F129" s="3" t="n">
        <v>700</v>
      </c>
      <c r="G129" s="2" t="inlineStr">
        <is>
          <t>700</t>
        </is>
      </c>
      <c r="H129" s="2" t="inlineStr">
        <is>
          <t>Retain unique variant; no equivalent operating card selected</t>
        </is>
      </c>
    </row>
    <row r="130">
      <c r="A130" s="2" t="inlineStr">
        <is>
          <t>L016</t>
        </is>
      </c>
      <c r="B130" s="2" t="inlineStr">
        <is>
          <t>Delice</t>
        </is>
      </c>
      <c r="C130" s="2" t="inlineStr">
        <is>
          <t>S132</t>
        </is>
      </c>
      <c r="D130" s="2" t="inlineStr">
        <is>
          <t>'Delice'!C16,D16</t>
        </is>
      </c>
      <c r="E130" s="2" t="inlineStr">
        <is>
          <t>honey</t>
        </is>
      </c>
      <c r="F130" s="3" t="n">
        <v>400</v>
      </c>
      <c r="G130" s="2" t="inlineStr">
        <is>
          <t>400</t>
        </is>
      </c>
      <c r="H130" s="2" t="inlineStr">
        <is>
          <t>Retain unique variant; no equivalent operating card selected</t>
        </is>
      </c>
    </row>
    <row r="131">
      <c r="A131" s="2" t="inlineStr">
        <is>
          <t>L016</t>
        </is>
      </c>
      <c r="B131" s="2" t="inlineStr">
        <is>
          <t>Delice</t>
        </is>
      </c>
      <c r="C131" s="2" t="inlineStr">
        <is>
          <t>S132</t>
        </is>
      </c>
      <c r="D131" s="2" t="inlineStr">
        <is>
          <t>'Delice'!C17,D17</t>
        </is>
      </c>
      <c r="E131" s="2" t="inlineStr">
        <is>
          <t>EDC</t>
        </is>
      </c>
      <c r="F131" s="3" t="n">
        <v>50</v>
      </c>
      <c r="G131" s="2" t="inlineStr">
        <is>
          <t>50</t>
        </is>
      </c>
      <c r="H131" s="2" t="inlineStr">
        <is>
          <t>Retain unique variant; no equivalent operating card selected</t>
        </is>
      </c>
    </row>
    <row r="132">
      <c r="A132" s="2" t="inlineStr">
        <is>
          <t>L017</t>
        </is>
      </c>
      <c r="B132" s="2" t="inlineStr">
        <is>
          <t>Delice</t>
        </is>
      </c>
      <c r="C132" s="2" t="inlineStr">
        <is>
          <t>S132</t>
        </is>
      </c>
      <c r="D132" s="2" t="inlineStr">
        <is>
          <t>'Delice'!C5,H5</t>
        </is>
      </c>
      <c r="E132" s="2" t="inlineStr">
        <is>
          <t>flour</t>
        </is>
      </c>
      <c r="F132" s="3" t="n">
        <v>2000</v>
      </c>
      <c r="G132" s="2" t="inlineStr">
        <is>
          <t>2000</t>
        </is>
      </c>
      <c r="H132" s="2" t="inlineStr">
        <is>
          <t>Retain unique variant; no equivalent operating card selected</t>
        </is>
      </c>
    </row>
    <row r="133">
      <c r="A133" s="2" t="inlineStr">
        <is>
          <t>L017</t>
        </is>
      </c>
      <c r="B133" s="2" t="inlineStr">
        <is>
          <t>Delice</t>
        </is>
      </c>
      <c r="C133" s="2" t="inlineStr">
        <is>
          <t>S132</t>
        </is>
      </c>
      <c r="D133" s="2" t="inlineStr">
        <is>
          <t>'Delice'!C6,H6</t>
        </is>
      </c>
      <c r="E133" s="2" t="inlineStr">
        <is>
          <t>Butter</t>
        </is>
      </c>
      <c r="F133" s="3" t="n">
        <v>1000</v>
      </c>
      <c r="G133" s="2" t="inlineStr">
        <is>
          <t>1000</t>
        </is>
      </c>
      <c r="H133" s="2" t="inlineStr">
        <is>
          <t>Retain unique variant; no equivalent operating card selected</t>
        </is>
      </c>
    </row>
    <row r="134">
      <c r="A134" s="2" t="inlineStr">
        <is>
          <t>L017</t>
        </is>
      </c>
      <c r="B134" s="2" t="inlineStr">
        <is>
          <t>Delice</t>
        </is>
      </c>
      <c r="C134" s="2" t="inlineStr">
        <is>
          <t>S132</t>
        </is>
      </c>
      <c r="D134" s="2" t="inlineStr">
        <is>
          <t>'Delice'!C7,H7</t>
        </is>
      </c>
      <c r="E134" s="2" t="inlineStr">
        <is>
          <t>sugar</t>
        </is>
      </c>
      <c r="F134" s="3" t="n">
        <v>1000</v>
      </c>
      <c r="G134" s="2" t="inlineStr">
        <is>
          <t>1000</t>
        </is>
      </c>
      <c r="H134" s="2" t="inlineStr">
        <is>
          <t>Retain unique variant; no equivalent operating card selected</t>
        </is>
      </c>
    </row>
    <row r="135">
      <c r="A135" s="2" t="inlineStr">
        <is>
          <t>L017</t>
        </is>
      </c>
      <c r="B135" s="2" t="inlineStr">
        <is>
          <t>Delice</t>
        </is>
      </c>
      <c r="C135" s="2" t="inlineStr">
        <is>
          <t>S132</t>
        </is>
      </c>
      <c r="D135" s="2" t="inlineStr">
        <is>
          <t>'Delice'!C8,H8</t>
        </is>
      </c>
      <c r="E135" s="2" t="inlineStr">
        <is>
          <t>Milk</t>
        </is>
      </c>
      <c r="F135" s="3" t="n">
        <v>750</v>
      </c>
      <c r="G135" s="2" t="inlineStr">
        <is>
          <t>750</t>
        </is>
      </c>
      <c r="H135" s="2" t="inlineStr">
        <is>
          <t>Retain unique variant; no equivalent operating card selected</t>
        </is>
      </c>
    </row>
    <row r="136">
      <c r="A136" s="2" t="inlineStr">
        <is>
          <t>L017</t>
        </is>
      </c>
      <c r="B136" s="2" t="inlineStr">
        <is>
          <t>Delice</t>
        </is>
      </c>
      <c r="C136" s="2" t="inlineStr">
        <is>
          <t>S132</t>
        </is>
      </c>
      <c r="D136" s="2" t="inlineStr">
        <is>
          <t>'Delice'!C9,H9</t>
        </is>
      </c>
      <c r="E136" s="2" t="inlineStr">
        <is>
          <t>egg</t>
        </is>
      </c>
      <c r="F136" s="3" t="n">
        <v>750</v>
      </c>
      <c r="G136" s="2" t="inlineStr">
        <is>
          <t>750</t>
        </is>
      </c>
      <c r="H136" s="2" t="inlineStr">
        <is>
          <t>Retain unique variant; no equivalent operating card selected</t>
        </is>
      </c>
    </row>
    <row r="137">
      <c r="A137" s="2" t="inlineStr">
        <is>
          <t>L017</t>
        </is>
      </c>
      <c r="B137" s="2" t="inlineStr">
        <is>
          <t>Delice</t>
        </is>
      </c>
      <c r="C137" s="2" t="inlineStr">
        <is>
          <t>S132</t>
        </is>
      </c>
      <c r="D137" s="2" t="inlineStr">
        <is>
          <t>'Delice'!C10,H10</t>
        </is>
      </c>
      <c r="E137" s="2" t="inlineStr">
        <is>
          <t>salt</t>
        </is>
      </c>
      <c r="F137" s="3" t="n">
        <v>120</v>
      </c>
      <c r="G137" s="2" t="inlineStr">
        <is>
          <t>120</t>
        </is>
      </c>
      <c r="H137" s="2" t="inlineStr">
        <is>
          <t>Retain unique variant; no equivalent operating card selected</t>
        </is>
      </c>
    </row>
    <row r="138">
      <c r="A138" s="2" t="inlineStr">
        <is>
          <t>L017</t>
        </is>
      </c>
      <c r="B138" s="2" t="inlineStr">
        <is>
          <t>Delice</t>
        </is>
      </c>
      <c r="C138" s="2" t="inlineStr">
        <is>
          <t>S132</t>
        </is>
      </c>
      <c r="D138" s="2" t="inlineStr">
        <is>
          <t>'Delice'!C11,H11</t>
        </is>
      </c>
      <c r="E138" s="2" t="inlineStr">
        <is>
          <t>improver</t>
        </is>
      </c>
      <c r="F138" s="3" t="n">
        <v>120</v>
      </c>
      <c r="G138" s="2" t="inlineStr">
        <is>
          <t>120</t>
        </is>
      </c>
      <c r="H138" s="2" t="inlineStr">
        <is>
          <t>Retain unique variant; no equivalent operating card selected</t>
        </is>
      </c>
    </row>
    <row r="139">
      <c r="A139" s="2" t="inlineStr">
        <is>
          <t>L017</t>
        </is>
      </c>
      <c r="B139" s="2" t="inlineStr">
        <is>
          <t>Delice</t>
        </is>
      </c>
      <c r="C139" s="2" t="inlineStr">
        <is>
          <t>S132</t>
        </is>
      </c>
      <c r="D139" s="2" t="inlineStr">
        <is>
          <t>'Delice'!C12,H12</t>
        </is>
      </c>
      <c r="E139" s="2" t="inlineStr">
        <is>
          <t>yeast</t>
        </is>
      </c>
      <c r="F139" s="3" t="n">
        <v>60</v>
      </c>
      <c r="G139" s="2" t="inlineStr">
        <is>
          <t>60</t>
        </is>
      </c>
      <c r="H139" s="2" t="inlineStr">
        <is>
          <t>Retain unique variant; no equivalent operating card selected</t>
        </is>
      </c>
    </row>
    <row r="140">
      <c r="A140" s="2" t="inlineStr">
        <is>
          <t>L017</t>
        </is>
      </c>
      <c r="B140" s="2" t="inlineStr">
        <is>
          <t>Delice</t>
        </is>
      </c>
      <c r="C140" s="2" t="inlineStr">
        <is>
          <t>S132</t>
        </is>
      </c>
      <c r="D140" s="2" t="inlineStr">
        <is>
          <t>'Delice'!C13,H13</t>
        </is>
      </c>
      <c r="E140" s="2" t="inlineStr">
        <is>
          <t>water</t>
        </is>
      </c>
      <c r="F140" s="3" t="n">
        <v>2500</v>
      </c>
      <c r="G140" s="2" t="inlineStr">
        <is>
          <t>2500</t>
        </is>
      </c>
      <c r="H140" s="2" t="inlineStr">
        <is>
          <t>Retain unique variant; no equivalent operating card selected</t>
        </is>
      </c>
    </row>
    <row r="141">
      <c r="A141" s="2" t="inlineStr">
        <is>
          <t>L017</t>
        </is>
      </c>
      <c r="B141" s="2" t="inlineStr">
        <is>
          <t>Delice</t>
        </is>
      </c>
      <c r="C141" s="2" t="inlineStr">
        <is>
          <t>S132</t>
        </is>
      </c>
      <c r="D141" s="2" t="inlineStr">
        <is>
          <t>'Delice'!C14,H14</t>
        </is>
      </c>
      <c r="E141" s="2" t="inlineStr">
        <is>
          <t>baking powder</t>
        </is>
      </c>
      <c r="F141" s="3" t="n">
        <v>90</v>
      </c>
      <c r="G141" s="2" t="inlineStr">
        <is>
          <t>90</t>
        </is>
      </c>
      <c r="H141" s="2" t="inlineStr">
        <is>
          <t>Retain unique variant; no equivalent operating card selected</t>
        </is>
      </c>
    </row>
    <row r="142">
      <c r="A142" s="2" t="inlineStr">
        <is>
          <t>L017</t>
        </is>
      </c>
      <c r="B142" s="2" t="inlineStr">
        <is>
          <t>Delice</t>
        </is>
      </c>
      <c r="C142" s="2" t="inlineStr">
        <is>
          <t>S132</t>
        </is>
      </c>
      <c r="D142" s="2" t="inlineStr">
        <is>
          <t>'Delice'!C15,H15</t>
        </is>
      </c>
      <c r="E142" s="2" t="inlineStr">
        <is>
          <t>Chocolate</t>
        </is>
      </c>
      <c r="F142" s="3" t="n">
        <v>1000</v>
      </c>
      <c r="G142" s="2" t="inlineStr">
        <is>
          <t>1000</t>
        </is>
      </c>
      <c r="H142" s="2" t="inlineStr">
        <is>
          <t>Retain unique variant; no equivalent operating card selected</t>
        </is>
      </c>
    </row>
    <row r="143">
      <c r="A143" s="2" t="inlineStr">
        <is>
          <t>L017</t>
        </is>
      </c>
      <c r="B143" s="2" t="inlineStr">
        <is>
          <t>Delice</t>
        </is>
      </c>
      <c r="C143" s="2" t="inlineStr">
        <is>
          <t>S132</t>
        </is>
      </c>
      <c r="D143" s="2" t="inlineStr">
        <is>
          <t>'Delice'!C17,H17</t>
        </is>
      </c>
      <c r="E143" s="2" t="inlineStr">
        <is>
          <t>EDC</t>
        </is>
      </c>
      <c r="F143" s="3" t="n">
        <v>100</v>
      </c>
      <c r="G143" s="2" t="inlineStr">
        <is>
          <t>100</t>
        </is>
      </c>
      <c r="H143" s="2" t="inlineStr">
        <is>
          <t>Retain unique variant; no equivalent operating card selected</t>
        </is>
      </c>
    </row>
    <row r="144">
      <c r="A144" s="2" t="inlineStr">
        <is>
          <t>L018</t>
        </is>
      </c>
      <c r="B144" s="2" t="inlineStr">
        <is>
          <t>Donuts</t>
        </is>
      </c>
      <c r="C144" s="2" t="inlineStr">
        <is>
          <t>S132</t>
        </is>
      </c>
      <c r="D144" s="2" t="inlineStr">
        <is>
          <t>'Donuts'!C5,D5</t>
        </is>
      </c>
      <c r="E144" s="2" t="inlineStr">
        <is>
          <t>flour</t>
        </is>
      </c>
      <c r="F144" s="3" t="n">
        <v>12000</v>
      </c>
      <c r="G144" s="2" t="inlineStr">
        <is>
          <t>12000</t>
        </is>
      </c>
      <c r="H144" s="2" t="inlineStr">
        <is>
          <t>T01 for cake / O-P04 for yeast</t>
        </is>
      </c>
    </row>
    <row r="145">
      <c r="A145" s="2" t="inlineStr">
        <is>
          <t>L018</t>
        </is>
      </c>
      <c r="B145" s="2" t="inlineStr">
        <is>
          <t>Donuts</t>
        </is>
      </c>
      <c r="C145" s="2" t="inlineStr">
        <is>
          <t>S132</t>
        </is>
      </c>
      <c r="D145" s="2" t="inlineStr">
        <is>
          <t>'Donuts'!C6,D6</t>
        </is>
      </c>
      <c r="E145" s="2" t="inlineStr">
        <is>
          <t>baking powder</t>
        </is>
      </c>
      <c r="F145" s="3" t="n">
        <v>190</v>
      </c>
      <c r="G145" s="2" t="inlineStr">
        <is>
          <t>190</t>
        </is>
      </c>
      <c r="H145" s="2" t="inlineStr">
        <is>
          <t>T01 for cake / O-P04 for yeast</t>
        </is>
      </c>
    </row>
    <row r="146">
      <c r="A146" s="2" t="inlineStr">
        <is>
          <t>L018</t>
        </is>
      </c>
      <c r="B146" s="2" t="inlineStr">
        <is>
          <t>Donuts</t>
        </is>
      </c>
      <c r="C146" s="2" t="inlineStr">
        <is>
          <t>S132</t>
        </is>
      </c>
      <c r="D146" s="2" t="inlineStr">
        <is>
          <t>'Donuts'!C7,D7</t>
        </is>
      </c>
      <c r="E146" s="2" t="inlineStr">
        <is>
          <t>milk</t>
        </is>
      </c>
      <c r="F146" s="3" t="n">
        <v>500</v>
      </c>
      <c r="G146" s="2" t="inlineStr">
        <is>
          <t>500</t>
        </is>
      </c>
      <c r="H146" s="2" t="inlineStr">
        <is>
          <t>T01 for cake / O-P04 for yeast</t>
        </is>
      </c>
    </row>
    <row r="147">
      <c r="A147" s="2" t="inlineStr">
        <is>
          <t>L018</t>
        </is>
      </c>
      <c r="B147" s="2" t="inlineStr">
        <is>
          <t>Donuts</t>
        </is>
      </c>
      <c r="C147" s="2" t="inlineStr">
        <is>
          <t>S132</t>
        </is>
      </c>
      <c r="D147" s="2" t="inlineStr">
        <is>
          <t>'Donuts'!C8,D8</t>
        </is>
      </c>
      <c r="E147" s="2" t="inlineStr">
        <is>
          <t>salt</t>
        </is>
      </c>
      <c r="F147" s="3" t="n">
        <v>120</v>
      </c>
      <c r="G147" s="2" t="inlineStr">
        <is>
          <t>120</t>
        </is>
      </c>
      <c r="H147" s="2" t="inlineStr">
        <is>
          <t>T01 for cake / O-P04 for yeast</t>
        </is>
      </c>
    </row>
    <row r="148">
      <c r="A148" s="2" t="inlineStr">
        <is>
          <t>L018</t>
        </is>
      </c>
      <c r="B148" s="2" t="inlineStr">
        <is>
          <t>Donuts</t>
        </is>
      </c>
      <c r="C148" s="2" t="inlineStr">
        <is>
          <t>S132</t>
        </is>
      </c>
      <c r="D148" s="2" t="inlineStr">
        <is>
          <t>'Donuts'!C9,D9</t>
        </is>
      </c>
      <c r="E148" s="2" t="inlineStr">
        <is>
          <t>Sugar</t>
        </is>
      </c>
      <c r="F148" s="3" t="n">
        <v>1200</v>
      </c>
      <c r="G148" s="2" t="inlineStr">
        <is>
          <t>1200</t>
        </is>
      </c>
      <c r="H148" s="2" t="inlineStr">
        <is>
          <t>T01 for cake / O-P04 for yeast</t>
        </is>
      </c>
    </row>
    <row r="149">
      <c r="A149" s="2" t="inlineStr">
        <is>
          <t>L018</t>
        </is>
      </c>
      <c r="B149" s="2" t="inlineStr">
        <is>
          <t>Donuts</t>
        </is>
      </c>
      <c r="C149" s="2" t="inlineStr">
        <is>
          <t>S132</t>
        </is>
      </c>
      <c r="D149" s="2" t="inlineStr">
        <is>
          <t>'Donuts'!C10,D10</t>
        </is>
      </c>
      <c r="E149" s="2" t="inlineStr">
        <is>
          <t>Improver</t>
        </is>
      </c>
      <c r="F149" s="3" t="n">
        <v>90</v>
      </c>
      <c r="G149" s="2" t="inlineStr">
        <is>
          <t>90</t>
        </is>
      </c>
      <c r="H149" s="2" t="inlineStr">
        <is>
          <t>T01 for cake / O-P04 for yeast</t>
        </is>
      </c>
    </row>
    <row r="150">
      <c r="A150" s="2" t="inlineStr">
        <is>
          <t>L018</t>
        </is>
      </c>
      <c r="B150" s="2" t="inlineStr">
        <is>
          <t>Donuts</t>
        </is>
      </c>
      <c r="C150" s="2" t="inlineStr">
        <is>
          <t>S132</t>
        </is>
      </c>
      <c r="D150" s="2" t="inlineStr">
        <is>
          <t>'Donuts'!C11,D11</t>
        </is>
      </c>
      <c r="E150" s="2" t="inlineStr">
        <is>
          <t>eggs</t>
        </is>
      </c>
      <c r="F150" s="3" t="n">
        <v>1000</v>
      </c>
      <c r="G150" s="2" t="inlineStr">
        <is>
          <t>1000</t>
        </is>
      </c>
      <c r="H150" s="2" t="inlineStr">
        <is>
          <t>T01 for cake / O-P04 for yeast</t>
        </is>
      </c>
    </row>
    <row r="151">
      <c r="A151" s="2" t="inlineStr">
        <is>
          <t>L018</t>
        </is>
      </c>
      <c r="B151" s="2" t="inlineStr">
        <is>
          <t>Donuts</t>
        </is>
      </c>
      <c r="C151" s="2" t="inlineStr">
        <is>
          <t>S132</t>
        </is>
      </c>
      <c r="D151" s="2" t="inlineStr">
        <is>
          <t>'Donuts'!C12,D12</t>
        </is>
      </c>
      <c r="E151" s="2" t="inlineStr">
        <is>
          <t>water</t>
        </is>
      </c>
      <c r="F151" s="3" t="n">
        <v>7350</v>
      </c>
      <c r="G151" s="2" t="inlineStr">
        <is>
          <t>7350</t>
        </is>
      </c>
      <c r="H151" s="2" t="inlineStr">
        <is>
          <t>T01 for cake / O-P04 for yeast</t>
        </is>
      </c>
    </row>
    <row r="152">
      <c r="A152" s="2" t="inlineStr">
        <is>
          <t>L018</t>
        </is>
      </c>
      <c r="B152" s="2" t="inlineStr">
        <is>
          <t>Donuts</t>
        </is>
      </c>
      <c r="C152" s="2" t="inlineStr">
        <is>
          <t>S132</t>
        </is>
      </c>
      <c r="D152" s="2" t="inlineStr">
        <is>
          <t>'Donuts'!C13,D13</t>
        </is>
      </c>
      <c r="E152" s="2" t="inlineStr">
        <is>
          <t>oil</t>
        </is>
      </c>
      <c r="F152" s="3" t="n">
        <v>5000</v>
      </c>
      <c r="G152" s="2" t="inlineStr">
        <is>
          <t>5000</t>
        </is>
      </c>
      <c r="H152" s="2" t="inlineStr">
        <is>
          <t>T01 for cake / O-P04 for yeast</t>
        </is>
      </c>
    </row>
    <row r="153">
      <c r="A153" s="2" t="inlineStr">
        <is>
          <t>L019</t>
        </is>
      </c>
      <c r="B153" s="2" t="inlineStr">
        <is>
          <t>Fish Pie</t>
        </is>
      </c>
      <c r="C153" s="2" t="inlineStr">
        <is>
          <t>S132</t>
        </is>
      </c>
      <c r="D153" s="2" t="inlineStr">
        <is>
          <t>'Fish Pie'!C5,D5</t>
        </is>
      </c>
      <c r="E153" s="2" t="inlineStr">
        <is>
          <t>flour</t>
        </is>
      </c>
      <c r="F153" s="3" t="n">
        <v>3000</v>
      </c>
      <c r="G153" s="2" t="inlineStr">
        <is>
          <t>3000</t>
        </is>
      </c>
      <c r="H153" s="2" t="inlineStr">
        <is>
          <t>O-P06 / O-P09; filling differs</t>
        </is>
      </c>
    </row>
    <row r="154">
      <c r="A154" s="2" t="inlineStr">
        <is>
          <t>L019</t>
        </is>
      </c>
      <c r="B154" s="2" t="inlineStr">
        <is>
          <t>Fish Pie</t>
        </is>
      </c>
      <c r="C154" s="2" t="inlineStr">
        <is>
          <t>S132</t>
        </is>
      </c>
      <c r="D154" s="2" t="inlineStr">
        <is>
          <t>'Fish Pie'!C6,D6</t>
        </is>
      </c>
      <c r="E154" s="2" t="inlineStr">
        <is>
          <t>baking powder</t>
        </is>
      </c>
      <c r="F154" s="3" t="n">
        <v>50</v>
      </c>
      <c r="G154" s="2" t="inlineStr">
        <is>
          <t>50</t>
        </is>
      </c>
      <c r="H154" s="2" t="inlineStr">
        <is>
          <t>O-P06 / O-P09; filling differs</t>
        </is>
      </c>
    </row>
    <row r="155">
      <c r="A155" s="2" t="inlineStr">
        <is>
          <t>L019</t>
        </is>
      </c>
      <c r="B155" s="2" t="inlineStr">
        <is>
          <t>Fish Pie</t>
        </is>
      </c>
      <c r="C155" s="2" t="inlineStr">
        <is>
          <t>S132</t>
        </is>
      </c>
      <c r="D155" s="2" t="inlineStr">
        <is>
          <t>'Fish Pie'!C7,D7</t>
        </is>
      </c>
      <c r="E155" s="2" t="inlineStr">
        <is>
          <t>Butter</t>
        </is>
      </c>
      <c r="F155" s="3" t="n">
        <v>1200</v>
      </c>
      <c r="G155" s="2" t="inlineStr">
        <is>
          <t>1200</t>
        </is>
      </c>
      <c r="H155" s="2" t="inlineStr">
        <is>
          <t>O-P06 / O-P09; filling differs</t>
        </is>
      </c>
    </row>
    <row r="156">
      <c r="A156" s="2" t="inlineStr">
        <is>
          <t>L019</t>
        </is>
      </c>
      <c r="B156" s="2" t="inlineStr">
        <is>
          <t>Fish Pie</t>
        </is>
      </c>
      <c r="C156" s="2" t="inlineStr">
        <is>
          <t>S132</t>
        </is>
      </c>
      <c r="D156" s="2" t="inlineStr">
        <is>
          <t>'Fish Pie'!C8,D8</t>
        </is>
      </c>
      <c r="E156" s="2" t="inlineStr">
        <is>
          <t>Improver</t>
        </is>
      </c>
      <c r="F156" s="3" t="n">
        <v>40</v>
      </c>
      <c r="G156" s="2" t="inlineStr">
        <is>
          <t>40</t>
        </is>
      </c>
      <c r="H156" s="2" t="inlineStr">
        <is>
          <t>O-P06 / O-P09; filling differs</t>
        </is>
      </c>
    </row>
    <row r="157">
      <c r="A157" s="2" t="inlineStr">
        <is>
          <t>L019</t>
        </is>
      </c>
      <c r="B157" s="2" t="inlineStr">
        <is>
          <t>Fish Pie</t>
        </is>
      </c>
      <c r="C157" s="2" t="inlineStr">
        <is>
          <t>S132</t>
        </is>
      </c>
      <c r="D157" s="2" t="inlineStr">
        <is>
          <t>'Fish Pie'!C9,D9</t>
        </is>
      </c>
      <c r="E157" s="2" t="inlineStr">
        <is>
          <t>fish</t>
        </is>
      </c>
      <c r="F157" s="3" t="n">
        <v>400</v>
      </c>
      <c r="G157" s="2" t="inlineStr">
        <is>
          <t>400</t>
        </is>
      </c>
      <c r="H157" s="2" t="inlineStr">
        <is>
          <t>O-P06 / O-P09; filling differs</t>
        </is>
      </c>
    </row>
    <row r="158">
      <c r="A158" s="2" t="inlineStr">
        <is>
          <t>L019</t>
        </is>
      </c>
      <c r="B158" s="2" t="inlineStr">
        <is>
          <t>Fish Pie</t>
        </is>
      </c>
      <c r="C158" s="2" t="inlineStr">
        <is>
          <t>S132</t>
        </is>
      </c>
      <c r="D158" s="2" t="inlineStr">
        <is>
          <t>'Fish Pie'!C10,D10</t>
        </is>
      </c>
      <c r="E158" s="2" t="inlineStr">
        <is>
          <t>carrots</t>
        </is>
      </c>
      <c r="F158" s="3" t="n">
        <v>200</v>
      </c>
      <c r="G158" s="2" t="inlineStr">
        <is>
          <t>200</t>
        </is>
      </c>
      <c r="H158" s="2" t="inlineStr">
        <is>
          <t>O-P06 / O-P09; filling differs</t>
        </is>
      </c>
    </row>
    <row r="159">
      <c r="A159" s="2" t="inlineStr">
        <is>
          <t>L019</t>
        </is>
      </c>
      <c r="B159" s="2" t="inlineStr">
        <is>
          <t>Fish Pie</t>
        </is>
      </c>
      <c r="C159" s="2" t="inlineStr">
        <is>
          <t>S132</t>
        </is>
      </c>
      <c r="D159" s="2" t="inlineStr">
        <is>
          <t>'Fish Pie'!C11,D11</t>
        </is>
      </c>
      <c r="E159" s="2" t="inlineStr">
        <is>
          <t>Green beans</t>
        </is>
      </c>
      <c r="F159" s="3" t="n">
        <v>100</v>
      </c>
      <c r="G159" s="2" t="inlineStr">
        <is>
          <t>100</t>
        </is>
      </c>
      <c r="H159" s="2" t="inlineStr">
        <is>
          <t>O-P06 / O-P09; filling differs</t>
        </is>
      </c>
    </row>
    <row r="160">
      <c r="A160" s="2" t="inlineStr">
        <is>
          <t>L019</t>
        </is>
      </c>
      <c r="B160" s="2" t="inlineStr">
        <is>
          <t>Fish Pie</t>
        </is>
      </c>
      <c r="C160" s="2" t="inlineStr">
        <is>
          <t>S132</t>
        </is>
      </c>
      <c r="D160" s="2" t="inlineStr">
        <is>
          <t>'Fish Pie'!C12,D12</t>
        </is>
      </c>
      <c r="E160" s="2" t="inlineStr">
        <is>
          <t>peppers</t>
        </is>
      </c>
      <c r="F160" s="3" t="n">
        <v>10</v>
      </c>
      <c r="G160" s="2" t="inlineStr">
        <is>
          <t>10</t>
        </is>
      </c>
      <c r="H160" s="2" t="inlineStr">
        <is>
          <t>O-P06 / O-P09; filling differs</t>
        </is>
      </c>
    </row>
    <row r="161">
      <c r="A161" s="2" t="inlineStr">
        <is>
          <t>L019</t>
        </is>
      </c>
      <c r="B161" s="2" t="inlineStr">
        <is>
          <t>Fish Pie</t>
        </is>
      </c>
      <c r="C161" s="2" t="inlineStr">
        <is>
          <t>S132</t>
        </is>
      </c>
      <c r="D161" s="2" t="inlineStr">
        <is>
          <t>'Fish Pie'!C13,D13</t>
        </is>
      </c>
      <c r="E161" s="2" t="inlineStr">
        <is>
          <t>onions</t>
        </is>
      </c>
      <c r="F161" s="3" t="n">
        <v>100</v>
      </c>
      <c r="G161" s="2" t="inlineStr">
        <is>
          <t>100</t>
        </is>
      </c>
      <c r="H161" s="2" t="inlineStr">
        <is>
          <t>O-P06 / O-P09; filling differs</t>
        </is>
      </c>
    </row>
    <row r="162">
      <c r="A162" s="2" t="inlineStr">
        <is>
          <t>L019</t>
        </is>
      </c>
      <c r="B162" s="2" t="inlineStr">
        <is>
          <t>Fish Pie</t>
        </is>
      </c>
      <c r="C162" s="2" t="inlineStr">
        <is>
          <t>S132</t>
        </is>
      </c>
      <c r="D162" s="2" t="inlineStr">
        <is>
          <t>'Fish Pie'!C14,D14</t>
        </is>
      </c>
      <c r="E162" s="2" t="inlineStr">
        <is>
          <t>irish</t>
        </is>
      </c>
      <c r="F162" s="3" t="n">
        <v>300</v>
      </c>
      <c r="G162" s="2" t="inlineStr">
        <is>
          <t>300</t>
        </is>
      </c>
      <c r="H162" s="2" t="inlineStr">
        <is>
          <t>O-P06 / O-P09; filling differs</t>
        </is>
      </c>
    </row>
    <row r="163">
      <c r="A163" s="2" t="inlineStr">
        <is>
          <t>L019</t>
        </is>
      </c>
      <c r="B163" s="2" t="inlineStr">
        <is>
          <t>Fish Pie</t>
        </is>
      </c>
      <c r="C163" s="2" t="inlineStr">
        <is>
          <t>S132</t>
        </is>
      </c>
      <c r="D163" s="2" t="inlineStr">
        <is>
          <t>'Fish Pie'!C15,D15</t>
        </is>
      </c>
      <c r="E163" s="2" t="inlineStr">
        <is>
          <t>oil</t>
        </is>
      </c>
      <c r="F163" s="3" t="n">
        <v>100</v>
      </c>
      <c r="G163" s="2" t="inlineStr">
        <is>
          <t>100</t>
        </is>
      </c>
      <c r="H163" s="2" t="inlineStr">
        <is>
          <t>O-P06 / O-P09; filling differs</t>
        </is>
      </c>
    </row>
    <row r="164">
      <c r="A164" s="2" t="inlineStr">
        <is>
          <t>L019</t>
        </is>
      </c>
      <c r="B164" s="2" t="inlineStr">
        <is>
          <t>Fish Pie</t>
        </is>
      </c>
      <c r="C164" s="2" t="inlineStr">
        <is>
          <t>S132</t>
        </is>
      </c>
      <c r="D164" s="2" t="inlineStr">
        <is>
          <t>'Fish Pie'!C16,D16</t>
        </is>
      </c>
      <c r="E164" s="2" t="inlineStr">
        <is>
          <t>cabbage</t>
        </is>
      </c>
      <c r="F164" s="3" t="n">
        <v>200</v>
      </c>
      <c r="G164" s="2" t="inlineStr">
        <is>
          <t>200</t>
        </is>
      </c>
      <c r="H164" s="2" t="inlineStr">
        <is>
          <t>O-P06 / O-P09; filling differs</t>
        </is>
      </c>
    </row>
    <row r="165">
      <c r="A165" s="2" t="inlineStr">
        <is>
          <t>L020</t>
        </is>
      </c>
      <c r="B165" s="2" t="inlineStr">
        <is>
          <t>Fish Pie</t>
        </is>
      </c>
      <c r="C165" s="2" t="inlineStr">
        <is>
          <t>S132</t>
        </is>
      </c>
      <c r="D165" s="2" t="inlineStr">
        <is>
          <t>'Fish Pie'!C5,L5</t>
        </is>
      </c>
      <c r="E165" s="2" t="inlineStr">
        <is>
          <t>flour</t>
        </is>
      </c>
      <c r="F165" s="3" t="n">
        <v>4999.999998</v>
      </c>
      <c r="G165" s="2" t="inlineStr">
        <is>
          <t>=F5/10 [cached: 4999.999998]</t>
        </is>
      </c>
      <c r="H165" s="2" t="inlineStr">
        <is>
          <t>O-P06 / O-P09; filling differs</t>
        </is>
      </c>
    </row>
    <row r="166">
      <c r="A166" s="2" t="inlineStr">
        <is>
          <t>L020</t>
        </is>
      </c>
      <c r="B166" s="2" t="inlineStr">
        <is>
          <t>Fish Pie</t>
        </is>
      </c>
      <c r="C166" s="2" t="inlineStr">
        <is>
          <t>S132</t>
        </is>
      </c>
      <c r="D166" s="2" t="inlineStr">
        <is>
          <t>'Fish Pie'!C6,L6</t>
        </is>
      </c>
      <c r="E166" s="2" t="inlineStr">
        <is>
          <t>baking powder</t>
        </is>
      </c>
      <c r="F166" s="3" t="n">
        <v>83.33333330000001</v>
      </c>
      <c r="G166" s="2" t="inlineStr">
        <is>
          <t>=F6/10 [cached: 83.3333333]</t>
        </is>
      </c>
      <c r="H166" s="2" t="inlineStr">
        <is>
          <t>O-P06 / O-P09; filling differs</t>
        </is>
      </c>
    </row>
    <row r="167">
      <c r="A167" s="2" t="inlineStr">
        <is>
          <t>L020</t>
        </is>
      </c>
      <c r="B167" s="2" t="inlineStr">
        <is>
          <t>Fish Pie</t>
        </is>
      </c>
      <c r="C167" s="2" t="inlineStr">
        <is>
          <t>S132</t>
        </is>
      </c>
      <c r="D167" s="2" t="inlineStr">
        <is>
          <t>'Fish Pie'!C7,L7</t>
        </is>
      </c>
      <c r="E167" s="2" t="inlineStr">
        <is>
          <t>Butter</t>
        </is>
      </c>
      <c r="F167" s="3" t="n">
        <v>1999.9999992</v>
      </c>
      <c r="G167" s="2" t="inlineStr">
        <is>
          <t>=F7/10 [cached: 1999.9999992]</t>
        </is>
      </c>
      <c r="H167" s="2" t="inlineStr">
        <is>
          <t>O-P06 / O-P09; filling differs</t>
        </is>
      </c>
    </row>
    <row r="168">
      <c r="A168" s="2" t="inlineStr">
        <is>
          <t>L020</t>
        </is>
      </c>
      <c r="B168" s="2" t="inlineStr">
        <is>
          <t>Fish Pie</t>
        </is>
      </c>
      <c r="C168" s="2" t="inlineStr">
        <is>
          <t>S132</t>
        </is>
      </c>
      <c r="D168" s="2" t="inlineStr">
        <is>
          <t>'Fish Pie'!C8,L8</t>
        </is>
      </c>
      <c r="E168" s="2" t="inlineStr">
        <is>
          <t>Improver</t>
        </is>
      </c>
      <c r="F168" s="3" t="n">
        <v>66.66666664</v>
      </c>
      <c r="G168" s="2" t="inlineStr">
        <is>
          <t>=F8/10 [cached: 66.66666664]</t>
        </is>
      </c>
      <c r="H168" s="2" t="inlineStr">
        <is>
          <t>O-P06 / O-P09; filling differs</t>
        </is>
      </c>
    </row>
    <row r="169">
      <c r="A169" s="2" t="inlineStr">
        <is>
          <t>L021</t>
        </is>
      </c>
      <c r="B169" s="2" t="inlineStr">
        <is>
          <t>Galette</t>
        </is>
      </c>
      <c r="C169" s="2" t="inlineStr">
        <is>
          <t>S132</t>
        </is>
      </c>
      <c r="D169" s="2" t="inlineStr">
        <is>
          <t>'Galette'!C5,D5</t>
        </is>
      </c>
      <c r="E169" s="2" t="inlineStr">
        <is>
          <t>flour</t>
        </is>
      </c>
      <c r="F169" s="3" t="n">
        <v>10000</v>
      </c>
      <c r="G169" s="2" t="inlineStr">
        <is>
          <t>10000</t>
        </is>
      </c>
      <c r="H169" s="2" t="inlineStr">
        <is>
          <t>H14</t>
        </is>
      </c>
    </row>
    <row r="170">
      <c r="A170" s="2" t="inlineStr">
        <is>
          <t>L021</t>
        </is>
      </c>
      <c r="B170" s="2" t="inlineStr">
        <is>
          <t>Galette</t>
        </is>
      </c>
      <c r="C170" s="2" t="inlineStr">
        <is>
          <t>S132</t>
        </is>
      </c>
      <c r="D170" s="2" t="inlineStr">
        <is>
          <t>'Galette'!C6,D6</t>
        </is>
      </c>
      <c r="E170" s="2" t="inlineStr">
        <is>
          <t>Butter</t>
        </is>
      </c>
      <c r="F170" s="3" t="n">
        <v>1000</v>
      </c>
      <c r="G170" s="2" t="inlineStr">
        <is>
          <t>1000</t>
        </is>
      </c>
      <c r="H170" s="2" t="inlineStr">
        <is>
          <t>H14</t>
        </is>
      </c>
    </row>
    <row r="171">
      <c r="A171" s="2" t="inlineStr">
        <is>
          <t>L021</t>
        </is>
      </c>
      <c r="B171" s="2" t="inlineStr">
        <is>
          <t>Galette</t>
        </is>
      </c>
      <c r="C171" s="2" t="inlineStr">
        <is>
          <t>S132</t>
        </is>
      </c>
      <c r="D171" s="2" t="inlineStr">
        <is>
          <t>'Galette'!C7,D7</t>
        </is>
      </c>
      <c r="E171" s="2" t="inlineStr">
        <is>
          <t>sugar</t>
        </is>
      </c>
      <c r="F171" s="3" t="n">
        <v>1000</v>
      </c>
      <c r="G171" s="2" t="inlineStr">
        <is>
          <t>1000</t>
        </is>
      </c>
      <c r="H171" s="2" t="inlineStr">
        <is>
          <t>H14</t>
        </is>
      </c>
    </row>
    <row r="172">
      <c r="A172" s="2" t="inlineStr">
        <is>
          <t>L021</t>
        </is>
      </c>
      <c r="B172" s="2" t="inlineStr">
        <is>
          <t>Galette</t>
        </is>
      </c>
      <c r="C172" s="2" t="inlineStr">
        <is>
          <t>S132</t>
        </is>
      </c>
      <c r="D172" s="2" t="inlineStr">
        <is>
          <t>'Galette'!C8,D8</t>
        </is>
      </c>
      <c r="E172" s="2" t="inlineStr">
        <is>
          <t>Milk</t>
        </is>
      </c>
      <c r="F172" s="3" t="n">
        <v>800</v>
      </c>
      <c r="G172" s="2" t="inlineStr">
        <is>
          <t>800</t>
        </is>
      </c>
      <c r="H172" s="2" t="inlineStr">
        <is>
          <t>H14</t>
        </is>
      </c>
    </row>
    <row r="173">
      <c r="A173" s="2" t="inlineStr">
        <is>
          <t>L021</t>
        </is>
      </c>
      <c r="B173" s="2" t="inlineStr">
        <is>
          <t>Galette</t>
        </is>
      </c>
      <c r="C173" s="2" t="inlineStr">
        <is>
          <t>S132</t>
        </is>
      </c>
      <c r="D173" s="2" t="inlineStr">
        <is>
          <t>'Galette'!C9,D9</t>
        </is>
      </c>
      <c r="E173" s="2" t="inlineStr">
        <is>
          <t>egg</t>
        </is>
      </c>
      <c r="F173" s="3" t="n">
        <v>750</v>
      </c>
      <c r="G173" s="2" t="inlineStr">
        <is>
          <t>750</t>
        </is>
      </c>
      <c r="H173" s="2" t="inlineStr">
        <is>
          <t>H14</t>
        </is>
      </c>
    </row>
    <row r="174">
      <c r="A174" s="2" t="inlineStr">
        <is>
          <t>L021</t>
        </is>
      </c>
      <c r="B174" s="2" t="inlineStr">
        <is>
          <t>Galette</t>
        </is>
      </c>
      <c r="C174" s="2" t="inlineStr">
        <is>
          <t>S132</t>
        </is>
      </c>
      <c r="D174" s="2" t="inlineStr">
        <is>
          <t>'Galette'!C10,D10</t>
        </is>
      </c>
      <c r="E174" s="2" t="inlineStr">
        <is>
          <t>salt</t>
        </is>
      </c>
      <c r="F174" s="3" t="n">
        <v>110</v>
      </c>
      <c r="G174" s="2" t="inlineStr">
        <is>
          <t>110</t>
        </is>
      </c>
      <c r="H174" s="2" t="inlineStr">
        <is>
          <t>H14</t>
        </is>
      </c>
    </row>
    <row r="175">
      <c r="A175" s="2" t="inlineStr">
        <is>
          <t>L021</t>
        </is>
      </c>
      <c r="B175" s="2" t="inlineStr">
        <is>
          <t>Galette</t>
        </is>
      </c>
      <c r="C175" s="2" t="inlineStr">
        <is>
          <t>S132</t>
        </is>
      </c>
      <c r="D175" s="2" t="inlineStr">
        <is>
          <t>'Galette'!C11,D11</t>
        </is>
      </c>
      <c r="E175" s="2" t="inlineStr">
        <is>
          <t>improver</t>
        </is>
      </c>
      <c r="F175" s="3" t="n">
        <v>100</v>
      </c>
      <c r="G175" s="2" t="inlineStr">
        <is>
          <t>100</t>
        </is>
      </c>
      <c r="H175" s="2" t="inlineStr">
        <is>
          <t>H14</t>
        </is>
      </c>
    </row>
    <row r="176">
      <c r="A176" s="2" t="inlineStr">
        <is>
          <t>L021</t>
        </is>
      </c>
      <c r="B176" s="2" t="inlineStr">
        <is>
          <t>Galette</t>
        </is>
      </c>
      <c r="C176" s="2" t="inlineStr">
        <is>
          <t>S132</t>
        </is>
      </c>
      <c r="D176" s="2" t="inlineStr">
        <is>
          <t>'Galette'!C12,D12</t>
        </is>
      </c>
      <c r="E176" s="2" t="inlineStr">
        <is>
          <t>yeast</t>
        </is>
      </c>
      <c r="F176" s="3" t="n">
        <v>80</v>
      </c>
      <c r="G176" s="2" t="inlineStr">
        <is>
          <t>80</t>
        </is>
      </c>
      <c r="H176" s="2" t="inlineStr">
        <is>
          <t>H14</t>
        </is>
      </c>
    </row>
    <row r="177">
      <c r="A177" s="2" t="inlineStr">
        <is>
          <t>L021</t>
        </is>
      </c>
      <c r="B177" s="2" t="inlineStr">
        <is>
          <t>Galette</t>
        </is>
      </c>
      <c r="C177" s="2" t="inlineStr">
        <is>
          <t>S132</t>
        </is>
      </c>
      <c r="D177" s="2" t="inlineStr">
        <is>
          <t>'Galette'!C13,D13</t>
        </is>
      </c>
      <c r="E177" s="2" t="inlineStr">
        <is>
          <t>water</t>
        </is>
      </c>
      <c r="F177" s="3" t="n">
        <v>2000</v>
      </c>
      <c r="G177" s="2" t="inlineStr">
        <is>
          <t>2000</t>
        </is>
      </c>
      <c r="H177" s="2" t="inlineStr">
        <is>
          <t>H14</t>
        </is>
      </c>
    </row>
    <row r="178">
      <c r="A178" s="2" t="inlineStr">
        <is>
          <t>L021</t>
        </is>
      </c>
      <c r="B178" s="2" t="inlineStr">
        <is>
          <t>Galette</t>
        </is>
      </c>
      <c r="C178" s="2" t="inlineStr">
        <is>
          <t>S132</t>
        </is>
      </c>
      <c r="D178" s="2" t="inlineStr">
        <is>
          <t>'Galette'!C14,D14</t>
        </is>
      </c>
      <c r="E178" s="2" t="inlineStr">
        <is>
          <t>baking powder</t>
        </is>
      </c>
      <c r="F178" s="3" t="n">
        <v>80</v>
      </c>
      <c r="G178" s="2" t="inlineStr">
        <is>
          <t>80</t>
        </is>
      </c>
      <c r="H178" s="2" t="inlineStr">
        <is>
          <t>H14</t>
        </is>
      </c>
    </row>
    <row r="179">
      <c r="A179" s="2" t="inlineStr">
        <is>
          <t>L021</t>
        </is>
      </c>
      <c r="B179" s="2" t="inlineStr">
        <is>
          <t>Galette</t>
        </is>
      </c>
      <c r="C179" s="2" t="inlineStr">
        <is>
          <t>S132</t>
        </is>
      </c>
      <c r="D179" s="2" t="inlineStr">
        <is>
          <t>'Galette'!C15,D15</t>
        </is>
      </c>
      <c r="E179" s="2" t="inlineStr">
        <is>
          <t>Chocolate</t>
        </is>
      </c>
      <c r="F179" s="3" t="n">
        <v>1000</v>
      </c>
      <c r="G179" s="2" t="inlineStr">
        <is>
          <t>1000</t>
        </is>
      </c>
      <c r="H179" s="2" t="inlineStr">
        <is>
          <t>H14</t>
        </is>
      </c>
    </row>
    <row r="180">
      <c r="A180" s="2" t="inlineStr">
        <is>
          <t>L021</t>
        </is>
      </c>
      <c r="B180" s="2" t="inlineStr">
        <is>
          <t>Galette</t>
        </is>
      </c>
      <c r="C180" s="2" t="inlineStr">
        <is>
          <t>S132</t>
        </is>
      </c>
      <c r="D180" s="2" t="inlineStr">
        <is>
          <t>'Galette'!C16,D16</t>
        </is>
      </c>
      <c r="E180" s="2" t="inlineStr">
        <is>
          <t>EDC</t>
        </is>
      </c>
      <c r="F180" s="3" t="n">
        <v>75</v>
      </c>
      <c r="G180" s="2" t="inlineStr">
        <is>
          <t>75</t>
        </is>
      </c>
      <c r="H180" s="2" t="inlineStr">
        <is>
          <t>H14</t>
        </is>
      </c>
    </row>
    <row r="181">
      <c r="A181" s="2" t="inlineStr">
        <is>
          <t>L022</t>
        </is>
      </c>
      <c r="B181" s="2" t="inlineStr">
        <is>
          <t>Galette</t>
        </is>
      </c>
      <c r="C181" s="2" t="inlineStr">
        <is>
          <t>S132</t>
        </is>
      </c>
      <c r="D181" s="2" t="inlineStr">
        <is>
          <t>'Galette'!C5,H5</t>
        </is>
      </c>
      <c r="E181" s="2" t="inlineStr">
        <is>
          <t>flour</t>
        </is>
      </c>
      <c r="F181" s="3" t="n">
        <v>5000</v>
      </c>
      <c r="G181" s="2" t="inlineStr">
        <is>
          <t>5000</t>
        </is>
      </c>
      <c r="H181" s="2" t="inlineStr">
        <is>
          <t>H14</t>
        </is>
      </c>
    </row>
    <row r="182">
      <c r="A182" s="2" t="inlineStr">
        <is>
          <t>L022</t>
        </is>
      </c>
      <c r="B182" s="2" t="inlineStr">
        <is>
          <t>Galette</t>
        </is>
      </c>
      <c r="C182" s="2" t="inlineStr">
        <is>
          <t>S132</t>
        </is>
      </c>
      <c r="D182" s="2" t="inlineStr">
        <is>
          <t>'Galette'!C6,H6</t>
        </is>
      </c>
      <c r="E182" s="2" t="inlineStr">
        <is>
          <t>Butter</t>
        </is>
      </c>
      <c r="F182" s="3" t="n">
        <v>500</v>
      </c>
      <c r="G182" s="2" t="inlineStr">
        <is>
          <t>500</t>
        </is>
      </c>
      <c r="H182" s="2" t="inlineStr">
        <is>
          <t>H14</t>
        </is>
      </c>
    </row>
    <row r="183">
      <c r="A183" s="2" t="inlineStr">
        <is>
          <t>L022</t>
        </is>
      </c>
      <c r="B183" s="2" t="inlineStr">
        <is>
          <t>Galette</t>
        </is>
      </c>
      <c r="C183" s="2" t="inlineStr">
        <is>
          <t>S132</t>
        </is>
      </c>
      <c r="D183" s="2" t="inlineStr">
        <is>
          <t>'Galette'!C7,H7</t>
        </is>
      </c>
      <c r="E183" s="2" t="inlineStr">
        <is>
          <t>sugar</t>
        </is>
      </c>
      <c r="F183" s="3" t="n">
        <v>500</v>
      </c>
      <c r="G183" s="2" t="inlineStr">
        <is>
          <t>500</t>
        </is>
      </c>
      <c r="H183" s="2" t="inlineStr">
        <is>
          <t>H14</t>
        </is>
      </c>
    </row>
    <row r="184">
      <c r="A184" s="2" t="inlineStr">
        <is>
          <t>L022</t>
        </is>
      </c>
      <c r="B184" s="2" t="inlineStr">
        <is>
          <t>Galette</t>
        </is>
      </c>
      <c r="C184" s="2" t="inlineStr">
        <is>
          <t>S132</t>
        </is>
      </c>
      <c r="D184" s="2" t="inlineStr">
        <is>
          <t>'Galette'!C8,H8</t>
        </is>
      </c>
      <c r="E184" s="2" t="inlineStr">
        <is>
          <t>Milk</t>
        </is>
      </c>
      <c r="F184" s="3" t="n">
        <v>400</v>
      </c>
      <c r="G184" s="2" t="inlineStr">
        <is>
          <t>400</t>
        </is>
      </c>
      <c r="H184" s="2" t="inlineStr">
        <is>
          <t>H14</t>
        </is>
      </c>
    </row>
    <row r="185">
      <c r="A185" s="2" t="inlineStr">
        <is>
          <t>L022</t>
        </is>
      </c>
      <c r="B185" s="2" t="inlineStr">
        <is>
          <t>Galette</t>
        </is>
      </c>
      <c r="C185" s="2" t="inlineStr">
        <is>
          <t>S132</t>
        </is>
      </c>
      <c r="D185" s="2" t="inlineStr">
        <is>
          <t>'Galette'!C9,H9</t>
        </is>
      </c>
      <c r="E185" s="2" t="inlineStr">
        <is>
          <t>egg</t>
        </is>
      </c>
      <c r="F185" s="3" t="n">
        <v>400</v>
      </c>
      <c r="G185" s="2" t="inlineStr">
        <is>
          <t>400</t>
        </is>
      </c>
      <c r="H185" s="2" t="inlineStr">
        <is>
          <t>H14</t>
        </is>
      </c>
    </row>
    <row r="186">
      <c r="A186" s="2" t="inlineStr">
        <is>
          <t>L022</t>
        </is>
      </c>
      <c r="B186" s="2" t="inlineStr">
        <is>
          <t>Galette</t>
        </is>
      </c>
      <c r="C186" s="2" t="inlineStr">
        <is>
          <t>S132</t>
        </is>
      </c>
      <c r="D186" s="2" t="inlineStr">
        <is>
          <t>'Galette'!C10,H10</t>
        </is>
      </c>
      <c r="E186" s="2" t="inlineStr">
        <is>
          <t>salt</t>
        </is>
      </c>
      <c r="F186" s="3" t="n">
        <v>50</v>
      </c>
      <c r="G186" s="2" t="inlineStr">
        <is>
          <t>50</t>
        </is>
      </c>
      <c r="H186" s="2" t="inlineStr">
        <is>
          <t>H14</t>
        </is>
      </c>
    </row>
    <row r="187">
      <c r="A187" s="2" t="inlineStr">
        <is>
          <t>L022</t>
        </is>
      </c>
      <c r="B187" s="2" t="inlineStr">
        <is>
          <t>Galette</t>
        </is>
      </c>
      <c r="C187" s="2" t="inlineStr">
        <is>
          <t>S132</t>
        </is>
      </c>
      <c r="D187" s="2" t="inlineStr">
        <is>
          <t>'Galette'!C11,H11</t>
        </is>
      </c>
      <c r="E187" s="2" t="inlineStr">
        <is>
          <t>improver</t>
        </is>
      </c>
      <c r="F187" s="3" t="n">
        <v>60</v>
      </c>
      <c r="G187" s="2" t="inlineStr">
        <is>
          <t>60</t>
        </is>
      </c>
      <c r="H187" s="2" t="inlineStr">
        <is>
          <t>H14</t>
        </is>
      </c>
    </row>
    <row r="188">
      <c r="A188" s="2" t="inlineStr">
        <is>
          <t>L022</t>
        </is>
      </c>
      <c r="B188" s="2" t="inlineStr">
        <is>
          <t>Galette</t>
        </is>
      </c>
      <c r="C188" s="2" t="inlineStr">
        <is>
          <t>S132</t>
        </is>
      </c>
      <c r="D188" s="2" t="inlineStr">
        <is>
          <t>'Galette'!C12,H12</t>
        </is>
      </c>
      <c r="E188" s="2" t="inlineStr">
        <is>
          <t>yeast</t>
        </is>
      </c>
      <c r="F188" s="3" t="n">
        <v>50</v>
      </c>
      <c r="G188" s="2" t="inlineStr">
        <is>
          <t>50</t>
        </is>
      </c>
      <c r="H188" s="2" t="inlineStr">
        <is>
          <t>H14</t>
        </is>
      </c>
    </row>
    <row r="189">
      <c r="A189" s="2" t="inlineStr">
        <is>
          <t>L022</t>
        </is>
      </c>
      <c r="B189" s="2" t="inlineStr">
        <is>
          <t>Galette</t>
        </is>
      </c>
      <c r="C189" s="2" t="inlineStr">
        <is>
          <t>S132</t>
        </is>
      </c>
      <c r="D189" s="2" t="inlineStr">
        <is>
          <t>'Galette'!C13,H13</t>
        </is>
      </c>
      <c r="E189" s="2" t="inlineStr">
        <is>
          <t>water</t>
        </is>
      </c>
      <c r="F189" s="3" t="n">
        <v>1000</v>
      </c>
      <c r="G189" s="2" t="inlineStr">
        <is>
          <t>1000</t>
        </is>
      </c>
      <c r="H189" s="2" t="inlineStr">
        <is>
          <t>H14</t>
        </is>
      </c>
    </row>
    <row r="190">
      <c r="A190" s="2" t="inlineStr">
        <is>
          <t>L022</t>
        </is>
      </c>
      <c r="B190" s="2" t="inlineStr">
        <is>
          <t>Galette</t>
        </is>
      </c>
      <c r="C190" s="2" t="inlineStr">
        <is>
          <t>S132</t>
        </is>
      </c>
      <c r="D190" s="2" t="inlineStr">
        <is>
          <t>'Galette'!C14,H14</t>
        </is>
      </c>
      <c r="E190" s="2" t="inlineStr">
        <is>
          <t>baking powder</t>
        </is>
      </c>
      <c r="F190" s="3" t="n">
        <v>35</v>
      </c>
      <c r="G190" s="2" t="inlineStr">
        <is>
          <t>35</t>
        </is>
      </c>
      <c r="H190" s="2" t="inlineStr">
        <is>
          <t>H14</t>
        </is>
      </c>
    </row>
    <row r="191">
      <c r="A191" s="2" t="inlineStr">
        <is>
          <t>L022</t>
        </is>
      </c>
      <c r="B191" s="2" t="inlineStr">
        <is>
          <t>Galette</t>
        </is>
      </c>
      <c r="C191" s="2" t="inlineStr">
        <is>
          <t>S132</t>
        </is>
      </c>
      <c r="D191" s="2" t="inlineStr">
        <is>
          <t>'Galette'!C15,H15</t>
        </is>
      </c>
      <c r="E191" s="2" t="inlineStr">
        <is>
          <t>Chocolate</t>
        </is>
      </c>
      <c r="F191" s="3" t="n">
        <v>500</v>
      </c>
      <c r="G191" s="2" t="inlineStr">
        <is>
          <t>500</t>
        </is>
      </c>
      <c r="H191" s="2" t="inlineStr">
        <is>
          <t>H14</t>
        </is>
      </c>
    </row>
    <row r="192">
      <c r="A192" s="2" t="inlineStr">
        <is>
          <t>L022</t>
        </is>
      </c>
      <c r="B192" s="2" t="inlineStr">
        <is>
          <t>Galette</t>
        </is>
      </c>
      <c r="C192" s="2" t="inlineStr">
        <is>
          <t>S132</t>
        </is>
      </c>
      <c r="D192" s="2" t="inlineStr">
        <is>
          <t>'Galette'!C16,H16</t>
        </is>
      </c>
      <c r="E192" s="2" t="inlineStr">
        <is>
          <t>EDC</t>
        </is>
      </c>
      <c r="F192" s="3" t="n">
        <v>100</v>
      </c>
      <c r="G192" s="2" t="inlineStr">
        <is>
          <t>100</t>
        </is>
      </c>
      <c r="H192" s="2" t="inlineStr">
        <is>
          <t>H14</t>
        </is>
      </c>
    </row>
    <row r="193">
      <c r="A193" s="2" t="inlineStr">
        <is>
          <t>L023</t>
        </is>
      </c>
      <c r="B193" s="2" t="inlineStr">
        <is>
          <t>Hamburger buns</t>
        </is>
      </c>
      <c r="C193" s="2" t="inlineStr">
        <is>
          <t>S132</t>
        </is>
      </c>
      <c r="D193" s="2" t="inlineStr">
        <is>
          <t>'Hamburger buns'!C5,D5</t>
        </is>
      </c>
      <c r="E193" s="2" t="inlineStr">
        <is>
          <t>flour</t>
        </is>
      </c>
      <c r="F193" s="3" t="n">
        <v>10000</v>
      </c>
      <c r="G193" s="2" t="inlineStr">
        <is>
          <t>10000</t>
        </is>
      </c>
      <c r="H193" s="2" t="inlineStr">
        <is>
          <t>M1-B09 / O-B25</t>
        </is>
      </c>
    </row>
    <row r="194">
      <c r="A194" s="2" t="inlineStr">
        <is>
          <t>L023</t>
        </is>
      </c>
      <c r="B194" s="2" t="inlineStr">
        <is>
          <t>Hamburger buns</t>
        </is>
      </c>
      <c r="C194" s="2" t="inlineStr">
        <is>
          <t>S132</t>
        </is>
      </c>
      <c r="D194" s="2" t="inlineStr">
        <is>
          <t>'Hamburger buns'!C6,D6</t>
        </is>
      </c>
      <c r="E194" s="2" t="inlineStr">
        <is>
          <t>sugar</t>
        </is>
      </c>
      <c r="F194" s="3" t="n">
        <v>700</v>
      </c>
      <c r="G194" s="2" t="inlineStr">
        <is>
          <t>700</t>
        </is>
      </c>
      <c r="H194" s="2" t="inlineStr">
        <is>
          <t>M1-B09 / O-B25</t>
        </is>
      </c>
    </row>
    <row r="195">
      <c r="A195" s="2" t="inlineStr">
        <is>
          <t>L023</t>
        </is>
      </c>
      <c r="B195" s="2" t="inlineStr">
        <is>
          <t>Hamburger buns</t>
        </is>
      </c>
      <c r="C195" s="2" t="inlineStr">
        <is>
          <t>S132</t>
        </is>
      </c>
      <c r="D195" s="2" t="inlineStr">
        <is>
          <t>'Hamburger buns'!C7,D7</t>
        </is>
      </c>
      <c r="E195" s="2" t="inlineStr">
        <is>
          <t>Milk</t>
        </is>
      </c>
      <c r="F195" s="3" t="n">
        <v>400</v>
      </c>
      <c r="G195" s="2" t="inlineStr">
        <is>
          <t>400</t>
        </is>
      </c>
      <c r="H195" s="2" t="inlineStr">
        <is>
          <t>M1-B09 / O-B25</t>
        </is>
      </c>
    </row>
    <row r="196">
      <c r="A196" s="2" t="inlineStr">
        <is>
          <t>L023</t>
        </is>
      </c>
      <c r="B196" s="2" t="inlineStr">
        <is>
          <t>Hamburger buns</t>
        </is>
      </c>
      <c r="C196" s="2" t="inlineStr">
        <is>
          <t>S132</t>
        </is>
      </c>
      <c r="D196" s="2" t="inlineStr">
        <is>
          <t>'Hamburger buns'!C8,D8</t>
        </is>
      </c>
      <c r="E196" s="2" t="inlineStr">
        <is>
          <t>salt</t>
        </is>
      </c>
      <c r="F196" s="3" t="n">
        <v>110</v>
      </c>
      <c r="G196" s="2" t="inlineStr">
        <is>
          <t>110</t>
        </is>
      </c>
      <c r="H196" s="2" t="inlineStr">
        <is>
          <t>M1-B09 / O-B25</t>
        </is>
      </c>
    </row>
    <row r="197">
      <c r="A197" s="2" t="inlineStr">
        <is>
          <t>L023</t>
        </is>
      </c>
      <c r="B197" s="2" t="inlineStr">
        <is>
          <t>Hamburger buns</t>
        </is>
      </c>
      <c r="C197" s="2" t="inlineStr">
        <is>
          <t>S132</t>
        </is>
      </c>
      <c r="D197" s="2" t="inlineStr">
        <is>
          <t>'Hamburger buns'!C9,D9</t>
        </is>
      </c>
      <c r="E197" s="2" t="inlineStr">
        <is>
          <t>improver</t>
        </is>
      </c>
      <c r="F197" s="3" t="n">
        <v>100</v>
      </c>
      <c r="G197" s="2" t="inlineStr">
        <is>
          <t>100</t>
        </is>
      </c>
      <c r="H197" s="2" t="inlineStr">
        <is>
          <t>M1-B09 / O-B25</t>
        </is>
      </c>
    </row>
    <row r="198">
      <c r="A198" s="2" t="inlineStr">
        <is>
          <t>L023</t>
        </is>
      </c>
      <c r="B198" s="2" t="inlineStr">
        <is>
          <t>Hamburger buns</t>
        </is>
      </c>
      <c r="C198" s="2" t="inlineStr">
        <is>
          <t>S132</t>
        </is>
      </c>
      <c r="D198" s="2" t="inlineStr">
        <is>
          <t>'Hamburger buns'!C10,D10</t>
        </is>
      </c>
      <c r="E198" s="2" t="inlineStr">
        <is>
          <t>yeast</t>
        </is>
      </c>
      <c r="F198" s="3" t="n">
        <v>150</v>
      </c>
      <c r="G198" s="2" t="inlineStr">
        <is>
          <t>150</t>
        </is>
      </c>
      <c r="H198" s="2" t="inlineStr">
        <is>
          <t>M1-B09 / O-B25</t>
        </is>
      </c>
    </row>
    <row r="199">
      <c r="A199" s="2" t="inlineStr">
        <is>
          <t>L023</t>
        </is>
      </c>
      <c r="B199" s="2" t="inlineStr">
        <is>
          <t>Hamburger buns</t>
        </is>
      </c>
      <c r="C199" s="2" t="inlineStr">
        <is>
          <t>S132</t>
        </is>
      </c>
      <c r="D199" s="2" t="inlineStr">
        <is>
          <t>'Hamburger buns'!C11,D11</t>
        </is>
      </c>
      <c r="E199" s="2" t="inlineStr">
        <is>
          <t>water</t>
        </is>
      </c>
      <c r="F199" s="3" t="n">
        <v>6000</v>
      </c>
      <c r="G199" s="2" t="inlineStr">
        <is>
          <t>6000</t>
        </is>
      </c>
      <c r="H199" s="2" t="inlineStr">
        <is>
          <t>M1-B09 / O-B25</t>
        </is>
      </c>
    </row>
    <row r="200">
      <c r="A200" s="2" t="inlineStr">
        <is>
          <t>L023</t>
        </is>
      </c>
      <c r="B200" s="2" t="inlineStr">
        <is>
          <t>Hamburger buns</t>
        </is>
      </c>
      <c r="C200" s="2" t="inlineStr">
        <is>
          <t>S132</t>
        </is>
      </c>
      <c r="D200" s="2" t="inlineStr">
        <is>
          <t>'Hamburger buns'!C12,D12</t>
        </is>
      </c>
      <c r="E200" s="2" t="inlineStr">
        <is>
          <t>EDC</t>
        </is>
      </c>
      <c r="F200" s="3" t="n">
        <v>20</v>
      </c>
      <c r="G200" s="2" t="inlineStr">
        <is>
          <t>20</t>
        </is>
      </c>
      <c r="H200" s="2" t="inlineStr">
        <is>
          <t>M1-B09 / O-B25</t>
        </is>
      </c>
    </row>
    <row r="201">
      <c r="A201" s="2" t="inlineStr">
        <is>
          <t>L024</t>
        </is>
      </c>
      <c r="B201" s="2" t="inlineStr">
        <is>
          <t>Hamburger buns</t>
        </is>
      </c>
      <c r="C201" s="2" t="inlineStr">
        <is>
          <t>S132</t>
        </is>
      </c>
      <c r="D201" s="2" t="inlineStr">
        <is>
          <t>'Hamburger buns'!C5,F5</t>
        </is>
      </c>
      <c r="E201" s="2" t="inlineStr">
        <is>
          <t>flour</t>
        </is>
      </c>
      <c r="F201" s="3" t="n">
        <v>49999.995</v>
      </c>
      <c r="G201" s="2" t="inlineStr">
        <is>
          <t>=H5*11.11111 [cached: 49999.995]</t>
        </is>
      </c>
      <c r="H201" s="2" t="inlineStr">
        <is>
          <t>M1-B09 / O-B25</t>
        </is>
      </c>
    </row>
    <row r="202">
      <c r="A202" s="2" t="inlineStr">
        <is>
          <t>L024</t>
        </is>
      </c>
      <c r="B202" s="2" t="inlineStr">
        <is>
          <t>Hamburger buns</t>
        </is>
      </c>
      <c r="C202" s="2" t="inlineStr">
        <is>
          <t>S132</t>
        </is>
      </c>
      <c r="D202" s="2" t="inlineStr">
        <is>
          <t>'Hamburger buns'!C6,F6</t>
        </is>
      </c>
      <c r="E202" s="2" t="inlineStr">
        <is>
          <t>sugar</t>
        </is>
      </c>
      <c r="F202" s="3" t="n">
        <v>5555.555</v>
      </c>
      <c r="G202" s="2" t="inlineStr">
        <is>
          <t>=H6*11.11111 [cached: 5555.555]</t>
        </is>
      </c>
      <c r="H202" s="2" t="inlineStr">
        <is>
          <t>M1-B09 / O-B25</t>
        </is>
      </c>
    </row>
    <row r="203">
      <c r="A203" s="2" t="inlineStr">
        <is>
          <t>L024</t>
        </is>
      </c>
      <c r="B203" s="2" t="inlineStr">
        <is>
          <t>Hamburger buns</t>
        </is>
      </c>
      <c r="C203" s="2" t="inlineStr">
        <is>
          <t>S132</t>
        </is>
      </c>
      <c r="D203" s="2" t="inlineStr">
        <is>
          <t>'Hamburger buns'!C7,F7</t>
        </is>
      </c>
      <c r="E203" s="2" t="inlineStr">
        <is>
          <t>Milk</t>
        </is>
      </c>
      <c r="F203" s="3" t="n">
        <v>4444.444</v>
      </c>
      <c r="G203" s="2" t="inlineStr">
        <is>
          <t>=H7*11.11111 [cached: 4444.444]</t>
        </is>
      </c>
      <c r="H203" s="2" t="inlineStr">
        <is>
          <t>M1-B09 / O-B25</t>
        </is>
      </c>
    </row>
    <row r="204">
      <c r="A204" s="2" t="inlineStr">
        <is>
          <t>L024</t>
        </is>
      </c>
      <c r="B204" s="2" t="inlineStr">
        <is>
          <t>Hamburger buns</t>
        </is>
      </c>
      <c r="C204" s="2" t="inlineStr">
        <is>
          <t>S132</t>
        </is>
      </c>
      <c r="D204" s="2" t="inlineStr">
        <is>
          <t>'Hamburger buns'!C8,F8</t>
        </is>
      </c>
      <c r="E204" s="2" t="inlineStr">
        <is>
          <t>salt</t>
        </is>
      </c>
      <c r="F204" s="3" t="n">
        <v>499.99995</v>
      </c>
      <c r="G204" s="2" t="inlineStr">
        <is>
          <t>=H8*11.11111 [cached: 499.99995]</t>
        </is>
      </c>
      <c r="H204" s="2" t="inlineStr">
        <is>
          <t>M1-B09 / O-B25</t>
        </is>
      </c>
    </row>
    <row r="205">
      <c r="A205" s="2" t="inlineStr">
        <is>
          <t>L024</t>
        </is>
      </c>
      <c r="B205" s="2" t="inlineStr">
        <is>
          <t>Hamburger buns</t>
        </is>
      </c>
      <c r="C205" s="2" t="inlineStr">
        <is>
          <t>S132</t>
        </is>
      </c>
      <c r="D205" s="2" t="inlineStr">
        <is>
          <t>'Hamburger buns'!C9,F9</t>
        </is>
      </c>
      <c r="E205" s="2" t="inlineStr">
        <is>
          <t>improver</t>
        </is>
      </c>
      <c r="F205" s="3" t="n">
        <v>222.2222</v>
      </c>
      <c r="G205" s="2" t="inlineStr">
        <is>
          <t>=H9*11.11111 [cached: 222.2222]</t>
        </is>
      </c>
      <c r="H205" s="2" t="inlineStr">
        <is>
          <t>M1-B09 / O-B25</t>
        </is>
      </c>
    </row>
    <row r="206">
      <c r="A206" s="2" t="inlineStr">
        <is>
          <t>L024</t>
        </is>
      </c>
      <c r="B206" s="2" t="inlineStr">
        <is>
          <t>Hamburger buns</t>
        </is>
      </c>
      <c r="C206" s="2" t="inlineStr">
        <is>
          <t>S132</t>
        </is>
      </c>
      <c r="D206" s="2" t="inlineStr">
        <is>
          <t>'Hamburger buns'!C10,F10</t>
        </is>
      </c>
      <c r="E206" s="2" t="inlineStr">
        <is>
          <t>yeast</t>
        </is>
      </c>
      <c r="F206" s="3" t="n">
        <v>555.5555000000001</v>
      </c>
      <c r="G206" s="2" t="inlineStr">
        <is>
          <t>=H10*11.11111 [cached: 555.5555]</t>
        </is>
      </c>
      <c r="H206" s="2" t="inlineStr">
        <is>
          <t>M1-B09 / O-B25</t>
        </is>
      </c>
    </row>
    <row r="207">
      <c r="A207" s="2" t="inlineStr">
        <is>
          <t>L024</t>
        </is>
      </c>
      <c r="B207" s="2" t="inlineStr">
        <is>
          <t>Hamburger buns</t>
        </is>
      </c>
      <c r="C207" s="2" t="inlineStr">
        <is>
          <t>S132</t>
        </is>
      </c>
      <c r="D207" s="2" t="inlineStr">
        <is>
          <t>'Hamburger buns'!C11,F11</t>
        </is>
      </c>
      <c r="E207" s="2" t="inlineStr">
        <is>
          <t>water</t>
        </is>
      </c>
      <c r="F207" s="3" t="n">
        <v>16666.665</v>
      </c>
      <c r="G207" s="2" t="inlineStr">
        <is>
          <t>=H11*11.11111 [cached: 16666.665]</t>
        </is>
      </c>
      <c r="H207" s="2" t="inlineStr">
        <is>
          <t>M1-B09 / O-B25</t>
        </is>
      </c>
    </row>
    <row r="208">
      <c r="A208" s="2" t="inlineStr">
        <is>
          <t>L024</t>
        </is>
      </c>
      <c r="B208" s="2" t="inlineStr">
        <is>
          <t>Hamburger buns</t>
        </is>
      </c>
      <c r="C208" s="2" t="inlineStr">
        <is>
          <t>S132</t>
        </is>
      </c>
      <c r="D208" s="2" t="inlineStr">
        <is>
          <t>'Hamburger buns'!C12,F12</t>
        </is>
      </c>
      <c r="E208" s="2" t="inlineStr">
        <is>
          <t>EDC</t>
        </is>
      </c>
      <c r="F208" s="3" t="n">
        <v>333.3333</v>
      </c>
      <c r="G208" s="2" t="inlineStr">
        <is>
          <t>=H12*11.11111 [cached: 333.3333]</t>
        </is>
      </c>
      <c r="H208" s="2" t="inlineStr">
        <is>
          <t>M1-B09 / O-B25</t>
        </is>
      </c>
    </row>
    <row r="209">
      <c r="A209" s="2" t="inlineStr">
        <is>
          <t>L025</t>
        </is>
      </c>
      <c r="B209" s="2" t="inlineStr">
        <is>
          <t>Ice Cream</t>
        </is>
      </c>
      <c r="C209" s="2" t="inlineStr">
        <is>
          <t>S132</t>
        </is>
      </c>
      <c r="D209" s="2" t="inlineStr">
        <is>
          <t>'Ice Cream'!C5,D5</t>
        </is>
      </c>
      <c r="E209" s="2" t="inlineStr">
        <is>
          <t>Stabilizer</t>
        </is>
      </c>
      <c r="F209" s="3" t="n">
        <v>200</v>
      </c>
      <c r="G209" s="2" t="inlineStr">
        <is>
          <t>200</t>
        </is>
      </c>
      <c r="H209" s="2" t="inlineStr">
        <is>
          <t>O-FBASE1 / S-D01 / S-D02</t>
        </is>
      </c>
    </row>
    <row r="210">
      <c r="A210" s="2" t="inlineStr">
        <is>
          <t>L025</t>
        </is>
      </c>
      <c r="B210" s="2" t="inlineStr">
        <is>
          <t>Ice Cream</t>
        </is>
      </c>
      <c r="C210" s="2" t="inlineStr">
        <is>
          <t>S132</t>
        </is>
      </c>
      <c r="D210" s="2" t="inlineStr">
        <is>
          <t>'Ice Cream'!C6,D6</t>
        </is>
      </c>
      <c r="E210" s="2" t="inlineStr">
        <is>
          <t>Powdered Milk</t>
        </is>
      </c>
      <c r="F210" s="3" t="n">
        <v>1100</v>
      </c>
      <c r="G210" s="2" t="inlineStr">
        <is>
          <t>1100</t>
        </is>
      </c>
      <c r="H210" s="2" t="inlineStr">
        <is>
          <t>O-FBASE1 / S-D01 / S-D02</t>
        </is>
      </c>
    </row>
    <row r="211">
      <c r="A211" s="2" t="inlineStr">
        <is>
          <t>L025</t>
        </is>
      </c>
      <c r="B211" s="2" t="inlineStr">
        <is>
          <t>Ice Cream</t>
        </is>
      </c>
      <c r="C211" s="2" t="inlineStr">
        <is>
          <t>S132</t>
        </is>
      </c>
      <c r="D211" s="2" t="inlineStr">
        <is>
          <t>'Ice Cream'!C7,D7</t>
        </is>
      </c>
      <c r="E211" s="2" t="inlineStr">
        <is>
          <t>Sugar</t>
        </is>
      </c>
      <c r="F211" s="3" t="n">
        <v>2000</v>
      </c>
      <c r="G211" s="2" t="inlineStr">
        <is>
          <t>2000</t>
        </is>
      </c>
      <c r="H211" s="2" t="inlineStr">
        <is>
          <t>O-FBASE1 / S-D01 / S-D02</t>
        </is>
      </c>
    </row>
    <row r="212">
      <c r="A212" s="2" t="inlineStr">
        <is>
          <t>L025</t>
        </is>
      </c>
      <c r="B212" s="2" t="inlineStr">
        <is>
          <t>Ice Cream</t>
        </is>
      </c>
      <c r="C212" s="2" t="inlineStr">
        <is>
          <t>S132</t>
        </is>
      </c>
      <c r="D212" s="2" t="inlineStr">
        <is>
          <t>'Ice Cream'!C8,D8</t>
        </is>
      </c>
      <c r="E212" s="2" t="inlineStr">
        <is>
          <t>Water</t>
        </is>
      </c>
      <c r="F212" s="3" t="n">
        <v>12000</v>
      </c>
      <c r="G212" s="2" t="inlineStr">
        <is>
          <t>12000</t>
        </is>
      </c>
      <c r="H212" s="2" t="inlineStr">
        <is>
          <t>O-FBASE1 / S-D01 / S-D02</t>
        </is>
      </c>
    </row>
    <row r="213">
      <c r="A213" s="2" t="inlineStr">
        <is>
          <t>L025</t>
        </is>
      </c>
      <c r="B213" s="2" t="inlineStr">
        <is>
          <t>Ice Cream</t>
        </is>
      </c>
      <c r="C213" s="2" t="inlineStr">
        <is>
          <t>S132</t>
        </is>
      </c>
      <c r="D213" s="2" t="inlineStr">
        <is>
          <t>'Ice Cream'!C9,D9</t>
        </is>
      </c>
      <c r="E213" s="2" t="inlineStr">
        <is>
          <t>others</t>
        </is>
      </c>
      <c r="F213" s="3" t="n">
        <v>200</v>
      </c>
      <c r="G213" s="2" t="inlineStr">
        <is>
          <t>200</t>
        </is>
      </c>
      <c r="H213" s="2" t="inlineStr">
        <is>
          <t>O-FBASE1 / S-D01 / S-D02</t>
        </is>
      </c>
    </row>
    <row r="214">
      <c r="A214" s="2" t="inlineStr">
        <is>
          <t>L026</t>
        </is>
      </c>
      <c r="B214" s="2" t="inlineStr">
        <is>
          <t>Ice Cream</t>
        </is>
      </c>
      <c r="C214" s="2" t="inlineStr">
        <is>
          <t>S132</t>
        </is>
      </c>
      <c r="D214" s="2" t="inlineStr">
        <is>
          <t>'Ice Cream'!C5,H5</t>
        </is>
      </c>
      <c r="E214" s="2" t="inlineStr">
        <is>
          <t>Stabilizer</t>
        </is>
      </c>
      <c r="F214" s="3" t="n">
        <v>3500</v>
      </c>
      <c r="G214" s="2" t="inlineStr">
        <is>
          <t>3500</t>
        </is>
      </c>
      <c r="H214" s="2" t="inlineStr">
        <is>
          <t>O-FBASE1 / S-D01 / S-D02</t>
        </is>
      </c>
    </row>
    <row r="215">
      <c r="A215" s="2" t="inlineStr">
        <is>
          <t>L026</t>
        </is>
      </c>
      <c r="B215" s="2" t="inlineStr">
        <is>
          <t>Ice Cream</t>
        </is>
      </c>
      <c r="C215" s="2" t="inlineStr">
        <is>
          <t>S132</t>
        </is>
      </c>
      <c r="D215" s="2" t="inlineStr">
        <is>
          <t>'Ice Cream'!C6,H6</t>
        </is>
      </c>
      <c r="E215" s="2" t="inlineStr">
        <is>
          <t>Powdered Milk</t>
        </is>
      </c>
      <c r="F215" s="3" t="n">
        <v>1500</v>
      </c>
      <c r="G215" s="2" t="inlineStr">
        <is>
          <t>1500</t>
        </is>
      </c>
      <c r="H215" s="2" t="inlineStr">
        <is>
          <t>O-FBASE1 / S-D01 / S-D02</t>
        </is>
      </c>
    </row>
    <row r="216">
      <c r="A216" s="2" t="inlineStr">
        <is>
          <t>L026</t>
        </is>
      </c>
      <c r="B216" s="2" t="inlineStr">
        <is>
          <t>Ice Cream</t>
        </is>
      </c>
      <c r="C216" s="2" t="inlineStr">
        <is>
          <t>S132</t>
        </is>
      </c>
      <c r="D216" s="2" t="inlineStr">
        <is>
          <t>'Ice Cream'!C7,H7</t>
        </is>
      </c>
      <c r="E216" s="2" t="inlineStr">
        <is>
          <t>Sugar</t>
        </is>
      </c>
      <c r="F216" s="3" t="n">
        <v>200</v>
      </c>
      <c r="G216" s="2" t="inlineStr">
        <is>
          <t>200</t>
        </is>
      </c>
      <c r="H216" s="2" t="inlineStr">
        <is>
          <t>O-FBASE1 / S-D01 / S-D02</t>
        </is>
      </c>
    </row>
    <row r="217">
      <c r="A217" s="2" t="inlineStr">
        <is>
          <t>L026</t>
        </is>
      </c>
      <c r="B217" s="2" t="inlineStr">
        <is>
          <t>Ice Cream</t>
        </is>
      </c>
      <c r="C217" s="2" t="inlineStr">
        <is>
          <t>S132</t>
        </is>
      </c>
      <c r="D217" s="2" t="inlineStr">
        <is>
          <t>'Ice Cream'!C8,H8</t>
        </is>
      </c>
      <c r="E217" s="2" t="inlineStr">
        <is>
          <t>Water</t>
        </is>
      </c>
      <c r="F217" s="3" t="n">
        <v>100</v>
      </c>
      <c r="G217" s="2" t="inlineStr">
        <is>
          <t>100</t>
        </is>
      </c>
      <c r="H217" s="2" t="inlineStr">
        <is>
          <t>O-FBASE1 / S-D01 / S-D02</t>
        </is>
      </c>
    </row>
    <row r="218">
      <c r="A218" s="2" t="inlineStr">
        <is>
          <t>L027</t>
        </is>
      </c>
      <c r="B218" s="2" t="inlineStr">
        <is>
          <t>Kouatchoua gato</t>
        </is>
      </c>
      <c r="C218" s="2" t="inlineStr">
        <is>
          <t>S132</t>
        </is>
      </c>
      <c r="D218" s="2" t="inlineStr">
        <is>
          <t>'Kouatchoua gato'!C5,D5</t>
        </is>
      </c>
      <c r="E218" s="2" t="inlineStr">
        <is>
          <t>flour</t>
        </is>
      </c>
      <c r="F218" s="3" t="n">
        <v>27000</v>
      </c>
      <c r="G218" s="2" t="inlineStr">
        <is>
          <t>27000</t>
        </is>
      </c>
      <c r="H218" s="2" t="inlineStr">
        <is>
          <t>Retain unique variant; no equivalent operating card selected</t>
        </is>
      </c>
    </row>
    <row r="219">
      <c r="A219" s="2" t="inlineStr">
        <is>
          <t>L027</t>
        </is>
      </c>
      <c r="B219" s="2" t="inlineStr">
        <is>
          <t>Kouatchoua gato</t>
        </is>
      </c>
      <c r="C219" s="2" t="inlineStr">
        <is>
          <t>S132</t>
        </is>
      </c>
      <c r="D219" s="2" t="inlineStr">
        <is>
          <t>'Kouatchoua gato'!C6,D6</t>
        </is>
      </c>
      <c r="E219" s="2" t="inlineStr">
        <is>
          <t>Butter</t>
        </is>
      </c>
      <c r="F219" s="3" t="n">
        <v>1300</v>
      </c>
      <c r="G219" s="2" t="inlineStr">
        <is>
          <t>1300</t>
        </is>
      </c>
      <c r="H219" s="2" t="inlineStr">
        <is>
          <t>Retain unique variant; no equivalent operating card selected</t>
        </is>
      </c>
    </row>
    <row r="220">
      <c r="A220" s="2" t="inlineStr">
        <is>
          <t>L027</t>
        </is>
      </c>
      <c r="B220" s="2" t="inlineStr">
        <is>
          <t>Kouatchoua gato</t>
        </is>
      </c>
      <c r="C220" s="2" t="inlineStr">
        <is>
          <t>S132</t>
        </is>
      </c>
      <c r="D220" s="2" t="inlineStr">
        <is>
          <t>'Kouatchoua gato'!C7,D7</t>
        </is>
      </c>
      <c r="E220" s="2" t="inlineStr">
        <is>
          <t>sugar</t>
        </is>
      </c>
      <c r="F220" s="3" t="n">
        <v>1700</v>
      </c>
      <c r="G220" s="2" t="inlineStr">
        <is>
          <t>1700</t>
        </is>
      </c>
      <c r="H220" s="2" t="inlineStr">
        <is>
          <t>Retain unique variant; no equivalent operating card selected</t>
        </is>
      </c>
    </row>
    <row r="221">
      <c r="A221" s="2" t="inlineStr">
        <is>
          <t>L027</t>
        </is>
      </c>
      <c r="B221" s="2" t="inlineStr">
        <is>
          <t>Kouatchoua gato</t>
        </is>
      </c>
      <c r="C221" s="2" t="inlineStr">
        <is>
          <t>S132</t>
        </is>
      </c>
      <c r="D221" s="2" t="inlineStr">
        <is>
          <t>'Kouatchoua gato'!C8,D8</t>
        </is>
      </c>
      <c r="E221" s="2" t="inlineStr">
        <is>
          <t>Conc Milk</t>
        </is>
      </c>
      <c r="F221" s="3" t="n">
        <v>1000</v>
      </c>
      <c r="G221" s="2" t="inlineStr">
        <is>
          <t>1000</t>
        </is>
      </c>
      <c r="H221" s="2" t="inlineStr">
        <is>
          <t>Retain unique variant; no equivalent operating card selected</t>
        </is>
      </c>
    </row>
    <row r="222">
      <c r="A222" s="2" t="inlineStr">
        <is>
          <t>L027</t>
        </is>
      </c>
      <c r="B222" s="2" t="inlineStr">
        <is>
          <t>Kouatchoua gato</t>
        </is>
      </c>
      <c r="C222" s="2" t="inlineStr">
        <is>
          <t>S132</t>
        </is>
      </c>
      <c r="D222" s="2" t="inlineStr">
        <is>
          <t>'Kouatchoua gato'!C9,D9</t>
        </is>
      </c>
      <c r="E222" s="2" t="inlineStr">
        <is>
          <t>egg</t>
        </is>
      </c>
      <c r="F222" s="3" t="n">
        <v>1000</v>
      </c>
      <c r="G222" s="2" t="inlineStr">
        <is>
          <t>1000</t>
        </is>
      </c>
      <c r="H222" s="2" t="inlineStr">
        <is>
          <t>Retain unique variant; no equivalent operating card selected</t>
        </is>
      </c>
    </row>
    <row r="223">
      <c r="A223" s="2" t="inlineStr">
        <is>
          <t>L027</t>
        </is>
      </c>
      <c r="B223" s="2" t="inlineStr">
        <is>
          <t>Kouatchoua gato</t>
        </is>
      </c>
      <c r="C223" s="2" t="inlineStr">
        <is>
          <t>S132</t>
        </is>
      </c>
      <c r="D223" s="2" t="inlineStr">
        <is>
          <t>'Kouatchoua gato'!C10,D10</t>
        </is>
      </c>
      <c r="E223" s="2" t="inlineStr">
        <is>
          <t>salt</t>
        </is>
      </c>
      <c r="F223" s="3" t="n">
        <v>290</v>
      </c>
      <c r="G223" s="2" t="inlineStr">
        <is>
          <t>290</t>
        </is>
      </c>
      <c r="H223" s="2" t="inlineStr">
        <is>
          <t>Retain unique variant; no equivalent operating card selected</t>
        </is>
      </c>
    </row>
    <row r="224">
      <c r="A224" s="2" t="inlineStr">
        <is>
          <t>L027</t>
        </is>
      </c>
      <c r="B224" s="2" t="inlineStr">
        <is>
          <t>Kouatchoua gato</t>
        </is>
      </c>
      <c r="C224" s="2" t="inlineStr">
        <is>
          <t>S132</t>
        </is>
      </c>
      <c r="D224" s="2" t="inlineStr">
        <is>
          <t>'Kouatchoua gato'!C11,D11</t>
        </is>
      </c>
      <c r="E224" s="2" t="inlineStr">
        <is>
          <t>improver</t>
        </is>
      </c>
      <c r="F224" s="3" t="n">
        <v>140</v>
      </c>
      <c r="G224" s="2" t="inlineStr">
        <is>
          <t>140</t>
        </is>
      </c>
      <c r="H224" s="2" t="inlineStr">
        <is>
          <t>Retain unique variant; no equivalent operating card selected</t>
        </is>
      </c>
    </row>
    <row r="225">
      <c r="A225" s="2" t="inlineStr">
        <is>
          <t>L027</t>
        </is>
      </c>
      <c r="B225" s="2" t="inlineStr">
        <is>
          <t>Kouatchoua gato</t>
        </is>
      </c>
      <c r="C225" s="2" t="inlineStr">
        <is>
          <t>S132</t>
        </is>
      </c>
      <c r="D225" s="2" t="inlineStr">
        <is>
          <t>'Kouatchoua gato'!C12,D12</t>
        </is>
      </c>
      <c r="E225" s="2" t="inlineStr">
        <is>
          <t>yeast</t>
        </is>
      </c>
      <c r="F225" s="3" t="n">
        <v>130</v>
      </c>
      <c r="G225" s="2" t="inlineStr">
        <is>
          <t>130</t>
        </is>
      </c>
      <c r="H225" s="2" t="inlineStr">
        <is>
          <t>Retain unique variant; no equivalent operating card selected</t>
        </is>
      </c>
    </row>
    <row r="226">
      <c r="A226" s="2" t="inlineStr">
        <is>
          <t>L027</t>
        </is>
      </c>
      <c r="B226" s="2" t="inlineStr">
        <is>
          <t>Kouatchoua gato</t>
        </is>
      </c>
      <c r="C226" s="2" t="inlineStr">
        <is>
          <t>S132</t>
        </is>
      </c>
      <c r="D226" s="2" t="inlineStr">
        <is>
          <t>'Kouatchoua gato'!C13,D13</t>
        </is>
      </c>
      <c r="E226" s="2" t="inlineStr">
        <is>
          <t>water</t>
        </is>
      </c>
      <c r="F226" s="3" t="n">
        <v>10000</v>
      </c>
      <c r="G226" s="2" t="inlineStr">
        <is>
          <t>10000</t>
        </is>
      </c>
      <c r="H226" s="2" t="inlineStr">
        <is>
          <t>Retain unique variant; no equivalent operating card selected</t>
        </is>
      </c>
    </row>
    <row r="227">
      <c r="A227" s="2" t="inlineStr">
        <is>
          <t>L027</t>
        </is>
      </c>
      <c r="B227" s="2" t="inlineStr">
        <is>
          <t>Kouatchoua gato</t>
        </is>
      </c>
      <c r="C227" s="2" t="inlineStr">
        <is>
          <t>S132</t>
        </is>
      </c>
      <c r="D227" s="2" t="inlineStr">
        <is>
          <t>'Kouatchoua gato'!C14,D14</t>
        </is>
      </c>
      <c r="E227" s="2" t="inlineStr">
        <is>
          <t>baking powder</t>
        </is>
      </c>
      <c r="F227" s="3" t="n">
        <v>150</v>
      </c>
      <c r="G227" s="2" t="inlineStr">
        <is>
          <t>150</t>
        </is>
      </c>
      <c r="H227" s="2" t="inlineStr">
        <is>
          <t>Retain unique variant; no equivalent operating card selected</t>
        </is>
      </c>
    </row>
    <row r="228">
      <c r="A228" s="2" t="inlineStr">
        <is>
          <t>L027</t>
        </is>
      </c>
      <c r="B228" s="2" t="inlineStr">
        <is>
          <t>Kouatchoua gato</t>
        </is>
      </c>
      <c r="C228" s="2" t="inlineStr">
        <is>
          <t>S132</t>
        </is>
      </c>
      <c r="D228" s="2" t="inlineStr">
        <is>
          <t>'Kouatchoua gato'!C15,D15</t>
        </is>
      </c>
      <c r="E228" s="2" t="inlineStr">
        <is>
          <t>frying oil</t>
        </is>
      </c>
      <c r="F228" s="3" t="n">
        <v>8000</v>
      </c>
      <c r="G228" s="2" t="inlineStr">
        <is>
          <t>8000</t>
        </is>
      </c>
      <c r="H228" s="2" t="inlineStr">
        <is>
          <t>Retain unique variant; no equivalent operating card selected</t>
        </is>
      </c>
    </row>
    <row r="229">
      <c r="A229" s="2" t="inlineStr">
        <is>
          <t>L028</t>
        </is>
      </c>
      <c r="B229" s="2" t="inlineStr">
        <is>
          <t>Kouatchoua gato</t>
        </is>
      </c>
      <c r="C229" s="2" t="inlineStr">
        <is>
          <t>S132</t>
        </is>
      </c>
      <c r="D229" s="2" t="inlineStr">
        <is>
          <t>'Kouatchoua gato'!C5,J5</t>
        </is>
      </c>
      <c r="E229" s="2" t="inlineStr">
        <is>
          <t>flour</t>
        </is>
      </c>
      <c r="F229" s="3" t="n">
        <v>20000</v>
      </c>
      <c r="G229" s="2" t="inlineStr">
        <is>
          <t>20000</t>
        </is>
      </c>
      <c r="H229" s="2" t="inlineStr">
        <is>
          <t>Retain unique variant; no equivalent operating card selected</t>
        </is>
      </c>
    </row>
    <row r="230">
      <c r="A230" s="2" t="inlineStr">
        <is>
          <t>L028</t>
        </is>
      </c>
      <c r="B230" s="2" t="inlineStr">
        <is>
          <t>Kouatchoua gato</t>
        </is>
      </c>
      <c r="C230" s="2" t="inlineStr">
        <is>
          <t>S132</t>
        </is>
      </c>
      <c r="D230" s="2" t="inlineStr">
        <is>
          <t>'Kouatchoua gato'!C6,J6</t>
        </is>
      </c>
      <c r="E230" s="2" t="inlineStr">
        <is>
          <t>Butter</t>
        </is>
      </c>
      <c r="F230" s="3" t="n">
        <v>560</v>
      </c>
      <c r="G230" s="2" t="inlineStr">
        <is>
          <t>560</t>
        </is>
      </c>
      <c r="H230" s="2" t="inlineStr">
        <is>
          <t>Retain unique variant; no equivalent operating card selected</t>
        </is>
      </c>
    </row>
    <row r="231">
      <c r="A231" s="2" t="inlineStr">
        <is>
          <t>L028</t>
        </is>
      </c>
      <c r="B231" s="2" t="inlineStr">
        <is>
          <t>Kouatchoua gato</t>
        </is>
      </c>
      <c r="C231" s="2" t="inlineStr">
        <is>
          <t>S132</t>
        </is>
      </c>
      <c r="D231" s="2" t="inlineStr">
        <is>
          <t>'Kouatchoua gato'!C7,J7</t>
        </is>
      </c>
      <c r="E231" s="2" t="inlineStr">
        <is>
          <t>sugar</t>
        </is>
      </c>
      <c r="F231" s="3" t="n">
        <v>800</v>
      </c>
      <c r="G231" s="2" t="inlineStr">
        <is>
          <t>800</t>
        </is>
      </c>
      <c r="H231" s="2" t="inlineStr">
        <is>
          <t>Retain unique variant; no equivalent operating card selected</t>
        </is>
      </c>
    </row>
    <row r="232">
      <c r="A232" s="2" t="inlineStr">
        <is>
          <t>L028</t>
        </is>
      </c>
      <c r="B232" s="2" t="inlineStr">
        <is>
          <t>Kouatchoua gato</t>
        </is>
      </c>
      <c r="C232" s="2" t="inlineStr">
        <is>
          <t>S132</t>
        </is>
      </c>
      <c r="D232" s="2" t="inlineStr">
        <is>
          <t>'Kouatchoua gato'!C8,J8</t>
        </is>
      </c>
      <c r="E232" s="2" t="inlineStr">
        <is>
          <t>Conc Milk</t>
        </is>
      </c>
      <c r="F232" s="3" t="n">
        <v>500</v>
      </c>
      <c r="G232" s="2" t="inlineStr">
        <is>
          <t>500</t>
        </is>
      </c>
      <c r="H232" s="2" t="inlineStr">
        <is>
          <t>Retain unique variant; no equivalent operating card selected</t>
        </is>
      </c>
    </row>
    <row r="233">
      <c r="A233" s="2" t="inlineStr">
        <is>
          <t>L028</t>
        </is>
      </c>
      <c r="B233" s="2" t="inlineStr">
        <is>
          <t>Kouatchoua gato</t>
        </is>
      </c>
      <c r="C233" s="2" t="inlineStr">
        <is>
          <t>S132</t>
        </is>
      </c>
      <c r="D233" s="2" t="inlineStr">
        <is>
          <t>'Kouatchoua gato'!C9,J9</t>
        </is>
      </c>
      <c r="E233" s="2" t="inlineStr">
        <is>
          <t>egg</t>
        </is>
      </c>
      <c r="F233" s="3" t="n">
        <v>144</v>
      </c>
      <c r="G233" s="2" t="inlineStr">
        <is>
          <t>144</t>
        </is>
      </c>
      <c r="H233" s="2" t="inlineStr">
        <is>
          <t>Retain unique variant; no equivalent operating card selected</t>
        </is>
      </c>
    </row>
    <row r="234">
      <c r="A234" s="2" t="inlineStr">
        <is>
          <t>L028</t>
        </is>
      </c>
      <c r="B234" s="2" t="inlineStr">
        <is>
          <t>Kouatchoua gato</t>
        </is>
      </c>
      <c r="C234" s="2" t="inlineStr">
        <is>
          <t>S132</t>
        </is>
      </c>
      <c r="D234" s="2" t="inlineStr">
        <is>
          <t>'Kouatchoua gato'!C10,J10</t>
        </is>
      </c>
      <c r="E234" s="2" t="inlineStr">
        <is>
          <t>salt</t>
        </is>
      </c>
      <c r="F234" s="3" t="n">
        <v>166</v>
      </c>
      <c r="G234" s="2" t="inlineStr">
        <is>
          <t>166</t>
        </is>
      </c>
      <c r="H234" s="2" t="inlineStr">
        <is>
          <t>Retain unique variant; no equivalent operating card selected</t>
        </is>
      </c>
    </row>
    <row r="235">
      <c r="A235" s="2" t="inlineStr">
        <is>
          <t>L028</t>
        </is>
      </c>
      <c r="B235" s="2" t="inlineStr">
        <is>
          <t>Kouatchoua gato</t>
        </is>
      </c>
      <c r="C235" s="2" t="inlineStr">
        <is>
          <t>S132</t>
        </is>
      </c>
      <c r="D235" s="2" t="inlineStr">
        <is>
          <t>'Kouatchoua gato'!C11,J11</t>
        </is>
      </c>
      <c r="E235" s="2" t="inlineStr">
        <is>
          <t>improver</t>
        </is>
      </c>
      <c r="F235" s="3" t="n">
        <v>140</v>
      </c>
      <c r="G235" s="2" t="inlineStr">
        <is>
          <t>=D11 [cached: 140]</t>
        </is>
      </c>
      <c r="H235" s="2" t="inlineStr">
        <is>
          <t>Retain unique variant; no equivalent operating card selected</t>
        </is>
      </c>
    </row>
    <row r="236">
      <c r="A236" s="2" t="inlineStr">
        <is>
          <t>L028</t>
        </is>
      </c>
      <c r="B236" s="2" t="inlineStr">
        <is>
          <t>Kouatchoua gato</t>
        </is>
      </c>
      <c r="C236" s="2" t="inlineStr">
        <is>
          <t>S132</t>
        </is>
      </c>
      <c r="D236" s="2" t="inlineStr">
        <is>
          <t>'Kouatchoua gato'!C12,J12</t>
        </is>
      </c>
      <c r="E236" s="2" t="inlineStr">
        <is>
          <t>yeast</t>
        </is>
      </c>
      <c r="F236" s="3" t="n">
        <v>70</v>
      </c>
      <c r="G236" s="2" t="inlineStr">
        <is>
          <t>70</t>
        </is>
      </c>
      <c r="H236" s="2" t="inlineStr">
        <is>
          <t>Retain unique variant; no equivalent operating card selected</t>
        </is>
      </c>
    </row>
    <row r="237">
      <c r="A237" s="2" t="inlineStr">
        <is>
          <t>L028</t>
        </is>
      </c>
      <c r="B237" s="2" t="inlineStr">
        <is>
          <t>Kouatchoua gato</t>
        </is>
      </c>
      <c r="C237" s="2" t="inlineStr">
        <is>
          <t>S132</t>
        </is>
      </c>
      <c r="D237" s="2" t="inlineStr">
        <is>
          <t>'Kouatchoua gato'!C13,J13</t>
        </is>
      </c>
      <c r="E237" s="2" t="inlineStr">
        <is>
          <t>water</t>
        </is>
      </c>
      <c r="F237" s="3" t="n">
        <v>7000</v>
      </c>
      <c r="G237" s="2" t="inlineStr">
        <is>
          <t>7000</t>
        </is>
      </c>
      <c r="H237" s="2" t="inlineStr">
        <is>
          <t>Retain unique variant; no equivalent operating card selected</t>
        </is>
      </c>
    </row>
    <row r="238">
      <c r="A238" s="2" t="inlineStr">
        <is>
          <t>L028</t>
        </is>
      </c>
      <c r="B238" s="2" t="inlineStr">
        <is>
          <t>Kouatchoua gato</t>
        </is>
      </c>
      <c r="C238" s="2" t="inlineStr">
        <is>
          <t>S132</t>
        </is>
      </c>
      <c r="D238" s="2" t="inlineStr">
        <is>
          <t>'Kouatchoua gato'!C14,J14</t>
        </is>
      </c>
      <c r="E238" s="2" t="inlineStr">
        <is>
          <t>baking powder</t>
        </is>
      </c>
      <c r="F238" s="3" t="n">
        <v>20</v>
      </c>
      <c r="G238" s="2" t="inlineStr">
        <is>
          <t>20</t>
        </is>
      </c>
      <c r="H238" s="2" t="inlineStr">
        <is>
          <t>Retain unique variant; no equivalent operating card selected</t>
        </is>
      </c>
    </row>
    <row r="239">
      <c r="A239" s="2" t="inlineStr">
        <is>
          <t>L028</t>
        </is>
      </c>
      <c r="B239" s="2" t="inlineStr">
        <is>
          <t>Kouatchoua gato</t>
        </is>
      </c>
      <c r="C239" s="2" t="inlineStr">
        <is>
          <t>S132</t>
        </is>
      </c>
      <c r="D239" s="2" t="inlineStr">
        <is>
          <t>'Kouatchoua gato'!C15,J15</t>
        </is>
      </c>
      <c r="E239" s="2" t="inlineStr">
        <is>
          <t>frying oil</t>
        </is>
      </c>
      <c r="F239" s="3" t="n">
        <v>8000</v>
      </c>
      <c r="G239" s="2" t="inlineStr">
        <is>
          <t>=D15 [cached: 8000]</t>
        </is>
      </c>
      <c r="H239" s="2" t="inlineStr">
        <is>
          <t>Retain unique variant; no equivalent operating card selected</t>
        </is>
      </c>
    </row>
    <row r="240">
      <c r="A240" s="2" t="inlineStr">
        <is>
          <t>L029</t>
        </is>
      </c>
      <c r="B240" s="2" t="inlineStr">
        <is>
          <t>Kumba bread</t>
        </is>
      </c>
      <c r="C240" s="2" t="inlineStr">
        <is>
          <t>S132</t>
        </is>
      </c>
      <c r="D240" s="2" t="inlineStr">
        <is>
          <t>'Kumba bread'!C5,D5</t>
        </is>
      </c>
      <c r="E240" s="2" t="inlineStr">
        <is>
          <t>flour</t>
        </is>
      </c>
      <c r="F240" s="3" t="n">
        <v>25000</v>
      </c>
      <c r="G240" s="2" t="inlineStr">
        <is>
          <t>=F5/2 [cached: 25000]</t>
        </is>
      </c>
      <c r="H240" s="2" t="inlineStr">
        <is>
          <t>S-B02</t>
        </is>
      </c>
    </row>
    <row r="241">
      <c r="A241" s="2" t="inlineStr">
        <is>
          <t>L029</t>
        </is>
      </c>
      <c r="B241" s="2" t="inlineStr">
        <is>
          <t>Kumba bread</t>
        </is>
      </c>
      <c r="C241" s="2" t="inlineStr">
        <is>
          <t>S132</t>
        </is>
      </c>
      <c r="D241" s="2" t="inlineStr">
        <is>
          <t>'Kumba bread'!C6,D6</t>
        </is>
      </c>
      <c r="E241" s="2" t="inlineStr">
        <is>
          <t>Butter</t>
        </is>
      </c>
      <c r="F241" s="3" t="n">
        <v>1250</v>
      </c>
      <c r="G241" s="2" t="inlineStr">
        <is>
          <t>=F6/2 [cached: 1250]</t>
        </is>
      </c>
      <c r="H241" s="2" t="inlineStr">
        <is>
          <t>S-B02</t>
        </is>
      </c>
    </row>
    <row r="242">
      <c r="A242" s="2" t="inlineStr">
        <is>
          <t>L029</t>
        </is>
      </c>
      <c r="B242" s="2" t="inlineStr">
        <is>
          <t>Kumba bread</t>
        </is>
      </c>
      <c r="C242" s="2" t="inlineStr">
        <is>
          <t>S132</t>
        </is>
      </c>
      <c r="D242" s="2" t="inlineStr">
        <is>
          <t>'Kumba bread'!C7,D7</t>
        </is>
      </c>
      <c r="E242" s="2" t="inlineStr">
        <is>
          <t>sugar</t>
        </is>
      </c>
      <c r="F242" s="3" t="n">
        <v>2750</v>
      </c>
      <c r="G242" s="2" t="inlineStr">
        <is>
          <t>=F7/2 [cached: 2750]</t>
        </is>
      </c>
      <c r="H242" s="2" t="inlineStr">
        <is>
          <t>S-B02</t>
        </is>
      </c>
    </row>
    <row r="243">
      <c r="A243" s="2" t="inlineStr">
        <is>
          <t>L029</t>
        </is>
      </c>
      <c r="B243" s="2" t="inlineStr">
        <is>
          <t>Kumba bread</t>
        </is>
      </c>
      <c r="C243" s="2" t="inlineStr">
        <is>
          <t>S132</t>
        </is>
      </c>
      <c r="D243" s="2" t="inlineStr">
        <is>
          <t>'Kumba bread'!C8,D8</t>
        </is>
      </c>
      <c r="E243" s="2" t="inlineStr">
        <is>
          <t>pwd Milk</t>
        </is>
      </c>
      <c r="F243" s="3" t="n">
        <v>500</v>
      </c>
      <c r="G243" s="2" t="inlineStr">
        <is>
          <t>=F8/2 [cached: 500]</t>
        </is>
      </c>
      <c r="H243" s="2" t="inlineStr">
        <is>
          <t>S-B02</t>
        </is>
      </c>
    </row>
    <row r="244">
      <c r="A244" s="2" t="inlineStr">
        <is>
          <t>L029</t>
        </is>
      </c>
      <c r="B244" s="2" t="inlineStr">
        <is>
          <t>Kumba bread</t>
        </is>
      </c>
      <c r="C244" s="2" t="inlineStr">
        <is>
          <t>S132</t>
        </is>
      </c>
      <c r="D244" s="2" t="inlineStr">
        <is>
          <t>'Kumba bread'!C9,D9</t>
        </is>
      </c>
      <c r="E244" s="2" t="inlineStr">
        <is>
          <t>salt</t>
        </is>
      </c>
      <c r="F244" s="3" t="n">
        <v>250</v>
      </c>
      <c r="G244" s="2" t="inlineStr">
        <is>
          <t>=F9/2 [cached: 250]</t>
        </is>
      </c>
      <c r="H244" s="2" t="inlineStr">
        <is>
          <t>S-B02</t>
        </is>
      </c>
    </row>
    <row r="245">
      <c r="A245" s="2" t="inlineStr">
        <is>
          <t>L029</t>
        </is>
      </c>
      <c r="B245" s="2" t="inlineStr">
        <is>
          <t>Kumba bread</t>
        </is>
      </c>
      <c r="C245" s="2" t="inlineStr">
        <is>
          <t>S132</t>
        </is>
      </c>
      <c r="D245" s="2" t="inlineStr">
        <is>
          <t>'Kumba bread'!C10,D10</t>
        </is>
      </c>
      <c r="E245" s="2" t="inlineStr">
        <is>
          <t>improver</t>
        </is>
      </c>
      <c r="F245" s="3" t="n">
        <v>100</v>
      </c>
      <c r="G245" s="2" t="inlineStr">
        <is>
          <t>=F10/2 [cached: 100]</t>
        </is>
      </c>
      <c r="H245" s="2" t="inlineStr">
        <is>
          <t>S-B02</t>
        </is>
      </c>
    </row>
    <row r="246">
      <c r="A246" s="2" t="inlineStr">
        <is>
          <t>L029</t>
        </is>
      </c>
      <c r="B246" s="2" t="inlineStr">
        <is>
          <t>Kumba bread</t>
        </is>
      </c>
      <c r="C246" s="2" t="inlineStr">
        <is>
          <t>S132</t>
        </is>
      </c>
      <c r="D246" s="2" t="inlineStr">
        <is>
          <t>'Kumba bread'!C11,D11</t>
        </is>
      </c>
      <c r="E246" s="2" t="inlineStr">
        <is>
          <t>yeast</t>
        </is>
      </c>
      <c r="F246" s="3" t="n">
        <v>225</v>
      </c>
      <c r="G246" s="2" t="inlineStr">
        <is>
          <t>=F11/2 [cached: 225]</t>
        </is>
      </c>
      <c r="H246" s="2" t="inlineStr">
        <is>
          <t>S-B02</t>
        </is>
      </c>
    </row>
    <row r="247">
      <c r="A247" s="2" t="inlineStr">
        <is>
          <t>L029</t>
        </is>
      </c>
      <c r="B247" s="2" t="inlineStr">
        <is>
          <t>Kumba bread</t>
        </is>
      </c>
      <c r="C247" s="2" t="inlineStr">
        <is>
          <t>S132</t>
        </is>
      </c>
      <c r="D247" s="2" t="inlineStr">
        <is>
          <t>'Kumba bread'!C12,D12</t>
        </is>
      </c>
      <c r="E247" s="2" t="inlineStr">
        <is>
          <t>water</t>
        </is>
      </c>
      <c r="F247" s="3" t="n">
        <v>13500</v>
      </c>
      <c r="G247" s="2" t="inlineStr">
        <is>
          <t>=F12/2 [cached: 13500]</t>
        </is>
      </c>
      <c r="H247" s="2" t="inlineStr">
        <is>
          <t>S-B02</t>
        </is>
      </c>
    </row>
    <row r="248">
      <c r="A248" s="2" t="inlineStr">
        <is>
          <t>L030</t>
        </is>
      </c>
      <c r="B248" s="2" t="inlineStr">
        <is>
          <t>Melto</t>
        </is>
      </c>
      <c r="C248" s="2" t="inlineStr">
        <is>
          <t>S132</t>
        </is>
      </c>
      <c r="D248" s="2" t="inlineStr">
        <is>
          <t>'Melto'!C5,D5</t>
        </is>
      </c>
      <c r="E248" s="2" t="inlineStr">
        <is>
          <t>flour</t>
        </is>
      </c>
      <c r="F248" s="3" t="n">
        <v>4500</v>
      </c>
      <c r="G248" s="2" t="inlineStr">
        <is>
          <t>4500</t>
        </is>
      </c>
      <c r="H248" s="2" t="inlineStr">
        <is>
          <t>H06</t>
        </is>
      </c>
    </row>
    <row r="249">
      <c r="A249" s="2" t="inlineStr">
        <is>
          <t>L030</t>
        </is>
      </c>
      <c r="B249" s="2" t="inlineStr">
        <is>
          <t>Melto</t>
        </is>
      </c>
      <c r="C249" s="2" t="inlineStr">
        <is>
          <t>S132</t>
        </is>
      </c>
      <c r="D249" s="2" t="inlineStr">
        <is>
          <t>'Melto'!C6,D6</t>
        </is>
      </c>
      <c r="E249" s="2" t="inlineStr">
        <is>
          <t>Butter</t>
        </is>
      </c>
      <c r="F249" s="3" t="n">
        <v>2000</v>
      </c>
      <c r="G249" s="2" t="inlineStr">
        <is>
          <t>2000</t>
        </is>
      </c>
      <c r="H249" s="2" t="inlineStr">
        <is>
          <t>H06</t>
        </is>
      </c>
    </row>
    <row r="250">
      <c r="A250" s="2" t="inlineStr">
        <is>
          <t>L030</t>
        </is>
      </c>
      <c r="B250" s="2" t="inlineStr">
        <is>
          <t>Melto</t>
        </is>
      </c>
      <c r="C250" s="2" t="inlineStr">
        <is>
          <t>S132</t>
        </is>
      </c>
      <c r="D250" s="2" t="inlineStr">
        <is>
          <t>'Melto'!C7,D7</t>
        </is>
      </c>
      <c r="E250" s="2" t="inlineStr">
        <is>
          <t>icing sugar</t>
        </is>
      </c>
      <c r="F250" s="3" t="n">
        <v>400</v>
      </c>
      <c r="G250" s="2" t="inlineStr">
        <is>
          <t>400</t>
        </is>
      </c>
      <c r="H250" s="2" t="inlineStr">
        <is>
          <t>H06</t>
        </is>
      </c>
    </row>
    <row r="251">
      <c r="A251" s="2" t="inlineStr">
        <is>
          <t>L030</t>
        </is>
      </c>
      <c r="B251" s="2" t="inlineStr">
        <is>
          <t>Melto</t>
        </is>
      </c>
      <c r="C251" s="2" t="inlineStr">
        <is>
          <t>S132</t>
        </is>
      </c>
      <c r="D251" s="2" t="inlineStr">
        <is>
          <t>'Melto'!C8,D8</t>
        </is>
      </c>
      <c r="E251" s="2" t="inlineStr">
        <is>
          <t>egg</t>
        </is>
      </c>
      <c r="F251" s="3" t="n">
        <v>150</v>
      </c>
      <c r="G251" s="2" t="inlineStr">
        <is>
          <t>150</t>
        </is>
      </c>
      <c r="H251" s="2" t="inlineStr">
        <is>
          <t>H06</t>
        </is>
      </c>
    </row>
    <row r="252">
      <c r="A252" s="2" t="inlineStr">
        <is>
          <t>L030</t>
        </is>
      </c>
      <c r="B252" s="2" t="inlineStr">
        <is>
          <t>Melto</t>
        </is>
      </c>
      <c r="C252" s="2" t="inlineStr">
        <is>
          <t>S132</t>
        </is>
      </c>
      <c r="D252" s="2" t="inlineStr">
        <is>
          <t>'Melto'!C9,D9</t>
        </is>
      </c>
      <c r="E252" s="2" t="inlineStr">
        <is>
          <t>sugar</t>
        </is>
      </c>
      <c r="F252" s="3" t="n">
        <v>400</v>
      </c>
      <c r="G252" s="2" t="inlineStr">
        <is>
          <t>400</t>
        </is>
      </c>
      <c r="H252" s="2" t="inlineStr">
        <is>
          <t>H06</t>
        </is>
      </c>
    </row>
    <row r="253">
      <c r="A253" s="2" t="inlineStr">
        <is>
          <t>L030</t>
        </is>
      </c>
      <c r="B253" s="2" t="inlineStr">
        <is>
          <t>Melto</t>
        </is>
      </c>
      <c r="C253" s="2" t="inlineStr">
        <is>
          <t>S132</t>
        </is>
      </c>
      <c r="D253" s="2" t="inlineStr">
        <is>
          <t>'Melto'!C10,D10</t>
        </is>
      </c>
      <c r="E253" s="2" t="inlineStr">
        <is>
          <t>salt</t>
        </is>
      </c>
      <c r="F253" s="3" t="n">
        <v>40</v>
      </c>
      <c r="G253" s="2" t="inlineStr">
        <is>
          <t>40</t>
        </is>
      </c>
      <c r="H253" s="2" t="inlineStr">
        <is>
          <t>H06</t>
        </is>
      </c>
    </row>
    <row r="254">
      <c r="A254" s="2" t="inlineStr">
        <is>
          <t>L031</t>
        </is>
      </c>
      <c r="B254" s="2" t="inlineStr">
        <is>
          <t>Melto</t>
        </is>
      </c>
      <c r="C254" s="2" t="inlineStr">
        <is>
          <t>S132</t>
        </is>
      </c>
      <c r="D254" s="2" t="inlineStr">
        <is>
          <t>'Melto'!C5,F5</t>
        </is>
      </c>
      <c r="E254" s="2" t="inlineStr">
        <is>
          <t>flour</t>
        </is>
      </c>
      <c r="F254" s="3" t="n">
        <v>56250</v>
      </c>
      <c r="G254" s="2" t="inlineStr">
        <is>
          <t>=H5*12.5 [cached: 56250]</t>
        </is>
      </c>
      <c r="H254" s="2" t="inlineStr">
        <is>
          <t>H06</t>
        </is>
      </c>
    </row>
    <row r="255">
      <c r="A255" s="2" t="inlineStr">
        <is>
          <t>L031</t>
        </is>
      </c>
      <c r="B255" s="2" t="inlineStr">
        <is>
          <t>Melto</t>
        </is>
      </c>
      <c r="C255" s="2" t="inlineStr">
        <is>
          <t>S132</t>
        </is>
      </c>
      <c r="D255" s="2" t="inlineStr">
        <is>
          <t>'Melto'!C6,F6</t>
        </is>
      </c>
      <c r="E255" s="2" t="inlineStr">
        <is>
          <t>Butter</t>
        </is>
      </c>
      <c r="F255" s="3" t="n">
        <v>25000</v>
      </c>
      <c r="G255" s="2" t="inlineStr">
        <is>
          <t>=H6*12.5 [cached: 25000]</t>
        </is>
      </c>
      <c r="H255" s="2" t="inlineStr">
        <is>
          <t>H06</t>
        </is>
      </c>
    </row>
    <row r="256">
      <c r="A256" s="2" t="inlineStr">
        <is>
          <t>L031</t>
        </is>
      </c>
      <c r="B256" s="2" t="inlineStr">
        <is>
          <t>Melto</t>
        </is>
      </c>
      <c r="C256" s="2" t="inlineStr">
        <is>
          <t>S132</t>
        </is>
      </c>
      <c r="D256" s="2" t="inlineStr">
        <is>
          <t>'Melto'!C7,F7</t>
        </is>
      </c>
      <c r="E256" s="2" t="inlineStr">
        <is>
          <t>icing sugar</t>
        </is>
      </c>
      <c r="F256" s="3" t="n">
        <v>5000</v>
      </c>
      <c r="G256" s="2" t="inlineStr">
        <is>
          <t>=H7*12.5 [cached: 5000]</t>
        </is>
      </c>
      <c r="H256" s="2" t="inlineStr">
        <is>
          <t>H06</t>
        </is>
      </c>
    </row>
    <row r="257">
      <c r="A257" s="2" t="inlineStr">
        <is>
          <t>L031</t>
        </is>
      </c>
      <c r="B257" s="2" t="inlineStr">
        <is>
          <t>Melto</t>
        </is>
      </c>
      <c r="C257" s="2" t="inlineStr">
        <is>
          <t>S132</t>
        </is>
      </c>
      <c r="D257" s="2" t="inlineStr">
        <is>
          <t>'Melto'!C8,F8</t>
        </is>
      </c>
      <c r="E257" s="2" t="inlineStr">
        <is>
          <t>egg</t>
        </is>
      </c>
      <c r="F257" s="3" t="n">
        <v>625</v>
      </c>
      <c r="G257" s="2" t="inlineStr">
        <is>
          <t>=H8*12.5 [cached: 625]</t>
        </is>
      </c>
      <c r="H257" s="2" t="inlineStr">
        <is>
          <t>H06</t>
        </is>
      </c>
    </row>
    <row r="258">
      <c r="A258" s="2" t="inlineStr">
        <is>
          <t>L031</t>
        </is>
      </c>
      <c r="B258" s="2" t="inlineStr">
        <is>
          <t>Melto</t>
        </is>
      </c>
      <c r="C258" s="2" t="inlineStr">
        <is>
          <t>S132</t>
        </is>
      </c>
      <c r="D258" s="2" t="inlineStr">
        <is>
          <t>'Melto'!C9,F9</t>
        </is>
      </c>
      <c r="E258" s="2" t="inlineStr">
        <is>
          <t>sugar</t>
        </is>
      </c>
      <c r="F258" s="3" t="n">
        <v>5000</v>
      </c>
      <c r="G258" s="2" t="inlineStr">
        <is>
          <t>=H9*12.5 [cached: 5000]</t>
        </is>
      </c>
      <c r="H258" s="2" t="inlineStr">
        <is>
          <t>H06</t>
        </is>
      </c>
    </row>
    <row r="259">
      <c r="A259" s="2" t="inlineStr">
        <is>
          <t>L031</t>
        </is>
      </c>
      <c r="B259" s="2" t="inlineStr">
        <is>
          <t>Melto</t>
        </is>
      </c>
      <c r="C259" s="2" t="inlineStr">
        <is>
          <t>S132</t>
        </is>
      </c>
      <c r="D259" s="2" t="inlineStr">
        <is>
          <t>'Melto'!C10,F10</t>
        </is>
      </c>
      <c r="E259" s="2" t="inlineStr">
        <is>
          <t>salt</t>
        </is>
      </c>
      <c r="F259" s="3" t="n">
        <v>500</v>
      </c>
      <c r="G259" s="2" t="inlineStr">
        <is>
          <t>=H10*12.5 [cached: 500]</t>
        </is>
      </c>
      <c r="H259" s="2" t="inlineStr">
        <is>
          <t>H06</t>
        </is>
      </c>
    </row>
    <row r="260">
      <c r="A260" s="2" t="inlineStr">
        <is>
          <t>L032</t>
        </is>
      </c>
      <c r="B260" s="2" t="inlineStr">
        <is>
          <t>Melto1</t>
        </is>
      </c>
      <c r="C260" s="2" t="inlineStr">
        <is>
          <t>S132</t>
        </is>
      </c>
      <c r="D260" s="2" t="inlineStr">
        <is>
          <t>'Melto1'!C5,D5</t>
        </is>
      </c>
      <c r="E260" s="2" t="inlineStr">
        <is>
          <t>flour</t>
        </is>
      </c>
      <c r="F260" s="3" t="n">
        <v>4500</v>
      </c>
      <c r="G260" s="2" t="inlineStr">
        <is>
          <t>4500</t>
        </is>
      </c>
      <c r="H260" s="2" t="inlineStr">
        <is>
          <t>H06</t>
        </is>
      </c>
    </row>
    <row r="261">
      <c r="A261" s="2" t="inlineStr">
        <is>
          <t>L032</t>
        </is>
      </c>
      <c r="B261" s="2" t="inlineStr">
        <is>
          <t>Melto1</t>
        </is>
      </c>
      <c r="C261" s="2" t="inlineStr">
        <is>
          <t>S132</t>
        </is>
      </c>
      <c r="D261" s="2" t="inlineStr">
        <is>
          <t>'Melto1'!C6,D6</t>
        </is>
      </c>
      <c r="E261" s="2" t="inlineStr">
        <is>
          <t>Butter</t>
        </is>
      </c>
      <c r="F261" s="3" t="n">
        <v>2000</v>
      </c>
      <c r="G261" s="2" t="inlineStr">
        <is>
          <t>2000</t>
        </is>
      </c>
      <c r="H261" s="2" t="inlineStr">
        <is>
          <t>H06</t>
        </is>
      </c>
    </row>
    <row r="262">
      <c r="A262" s="2" t="inlineStr">
        <is>
          <t>L032</t>
        </is>
      </c>
      <c r="B262" s="2" t="inlineStr">
        <is>
          <t>Melto1</t>
        </is>
      </c>
      <c r="C262" s="2" t="inlineStr">
        <is>
          <t>S132</t>
        </is>
      </c>
      <c r="D262" s="2" t="inlineStr">
        <is>
          <t>'Melto1'!C7,D7</t>
        </is>
      </c>
      <c r="E262" s="2" t="inlineStr">
        <is>
          <t>icing sugar</t>
        </is>
      </c>
      <c r="F262" s="3" t="n">
        <v>300</v>
      </c>
      <c r="G262" s="2" t="inlineStr">
        <is>
          <t>300</t>
        </is>
      </c>
      <c r="H262" s="2" t="inlineStr">
        <is>
          <t>H06</t>
        </is>
      </c>
    </row>
    <row r="263">
      <c r="A263" s="2" t="inlineStr">
        <is>
          <t>L032</t>
        </is>
      </c>
      <c r="B263" s="2" t="inlineStr">
        <is>
          <t>Melto1</t>
        </is>
      </c>
      <c r="C263" s="2" t="inlineStr">
        <is>
          <t>S132</t>
        </is>
      </c>
      <c r="D263" s="2" t="inlineStr">
        <is>
          <t>'Melto1'!C8,D8</t>
        </is>
      </c>
      <c r="E263" s="2" t="inlineStr">
        <is>
          <t>egg</t>
        </is>
      </c>
      <c r="F263" s="3" t="n">
        <v>200</v>
      </c>
      <c r="G263" s="2" t="inlineStr">
        <is>
          <t>200</t>
        </is>
      </c>
      <c r="H263" s="2" t="inlineStr">
        <is>
          <t>H06</t>
        </is>
      </c>
    </row>
    <row r="264">
      <c r="A264" s="2" t="inlineStr">
        <is>
          <t>L032</t>
        </is>
      </c>
      <c r="B264" s="2" t="inlineStr">
        <is>
          <t>Melto1</t>
        </is>
      </c>
      <c r="C264" s="2" t="inlineStr">
        <is>
          <t>S132</t>
        </is>
      </c>
      <c r="D264" s="2" t="inlineStr">
        <is>
          <t>'Melto1'!C9,D9</t>
        </is>
      </c>
      <c r="E264" s="2" t="inlineStr">
        <is>
          <t>sugar</t>
        </is>
      </c>
      <c r="F264" s="3" t="n">
        <v>500</v>
      </c>
      <c r="G264" s="2" t="inlineStr">
        <is>
          <t>500</t>
        </is>
      </c>
      <c r="H264" s="2" t="inlineStr">
        <is>
          <t>H06</t>
        </is>
      </c>
    </row>
    <row r="265">
      <c r="A265" s="2" t="inlineStr">
        <is>
          <t>L032</t>
        </is>
      </c>
      <c r="B265" s="2" t="inlineStr">
        <is>
          <t>Melto1</t>
        </is>
      </c>
      <c r="C265" s="2" t="inlineStr">
        <is>
          <t>S132</t>
        </is>
      </c>
      <c r="D265" s="2" t="inlineStr">
        <is>
          <t>'Melto1'!C10,D10</t>
        </is>
      </c>
      <c r="E265" s="2" t="inlineStr">
        <is>
          <t>salt</t>
        </is>
      </c>
      <c r="F265" s="3" t="n">
        <v>40</v>
      </c>
      <c r="G265" s="2" t="inlineStr">
        <is>
          <t>40</t>
        </is>
      </c>
      <c r="H265" s="2" t="inlineStr">
        <is>
          <t>H06</t>
        </is>
      </c>
    </row>
    <row r="266">
      <c r="A266" s="2" t="inlineStr">
        <is>
          <t>L033</t>
        </is>
      </c>
      <c r="B266" s="2" t="inlineStr">
        <is>
          <t>Melto1</t>
        </is>
      </c>
      <c r="C266" s="2" t="inlineStr">
        <is>
          <t>S132</t>
        </is>
      </c>
      <c r="D266" s="2" t="inlineStr">
        <is>
          <t>'Melto1'!C5,H5</t>
        </is>
      </c>
      <c r="E266" s="2" t="inlineStr">
        <is>
          <t>flour</t>
        </is>
      </c>
      <c r="F266" s="3" t="n">
        <v>3300</v>
      </c>
      <c r="G266" s="2" t="inlineStr">
        <is>
          <t>3300</t>
        </is>
      </c>
      <c r="H266" s="2" t="inlineStr">
        <is>
          <t>H06</t>
        </is>
      </c>
    </row>
    <row r="267">
      <c r="A267" s="2" t="inlineStr">
        <is>
          <t>L033</t>
        </is>
      </c>
      <c r="B267" s="2" t="inlineStr">
        <is>
          <t>Melto1</t>
        </is>
      </c>
      <c r="C267" s="2" t="inlineStr">
        <is>
          <t>S132</t>
        </is>
      </c>
      <c r="D267" s="2" t="inlineStr">
        <is>
          <t>'Melto1'!C6,H6</t>
        </is>
      </c>
      <c r="E267" s="2" t="inlineStr">
        <is>
          <t>Butter</t>
        </is>
      </c>
      <c r="F267" s="3" t="n">
        <v>1600</v>
      </c>
      <c r="G267" s="2" t="inlineStr">
        <is>
          <t>1600</t>
        </is>
      </c>
      <c r="H267" s="2" t="inlineStr">
        <is>
          <t>H06</t>
        </is>
      </c>
    </row>
    <row r="268">
      <c r="A268" s="2" t="inlineStr">
        <is>
          <t>L033</t>
        </is>
      </c>
      <c r="B268" s="2" t="inlineStr">
        <is>
          <t>Melto1</t>
        </is>
      </c>
      <c r="C268" s="2" t="inlineStr">
        <is>
          <t>S132</t>
        </is>
      </c>
      <c r="D268" s="2" t="inlineStr">
        <is>
          <t>'Melto1'!C7,H7</t>
        </is>
      </c>
      <c r="E268" s="2" t="inlineStr">
        <is>
          <t>icing sugar</t>
        </is>
      </c>
      <c r="F268" s="3" t="n">
        <v>200</v>
      </c>
      <c r="G268" s="2" t="inlineStr">
        <is>
          <t>200</t>
        </is>
      </c>
      <c r="H268" s="2" t="inlineStr">
        <is>
          <t>H06</t>
        </is>
      </c>
    </row>
    <row r="269">
      <c r="A269" s="2" t="inlineStr">
        <is>
          <t>L033</t>
        </is>
      </c>
      <c r="B269" s="2" t="inlineStr">
        <is>
          <t>Melto1</t>
        </is>
      </c>
      <c r="C269" s="2" t="inlineStr">
        <is>
          <t>S132</t>
        </is>
      </c>
      <c r="D269" s="2" t="inlineStr">
        <is>
          <t>'Melto1'!C8,H8</t>
        </is>
      </c>
      <c r="E269" s="2" t="inlineStr">
        <is>
          <t>egg</t>
        </is>
      </c>
      <c r="F269" s="3" t="n">
        <v>100</v>
      </c>
      <c r="G269" s="2" t="inlineStr">
        <is>
          <t>100</t>
        </is>
      </c>
      <c r="H269" s="2" t="inlineStr">
        <is>
          <t>H06</t>
        </is>
      </c>
    </row>
    <row r="270">
      <c r="A270" s="2" t="inlineStr">
        <is>
          <t>L033</t>
        </is>
      </c>
      <c r="B270" s="2" t="inlineStr">
        <is>
          <t>Melto1</t>
        </is>
      </c>
      <c r="C270" s="2" t="inlineStr">
        <is>
          <t>S132</t>
        </is>
      </c>
      <c r="D270" s="2" t="inlineStr">
        <is>
          <t>'Melto1'!C9,H9</t>
        </is>
      </c>
      <c r="E270" s="2" t="inlineStr">
        <is>
          <t>sugar</t>
        </is>
      </c>
      <c r="F270" s="3" t="n">
        <v>400</v>
      </c>
      <c r="G270" s="2" t="inlineStr">
        <is>
          <t>400</t>
        </is>
      </c>
      <c r="H270" s="2" t="inlineStr">
        <is>
          <t>H06</t>
        </is>
      </c>
    </row>
    <row r="271">
      <c r="A271" s="2" t="inlineStr">
        <is>
          <t>L033</t>
        </is>
      </c>
      <c r="B271" s="2" t="inlineStr">
        <is>
          <t>Melto1</t>
        </is>
      </c>
      <c r="C271" s="2" t="inlineStr">
        <is>
          <t>S132</t>
        </is>
      </c>
      <c r="D271" s="2" t="inlineStr">
        <is>
          <t>'Melto1'!C10,H10</t>
        </is>
      </c>
      <c r="E271" s="2" t="inlineStr">
        <is>
          <t>salt</t>
        </is>
      </c>
      <c r="F271" s="3" t="n">
        <v>30</v>
      </c>
      <c r="G271" s="2" t="inlineStr">
        <is>
          <t>30</t>
        </is>
      </c>
      <c r="H271" s="2" t="inlineStr">
        <is>
          <t>H06</t>
        </is>
      </c>
    </row>
    <row r="272">
      <c r="A272" s="2" t="inlineStr">
        <is>
          <t>L034</t>
        </is>
      </c>
      <c r="B272" s="2" t="inlineStr">
        <is>
          <t>NEW BRIOCHE</t>
        </is>
      </c>
      <c r="C272" s="2" t="inlineStr">
        <is>
          <t>S132</t>
        </is>
      </c>
      <c r="D272" s="2" t="inlineStr">
        <is>
          <t>'NEW BRIOCHE'!C5,D5</t>
        </is>
      </c>
      <c r="E272" s="2" t="inlineStr">
        <is>
          <t>flour</t>
        </is>
      </c>
      <c r="F272" s="3" t="n">
        <v>10000</v>
      </c>
      <c r="G272" s="2" t="inlineStr">
        <is>
          <t>10000</t>
        </is>
      </c>
      <c r="H272" s="2" t="inlineStr">
        <is>
          <t>S-B06; richer true-butter variant</t>
        </is>
      </c>
    </row>
    <row r="273">
      <c r="A273" s="2" t="inlineStr">
        <is>
          <t>L034</t>
        </is>
      </c>
      <c r="B273" s="2" t="inlineStr">
        <is>
          <t>NEW BRIOCHE</t>
        </is>
      </c>
      <c r="C273" s="2" t="inlineStr">
        <is>
          <t>S132</t>
        </is>
      </c>
      <c r="D273" s="2" t="inlineStr">
        <is>
          <t>'NEW BRIOCHE'!C6,D6</t>
        </is>
      </c>
      <c r="E273" s="2" t="inlineStr">
        <is>
          <t>Butter</t>
        </is>
      </c>
      <c r="F273" s="3" t="n">
        <v>2500</v>
      </c>
      <c r="G273" s="2" t="inlineStr">
        <is>
          <t>2500</t>
        </is>
      </c>
      <c r="H273" s="2" t="inlineStr">
        <is>
          <t>S-B06; richer true-butter variant</t>
        </is>
      </c>
    </row>
    <row r="274">
      <c r="A274" s="2" t="inlineStr">
        <is>
          <t>L034</t>
        </is>
      </c>
      <c r="B274" s="2" t="inlineStr">
        <is>
          <t>NEW BRIOCHE</t>
        </is>
      </c>
      <c r="C274" s="2" t="inlineStr">
        <is>
          <t>S132</t>
        </is>
      </c>
      <c r="D274" s="2" t="inlineStr">
        <is>
          <t>'NEW BRIOCHE'!C7,D7</t>
        </is>
      </c>
      <c r="E274" s="2" t="inlineStr">
        <is>
          <t>sugar</t>
        </is>
      </c>
      <c r="F274" s="3" t="n">
        <v>1500</v>
      </c>
      <c r="G274" s="2" t="inlineStr">
        <is>
          <t>1500</t>
        </is>
      </c>
      <c r="H274" s="2" t="inlineStr">
        <is>
          <t>S-B06; richer true-butter variant</t>
        </is>
      </c>
    </row>
    <row r="275">
      <c r="A275" s="2" t="inlineStr">
        <is>
          <t>L034</t>
        </is>
      </c>
      <c r="B275" s="2" t="inlineStr">
        <is>
          <t>NEW BRIOCHE</t>
        </is>
      </c>
      <c r="C275" s="2" t="inlineStr">
        <is>
          <t>S132</t>
        </is>
      </c>
      <c r="D275" s="2" t="inlineStr">
        <is>
          <t>'NEW BRIOCHE'!C8,D8</t>
        </is>
      </c>
      <c r="E275" s="2" t="inlineStr">
        <is>
          <t>Milk</t>
        </is>
      </c>
      <c r="F275" s="3" t="n">
        <v>800</v>
      </c>
      <c r="G275" s="2" t="inlineStr">
        <is>
          <t>800</t>
        </is>
      </c>
      <c r="H275" s="2" t="inlineStr">
        <is>
          <t>S-B06; richer true-butter variant</t>
        </is>
      </c>
    </row>
    <row r="276">
      <c r="A276" s="2" t="inlineStr">
        <is>
          <t>L034</t>
        </is>
      </c>
      <c r="B276" s="2" t="inlineStr">
        <is>
          <t>NEW BRIOCHE</t>
        </is>
      </c>
      <c r="C276" s="2" t="inlineStr">
        <is>
          <t>S132</t>
        </is>
      </c>
      <c r="D276" s="2" t="inlineStr">
        <is>
          <t>'NEW BRIOCHE'!C9,D9</t>
        </is>
      </c>
      <c r="E276" s="2" t="inlineStr">
        <is>
          <t>egg</t>
        </is>
      </c>
      <c r="F276" s="3" t="n">
        <v>500</v>
      </c>
      <c r="G276" s="2" t="inlineStr">
        <is>
          <t>500</t>
        </is>
      </c>
      <c r="H276" s="2" t="inlineStr">
        <is>
          <t>S-B06; richer true-butter variant</t>
        </is>
      </c>
    </row>
    <row r="277">
      <c r="A277" s="2" t="inlineStr">
        <is>
          <t>L034</t>
        </is>
      </c>
      <c r="B277" s="2" t="inlineStr">
        <is>
          <t>NEW BRIOCHE</t>
        </is>
      </c>
      <c r="C277" s="2" t="inlineStr">
        <is>
          <t>S132</t>
        </is>
      </c>
      <c r="D277" s="2" t="inlineStr">
        <is>
          <t>'NEW BRIOCHE'!C10,D10</t>
        </is>
      </c>
      <c r="E277" s="2" t="inlineStr">
        <is>
          <t>salt</t>
        </is>
      </c>
      <c r="F277" s="3" t="n">
        <v>120</v>
      </c>
      <c r="G277" s="2" t="inlineStr">
        <is>
          <t>120</t>
        </is>
      </c>
      <c r="H277" s="2" t="inlineStr">
        <is>
          <t>S-B06; richer true-butter variant</t>
        </is>
      </c>
    </row>
    <row r="278">
      <c r="A278" s="2" t="inlineStr">
        <is>
          <t>L034</t>
        </is>
      </c>
      <c r="B278" s="2" t="inlineStr">
        <is>
          <t>NEW BRIOCHE</t>
        </is>
      </c>
      <c r="C278" s="2" t="inlineStr">
        <is>
          <t>S132</t>
        </is>
      </c>
      <c r="D278" s="2" t="inlineStr">
        <is>
          <t>'NEW BRIOCHE'!C11,D11</t>
        </is>
      </c>
      <c r="E278" s="2" t="inlineStr">
        <is>
          <t>improver</t>
        </is>
      </c>
      <c r="F278" s="3" t="n">
        <v>120</v>
      </c>
      <c r="G278" s="2" t="inlineStr">
        <is>
          <t>120</t>
        </is>
      </c>
      <c r="H278" s="2" t="inlineStr">
        <is>
          <t>S-B06; richer true-butter variant</t>
        </is>
      </c>
    </row>
    <row r="279">
      <c r="A279" s="2" t="inlineStr">
        <is>
          <t>L034</t>
        </is>
      </c>
      <c r="B279" s="2" t="inlineStr">
        <is>
          <t>NEW BRIOCHE</t>
        </is>
      </c>
      <c r="C279" s="2" t="inlineStr">
        <is>
          <t>S132</t>
        </is>
      </c>
      <c r="D279" s="2" t="inlineStr">
        <is>
          <t>'NEW BRIOCHE'!C12,D12</t>
        </is>
      </c>
      <c r="E279" s="2" t="inlineStr">
        <is>
          <t>yeast</t>
        </is>
      </c>
      <c r="F279" s="3" t="n">
        <v>140</v>
      </c>
      <c r="G279" s="2" t="inlineStr">
        <is>
          <t>140</t>
        </is>
      </c>
      <c r="H279" s="2" t="inlineStr">
        <is>
          <t>S-B06; richer true-butter variant</t>
        </is>
      </c>
    </row>
    <row r="280">
      <c r="A280" s="2" t="inlineStr">
        <is>
          <t>L034</t>
        </is>
      </c>
      <c r="B280" s="2" t="inlineStr">
        <is>
          <t>NEW BRIOCHE</t>
        </is>
      </c>
      <c r="C280" s="2" t="inlineStr">
        <is>
          <t>S132</t>
        </is>
      </c>
      <c r="D280" s="2" t="inlineStr">
        <is>
          <t>'NEW BRIOCHE'!C13,D13</t>
        </is>
      </c>
      <c r="E280" s="2" t="inlineStr">
        <is>
          <t>water</t>
        </is>
      </c>
      <c r="F280" s="3" t="n">
        <v>1500</v>
      </c>
      <c r="G280" s="2" t="inlineStr">
        <is>
          <t>1500</t>
        </is>
      </c>
      <c r="H280" s="2" t="inlineStr">
        <is>
          <t>S-B06; richer true-butter variant</t>
        </is>
      </c>
    </row>
    <row r="281">
      <c r="A281" s="2" t="inlineStr">
        <is>
          <t>L034</t>
        </is>
      </c>
      <c r="B281" s="2" t="inlineStr">
        <is>
          <t>NEW BRIOCHE</t>
        </is>
      </c>
      <c r="C281" s="2" t="inlineStr">
        <is>
          <t>S132</t>
        </is>
      </c>
      <c r="D281" s="2" t="inlineStr">
        <is>
          <t>'NEW BRIOCHE'!C14,D14</t>
        </is>
      </c>
      <c r="E281" s="2" t="inlineStr">
        <is>
          <t>Milk tantalizer</t>
        </is>
      </c>
      <c r="F281" s="3" t="n">
        <v>8</v>
      </c>
      <c r="G281" s="2" t="inlineStr">
        <is>
          <t>8</t>
        </is>
      </c>
      <c r="H281" s="2" t="inlineStr">
        <is>
          <t>S-B06; richer true-butter variant</t>
        </is>
      </c>
    </row>
    <row r="282">
      <c r="A282" s="2" t="inlineStr">
        <is>
          <t>L034</t>
        </is>
      </c>
      <c r="B282" s="2" t="inlineStr">
        <is>
          <t>NEW BRIOCHE</t>
        </is>
      </c>
      <c r="C282" s="2" t="inlineStr">
        <is>
          <t>S132</t>
        </is>
      </c>
      <c r="D282" s="2" t="inlineStr">
        <is>
          <t>'NEW BRIOCHE'!C15,D15</t>
        </is>
      </c>
      <c r="E282" s="2" t="inlineStr">
        <is>
          <t>EDC</t>
        </is>
      </c>
      <c r="F282" s="3" t="n">
        <v>25</v>
      </c>
      <c r="G282" s="2" t="inlineStr">
        <is>
          <t>25</t>
        </is>
      </c>
      <c r="H282" s="2" t="inlineStr">
        <is>
          <t>S-B06; richer true-butter variant</t>
        </is>
      </c>
    </row>
    <row r="283">
      <c r="A283" s="2" t="inlineStr">
        <is>
          <t>L035</t>
        </is>
      </c>
      <c r="B283" s="2" t="inlineStr">
        <is>
          <t>NGALA BREAD</t>
        </is>
      </c>
      <c r="C283" s="2" t="inlineStr">
        <is>
          <t>S132</t>
        </is>
      </c>
      <c r="D283" s="2" t="inlineStr">
        <is>
          <t>'NGALA BREAD'!C5,D5</t>
        </is>
      </c>
      <c r="E283" s="2" t="inlineStr">
        <is>
          <t>flour</t>
        </is>
      </c>
      <c r="F283" s="3" t="n">
        <v>8500</v>
      </c>
      <c r="G283" s="2" t="inlineStr">
        <is>
          <t>8500</t>
        </is>
      </c>
      <c r="H283" s="2" t="inlineStr">
        <is>
          <t>M1-B01–B13</t>
        </is>
      </c>
    </row>
    <row r="284">
      <c r="A284" s="2" t="inlineStr">
        <is>
          <t>L035</t>
        </is>
      </c>
      <c r="B284" s="2" t="inlineStr">
        <is>
          <t>NGALA BREAD</t>
        </is>
      </c>
      <c r="C284" s="2" t="inlineStr">
        <is>
          <t>S132</t>
        </is>
      </c>
      <c r="D284" s="2" t="inlineStr">
        <is>
          <t>'NGALA BREAD'!C6,D6</t>
        </is>
      </c>
      <c r="E284" s="2" t="inlineStr">
        <is>
          <t>Butter</t>
        </is>
      </c>
      <c r="F284" s="3" t="n">
        <v>1000</v>
      </c>
      <c r="G284" s="2" t="inlineStr">
        <is>
          <t>1000</t>
        </is>
      </c>
      <c r="H284" s="2" t="inlineStr">
        <is>
          <t>M1-B01–B13</t>
        </is>
      </c>
    </row>
    <row r="285">
      <c r="A285" s="2" t="inlineStr">
        <is>
          <t>L035</t>
        </is>
      </c>
      <c r="B285" s="2" t="inlineStr">
        <is>
          <t>NGALA BREAD</t>
        </is>
      </c>
      <c r="C285" s="2" t="inlineStr">
        <is>
          <t>S132</t>
        </is>
      </c>
      <c r="D285" s="2" t="inlineStr">
        <is>
          <t>'NGALA BREAD'!C7,D7</t>
        </is>
      </c>
      <c r="E285" s="2" t="inlineStr">
        <is>
          <t>sugar</t>
        </is>
      </c>
      <c r="F285" s="3" t="n">
        <v>100</v>
      </c>
      <c r="G285" s="2" t="inlineStr">
        <is>
          <t>100</t>
        </is>
      </c>
      <c r="H285" s="2" t="inlineStr">
        <is>
          <t>M1-B01–B13</t>
        </is>
      </c>
    </row>
    <row r="286">
      <c r="A286" s="2" t="inlineStr">
        <is>
          <t>L035</t>
        </is>
      </c>
      <c r="B286" s="2" t="inlineStr">
        <is>
          <t>NGALA BREAD</t>
        </is>
      </c>
      <c r="C286" s="2" t="inlineStr">
        <is>
          <t>S132</t>
        </is>
      </c>
      <c r="D286" s="2" t="inlineStr">
        <is>
          <t>'NGALA BREAD'!C8,D8</t>
        </is>
      </c>
      <c r="E286" s="2" t="inlineStr">
        <is>
          <t>conc milk</t>
        </is>
      </c>
      <c r="F286" s="3" t="n">
        <v>1000</v>
      </c>
      <c r="G286" s="2" t="inlineStr">
        <is>
          <t>1000</t>
        </is>
      </c>
      <c r="H286" s="2" t="inlineStr">
        <is>
          <t>M1-B01–B13</t>
        </is>
      </c>
    </row>
    <row r="287">
      <c r="A287" s="2" t="inlineStr">
        <is>
          <t>L035</t>
        </is>
      </c>
      <c r="B287" s="2" t="inlineStr">
        <is>
          <t>NGALA BREAD</t>
        </is>
      </c>
      <c r="C287" s="2" t="inlineStr">
        <is>
          <t>S132</t>
        </is>
      </c>
      <c r="D287" s="2" t="inlineStr">
        <is>
          <t>'NGALA BREAD'!C9,D9</t>
        </is>
      </c>
      <c r="E287" s="2" t="inlineStr">
        <is>
          <t>egg</t>
        </is>
      </c>
      <c r="F287" s="3" t="n">
        <v>550</v>
      </c>
      <c r="G287" s="2" t="inlineStr">
        <is>
          <t>550</t>
        </is>
      </c>
      <c r="H287" s="2" t="inlineStr">
        <is>
          <t>M1-B01–B13</t>
        </is>
      </c>
    </row>
    <row r="288">
      <c r="A288" s="2" t="inlineStr">
        <is>
          <t>L035</t>
        </is>
      </c>
      <c r="B288" s="2" t="inlineStr">
        <is>
          <t>NGALA BREAD</t>
        </is>
      </c>
      <c r="C288" s="2" t="inlineStr">
        <is>
          <t>S132</t>
        </is>
      </c>
      <c r="D288" s="2" t="inlineStr">
        <is>
          <t>'NGALA BREAD'!C10,D10</t>
        </is>
      </c>
      <c r="E288" s="2" t="inlineStr">
        <is>
          <t>salt</t>
        </is>
      </c>
      <c r="F288" s="3" t="n">
        <v>90</v>
      </c>
      <c r="G288" s="2" t="inlineStr">
        <is>
          <t>90</t>
        </is>
      </c>
      <c r="H288" s="2" t="inlineStr">
        <is>
          <t>M1-B01–B13</t>
        </is>
      </c>
    </row>
    <row r="289">
      <c r="A289" s="2" t="inlineStr">
        <is>
          <t>L035</t>
        </is>
      </c>
      <c r="B289" s="2" t="inlineStr">
        <is>
          <t>NGALA BREAD</t>
        </is>
      </c>
      <c r="C289" s="2" t="inlineStr">
        <is>
          <t>S132</t>
        </is>
      </c>
      <c r="D289" s="2" t="inlineStr">
        <is>
          <t>'NGALA BREAD'!C11,D11</t>
        </is>
      </c>
      <c r="E289" s="2" t="inlineStr">
        <is>
          <t>improver</t>
        </is>
      </c>
      <c r="F289" s="3" t="n">
        <v>100</v>
      </c>
      <c r="G289" s="2" t="inlineStr">
        <is>
          <t>100</t>
        </is>
      </c>
      <c r="H289" s="2" t="inlineStr">
        <is>
          <t>M1-B01–B13</t>
        </is>
      </c>
    </row>
    <row r="290">
      <c r="A290" s="2" t="inlineStr">
        <is>
          <t>L035</t>
        </is>
      </c>
      <c r="B290" s="2" t="inlineStr">
        <is>
          <t>NGALA BREAD</t>
        </is>
      </c>
      <c r="C290" s="2" t="inlineStr">
        <is>
          <t>S132</t>
        </is>
      </c>
      <c r="D290" s="2" t="inlineStr">
        <is>
          <t>'NGALA BREAD'!C12,D12</t>
        </is>
      </c>
      <c r="E290" s="2" t="inlineStr">
        <is>
          <t>yeast</t>
        </is>
      </c>
      <c r="F290" s="3" t="n">
        <v>90</v>
      </c>
      <c r="G290" s="2" t="inlineStr">
        <is>
          <t>90</t>
        </is>
      </c>
      <c r="H290" s="2" t="inlineStr">
        <is>
          <t>M1-B01–B13</t>
        </is>
      </c>
    </row>
    <row r="291">
      <c r="A291" s="2" t="inlineStr">
        <is>
          <t>L035</t>
        </is>
      </c>
      <c r="B291" s="2" t="inlineStr">
        <is>
          <t>NGALA BREAD</t>
        </is>
      </c>
      <c r="C291" s="2" t="inlineStr">
        <is>
          <t>S132</t>
        </is>
      </c>
      <c r="D291" s="2" t="inlineStr">
        <is>
          <t>'NGALA BREAD'!C13,D13</t>
        </is>
      </c>
      <c r="E291" s="2" t="inlineStr">
        <is>
          <t>water</t>
        </is>
      </c>
      <c r="F291" s="3" t="n">
        <v>4000</v>
      </c>
      <c r="G291" s="2" t="inlineStr">
        <is>
          <t>4000</t>
        </is>
      </c>
      <c r="H291" s="2" t="inlineStr">
        <is>
          <t>M1-B01–B13</t>
        </is>
      </c>
    </row>
    <row r="292">
      <c r="A292" s="2" t="inlineStr">
        <is>
          <t>L036</t>
        </is>
      </c>
      <c r="B292" s="2" t="inlineStr">
        <is>
          <t>New bread</t>
        </is>
      </c>
      <c r="C292" s="2" t="inlineStr">
        <is>
          <t>S132</t>
        </is>
      </c>
      <c r="D292" s="2" t="inlineStr">
        <is>
          <t>'New bread'!C5,D5</t>
        </is>
      </c>
      <c r="E292" s="2" t="inlineStr">
        <is>
          <t>flour</t>
        </is>
      </c>
      <c r="F292" s="3" t="n">
        <v>15000</v>
      </c>
      <c r="G292" s="2" t="inlineStr">
        <is>
          <t>15000</t>
        </is>
      </c>
      <c r="H292" s="2" t="inlineStr">
        <is>
          <t>M1-B01–B13</t>
        </is>
      </c>
    </row>
    <row r="293">
      <c r="A293" s="2" t="inlineStr">
        <is>
          <t>L036</t>
        </is>
      </c>
      <c r="B293" s="2" t="inlineStr">
        <is>
          <t>New bread</t>
        </is>
      </c>
      <c r="C293" s="2" t="inlineStr">
        <is>
          <t>S132</t>
        </is>
      </c>
      <c r="D293" s="2" t="inlineStr">
        <is>
          <t>'New bread'!C6,D6</t>
        </is>
      </c>
      <c r="E293" s="2" t="inlineStr">
        <is>
          <t>Butter</t>
        </is>
      </c>
      <c r="F293" s="3" t="n">
        <v>600</v>
      </c>
      <c r="G293" s="2" t="inlineStr">
        <is>
          <t>600</t>
        </is>
      </c>
      <c r="H293" s="2" t="inlineStr">
        <is>
          <t>M1-B01–B13</t>
        </is>
      </c>
    </row>
    <row r="294">
      <c r="A294" s="2" t="inlineStr">
        <is>
          <t>L036</t>
        </is>
      </c>
      <c r="B294" s="2" t="inlineStr">
        <is>
          <t>New bread</t>
        </is>
      </c>
      <c r="C294" s="2" t="inlineStr">
        <is>
          <t>S132</t>
        </is>
      </c>
      <c r="D294" s="2" t="inlineStr">
        <is>
          <t>'New bread'!C7,D7</t>
        </is>
      </c>
      <c r="E294" s="2" t="inlineStr">
        <is>
          <t>sugar</t>
        </is>
      </c>
      <c r="F294" s="3" t="n">
        <v>100</v>
      </c>
      <c r="G294" s="2" t="inlineStr">
        <is>
          <t>100</t>
        </is>
      </c>
      <c r="H294" s="2" t="inlineStr">
        <is>
          <t>M1-B01–B13</t>
        </is>
      </c>
    </row>
    <row r="295">
      <c r="A295" s="2" t="inlineStr">
        <is>
          <t>L036</t>
        </is>
      </c>
      <c r="B295" s="2" t="inlineStr">
        <is>
          <t>New bread</t>
        </is>
      </c>
      <c r="C295" s="2" t="inlineStr">
        <is>
          <t>S132</t>
        </is>
      </c>
      <c r="D295" s="2" t="inlineStr">
        <is>
          <t>'New bread'!C8,D8</t>
        </is>
      </c>
      <c r="E295" s="2" t="inlineStr">
        <is>
          <t>conc milk</t>
        </is>
      </c>
      <c r="F295" s="3" t="n">
        <v>950</v>
      </c>
      <c r="G295" s="2" t="inlineStr">
        <is>
          <t>950</t>
        </is>
      </c>
      <c r="H295" s="2" t="inlineStr">
        <is>
          <t>M1-B01–B13</t>
        </is>
      </c>
    </row>
    <row r="296">
      <c r="A296" s="2" t="inlineStr">
        <is>
          <t>L036</t>
        </is>
      </c>
      <c r="B296" s="2" t="inlineStr">
        <is>
          <t>New bread</t>
        </is>
      </c>
      <c r="C296" s="2" t="inlineStr">
        <is>
          <t>S132</t>
        </is>
      </c>
      <c r="D296" s="2" t="inlineStr">
        <is>
          <t>'New bread'!C9,D9</t>
        </is>
      </c>
      <c r="E296" s="2" t="inlineStr">
        <is>
          <t>egg</t>
        </is>
      </c>
      <c r="F296" s="3" t="n">
        <v>220</v>
      </c>
      <c r="G296" s="2" t="inlineStr">
        <is>
          <t>220</t>
        </is>
      </c>
      <c r="H296" s="2" t="inlineStr">
        <is>
          <t>M1-B01–B13</t>
        </is>
      </c>
    </row>
    <row r="297">
      <c r="A297" s="2" t="inlineStr">
        <is>
          <t>L036</t>
        </is>
      </c>
      <c r="B297" s="2" t="inlineStr">
        <is>
          <t>New bread</t>
        </is>
      </c>
      <c r="C297" s="2" t="inlineStr">
        <is>
          <t>S132</t>
        </is>
      </c>
      <c r="D297" s="2" t="inlineStr">
        <is>
          <t>'New bread'!C10,D10</t>
        </is>
      </c>
      <c r="E297" s="2" t="inlineStr">
        <is>
          <t>salt</t>
        </is>
      </c>
      <c r="F297" s="3" t="n">
        <v>100</v>
      </c>
      <c r="G297" s="2" t="inlineStr">
        <is>
          <t>100</t>
        </is>
      </c>
      <c r="H297" s="2" t="inlineStr">
        <is>
          <t>M1-B01–B13</t>
        </is>
      </c>
    </row>
    <row r="298">
      <c r="A298" s="2" t="inlineStr">
        <is>
          <t>L036</t>
        </is>
      </c>
      <c r="B298" s="2" t="inlineStr">
        <is>
          <t>New bread</t>
        </is>
      </c>
      <c r="C298" s="2" t="inlineStr">
        <is>
          <t>S132</t>
        </is>
      </c>
      <c r="D298" s="2" t="inlineStr">
        <is>
          <t>'New bread'!C11,D11</t>
        </is>
      </c>
      <c r="E298" s="2" t="inlineStr">
        <is>
          <t>improver</t>
        </is>
      </c>
      <c r="F298" s="3" t="n">
        <v>100</v>
      </c>
      <c r="G298" s="2" t="inlineStr">
        <is>
          <t>100</t>
        </is>
      </c>
      <c r="H298" s="2" t="inlineStr">
        <is>
          <t>M1-B01–B13</t>
        </is>
      </c>
    </row>
    <row r="299">
      <c r="A299" s="2" t="inlineStr">
        <is>
          <t>L036</t>
        </is>
      </c>
      <c r="B299" s="2" t="inlineStr">
        <is>
          <t>New bread</t>
        </is>
      </c>
      <c r="C299" s="2" t="inlineStr">
        <is>
          <t>S132</t>
        </is>
      </c>
      <c r="D299" s="2" t="inlineStr">
        <is>
          <t>'New bread'!C12,D12</t>
        </is>
      </c>
      <c r="E299" s="2" t="inlineStr">
        <is>
          <t>yeast</t>
        </is>
      </c>
      <c r="F299" s="3" t="n">
        <v>90</v>
      </c>
      <c r="G299" s="2" t="inlineStr">
        <is>
          <t>90</t>
        </is>
      </c>
      <c r="H299" s="2" t="inlineStr">
        <is>
          <t>M1-B01–B13</t>
        </is>
      </c>
    </row>
    <row r="300">
      <c r="A300" s="2" t="inlineStr">
        <is>
          <t>L036</t>
        </is>
      </c>
      <c r="B300" s="2" t="inlineStr">
        <is>
          <t>New bread</t>
        </is>
      </c>
      <c r="C300" s="2" t="inlineStr">
        <is>
          <t>S132</t>
        </is>
      </c>
      <c r="D300" s="2" t="inlineStr">
        <is>
          <t>'New bread'!C13,D13</t>
        </is>
      </c>
      <c r="E300" s="2" t="inlineStr">
        <is>
          <t>water</t>
        </is>
      </c>
      <c r="F300" s="3" t="n">
        <v>7000</v>
      </c>
      <c r="G300" s="2" t="inlineStr">
        <is>
          <t>7000</t>
        </is>
      </c>
      <c r="H300" s="2" t="inlineStr">
        <is>
          <t>M1-B01–B13</t>
        </is>
      </c>
    </row>
    <row r="301">
      <c r="A301" s="2" t="inlineStr">
        <is>
          <t>L037</t>
        </is>
      </c>
      <c r="B301" s="2" t="inlineStr">
        <is>
          <t>Okinawa</t>
        </is>
      </c>
      <c r="C301" s="2" t="inlineStr">
        <is>
          <t>S132</t>
        </is>
      </c>
      <c r="D301" s="2" t="inlineStr">
        <is>
          <t>'Okinawa'!C5,D5</t>
        </is>
      </c>
      <c r="E301" s="2" t="inlineStr">
        <is>
          <t>flour</t>
        </is>
      </c>
      <c r="F301" s="3" t="n">
        <v>5500</v>
      </c>
      <c r="G301" s="2" t="inlineStr">
        <is>
          <t>5500</t>
        </is>
      </c>
      <c r="H301" s="2" t="inlineStr">
        <is>
          <t>Retain unique variant; no equivalent operating card selected</t>
        </is>
      </c>
    </row>
    <row r="302">
      <c r="A302" s="2" t="inlineStr">
        <is>
          <t>L037</t>
        </is>
      </c>
      <c r="B302" s="2" t="inlineStr">
        <is>
          <t>Okinawa</t>
        </is>
      </c>
      <c r="C302" s="2" t="inlineStr">
        <is>
          <t>S132</t>
        </is>
      </c>
      <c r="D302" s="2" t="inlineStr">
        <is>
          <t>'Okinawa'!C6,D6</t>
        </is>
      </c>
      <c r="E302" s="2" t="inlineStr">
        <is>
          <t>baking powder</t>
        </is>
      </c>
      <c r="F302" s="3" t="n">
        <v>100</v>
      </c>
      <c r="G302" s="2" t="inlineStr">
        <is>
          <t>100</t>
        </is>
      </c>
      <c r="H302" s="2" t="inlineStr">
        <is>
          <t>Retain unique variant; no equivalent operating card selected</t>
        </is>
      </c>
    </row>
    <row r="303">
      <c r="A303" s="2" t="inlineStr">
        <is>
          <t>L037</t>
        </is>
      </c>
      <c r="B303" s="2" t="inlineStr">
        <is>
          <t>Okinawa</t>
        </is>
      </c>
      <c r="C303" s="2" t="inlineStr">
        <is>
          <t>S132</t>
        </is>
      </c>
      <c r="D303" s="2" t="inlineStr">
        <is>
          <t>'Okinawa'!C7,D7</t>
        </is>
      </c>
      <c r="E303" s="2" t="inlineStr">
        <is>
          <t>sugar</t>
        </is>
      </c>
      <c r="F303" s="3" t="n">
        <v>500</v>
      </c>
      <c r="G303" s="2" t="inlineStr">
        <is>
          <t>500</t>
        </is>
      </c>
      <c r="H303" s="2" t="inlineStr">
        <is>
          <t>Retain unique variant; no equivalent operating card selected</t>
        </is>
      </c>
    </row>
    <row r="304">
      <c r="A304" s="2" t="inlineStr">
        <is>
          <t>L037</t>
        </is>
      </c>
      <c r="B304" s="2" t="inlineStr">
        <is>
          <t>Okinawa</t>
        </is>
      </c>
      <c r="C304" s="2" t="inlineStr">
        <is>
          <t>S132</t>
        </is>
      </c>
      <c r="D304" s="2" t="inlineStr">
        <is>
          <t>'Okinawa'!C8,D8</t>
        </is>
      </c>
      <c r="E304" s="2" t="inlineStr">
        <is>
          <t>egg</t>
        </is>
      </c>
      <c r="F304" s="3" t="n">
        <v>200</v>
      </c>
      <c r="G304" s="2" t="inlineStr">
        <is>
          <t>200</t>
        </is>
      </c>
      <c r="H304" s="2" t="inlineStr">
        <is>
          <t>Retain unique variant; no equivalent operating card selected</t>
        </is>
      </c>
    </row>
    <row r="305">
      <c r="A305" s="2" t="inlineStr">
        <is>
          <t>L037</t>
        </is>
      </c>
      <c r="B305" s="2" t="inlineStr">
        <is>
          <t>Okinawa</t>
        </is>
      </c>
      <c r="C305" s="2" t="inlineStr">
        <is>
          <t>S132</t>
        </is>
      </c>
      <c r="D305" s="2" t="inlineStr">
        <is>
          <t>'Okinawa'!C9,D9</t>
        </is>
      </c>
      <c r="E305" s="2" t="inlineStr">
        <is>
          <t>salt</t>
        </is>
      </c>
      <c r="F305" s="3" t="n">
        <v>50</v>
      </c>
      <c r="G305" s="2" t="inlineStr">
        <is>
          <t>50</t>
        </is>
      </c>
      <c r="H305" s="2" t="inlineStr">
        <is>
          <t>Retain unique variant; no equivalent operating card selected</t>
        </is>
      </c>
    </row>
    <row r="306">
      <c r="A306" s="2" t="inlineStr">
        <is>
          <t>L037</t>
        </is>
      </c>
      <c r="B306" s="2" t="inlineStr">
        <is>
          <t>Okinawa</t>
        </is>
      </c>
      <c r="C306" s="2" t="inlineStr">
        <is>
          <t>S132</t>
        </is>
      </c>
      <c r="D306" s="2" t="inlineStr">
        <is>
          <t>'Okinawa'!C10,D10</t>
        </is>
      </c>
      <c r="E306" s="2" t="inlineStr">
        <is>
          <t>oil</t>
        </is>
      </c>
      <c r="F306" s="3" t="n">
        <v>50</v>
      </c>
      <c r="G306" s="2" t="inlineStr">
        <is>
          <t>50</t>
        </is>
      </c>
      <c r="H306" s="2" t="inlineStr">
        <is>
          <t>Retain unique variant; no equivalent operating card selected</t>
        </is>
      </c>
    </row>
    <row r="307">
      <c r="A307" s="2" t="inlineStr">
        <is>
          <t>L037</t>
        </is>
      </c>
      <c r="B307" s="2" t="inlineStr">
        <is>
          <t>Okinawa</t>
        </is>
      </c>
      <c r="C307" s="2" t="inlineStr">
        <is>
          <t>S132</t>
        </is>
      </c>
      <c r="D307" s="2" t="inlineStr">
        <is>
          <t>'Okinawa'!C11,D11</t>
        </is>
      </c>
      <c r="E307" s="2" t="inlineStr">
        <is>
          <t>frying oil</t>
        </is>
      </c>
      <c r="F307" s="3" t="n">
        <v>1000</v>
      </c>
      <c r="G307" s="2" t="inlineStr">
        <is>
          <t>1000</t>
        </is>
      </c>
      <c r="H307" s="2" t="inlineStr">
        <is>
          <t>Retain unique variant; no equivalent operating card selected</t>
        </is>
      </c>
    </row>
    <row r="308">
      <c r="A308" s="2" t="inlineStr">
        <is>
          <t>L038</t>
        </is>
      </c>
      <c r="B308" s="2" t="inlineStr">
        <is>
          <t>Okinawa</t>
        </is>
      </c>
      <c r="C308" s="2" t="inlineStr">
        <is>
          <t>S132</t>
        </is>
      </c>
      <c r="D308" s="2" t="inlineStr">
        <is>
          <t>'Okinawa'!C5,H5</t>
        </is>
      </c>
      <c r="E308" s="2" t="inlineStr">
        <is>
          <t>flour</t>
        </is>
      </c>
      <c r="F308" s="3" t="n">
        <v>27500</v>
      </c>
      <c r="G308" s="2" t="inlineStr">
        <is>
          <t>=D5*5 [cached: 27500]</t>
        </is>
      </c>
      <c r="H308" s="2" t="inlineStr">
        <is>
          <t>Retain unique variant; no equivalent operating card selected</t>
        </is>
      </c>
    </row>
    <row r="309">
      <c r="A309" s="2" t="inlineStr">
        <is>
          <t>L038</t>
        </is>
      </c>
      <c r="B309" s="2" t="inlineStr">
        <is>
          <t>Okinawa</t>
        </is>
      </c>
      <c r="C309" s="2" t="inlineStr">
        <is>
          <t>S132</t>
        </is>
      </c>
      <c r="D309" s="2" t="inlineStr">
        <is>
          <t>'Okinawa'!C6,H6</t>
        </is>
      </c>
      <c r="E309" s="2" t="inlineStr">
        <is>
          <t>baking powder</t>
        </is>
      </c>
      <c r="F309" s="3" t="n">
        <v>500</v>
      </c>
      <c r="G309" s="2" t="inlineStr">
        <is>
          <t>=D6*5 [cached: 500]</t>
        </is>
      </c>
      <c r="H309" s="2" t="inlineStr">
        <is>
          <t>Retain unique variant; no equivalent operating card selected</t>
        </is>
      </c>
    </row>
    <row r="310">
      <c r="A310" s="2" t="inlineStr">
        <is>
          <t>L038</t>
        </is>
      </c>
      <c r="B310" s="2" t="inlineStr">
        <is>
          <t>Okinawa</t>
        </is>
      </c>
      <c r="C310" s="2" t="inlineStr">
        <is>
          <t>S132</t>
        </is>
      </c>
      <c r="D310" s="2" t="inlineStr">
        <is>
          <t>'Okinawa'!C7,H7</t>
        </is>
      </c>
      <c r="E310" s="2" t="inlineStr">
        <is>
          <t>sugar</t>
        </is>
      </c>
      <c r="F310" s="3" t="n">
        <v>2500</v>
      </c>
      <c r="G310" s="2" t="inlineStr">
        <is>
          <t>=D7*5 [cached: 2500]</t>
        </is>
      </c>
      <c r="H310" s="2" t="inlineStr">
        <is>
          <t>Retain unique variant; no equivalent operating card selected</t>
        </is>
      </c>
    </row>
    <row r="311">
      <c r="A311" s="2" t="inlineStr">
        <is>
          <t>L038</t>
        </is>
      </c>
      <c r="B311" s="2" t="inlineStr">
        <is>
          <t>Okinawa</t>
        </is>
      </c>
      <c r="C311" s="2" t="inlineStr">
        <is>
          <t>S132</t>
        </is>
      </c>
      <c r="D311" s="2" t="inlineStr">
        <is>
          <t>'Okinawa'!C8,H8</t>
        </is>
      </c>
      <c r="E311" s="2" t="inlineStr">
        <is>
          <t>egg</t>
        </is>
      </c>
      <c r="F311" s="3" t="n">
        <v>1000</v>
      </c>
      <c r="G311" s="2" t="inlineStr">
        <is>
          <t>=D8*5 [cached: 1000]</t>
        </is>
      </c>
      <c r="H311" s="2" t="inlineStr">
        <is>
          <t>Retain unique variant; no equivalent operating card selected</t>
        </is>
      </c>
    </row>
    <row r="312">
      <c r="A312" s="2" t="inlineStr">
        <is>
          <t>L038</t>
        </is>
      </c>
      <c r="B312" s="2" t="inlineStr">
        <is>
          <t>Okinawa</t>
        </is>
      </c>
      <c r="C312" s="2" t="inlineStr">
        <is>
          <t>S132</t>
        </is>
      </c>
      <c r="D312" s="2" t="inlineStr">
        <is>
          <t>'Okinawa'!C9,H9</t>
        </is>
      </c>
      <c r="E312" s="2" t="inlineStr">
        <is>
          <t>salt</t>
        </is>
      </c>
      <c r="F312" s="3" t="n">
        <v>250</v>
      </c>
      <c r="G312" s="2" t="inlineStr">
        <is>
          <t>=D9*5 [cached: 250]</t>
        </is>
      </c>
      <c r="H312" s="2" t="inlineStr">
        <is>
          <t>Retain unique variant; no equivalent operating card selected</t>
        </is>
      </c>
    </row>
    <row r="313">
      <c r="A313" s="2" t="inlineStr">
        <is>
          <t>L039</t>
        </is>
      </c>
      <c r="B313" s="2" t="inlineStr">
        <is>
          <t>Pain au lait</t>
        </is>
      </c>
      <c r="C313" s="2" t="inlineStr">
        <is>
          <t>S132</t>
        </is>
      </c>
      <c r="D313" s="2" t="inlineStr">
        <is>
          <t>'Pain au lait'!C5,D5</t>
        </is>
      </c>
      <c r="E313" s="2" t="inlineStr">
        <is>
          <t>flour</t>
        </is>
      </c>
      <c r="F313" s="3" t="n">
        <v>12000</v>
      </c>
      <c r="G313" s="2" t="inlineStr">
        <is>
          <t>12000</t>
        </is>
      </c>
      <c r="H313" s="2" t="inlineStr">
        <is>
          <t>S-B07 / M1-B04</t>
        </is>
      </c>
    </row>
    <row r="314">
      <c r="A314" s="2" t="inlineStr">
        <is>
          <t>L039</t>
        </is>
      </c>
      <c r="B314" s="2" t="inlineStr">
        <is>
          <t>Pain au lait</t>
        </is>
      </c>
      <c r="C314" s="2" t="inlineStr">
        <is>
          <t>S132</t>
        </is>
      </c>
      <c r="D314" s="2" t="inlineStr">
        <is>
          <t>'Pain au lait'!C6,D6</t>
        </is>
      </c>
      <c r="E314" s="2" t="inlineStr">
        <is>
          <t>Butter</t>
        </is>
      </c>
      <c r="F314" s="3" t="n">
        <v>1000</v>
      </c>
      <c r="G314" s="2" t="inlineStr">
        <is>
          <t>1000</t>
        </is>
      </c>
      <c r="H314" s="2" t="inlineStr">
        <is>
          <t>S-B07 / M1-B04</t>
        </is>
      </c>
    </row>
    <row r="315">
      <c r="A315" s="2" t="inlineStr">
        <is>
          <t>L039</t>
        </is>
      </c>
      <c r="B315" s="2" t="inlineStr">
        <is>
          <t>Pain au lait</t>
        </is>
      </c>
      <c r="C315" s="2" t="inlineStr">
        <is>
          <t>S132</t>
        </is>
      </c>
      <c r="D315" s="2" t="inlineStr">
        <is>
          <t>'Pain au lait'!C7,D7</t>
        </is>
      </c>
      <c r="E315" s="2" t="inlineStr">
        <is>
          <t>sugar</t>
        </is>
      </c>
      <c r="F315" s="3" t="n">
        <v>1100</v>
      </c>
      <c r="G315" s="2" t="inlineStr">
        <is>
          <t>1100</t>
        </is>
      </c>
      <c r="H315" s="2" t="inlineStr">
        <is>
          <t>S-B07 / M1-B04</t>
        </is>
      </c>
    </row>
    <row r="316">
      <c r="A316" s="2" t="inlineStr">
        <is>
          <t>L039</t>
        </is>
      </c>
      <c r="B316" s="2" t="inlineStr">
        <is>
          <t>Pain au lait</t>
        </is>
      </c>
      <c r="C316" s="2" t="inlineStr">
        <is>
          <t>S132</t>
        </is>
      </c>
      <c r="D316" s="2" t="inlineStr">
        <is>
          <t>'Pain au lait'!C8,D8</t>
        </is>
      </c>
      <c r="E316" s="2" t="inlineStr">
        <is>
          <t>Milk</t>
        </is>
      </c>
      <c r="F316" s="3" t="n">
        <v>950</v>
      </c>
      <c r="G316" s="2" t="inlineStr">
        <is>
          <t>950</t>
        </is>
      </c>
      <c r="H316" s="2" t="inlineStr">
        <is>
          <t>S-B07 / M1-B04</t>
        </is>
      </c>
    </row>
    <row r="317">
      <c r="A317" s="2" t="inlineStr">
        <is>
          <t>L039</t>
        </is>
      </c>
      <c r="B317" s="2" t="inlineStr">
        <is>
          <t>Pain au lait</t>
        </is>
      </c>
      <c r="C317" s="2" t="inlineStr">
        <is>
          <t>S132</t>
        </is>
      </c>
      <c r="D317" s="2" t="inlineStr">
        <is>
          <t>'Pain au lait'!C9,D9</t>
        </is>
      </c>
      <c r="E317" s="2" t="inlineStr">
        <is>
          <t>egg</t>
        </is>
      </c>
      <c r="F317" s="3" t="n">
        <v>300</v>
      </c>
      <c r="G317" s="2" t="inlineStr">
        <is>
          <t>300</t>
        </is>
      </c>
      <c r="H317" s="2" t="inlineStr">
        <is>
          <t>S-B07 / M1-B04</t>
        </is>
      </c>
    </row>
    <row r="318">
      <c r="A318" s="2" t="inlineStr">
        <is>
          <t>L039</t>
        </is>
      </c>
      <c r="B318" s="2" t="inlineStr">
        <is>
          <t>Pain au lait</t>
        </is>
      </c>
      <c r="C318" s="2" t="inlineStr">
        <is>
          <t>S132</t>
        </is>
      </c>
      <c r="D318" s="2" t="inlineStr">
        <is>
          <t>'Pain au lait'!C10,D10</t>
        </is>
      </c>
      <c r="E318" s="2" t="inlineStr">
        <is>
          <t>salt</t>
        </is>
      </c>
      <c r="F318" s="3" t="n">
        <v>85</v>
      </c>
      <c r="G318" s="2" t="inlineStr">
        <is>
          <t>85</t>
        </is>
      </c>
      <c r="H318" s="2" t="inlineStr">
        <is>
          <t>S-B07 / M1-B04</t>
        </is>
      </c>
    </row>
    <row r="319">
      <c r="A319" s="2" t="inlineStr">
        <is>
          <t>L039</t>
        </is>
      </c>
      <c r="B319" s="2" t="inlineStr">
        <is>
          <t>Pain au lait</t>
        </is>
      </c>
      <c r="C319" s="2" t="inlineStr">
        <is>
          <t>S132</t>
        </is>
      </c>
      <c r="D319" s="2" t="inlineStr">
        <is>
          <t>'Pain au lait'!C11,D11</t>
        </is>
      </c>
      <c r="E319" s="2" t="inlineStr">
        <is>
          <t>improver</t>
        </is>
      </c>
      <c r="F319" s="3" t="n">
        <v>100</v>
      </c>
      <c r="G319" s="2" t="inlineStr">
        <is>
          <t>100</t>
        </is>
      </c>
      <c r="H319" s="2" t="inlineStr">
        <is>
          <t>S-B07 / M1-B04</t>
        </is>
      </c>
    </row>
    <row r="320">
      <c r="A320" s="2" t="inlineStr">
        <is>
          <t>L039</t>
        </is>
      </c>
      <c r="B320" s="2" t="inlineStr">
        <is>
          <t>Pain au lait</t>
        </is>
      </c>
      <c r="C320" s="2" t="inlineStr">
        <is>
          <t>S132</t>
        </is>
      </c>
      <c r="D320" s="2" t="inlineStr">
        <is>
          <t>'Pain au lait'!C12,D12</t>
        </is>
      </c>
      <c r="E320" s="2" t="inlineStr">
        <is>
          <t>yeast</t>
        </is>
      </c>
      <c r="F320" s="3" t="n">
        <v>80</v>
      </c>
      <c r="G320" s="2" t="inlineStr">
        <is>
          <t>80</t>
        </is>
      </c>
      <c r="H320" s="2" t="inlineStr">
        <is>
          <t>S-B07 / M1-B04</t>
        </is>
      </c>
    </row>
    <row r="321">
      <c r="A321" s="2" t="inlineStr">
        <is>
          <t>L039</t>
        </is>
      </c>
      <c r="B321" s="2" t="inlineStr">
        <is>
          <t>Pain au lait</t>
        </is>
      </c>
      <c r="C321" s="2" t="inlineStr">
        <is>
          <t>S132</t>
        </is>
      </c>
      <c r="D321" s="2" t="inlineStr">
        <is>
          <t>'Pain au lait'!C13,D13</t>
        </is>
      </c>
      <c r="E321" s="2" t="inlineStr">
        <is>
          <t>water</t>
        </is>
      </c>
      <c r="F321" s="3" t="n">
        <v>4500</v>
      </c>
      <c r="G321" s="2" t="inlineStr">
        <is>
          <t>4500</t>
        </is>
      </c>
      <c r="H321" s="2" t="inlineStr">
        <is>
          <t>S-B07 / M1-B04</t>
        </is>
      </c>
    </row>
    <row r="322">
      <c r="A322" s="2" t="inlineStr">
        <is>
          <t>L039</t>
        </is>
      </c>
      <c r="B322" s="2" t="inlineStr">
        <is>
          <t>Pain au lait</t>
        </is>
      </c>
      <c r="C322" s="2" t="inlineStr">
        <is>
          <t>S132</t>
        </is>
      </c>
      <c r="D322" s="2" t="inlineStr">
        <is>
          <t>'Pain au lait'!C14,D14</t>
        </is>
      </c>
      <c r="E322" s="2" t="inlineStr">
        <is>
          <t>Oil</t>
        </is>
      </c>
      <c r="F322" s="3" t="n">
        <v>300</v>
      </c>
      <c r="G322" s="2" t="inlineStr">
        <is>
          <t>300</t>
        </is>
      </c>
      <c r="H322" s="2" t="inlineStr">
        <is>
          <t>S-B07 / M1-B04</t>
        </is>
      </c>
    </row>
    <row r="323">
      <c r="A323" s="2" t="inlineStr">
        <is>
          <t>L039</t>
        </is>
      </c>
      <c r="B323" s="2" t="inlineStr">
        <is>
          <t>Pain au lait</t>
        </is>
      </c>
      <c r="C323" s="2" t="inlineStr">
        <is>
          <t>S132</t>
        </is>
      </c>
      <c r="D323" s="2" t="inlineStr">
        <is>
          <t>'Pain au lait'!C15,D15</t>
        </is>
      </c>
      <c r="E323" s="2" t="inlineStr">
        <is>
          <t>Milk tantalizer</t>
        </is>
      </c>
      <c r="F323" s="3" t="n">
        <v>5</v>
      </c>
      <c r="G323" s="2" t="inlineStr">
        <is>
          <t>5</t>
        </is>
      </c>
      <c r="H323" s="2" t="inlineStr">
        <is>
          <t>S-B07 / M1-B04</t>
        </is>
      </c>
    </row>
    <row r="324">
      <c r="A324" s="2" t="inlineStr">
        <is>
          <t>L039</t>
        </is>
      </c>
      <c r="B324" s="2" t="inlineStr">
        <is>
          <t>Pain au lait</t>
        </is>
      </c>
      <c r="C324" s="2" t="inlineStr">
        <is>
          <t>S132</t>
        </is>
      </c>
      <c r="D324" s="2" t="inlineStr">
        <is>
          <t>'Pain au lait'!C16,D16</t>
        </is>
      </c>
      <c r="E324" s="2" t="inlineStr">
        <is>
          <t>EDC</t>
        </is>
      </c>
      <c r="F324" s="3" t="n">
        <v>25</v>
      </c>
      <c r="G324" s="2" t="inlineStr">
        <is>
          <t>25</t>
        </is>
      </c>
      <c r="H324" s="2" t="inlineStr">
        <is>
          <t>S-B07 / M1-B04</t>
        </is>
      </c>
    </row>
    <row r="325">
      <c r="A325" s="2" t="inlineStr">
        <is>
          <t>L039</t>
        </is>
      </c>
      <c r="B325" s="2" t="inlineStr">
        <is>
          <t>Pain au lait</t>
        </is>
      </c>
      <c r="C325" s="2" t="inlineStr">
        <is>
          <t>S132</t>
        </is>
      </c>
      <c r="D325" s="2" t="inlineStr">
        <is>
          <t>'Pain au lait'!C17,D17</t>
        </is>
      </c>
      <c r="E325" s="2" t="inlineStr">
        <is>
          <t>Nutmeg</t>
        </is>
      </c>
      <c r="F325" s="3" t="n">
        <v>12</v>
      </c>
      <c r="G325" s="2" t="inlineStr">
        <is>
          <t>12</t>
        </is>
      </c>
      <c r="H325" s="2" t="inlineStr">
        <is>
          <t>S-B07 / M1-B04</t>
        </is>
      </c>
    </row>
    <row r="326">
      <c r="A326" s="2" t="inlineStr">
        <is>
          <t>L040</t>
        </is>
      </c>
      <c r="B326" s="2" t="inlineStr">
        <is>
          <t>Pain au lait</t>
        </is>
      </c>
      <c r="C326" s="2" t="inlineStr">
        <is>
          <t>S132</t>
        </is>
      </c>
      <c r="D326" s="2" t="inlineStr">
        <is>
          <t>'Pain au lait'!C5,L5</t>
        </is>
      </c>
      <c r="E326" s="2" t="inlineStr">
        <is>
          <t>flour</t>
        </is>
      </c>
      <c r="F326" s="3" t="n">
        <v>7000</v>
      </c>
      <c r="G326" s="2" t="inlineStr">
        <is>
          <t>7000</t>
        </is>
      </c>
      <c r="H326" s="2" t="inlineStr">
        <is>
          <t>S-B07 / M1-B04</t>
        </is>
      </c>
    </row>
    <row r="327">
      <c r="A327" s="2" t="inlineStr">
        <is>
          <t>L040</t>
        </is>
      </c>
      <c r="B327" s="2" t="inlineStr">
        <is>
          <t>Pain au lait</t>
        </is>
      </c>
      <c r="C327" s="2" t="inlineStr">
        <is>
          <t>S132</t>
        </is>
      </c>
      <c r="D327" s="2" t="inlineStr">
        <is>
          <t>'Pain au lait'!C6,L6</t>
        </is>
      </c>
      <c r="E327" s="2" t="inlineStr">
        <is>
          <t>Butter</t>
        </is>
      </c>
      <c r="F327" s="3" t="n">
        <v>600</v>
      </c>
      <c r="G327" s="2" t="inlineStr">
        <is>
          <t>600</t>
        </is>
      </c>
      <c r="H327" s="2" t="inlineStr">
        <is>
          <t>S-B07 / M1-B04</t>
        </is>
      </c>
    </row>
    <row r="328">
      <c r="A328" s="2" t="inlineStr">
        <is>
          <t>L040</t>
        </is>
      </c>
      <c r="B328" s="2" t="inlineStr">
        <is>
          <t>Pain au lait</t>
        </is>
      </c>
      <c r="C328" s="2" t="inlineStr">
        <is>
          <t>S132</t>
        </is>
      </c>
      <c r="D328" s="2" t="inlineStr">
        <is>
          <t>'Pain au lait'!C7,L7</t>
        </is>
      </c>
      <c r="E328" s="2" t="inlineStr">
        <is>
          <t>sugar</t>
        </is>
      </c>
      <c r="F328" s="3" t="n">
        <v>600</v>
      </c>
      <c r="G328" s="2" t="inlineStr">
        <is>
          <t>600</t>
        </is>
      </c>
      <c r="H328" s="2" t="inlineStr">
        <is>
          <t>S-B07 / M1-B04</t>
        </is>
      </c>
    </row>
    <row r="329">
      <c r="A329" s="2" t="inlineStr">
        <is>
          <t>L040</t>
        </is>
      </c>
      <c r="B329" s="2" t="inlineStr">
        <is>
          <t>Pain au lait</t>
        </is>
      </c>
      <c r="C329" s="2" t="inlineStr">
        <is>
          <t>S132</t>
        </is>
      </c>
      <c r="D329" s="2" t="inlineStr">
        <is>
          <t>'Pain au lait'!C8,L8</t>
        </is>
      </c>
      <c r="E329" s="2" t="inlineStr">
        <is>
          <t>Milk</t>
        </is>
      </c>
      <c r="F329" s="3" t="n">
        <v>475</v>
      </c>
      <c r="G329" s="2" t="inlineStr">
        <is>
          <t>=D8/2 [cached: 475]</t>
        </is>
      </c>
      <c r="H329" s="2" t="inlineStr">
        <is>
          <t>S-B07 / M1-B04</t>
        </is>
      </c>
    </row>
    <row r="330">
      <c r="A330" s="2" t="inlineStr">
        <is>
          <t>L040</t>
        </is>
      </c>
      <c r="B330" s="2" t="inlineStr">
        <is>
          <t>Pain au lait</t>
        </is>
      </c>
      <c r="C330" s="2" t="inlineStr">
        <is>
          <t>S132</t>
        </is>
      </c>
      <c r="D330" s="2" t="inlineStr">
        <is>
          <t>'Pain au lait'!C9,L9</t>
        </is>
      </c>
      <c r="E330" s="2" t="inlineStr">
        <is>
          <t>egg</t>
        </is>
      </c>
      <c r="F330" s="3" t="n">
        <v>150</v>
      </c>
      <c r="G330" s="2" t="inlineStr">
        <is>
          <t>=D9/2 [cached: 150]</t>
        </is>
      </c>
      <c r="H330" s="2" t="inlineStr">
        <is>
          <t>S-B07 / M1-B04</t>
        </is>
      </c>
    </row>
    <row r="331">
      <c r="A331" s="2" t="inlineStr">
        <is>
          <t>L040</t>
        </is>
      </c>
      <c r="B331" s="2" t="inlineStr">
        <is>
          <t>Pain au lait</t>
        </is>
      </c>
      <c r="C331" s="2" t="inlineStr">
        <is>
          <t>S132</t>
        </is>
      </c>
      <c r="D331" s="2" t="inlineStr">
        <is>
          <t>'Pain au lait'!C10,L10</t>
        </is>
      </c>
      <c r="E331" s="2" t="inlineStr">
        <is>
          <t>salt</t>
        </is>
      </c>
      <c r="F331" s="3" t="n">
        <v>50</v>
      </c>
      <c r="G331" s="2" t="inlineStr">
        <is>
          <t>50</t>
        </is>
      </c>
      <c r="H331" s="2" t="inlineStr">
        <is>
          <t>S-B07 / M1-B04</t>
        </is>
      </c>
    </row>
    <row r="332">
      <c r="A332" s="2" t="inlineStr">
        <is>
          <t>L040</t>
        </is>
      </c>
      <c r="B332" s="2" t="inlineStr">
        <is>
          <t>Pain au lait</t>
        </is>
      </c>
      <c r="C332" s="2" t="inlineStr">
        <is>
          <t>S132</t>
        </is>
      </c>
      <c r="D332" s="2" t="inlineStr">
        <is>
          <t>'Pain au lait'!C11,L11</t>
        </is>
      </c>
      <c r="E332" s="2" t="inlineStr">
        <is>
          <t>improver</t>
        </is>
      </c>
      <c r="F332" s="3" t="n">
        <v>100</v>
      </c>
      <c r="G332" s="2" t="inlineStr">
        <is>
          <t>100</t>
        </is>
      </c>
      <c r="H332" s="2" t="inlineStr">
        <is>
          <t>S-B07 / M1-B04</t>
        </is>
      </c>
    </row>
    <row r="333">
      <c r="A333" s="2" t="inlineStr">
        <is>
          <t>L040</t>
        </is>
      </c>
      <c r="B333" s="2" t="inlineStr">
        <is>
          <t>Pain au lait</t>
        </is>
      </c>
      <c r="C333" s="2" t="inlineStr">
        <is>
          <t>S132</t>
        </is>
      </c>
      <c r="D333" s="2" t="inlineStr">
        <is>
          <t>'Pain au lait'!C12,L12</t>
        </is>
      </c>
      <c r="E333" s="2" t="inlineStr">
        <is>
          <t>yeast</t>
        </is>
      </c>
      <c r="F333" s="3" t="n">
        <v>50</v>
      </c>
      <c r="G333" s="2" t="inlineStr">
        <is>
          <t>50</t>
        </is>
      </c>
      <c r="H333" s="2" t="inlineStr">
        <is>
          <t>S-B07 / M1-B04</t>
        </is>
      </c>
    </row>
    <row r="334">
      <c r="A334" s="2" t="inlineStr">
        <is>
          <t>L040</t>
        </is>
      </c>
      <c r="B334" s="2" t="inlineStr">
        <is>
          <t>Pain au lait</t>
        </is>
      </c>
      <c r="C334" s="2" t="inlineStr">
        <is>
          <t>S132</t>
        </is>
      </c>
      <c r="D334" s="2" t="inlineStr">
        <is>
          <t>'Pain au lait'!C13,L13</t>
        </is>
      </c>
      <c r="E334" s="2" t="inlineStr">
        <is>
          <t>water</t>
        </is>
      </c>
      <c r="F334" s="3" t="n">
        <v>1100</v>
      </c>
      <c r="G334" s="2" t="inlineStr">
        <is>
          <t>1100</t>
        </is>
      </c>
      <c r="H334" s="2" t="inlineStr">
        <is>
          <t>S-B07 / M1-B04</t>
        </is>
      </c>
    </row>
    <row r="335">
      <c r="A335" s="2" t="inlineStr">
        <is>
          <t>L040</t>
        </is>
      </c>
      <c r="B335" s="2" t="inlineStr">
        <is>
          <t>Pain au lait</t>
        </is>
      </c>
      <c r="C335" s="2" t="inlineStr">
        <is>
          <t>S132</t>
        </is>
      </c>
      <c r="D335" s="2" t="inlineStr">
        <is>
          <t>'Pain au lait'!C14,L14</t>
        </is>
      </c>
      <c r="E335" s="2" t="inlineStr">
        <is>
          <t>Oil</t>
        </is>
      </c>
      <c r="F335" s="3" t="n">
        <v>150</v>
      </c>
      <c r="G335" s="2" t="inlineStr">
        <is>
          <t>=D14/2 [cached: 150]</t>
        </is>
      </c>
      <c r="H335" s="2" t="inlineStr">
        <is>
          <t>S-B07 / M1-B04</t>
        </is>
      </c>
    </row>
    <row r="336">
      <c r="A336" s="2" t="inlineStr">
        <is>
          <t>L040</t>
        </is>
      </c>
      <c r="B336" s="2" t="inlineStr">
        <is>
          <t>Pain au lait</t>
        </is>
      </c>
      <c r="C336" s="2" t="inlineStr">
        <is>
          <t>S132</t>
        </is>
      </c>
      <c r="D336" s="2" t="inlineStr">
        <is>
          <t>'Pain au lait'!C15,L15</t>
        </is>
      </c>
      <c r="E336" s="2" t="inlineStr">
        <is>
          <t>Milk tantalizer</t>
        </is>
      </c>
      <c r="F336" s="3" t="n">
        <v>2.5</v>
      </c>
      <c r="G336" s="2" t="inlineStr">
        <is>
          <t>=D15/2 [cached: 2.5]</t>
        </is>
      </c>
      <c r="H336" s="2" t="inlineStr">
        <is>
          <t>S-B07 / M1-B04</t>
        </is>
      </c>
    </row>
    <row r="337">
      <c r="A337" s="2" t="inlineStr">
        <is>
          <t>L040</t>
        </is>
      </c>
      <c r="B337" s="2" t="inlineStr">
        <is>
          <t>Pain au lait</t>
        </is>
      </c>
      <c r="C337" s="2" t="inlineStr">
        <is>
          <t>S132</t>
        </is>
      </c>
      <c r="D337" s="2" t="inlineStr">
        <is>
          <t>'Pain au lait'!C16,L16</t>
        </is>
      </c>
      <c r="E337" s="2" t="inlineStr">
        <is>
          <t>EDC</t>
        </is>
      </c>
      <c r="F337" s="3" t="n">
        <v>12.5</v>
      </c>
      <c r="G337" s="2" t="inlineStr">
        <is>
          <t>=D16/2 [cached: 12.5]</t>
        </is>
      </c>
      <c r="H337" s="2" t="inlineStr">
        <is>
          <t>S-B07 / M1-B04</t>
        </is>
      </c>
    </row>
    <row r="338">
      <c r="A338" s="2" t="inlineStr">
        <is>
          <t>L040</t>
        </is>
      </c>
      <c r="B338" s="2" t="inlineStr">
        <is>
          <t>Pain au lait</t>
        </is>
      </c>
      <c r="C338" s="2" t="inlineStr">
        <is>
          <t>S132</t>
        </is>
      </c>
      <c r="D338" s="2" t="inlineStr">
        <is>
          <t>'Pain au lait'!C17,L17</t>
        </is>
      </c>
      <c r="E338" s="2" t="inlineStr">
        <is>
          <t>Nutmeg</t>
        </is>
      </c>
      <c r="F338" s="3" t="n">
        <v>6</v>
      </c>
      <c r="G338" s="2" t="inlineStr">
        <is>
          <t>=D17/2 [cached: 6]</t>
        </is>
      </c>
      <c r="H338" s="2" t="inlineStr">
        <is>
          <t>S-B07 / M1-B04</t>
        </is>
      </c>
    </row>
    <row r="339">
      <c r="A339" s="2" t="inlineStr">
        <is>
          <t>L041</t>
        </is>
      </c>
      <c r="B339" s="2" t="inlineStr">
        <is>
          <t>Samosa</t>
        </is>
      </c>
      <c r="C339" s="2" t="inlineStr">
        <is>
          <t>S132</t>
        </is>
      </c>
      <c r="D339" s="2" t="inlineStr">
        <is>
          <t>'Samosa'!C5,D5</t>
        </is>
      </c>
      <c r="E339" s="2" t="inlineStr">
        <is>
          <t>flour</t>
        </is>
      </c>
      <c r="F339" s="3" t="n">
        <v>1500</v>
      </c>
      <c r="G339" s="2" t="inlineStr">
        <is>
          <t>1500</t>
        </is>
      </c>
      <c r="H339" s="2" t="inlineStr">
        <is>
          <t>O-P18 / S-F05</t>
        </is>
      </c>
    </row>
    <row r="340">
      <c r="A340" s="2" t="inlineStr">
        <is>
          <t>L041</t>
        </is>
      </c>
      <c r="B340" s="2" t="inlineStr">
        <is>
          <t>Samosa</t>
        </is>
      </c>
      <c r="C340" s="2" t="inlineStr">
        <is>
          <t>S132</t>
        </is>
      </c>
      <c r="D340" s="2" t="inlineStr">
        <is>
          <t>'Samosa'!C6,D6</t>
        </is>
      </c>
      <c r="E340" s="2" t="inlineStr">
        <is>
          <t>meat</t>
        </is>
      </c>
      <c r="F340" s="3" t="n">
        <v>1500</v>
      </c>
      <c r="G340" s="2" t="inlineStr">
        <is>
          <t>1500</t>
        </is>
      </c>
      <c r="H340" s="2" t="inlineStr">
        <is>
          <t>O-P18 / S-F05</t>
        </is>
      </c>
    </row>
    <row r="341">
      <c r="A341" s="2" t="inlineStr">
        <is>
          <t>L041</t>
        </is>
      </c>
      <c r="B341" s="2" t="inlineStr">
        <is>
          <t>Samosa</t>
        </is>
      </c>
      <c r="C341" s="2" t="inlineStr">
        <is>
          <t>S132</t>
        </is>
      </c>
      <c r="D341" s="2" t="inlineStr">
        <is>
          <t>'Samosa'!C7,D7</t>
        </is>
      </c>
      <c r="E341" s="2" t="inlineStr">
        <is>
          <t>onion</t>
        </is>
      </c>
      <c r="F341" s="3" t="n">
        <v>1000</v>
      </c>
      <c r="G341" s="2" t="inlineStr">
        <is>
          <t>1000</t>
        </is>
      </c>
      <c r="H341" s="2" t="inlineStr">
        <is>
          <t>O-P18 / S-F05</t>
        </is>
      </c>
    </row>
    <row r="342">
      <c r="A342" s="2" t="inlineStr">
        <is>
          <t>L041</t>
        </is>
      </c>
      <c r="B342" s="2" t="inlineStr">
        <is>
          <t>Samosa</t>
        </is>
      </c>
      <c r="C342" s="2" t="inlineStr">
        <is>
          <t>S132</t>
        </is>
      </c>
      <c r="D342" s="2" t="inlineStr">
        <is>
          <t>'Samosa'!C8,D8</t>
        </is>
      </c>
      <c r="E342" s="2" t="inlineStr">
        <is>
          <t>salt</t>
        </is>
      </c>
      <c r="F342" s="3" t="n">
        <v>110</v>
      </c>
      <c r="G342" s="2" t="inlineStr">
        <is>
          <t>110</t>
        </is>
      </c>
      <c r="H342" s="2" t="inlineStr">
        <is>
          <t>O-P18 / S-F05</t>
        </is>
      </c>
    </row>
    <row r="343">
      <c r="A343" s="2" t="inlineStr">
        <is>
          <t>L041</t>
        </is>
      </c>
      <c r="B343" s="2" t="inlineStr">
        <is>
          <t>Samosa</t>
        </is>
      </c>
      <c r="C343" s="2" t="inlineStr">
        <is>
          <t>S132</t>
        </is>
      </c>
      <c r="D343" s="2" t="inlineStr">
        <is>
          <t>'Samosa'!C9,D9</t>
        </is>
      </c>
      <c r="E343" s="2" t="inlineStr">
        <is>
          <t>water</t>
        </is>
      </c>
      <c r="F343" s="3" t="n">
        <v>1100</v>
      </c>
      <c r="G343" s="2" t="inlineStr">
        <is>
          <t>1100</t>
        </is>
      </c>
      <c r="H343" s="2" t="inlineStr">
        <is>
          <t>O-P18 / S-F05</t>
        </is>
      </c>
    </row>
    <row r="344">
      <c r="A344" s="2" t="inlineStr">
        <is>
          <t>L042</t>
        </is>
      </c>
      <c r="B344" s="2" t="inlineStr">
        <is>
          <t>Samosa</t>
        </is>
      </c>
      <c r="C344" s="2" t="inlineStr">
        <is>
          <t>S132</t>
        </is>
      </c>
      <c r="D344" s="2" t="inlineStr">
        <is>
          <t>'Samosa'!C5,H5</t>
        </is>
      </c>
      <c r="E344" s="2" t="inlineStr">
        <is>
          <t>flour</t>
        </is>
      </c>
      <c r="F344" s="3" t="n">
        <v>5000</v>
      </c>
      <c r="G344" s="2" t="inlineStr">
        <is>
          <t>5000</t>
        </is>
      </c>
      <c r="H344" s="2" t="inlineStr">
        <is>
          <t>O-P18 / S-F05</t>
        </is>
      </c>
    </row>
    <row r="345">
      <c r="A345" s="2" t="inlineStr">
        <is>
          <t>L042</t>
        </is>
      </c>
      <c r="B345" s="2" t="inlineStr">
        <is>
          <t>Samosa</t>
        </is>
      </c>
      <c r="C345" s="2" t="inlineStr">
        <is>
          <t>S132</t>
        </is>
      </c>
      <c r="D345" s="2" t="inlineStr">
        <is>
          <t>'Samosa'!C6,H6</t>
        </is>
      </c>
      <c r="E345" s="2" t="inlineStr">
        <is>
          <t>meat</t>
        </is>
      </c>
      <c r="F345" s="3" t="n">
        <v>500</v>
      </c>
      <c r="G345" s="2" t="inlineStr">
        <is>
          <t>500</t>
        </is>
      </c>
      <c r="H345" s="2" t="inlineStr">
        <is>
          <t>O-P18 / S-F05</t>
        </is>
      </c>
    </row>
    <row r="346">
      <c r="A346" s="2" t="inlineStr">
        <is>
          <t>L042</t>
        </is>
      </c>
      <c r="B346" s="2" t="inlineStr">
        <is>
          <t>Samosa</t>
        </is>
      </c>
      <c r="C346" s="2" t="inlineStr">
        <is>
          <t>S132</t>
        </is>
      </c>
      <c r="D346" s="2" t="inlineStr">
        <is>
          <t>'Samosa'!C7,H7</t>
        </is>
      </c>
      <c r="E346" s="2" t="inlineStr">
        <is>
          <t>onion</t>
        </is>
      </c>
      <c r="F346" s="3" t="n">
        <v>500</v>
      </c>
      <c r="G346" s="2" t="inlineStr">
        <is>
          <t>500</t>
        </is>
      </c>
      <c r="H346" s="2" t="inlineStr">
        <is>
          <t>O-P18 / S-F05</t>
        </is>
      </c>
    </row>
    <row r="347">
      <c r="A347" s="2" t="inlineStr">
        <is>
          <t>L042</t>
        </is>
      </c>
      <c r="B347" s="2" t="inlineStr">
        <is>
          <t>Samosa</t>
        </is>
      </c>
      <c r="C347" s="2" t="inlineStr">
        <is>
          <t>S132</t>
        </is>
      </c>
      <c r="D347" s="2" t="inlineStr">
        <is>
          <t>'Samosa'!C8,H8</t>
        </is>
      </c>
      <c r="E347" s="2" t="inlineStr">
        <is>
          <t>salt</t>
        </is>
      </c>
      <c r="F347" s="3" t="n">
        <v>50</v>
      </c>
      <c r="G347" s="2" t="inlineStr">
        <is>
          <t>50</t>
        </is>
      </c>
      <c r="H347" s="2" t="inlineStr">
        <is>
          <t>O-P18 / S-F05</t>
        </is>
      </c>
    </row>
    <row r="348">
      <c r="A348" s="2" t="inlineStr">
        <is>
          <t>L042</t>
        </is>
      </c>
      <c r="B348" s="2" t="inlineStr">
        <is>
          <t>Samosa</t>
        </is>
      </c>
      <c r="C348" s="2" t="inlineStr">
        <is>
          <t>S132</t>
        </is>
      </c>
      <c r="D348" s="2" t="inlineStr">
        <is>
          <t>'Samosa'!C9,H9</t>
        </is>
      </c>
      <c r="E348" s="2" t="inlineStr">
        <is>
          <t>water</t>
        </is>
      </c>
      <c r="F348" s="3" t="n">
        <v>1000</v>
      </c>
      <c r="G348" s="2" t="inlineStr">
        <is>
          <t>1000</t>
        </is>
      </c>
      <c r="H348" s="2" t="inlineStr">
        <is>
          <t>O-P18 / S-F05</t>
        </is>
      </c>
    </row>
    <row r="349">
      <c r="A349" s="2" t="inlineStr">
        <is>
          <t>L043</t>
        </is>
      </c>
      <c r="B349" s="2" t="inlineStr">
        <is>
          <t>Sheet3</t>
        </is>
      </c>
      <c r="C349" s="2" t="inlineStr">
        <is>
          <t>S132</t>
        </is>
      </c>
      <c r="D349" s="2" t="inlineStr">
        <is>
          <t>'Sheet3'!C5,D5</t>
        </is>
      </c>
      <c r="E349" s="2" t="inlineStr">
        <is>
          <t>flour</t>
        </is>
      </c>
      <c r="F349" s="3" t="n">
        <v>10000</v>
      </c>
      <c r="G349" s="2" t="inlineStr">
        <is>
          <t>10000</t>
        </is>
      </c>
      <c r="H349" s="2" t="inlineStr">
        <is>
          <t>Retain unique variant; no equivalent operating card selected</t>
        </is>
      </c>
    </row>
    <row r="350">
      <c r="A350" s="2" t="inlineStr">
        <is>
          <t>L043</t>
        </is>
      </c>
      <c r="B350" s="2" t="inlineStr">
        <is>
          <t>Sheet3</t>
        </is>
      </c>
      <c r="C350" s="2" t="inlineStr">
        <is>
          <t>S132</t>
        </is>
      </c>
      <c r="D350" s="2" t="inlineStr">
        <is>
          <t>'Sheet3'!C6,D6</t>
        </is>
      </c>
      <c r="E350" s="2" t="inlineStr">
        <is>
          <t>Butter</t>
        </is>
      </c>
      <c r="F350" s="3" t="n">
        <v>1000</v>
      </c>
      <c r="G350" s="2" t="inlineStr">
        <is>
          <t>1000</t>
        </is>
      </c>
      <c r="H350" s="2" t="inlineStr">
        <is>
          <t>Retain unique variant; no equivalent operating card selected</t>
        </is>
      </c>
    </row>
    <row r="351">
      <c r="A351" s="2" t="inlineStr">
        <is>
          <t>L043</t>
        </is>
      </c>
      <c r="B351" s="2" t="inlineStr">
        <is>
          <t>Sheet3</t>
        </is>
      </c>
      <c r="C351" s="2" t="inlineStr">
        <is>
          <t>S132</t>
        </is>
      </c>
      <c r="D351" s="2" t="inlineStr">
        <is>
          <t>'Sheet3'!C7,D7</t>
        </is>
      </c>
      <c r="E351" s="2" t="inlineStr">
        <is>
          <t>sugar</t>
        </is>
      </c>
      <c r="F351" s="3" t="n">
        <v>1000</v>
      </c>
      <c r="G351" s="2" t="inlineStr">
        <is>
          <t>1000</t>
        </is>
      </c>
      <c r="H351" s="2" t="inlineStr">
        <is>
          <t>Retain unique variant; no equivalent operating card selected</t>
        </is>
      </c>
    </row>
    <row r="352">
      <c r="A352" s="2" t="inlineStr">
        <is>
          <t>L043</t>
        </is>
      </c>
      <c r="B352" s="2" t="inlineStr">
        <is>
          <t>Sheet3</t>
        </is>
      </c>
      <c r="C352" s="2" t="inlineStr">
        <is>
          <t>S132</t>
        </is>
      </c>
      <c r="D352" s="2" t="inlineStr">
        <is>
          <t>'Sheet3'!C8,D8</t>
        </is>
      </c>
      <c r="E352" s="2" t="inlineStr">
        <is>
          <t>Milk</t>
        </is>
      </c>
      <c r="F352" s="3" t="n">
        <v>850</v>
      </c>
      <c r="G352" s="2" t="inlineStr">
        <is>
          <t>850</t>
        </is>
      </c>
      <c r="H352" s="2" t="inlineStr">
        <is>
          <t>Retain unique variant; no equivalent operating card selected</t>
        </is>
      </c>
    </row>
    <row r="353">
      <c r="A353" s="2" t="inlineStr">
        <is>
          <t>L043</t>
        </is>
      </c>
      <c r="B353" s="2" t="inlineStr">
        <is>
          <t>Sheet3</t>
        </is>
      </c>
      <c r="C353" s="2" t="inlineStr">
        <is>
          <t>S132</t>
        </is>
      </c>
      <c r="D353" s="2" t="inlineStr">
        <is>
          <t>'Sheet3'!C9,D9</t>
        </is>
      </c>
      <c r="E353" s="2" t="inlineStr">
        <is>
          <t>egg</t>
        </is>
      </c>
      <c r="F353" s="3" t="n">
        <v>500</v>
      </c>
      <c r="G353" s="2" t="inlineStr">
        <is>
          <t>500</t>
        </is>
      </c>
      <c r="H353" s="2" t="inlineStr">
        <is>
          <t>Retain unique variant; no equivalent operating card selected</t>
        </is>
      </c>
    </row>
    <row r="354">
      <c r="A354" s="2" t="inlineStr">
        <is>
          <t>L043</t>
        </is>
      </c>
      <c r="B354" s="2" t="inlineStr">
        <is>
          <t>Sheet3</t>
        </is>
      </c>
      <c r="C354" s="2" t="inlineStr">
        <is>
          <t>S132</t>
        </is>
      </c>
      <c r="D354" s="2" t="inlineStr">
        <is>
          <t>'Sheet3'!C10,D10</t>
        </is>
      </c>
      <c r="E354" s="2" t="inlineStr">
        <is>
          <t>salt</t>
        </is>
      </c>
      <c r="F354" s="3" t="n">
        <v>120</v>
      </c>
      <c r="G354" s="2" t="inlineStr">
        <is>
          <t>120</t>
        </is>
      </c>
      <c r="H354" s="2" t="inlineStr">
        <is>
          <t>Retain unique variant; no equivalent operating card selected</t>
        </is>
      </c>
    </row>
    <row r="355">
      <c r="A355" s="2" t="inlineStr">
        <is>
          <t>L043</t>
        </is>
      </c>
      <c r="B355" s="2" t="inlineStr">
        <is>
          <t>Sheet3</t>
        </is>
      </c>
      <c r="C355" s="2" t="inlineStr">
        <is>
          <t>S132</t>
        </is>
      </c>
      <c r="D355" s="2" t="inlineStr">
        <is>
          <t>'Sheet3'!C11,D11</t>
        </is>
      </c>
      <c r="E355" s="2" t="inlineStr">
        <is>
          <t>improver</t>
        </is>
      </c>
      <c r="F355" s="3" t="n">
        <v>120</v>
      </c>
      <c r="G355" s="2" t="inlineStr">
        <is>
          <t>120</t>
        </is>
      </c>
      <c r="H355" s="2" t="inlineStr">
        <is>
          <t>Retain unique variant; no equivalent operating card selected</t>
        </is>
      </c>
    </row>
    <row r="356">
      <c r="A356" s="2" t="inlineStr">
        <is>
          <t>L043</t>
        </is>
      </c>
      <c r="B356" s="2" t="inlineStr">
        <is>
          <t>Sheet3</t>
        </is>
      </c>
      <c r="C356" s="2" t="inlineStr">
        <is>
          <t>S132</t>
        </is>
      </c>
      <c r="D356" s="2" t="inlineStr">
        <is>
          <t>'Sheet3'!C12,D12</t>
        </is>
      </c>
      <c r="E356" s="2" t="inlineStr">
        <is>
          <t>yeast</t>
        </is>
      </c>
      <c r="F356" s="3" t="n">
        <v>160</v>
      </c>
      <c r="G356" s="2" t="inlineStr">
        <is>
          <t>160</t>
        </is>
      </c>
      <c r="H356" s="2" t="inlineStr">
        <is>
          <t>Retain unique variant; no equivalent operating card selected</t>
        </is>
      </c>
    </row>
    <row r="357">
      <c r="A357" s="2" t="inlineStr">
        <is>
          <t>L043</t>
        </is>
      </c>
      <c r="B357" s="2" t="inlineStr">
        <is>
          <t>Sheet3</t>
        </is>
      </c>
      <c r="C357" s="2" t="inlineStr">
        <is>
          <t>S132</t>
        </is>
      </c>
      <c r="D357" s="2" t="inlineStr">
        <is>
          <t>'Sheet3'!C13,D13</t>
        </is>
      </c>
      <c r="E357" s="2" t="inlineStr">
        <is>
          <t>water</t>
        </is>
      </c>
      <c r="F357" s="3" t="n">
        <v>5000</v>
      </c>
      <c r="G357" s="2" t="inlineStr">
        <is>
          <t>5000</t>
        </is>
      </c>
      <c r="H357" s="2" t="inlineStr">
        <is>
          <t>Retain unique variant; no equivalent operating card selected</t>
        </is>
      </c>
    </row>
    <row r="358">
      <c r="A358" s="2" t="inlineStr">
        <is>
          <t>L043</t>
        </is>
      </c>
      <c r="B358" s="2" t="inlineStr">
        <is>
          <t>Sheet3</t>
        </is>
      </c>
      <c r="C358" s="2" t="inlineStr">
        <is>
          <t>S132</t>
        </is>
      </c>
      <c r="D358" s="2" t="inlineStr">
        <is>
          <t>'Sheet3'!C14,D14</t>
        </is>
      </c>
      <c r="E358" s="2" t="inlineStr">
        <is>
          <t>Oil</t>
        </is>
      </c>
      <c r="F358" s="3" t="n">
        <v>400</v>
      </c>
      <c r="G358" s="2" t="inlineStr">
        <is>
          <t>400</t>
        </is>
      </c>
      <c r="H358" s="2" t="inlineStr">
        <is>
          <t>Retain unique variant; no equivalent operating card selected</t>
        </is>
      </c>
    </row>
    <row r="359">
      <c r="A359" s="2" t="inlineStr">
        <is>
          <t>L043</t>
        </is>
      </c>
      <c r="B359" s="2" t="inlineStr">
        <is>
          <t>Sheet3</t>
        </is>
      </c>
      <c r="C359" s="2" t="inlineStr">
        <is>
          <t>S132</t>
        </is>
      </c>
      <c r="D359" s="2" t="inlineStr">
        <is>
          <t>'Sheet3'!C15,D15</t>
        </is>
      </c>
      <c r="E359" s="2" t="inlineStr">
        <is>
          <t>EDC</t>
        </is>
      </c>
      <c r="F359" s="3" t="n">
        <v>100</v>
      </c>
      <c r="G359" s="2" t="inlineStr">
        <is>
          <t>100</t>
        </is>
      </c>
      <c r="H359" s="2" t="inlineStr">
        <is>
          <t>Retain unique variant; no equivalent operating card selected</t>
        </is>
      </c>
    </row>
    <row r="360">
      <c r="A360" s="2" t="inlineStr">
        <is>
          <t>L044</t>
        </is>
      </c>
      <c r="B360" s="2" t="inlineStr">
        <is>
          <t>Sheet3</t>
        </is>
      </c>
      <c r="C360" s="2" t="inlineStr">
        <is>
          <t>S132</t>
        </is>
      </c>
      <c r="D360" s="2" t="inlineStr">
        <is>
          <t>'Sheet3'!C5,F5</t>
        </is>
      </c>
      <c r="E360" s="2" t="inlineStr">
        <is>
          <t>flour</t>
        </is>
      </c>
      <c r="F360" s="3" t="n">
        <v>10000</v>
      </c>
      <c r="G360" s="2" t="inlineStr">
        <is>
          <t>10000</t>
        </is>
      </c>
      <c r="H360" s="2" t="inlineStr">
        <is>
          <t>Retain unique variant; no equivalent operating card selected</t>
        </is>
      </c>
    </row>
    <row r="361">
      <c r="A361" s="2" t="inlineStr">
        <is>
          <t>L044</t>
        </is>
      </c>
      <c r="B361" s="2" t="inlineStr">
        <is>
          <t>Sheet3</t>
        </is>
      </c>
      <c r="C361" s="2" t="inlineStr">
        <is>
          <t>S132</t>
        </is>
      </c>
      <c r="D361" s="2" t="inlineStr">
        <is>
          <t>'Sheet3'!C6,F6</t>
        </is>
      </c>
      <c r="E361" s="2" t="inlineStr">
        <is>
          <t>Butter</t>
        </is>
      </c>
      <c r="F361" s="3" t="n">
        <v>1500</v>
      </c>
      <c r="G361" s="2" t="inlineStr">
        <is>
          <t>1500</t>
        </is>
      </c>
      <c r="H361" s="2" t="inlineStr">
        <is>
          <t>Retain unique variant; no equivalent operating card selected</t>
        </is>
      </c>
    </row>
    <row r="362">
      <c r="A362" s="2" t="inlineStr">
        <is>
          <t>L044</t>
        </is>
      </c>
      <c r="B362" s="2" t="inlineStr">
        <is>
          <t>Sheet3</t>
        </is>
      </c>
      <c r="C362" s="2" t="inlineStr">
        <is>
          <t>S132</t>
        </is>
      </c>
      <c r="D362" s="2" t="inlineStr">
        <is>
          <t>'Sheet3'!C7,F7</t>
        </is>
      </c>
      <c r="E362" s="2" t="inlineStr">
        <is>
          <t>sugar</t>
        </is>
      </c>
      <c r="F362" s="3" t="n">
        <v>1000</v>
      </c>
      <c r="G362" s="2" t="inlineStr">
        <is>
          <t>1000</t>
        </is>
      </c>
      <c r="H362" s="2" t="inlineStr">
        <is>
          <t>Retain unique variant; no equivalent operating card selected</t>
        </is>
      </c>
    </row>
    <row r="363">
      <c r="A363" s="2" t="inlineStr">
        <is>
          <t>L044</t>
        </is>
      </c>
      <c r="B363" s="2" t="inlineStr">
        <is>
          <t>Sheet3</t>
        </is>
      </c>
      <c r="C363" s="2" t="inlineStr">
        <is>
          <t>S132</t>
        </is>
      </c>
      <c r="D363" s="2" t="inlineStr">
        <is>
          <t>'Sheet3'!C8,F8</t>
        </is>
      </c>
      <c r="E363" s="2" t="inlineStr">
        <is>
          <t>Milk</t>
        </is>
      </c>
      <c r="F363" s="3" t="n">
        <v>600</v>
      </c>
      <c r="G363" s="2" t="inlineStr">
        <is>
          <t>600</t>
        </is>
      </c>
      <c r="H363" s="2" t="inlineStr">
        <is>
          <t>Retain unique variant; no equivalent operating card selected</t>
        </is>
      </c>
    </row>
    <row r="364">
      <c r="A364" s="2" t="inlineStr">
        <is>
          <t>L044</t>
        </is>
      </c>
      <c r="B364" s="2" t="inlineStr">
        <is>
          <t>Sheet3</t>
        </is>
      </c>
      <c r="C364" s="2" t="inlineStr">
        <is>
          <t>S132</t>
        </is>
      </c>
      <c r="D364" s="2" t="inlineStr">
        <is>
          <t>'Sheet3'!C9,F9</t>
        </is>
      </c>
      <c r="E364" s="2" t="inlineStr">
        <is>
          <t>egg</t>
        </is>
      </c>
      <c r="F364" s="3" t="n">
        <v>500</v>
      </c>
      <c r="G364" s="2" t="inlineStr">
        <is>
          <t>500</t>
        </is>
      </c>
      <c r="H364" s="2" t="inlineStr">
        <is>
          <t>Retain unique variant; no equivalent operating card selected</t>
        </is>
      </c>
    </row>
    <row r="365">
      <c r="A365" s="2" t="inlineStr">
        <is>
          <t>L044</t>
        </is>
      </c>
      <c r="B365" s="2" t="inlineStr">
        <is>
          <t>Sheet3</t>
        </is>
      </c>
      <c r="C365" s="2" t="inlineStr">
        <is>
          <t>S132</t>
        </is>
      </c>
      <c r="D365" s="2" t="inlineStr">
        <is>
          <t>'Sheet3'!C10,F10</t>
        </is>
      </c>
      <c r="E365" s="2" t="inlineStr">
        <is>
          <t>salt</t>
        </is>
      </c>
      <c r="F365" s="3" t="n">
        <v>100</v>
      </c>
      <c r="G365" s="2" t="inlineStr">
        <is>
          <t>100</t>
        </is>
      </c>
      <c r="H365" s="2" t="inlineStr">
        <is>
          <t>Retain unique variant; no equivalent operating card selected</t>
        </is>
      </c>
    </row>
    <row r="366">
      <c r="A366" s="2" t="inlineStr">
        <is>
          <t>L044</t>
        </is>
      </c>
      <c r="B366" s="2" t="inlineStr">
        <is>
          <t>Sheet3</t>
        </is>
      </c>
      <c r="C366" s="2" t="inlineStr">
        <is>
          <t>S132</t>
        </is>
      </c>
      <c r="D366" s="2" t="inlineStr">
        <is>
          <t>'Sheet3'!C11,F11</t>
        </is>
      </c>
      <c r="E366" s="2" t="inlineStr">
        <is>
          <t>improver</t>
        </is>
      </c>
      <c r="F366" s="3" t="n">
        <v>100</v>
      </c>
      <c r="G366" s="2" t="inlineStr">
        <is>
          <t>100</t>
        </is>
      </c>
      <c r="H366" s="2" t="inlineStr">
        <is>
          <t>Retain unique variant; no equivalent operating card selected</t>
        </is>
      </c>
    </row>
    <row r="367">
      <c r="A367" s="2" t="inlineStr">
        <is>
          <t>L044</t>
        </is>
      </c>
      <c r="B367" s="2" t="inlineStr">
        <is>
          <t>Sheet3</t>
        </is>
      </c>
      <c r="C367" s="2" t="inlineStr">
        <is>
          <t>S132</t>
        </is>
      </c>
      <c r="D367" s="2" t="inlineStr">
        <is>
          <t>'Sheet3'!C12,F12</t>
        </is>
      </c>
      <c r="E367" s="2" t="inlineStr">
        <is>
          <t>yeast</t>
        </is>
      </c>
      <c r="F367" s="3" t="n">
        <v>140</v>
      </c>
      <c r="G367" s="2" t="inlineStr">
        <is>
          <t>140</t>
        </is>
      </c>
      <c r="H367" s="2" t="inlineStr">
        <is>
          <t>Retain unique variant; no equivalent operating card selected</t>
        </is>
      </c>
    </row>
    <row r="368">
      <c r="A368" s="2" t="inlineStr">
        <is>
          <t>L044</t>
        </is>
      </c>
      <c r="B368" s="2" t="inlineStr">
        <is>
          <t>Sheet3</t>
        </is>
      </c>
      <c r="C368" s="2" t="inlineStr">
        <is>
          <t>S132</t>
        </is>
      </c>
      <c r="D368" s="2" t="inlineStr">
        <is>
          <t>'Sheet3'!C13,F13</t>
        </is>
      </c>
      <c r="E368" s="2" t="inlineStr">
        <is>
          <t>water</t>
        </is>
      </c>
      <c r="F368" s="3" t="n">
        <v>2500</v>
      </c>
      <c r="G368" s="2" t="inlineStr">
        <is>
          <t>2500</t>
        </is>
      </c>
      <c r="H368" s="2" t="inlineStr">
        <is>
          <t>Retain unique variant; no equivalent operating card selected</t>
        </is>
      </c>
    </row>
    <row r="369">
      <c r="A369" s="2" t="inlineStr">
        <is>
          <t>L044</t>
        </is>
      </c>
      <c r="B369" s="2" t="inlineStr">
        <is>
          <t>Sheet3</t>
        </is>
      </c>
      <c r="C369" s="2" t="inlineStr">
        <is>
          <t>S132</t>
        </is>
      </c>
      <c r="D369" s="2" t="inlineStr">
        <is>
          <t>'Sheet3'!C14,F14</t>
        </is>
      </c>
      <c r="E369" s="2" t="inlineStr">
        <is>
          <t>Oil</t>
        </is>
      </c>
      <c r="F369" s="3" t="n">
        <v>220</v>
      </c>
      <c r="G369" s="2" t="inlineStr">
        <is>
          <t>220</t>
        </is>
      </c>
      <c r="H369" s="2" t="inlineStr">
        <is>
          <t>Retain unique variant; no equivalent operating card selected</t>
        </is>
      </c>
    </row>
    <row r="370">
      <c r="A370" s="2" t="inlineStr">
        <is>
          <t>L044</t>
        </is>
      </c>
      <c r="B370" s="2" t="inlineStr">
        <is>
          <t>Sheet3</t>
        </is>
      </c>
      <c r="C370" s="2" t="inlineStr">
        <is>
          <t>S132</t>
        </is>
      </c>
      <c r="D370" s="2" t="inlineStr">
        <is>
          <t>'Sheet3'!C15,F15</t>
        </is>
      </c>
      <c r="E370" s="2" t="inlineStr">
        <is>
          <t>EDC</t>
        </is>
      </c>
      <c r="F370" s="3" t="n">
        <v>25</v>
      </c>
      <c r="G370" s="2" t="inlineStr">
        <is>
          <t>25</t>
        </is>
      </c>
      <c r="H370" s="2" t="inlineStr">
        <is>
          <t>Retain unique variant; no equivalent operating card selected</t>
        </is>
      </c>
    </row>
    <row r="371">
      <c r="A371" s="2" t="inlineStr">
        <is>
          <t>L045</t>
        </is>
      </c>
      <c r="B371" s="2" t="inlineStr">
        <is>
          <t>Sheet3</t>
        </is>
      </c>
      <c r="C371" s="2" t="inlineStr">
        <is>
          <t>S132</t>
        </is>
      </c>
      <c r="D371" s="2" t="inlineStr">
        <is>
          <t>'Sheet3'!C5,H5</t>
        </is>
      </c>
      <c r="E371" s="2" t="inlineStr">
        <is>
          <t>flour</t>
        </is>
      </c>
      <c r="F371" s="3" t="n">
        <v>5000</v>
      </c>
      <c r="G371" s="2" t="inlineStr">
        <is>
          <t>5000</t>
        </is>
      </c>
      <c r="H371" s="2" t="inlineStr">
        <is>
          <t>Retain unique variant; no equivalent operating card selected</t>
        </is>
      </c>
    </row>
    <row r="372">
      <c r="A372" s="2" t="inlineStr">
        <is>
          <t>L045</t>
        </is>
      </c>
      <c r="B372" s="2" t="inlineStr">
        <is>
          <t>Sheet3</t>
        </is>
      </c>
      <c r="C372" s="2" t="inlineStr">
        <is>
          <t>S132</t>
        </is>
      </c>
      <c r="D372" s="2" t="inlineStr">
        <is>
          <t>'Sheet3'!C6,H6</t>
        </is>
      </c>
      <c r="E372" s="2" t="inlineStr">
        <is>
          <t>Butter</t>
        </is>
      </c>
      <c r="F372" s="3" t="n">
        <v>600</v>
      </c>
      <c r="G372" s="2" t="inlineStr">
        <is>
          <t>600</t>
        </is>
      </c>
      <c r="H372" s="2" t="inlineStr">
        <is>
          <t>Retain unique variant; no equivalent operating card selected</t>
        </is>
      </c>
    </row>
    <row r="373">
      <c r="A373" s="2" t="inlineStr">
        <is>
          <t>L045</t>
        </is>
      </c>
      <c r="B373" s="2" t="inlineStr">
        <is>
          <t>Sheet3</t>
        </is>
      </c>
      <c r="C373" s="2" t="inlineStr">
        <is>
          <t>S132</t>
        </is>
      </c>
      <c r="D373" s="2" t="inlineStr">
        <is>
          <t>'Sheet3'!C7,H7</t>
        </is>
      </c>
      <c r="E373" s="2" t="inlineStr">
        <is>
          <t>sugar</t>
        </is>
      </c>
      <c r="F373" s="3" t="n">
        <v>600</v>
      </c>
      <c r="G373" s="2" t="inlineStr">
        <is>
          <t>600</t>
        </is>
      </c>
      <c r="H373" s="2" t="inlineStr">
        <is>
          <t>Retain unique variant; no equivalent operating card selected</t>
        </is>
      </c>
    </row>
    <row r="374">
      <c r="A374" s="2" t="inlineStr">
        <is>
          <t>L045</t>
        </is>
      </c>
      <c r="B374" s="2" t="inlineStr">
        <is>
          <t>Sheet3</t>
        </is>
      </c>
      <c r="C374" s="2" t="inlineStr">
        <is>
          <t>S132</t>
        </is>
      </c>
      <c r="D374" s="2" t="inlineStr">
        <is>
          <t>'Sheet3'!C8,H8</t>
        </is>
      </c>
      <c r="E374" s="2" t="inlineStr">
        <is>
          <t>Milk</t>
        </is>
      </c>
      <c r="F374" s="3" t="n">
        <v>400</v>
      </c>
      <c r="G374" s="2" t="inlineStr">
        <is>
          <t>400</t>
        </is>
      </c>
      <c r="H374" s="2" t="inlineStr">
        <is>
          <t>Retain unique variant; no equivalent operating card selected</t>
        </is>
      </c>
    </row>
    <row r="375">
      <c r="A375" s="2" t="inlineStr">
        <is>
          <t>L045</t>
        </is>
      </c>
      <c r="B375" s="2" t="inlineStr">
        <is>
          <t>Sheet3</t>
        </is>
      </c>
      <c r="C375" s="2" t="inlineStr">
        <is>
          <t>S132</t>
        </is>
      </c>
      <c r="D375" s="2" t="inlineStr">
        <is>
          <t>'Sheet3'!C9,H9</t>
        </is>
      </c>
      <c r="E375" s="2" t="inlineStr">
        <is>
          <t>egg</t>
        </is>
      </c>
      <c r="F375" s="3" t="n">
        <v>400</v>
      </c>
      <c r="G375" s="2" t="inlineStr">
        <is>
          <t>400</t>
        </is>
      </c>
      <c r="H375" s="2" t="inlineStr">
        <is>
          <t>Retain unique variant; no equivalent operating card selected</t>
        </is>
      </c>
    </row>
    <row r="376">
      <c r="A376" s="2" t="inlineStr">
        <is>
          <t>L045</t>
        </is>
      </c>
      <c r="B376" s="2" t="inlineStr">
        <is>
          <t>Sheet3</t>
        </is>
      </c>
      <c r="C376" s="2" t="inlineStr">
        <is>
          <t>S132</t>
        </is>
      </c>
      <c r="D376" s="2" t="inlineStr">
        <is>
          <t>'Sheet3'!C10,H10</t>
        </is>
      </c>
      <c r="E376" s="2" t="inlineStr">
        <is>
          <t>salt</t>
        </is>
      </c>
      <c r="F376" s="3" t="n">
        <v>60</v>
      </c>
      <c r="G376" s="2" t="inlineStr">
        <is>
          <t>60</t>
        </is>
      </c>
      <c r="H376" s="2" t="inlineStr">
        <is>
          <t>Retain unique variant; no equivalent operating card selected</t>
        </is>
      </c>
    </row>
    <row r="377">
      <c r="A377" s="2" t="inlineStr">
        <is>
          <t>L045</t>
        </is>
      </c>
      <c r="B377" s="2" t="inlineStr">
        <is>
          <t>Sheet3</t>
        </is>
      </c>
      <c r="C377" s="2" t="inlineStr">
        <is>
          <t>S132</t>
        </is>
      </c>
      <c r="D377" s="2" t="inlineStr">
        <is>
          <t>'Sheet3'!C11,H11</t>
        </is>
      </c>
      <c r="E377" s="2" t="inlineStr">
        <is>
          <t>improver</t>
        </is>
      </c>
      <c r="F377" s="3" t="n">
        <v>60</v>
      </c>
      <c r="G377" s="2" t="inlineStr">
        <is>
          <t>60</t>
        </is>
      </c>
      <c r="H377" s="2" t="inlineStr">
        <is>
          <t>Retain unique variant; no equivalent operating card selected</t>
        </is>
      </c>
    </row>
    <row r="378">
      <c r="A378" s="2" t="inlineStr">
        <is>
          <t>L045</t>
        </is>
      </c>
      <c r="B378" s="2" t="inlineStr">
        <is>
          <t>Sheet3</t>
        </is>
      </c>
      <c r="C378" s="2" t="inlineStr">
        <is>
          <t>S132</t>
        </is>
      </c>
      <c r="D378" s="2" t="inlineStr">
        <is>
          <t>'Sheet3'!C12,H12</t>
        </is>
      </c>
      <c r="E378" s="2" t="inlineStr">
        <is>
          <t>yeast</t>
        </is>
      </c>
      <c r="F378" s="3" t="n">
        <v>90</v>
      </c>
      <c r="G378" s="2" t="inlineStr">
        <is>
          <t>90</t>
        </is>
      </c>
      <c r="H378" s="2" t="inlineStr">
        <is>
          <t>Retain unique variant; no equivalent operating card selected</t>
        </is>
      </c>
    </row>
    <row r="379">
      <c r="A379" s="2" t="inlineStr">
        <is>
          <t>L045</t>
        </is>
      </c>
      <c r="B379" s="2" t="inlineStr">
        <is>
          <t>Sheet3</t>
        </is>
      </c>
      <c r="C379" s="2" t="inlineStr">
        <is>
          <t>S132</t>
        </is>
      </c>
      <c r="D379" s="2" t="inlineStr">
        <is>
          <t>'Sheet3'!C13,H13</t>
        </is>
      </c>
      <c r="E379" s="2" t="inlineStr">
        <is>
          <t>water</t>
        </is>
      </c>
      <c r="F379" s="3" t="n">
        <v>2500</v>
      </c>
      <c r="G379" s="2" t="inlineStr">
        <is>
          <t>2500</t>
        </is>
      </c>
      <c r="H379" s="2" t="inlineStr">
        <is>
          <t>Retain unique variant; no equivalent operating card selected</t>
        </is>
      </c>
    </row>
    <row r="380">
      <c r="A380" s="2" t="inlineStr">
        <is>
          <t>L045</t>
        </is>
      </c>
      <c r="B380" s="2" t="inlineStr">
        <is>
          <t>Sheet3</t>
        </is>
      </c>
      <c r="C380" s="2" t="inlineStr">
        <is>
          <t>S132</t>
        </is>
      </c>
      <c r="D380" s="2" t="inlineStr">
        <is>
          <t>'Sheet3'!C14,H14</t>
        </is>
      </c>
      <c r="E380" s="2" t="inlineStr">
        <is>
          <t>Oil</t>
        </is>
      </c>
      <c r="F380" s="3" t="n">
        <v>100</v>
      </c>
      <c r="G380" s="2" t="inlineStr">
        <is>
          <t>100</t>
        </is>
      </c>
      <c r="H380" s="2" t="inlineStr">
        <is>
          <t>Retain unique variant; no equivalent operating card selected</t>
        </is>
      </c>
    </row>
    <row r="381">
      <c r="A381" s="2" t="inlineStr">
        <is>
          <t>L045</t>
        </is>
      </c>
      <c r="B381" s="2" t="inlineStr">
        <is>
          <t>Sheet3</t>
        </is>
      </c>
      <c r="C381" s="2" t="inlineStr">
        <is>
          <t>S132</t>
        </is>
      </c>
      <c r="D381" s="2" t="inlineStr">
        <is>
          <t>'Sheet3'!C15,H15</t>
        </is>
      </c>
      <c r="E381" s="2" t="inlineStr">
        <is>
          <t>EDC</t>
        </is>
      </c>
      <c r="F381" s="3" t="n">
        <v>50</v>
      </c>
      <c r="G381" s="2" t="inlineStr">
        <is>
          <t>50</t>
        </is>
      </c>
      <c r="H381" s="2" t="inlineStr">
        <is>
          <t>Retain unique variant; no equivalent operating card selected</t>
        </is>
      </c>
    </row>
    <row r="382">
      <c r="A382" s="2" t="inlineStr">
        <is>
          <t>L046</t>
        </is>
      </c>
      <c r="B382" s="2" t="inlineStr">
        <is>
          <t>Sheet3</t>
        </is>
      </c>
      <c r="C382" s="2" t="inlineStr">
        <is>
          <t>S132</t>
        </is>
      </c>
      <c r="D382" s="2" t="inlineStr">
        <is>
          <t>'Sheet3'!C5,N5</t>
        </is>
      </c>
      <c r="E382" s="2" t="inlineStr">
        <is>
          <t>flour</t>
        </is>
      </c>
      <c r="F382" s="3" t="n">
        <v>8500</v>
      </c>
      <c r="G382" s="2" t="inlineStr">
        <is>
          <t>8500</t>
        </is>
      </c>
      <c r="H382" s="2" t="inlineStr">
        <is>
          <t>Retain unique variant; no equivalent operating card selected</t>
        </is>
      </c>
    </row>
    <row r="383">
      <c r="A383" s="2" t="inlineStr">
        <is>
          <t>L046</t>
        </is>
      </c>
      <c r="B383" s="2" t="inlineStr">
        <is>
          <t>Sheet3</t>
        </is>
      </c>
      <c r="C383" s="2" t="inlineStr">
        <is>
          <t>S132</t>
        </is>
      </c>
      <c r="D383" s="2" t="inlineStr">
        <is>
          <t>'Sheet3'!C6,N6</t>
        </is>
      </c>
      <c r="E383" s="2" t="inlineStr">
        <is>
          <t>Butter</t>
        </is>
      </c>
      <c r="F383" s="3" t="n">
        <v>700</v>
      </c>
      <c r="G383" s="2" t="inlineStr">
        <is>
          <t>700</t>
        </is>
      </c>
      <c r="H383" s="2" t="inlineStr">
        <is>
          <t>Retain unique variant; no equivalent operating card selected</t>
        </is>
      </c>
    </row>
    <row r="384">
      <c r="A384" s="2" t="inlineStr">
        <is>
          <t>L046</t>
        </is>
      </c>
      <c r="B384" s="2" t="inlineStr">
        <is>
          <t>Sheet3</t>
        </is>
      </c>
      <c r="C384" s="2" t="inlineStr">
        <is>
          <t>S132</t>
        </is>
      </c>
      <c r="D384" s="2" t="inlineStr">
        <is>
          <t>'Sheet3'!C7,N7</t>
        </is>
      </c>
      <c r="E384" s="2" t="inlineStr">
        <is>
          <t>sugar</t>
        </is>
      </c>
      <c r="F384" s="3" t="n">
        <v>800</v>
      </c>
      <c r="G384" s="2" t="inlineStr">
        <is>
          <t>800</t>
        </is>
      </c>
      <c r="H384" s="2" t="inlineStr">
        <is>
          <t>Retain unique variant; no equivalent operating card selected</t>
        </is>
      </c>
    </row>
    <row r="385">
      <c r="A385" s="2" t="inlineStr">
        <is>
          <t>L046</t>
        </is>
      </c>
      <c r="B385" s="2" t="inlineStr">
        <is>
          <t>Sheet3</t>
        </is>
      </c>
      <c r="C385" s="2" t="inlineStr">
        <is>
          <t>S132</t>
        </is>
      </c>
      <c r="D385" s="2" t="inlineStr">
        <is>
          <t>'Sheet3'!C8,N8</t>
        </is>
      </c>
      <c r="E385" s="2" t="inlineStr">
        <is>
          <t>Milk</t>
        </is>
      </c>
      <c r="F385" s="3" t="n">
        <v>750</v>
      </c>
      <c r="G385" s="2" t="inlineStr">
        <is>
          <t>750</t>
        </is>
      </c>
      <c r="H385" s="2" t="inlineStr">
        <is>
          <t>Retain unique variant; no equivalent operating card selected</t>
        </is>
      </c>
    </row>
    <row r="386">
      <c r="A386" s="2" t="inlineStr">
        <is>
          <t>L046</t>
        </is>
      </c>
      <c r="B386" s="2" t="inlineStr">
        <is>
          <t>Sheet3</t>
        </is>
      </c>
      <c r="C386" s="2" t="inlineStr">
        <is>
          <t>S132</t>
        </is>
      </c>
      <c r="D386" s="2" t="inlineStr">
        <is>
          <t>'Sheet3'!C9,N9</t>
        </is>
      </c>
      <c r="E386" s="2" t="inlineStr">
        <is>
          <t>egg</t>
        </is>
      </c>
      <c r="F386" s="3" t="n">
        <v>400</v>
      </c>
      <c r="G386" s="2" t="inlineStr">
        <is>
          <t>400</t>
        </is>
      </c>
      <c r="H386" s="2" t="inlineStr">
        <is>
          <t>Retain unique variant; no equivalent operating card selected</t>
        </is>
      </c>
    </row>
    <row r="387">
      <c r="A387" s="2" t="inlineStr">
        <is>
          <t>L046</t>
        </is>
      </c>
      <c r="B387" s="2" t="inlineStr">
        <is>
          <t>Sheet3</t>
        </is>
      </c>
      <c r="C387" s="2" t="inlineStr">
        <is>
          <t>S132</t>
        </is>
      </c>
      <c r="D387" s="2" t="inlineStr">
        <is>
          <t>'Sheet3'!C10,N10</t>
        </is>
      </c>
      <c r="E387" s="2" t="inlineStr">
        <is>
          <t>salt</t>
        </is>
      </c>
      <c r="F387" s="3" t="n">
        <v>60</v>
      </c>
      <c r="G387" s="2" t="inlineStr">
        <is>
          <t>60</t>
        </is>
      </c>
      <c r="H387" s="2" t="inlineStr">
        <is>
          <t>Retain unique variant; no equivalent operating card selected</t>
        </is>
      </c>
    </row>
    <row r="388">
      <c r="A388" s="2" t="inlineStr">
        <is>
          <t>L046</t>
        </is>
      </c>
      <c r="B388" s="2" t="inlineStr">
        <is>
          <t>Sheet3</t>
        </is>
      </c>
      <c r="C388" s="2" t="inlineStr">
        <is>
          <t>S132</t>
        </is>
      </c>
      <c r="D388" s="2" t="inlineStr">
        <is>
          <t>'Sheet3'!C11,N11</t>
        </is>
      </c>
      <c r="E388" s="2" t="inlineStr">
        <is>
          <t>improver</t>
        </is>
      </c>
      <c r="F388" s="3" t="n">
        <v>100</v>
      </c>
      <c r="G388" s="2" t="inlineStr">
        <is>
          <t>100</t>
        </is>
      </c>
      <c r="H388" s="2" t="inlineStr">
        <is>
          <t>Retain unique variant; no equivalent operating card selected</t>
        </is>
      </c>
    </row>
    <row r="389">
      <c r="A389" s="2" t="inlineStr">
        <is>
          <t>L046</t>
        </is>
      </c>
      <c r="B389" s="2" t="inlineStr">
        <is>
          <t>Sheet3</t>
        </is>
      </c>
      <c r="C389" s="2" t="inlineStr">
        <is>
          <t>S132</t>
        </is>
      </c>
      <c r="D389" s="2" t="inlineStr">
        <is>
          <t>'Sheet3'!C12,N12</t>
        </is>
      </c>
      <c r="E389" s="2" t="inlineStr">
        <is>
          <t>yeast</t>
        </is>
      </c>
      <c r="F389" s="3" t="n">
        <v>90</v>
      </c>
      <c r="G389" s="2" t="inlineStr">
        <is>
          <t>90</t>
        </is>
      </c>
      <c r="H389" s="2" t="inlineStr">
        <is>
          <t>Retain unique variant; no equivalent operating card selected</t>
        </is>
      </c>
    </row>
    <row r="390">
      <c r="A390" s="2" t="inlineStr">
        <is>
          <t>L046</t>
        </is>
      </c>
      <c r="B390" s="2" t="inlineStr">
        <is>
          <t>Sheet3</t>
        </is>
      </c>
      <c r="C390" s="2" t="inlineStr">
        <is>
          <t>S132</t>
        </is>
      </c>
      <c r="D390" s="2" t="inlineStr">
        <is>
          <t>'Sheet3'!C13,N13</t>
        </is>
      </c>
      <c r="E390" s="2" t="inlineStr">
        <is>
          <t>water</t>
        </is>
      </c>
      <c r="F390" s="3" t="n">
        <v>1900</v>
      </c>
      <c r="G390" s="2" t="inlineStr">
        <is>
          <t>1900</t>
        </is>
      </c>
      <c r="H390" s="2" t="inlineStr">
        <is>
          <t>Retain unique variant; no equivalent operating card selected</t>
        </is>
      </c>
    </row>
    <row r="391">
      <c r="A391" s="2" t="inlineStr">
        <is>
          <t>L046</t>
        </is>
      </c>
      <c r="B391" s="2" t="inlineStr">
        <is>
          <t>Sheet3</t>
        </is>
      </c>
      <c r="C391" s="2" t="inlineStr">
        <is>
          <t>S132</t>
        </is>
      </c>
      <c r="D391" s="2" t="inlineStr">
        <is>
          <t>'Sheet3'!C14,N14</t>
        </is>
      </c>
      <c r="E391" s="2" t="inlineStr">
        <is>
          <t>Oil</t>
        </is>
      </c>
      <c r="F391" s="3" t="n">
        <v>200</v>
      </c>
      <c r="G391" s="2" t="inlineStr">
        <is>
          <t>200</t>
        </is>
      </c>
      <c r="H391" s="2" t="inlineStr">
        <is>
          <t>Retain unique variant; no equivalent operating card selected</t>
        </is>
      </c>
    </row>
    <row r="392">
      <c r="A392" s="2" t="inlineStr">
        <is>
          <t>L046</t>
        </is>
      </c>
      <c r="B392" s="2" t="inlineStr">
        <is>
          <t>Sheet3</t>
        </is>
      </c>
      <c r="C392" s="2" t="inlineStr">
        <is>
          <t>S132</t>
        </is>
      </c>
      <c r="D392" s="2" t="inlineStr">
        <is>
          <t>'Sheet3'!C15,N15</t>
        </is>
      </c>
      <c r="E392" s="2" t="inlineStr">
        <is>
          <t>EDC</t>
        </is>
      </c>
      <c r="F392" s="3" t="n">
        <v>12.5</v>
      </c>
      <c r="G392" s="2" t="inlineStr">
        <is>
          <t>=F15/2 [cached: 12.5]</t>
        </is>
      </c>
      <c r="H392" s="2" t="inlineStr">
        <is>
          <t>Retain unique variant; no equivalent operating card selected</t>
        </is>
      </c>
    </row>
    <row r="393">
      <c r="A393" s="2" t="inlineStr">
        <is>
          <t>L047</t>
        </is>
      </c>
      <c r="B393" s="2" t="inlineStr">
        <is>
          <t>Short bread</t>
        </is>
      </c>
      <c r="C393" s="2" t="inlineStr">
        <is>
          <t>S132</t>
        </is>
      </c>
      <c r="D393" s="2" t="inlineStr">
        <is>
          <t>'Short bread'!C5,D5</t>
        </is>
      </c>
      <c r="E393" s="2" t="inlineStr">
        <is>
          <t>flour</t>
        </is>
      </c>
      <c r="F393" s="3" t="n">
        <v>2000</v>
      </c>
      <c r="G393" s="2" t="inlineStr">
        <is>
          <t>2000</t>
        </is>
      </c>
      <c r="H393" s="2" t="inlineStr">
        <is>
          <t>H07</t>
        </is>
      </c>
    </row>
    <row r="394">
      <c r="A394" s="2" t="inlineStr">
        <is>
          <t>L047</t>
        </is>
      </c>
      <c r="B394" s="2" t="inlineStr">
        <is>
          <t>Short bread</t>
        </is>
      </c>
      <c r="C394" s="2" t="inlineStr">
        <is>
          <t>S132</t>
        </is>
      </c>
      <c r="D394" s="2" t="inlineStr">
        <is>
          <t>'Short bread'!C6,D6</t>
        </is>
      </c>
      <c r="E394" s="2" t="inlineStr">
        <is>
          <t>Butter</t>
        </is>
      </c>
      <c r="F394" s="3" t="n">
        <v>1000</v>
      </c>
      <c r="G394" s="2" t="inlineStr">
        <is>
          <t>1000</t>
        </is>
      </c>
      <c r="H394" s="2" t="inlineStr">
        <is>
          <t>H07</t>
        </is>
      </c>
    </row>
    <row r="395">
      <c r="A395" s="2" t="inlineStr">
        <is>
          <t>L047</t>
        </is>
      </c>
      <c r="B395" s="2" t="inlineStr">
        <is>
          <t>Short bread</t>
        </is>
      </c>
      <c r="C395" s="2" t="inlineStr">
        <is>
          <t>S132</t>
        </is>
      </c>
      <c r="D395" s="2" t="inlineStr">
        <is>
          <t>'Short bread'!C7,D7</t>
        </is>
      </c>
      <c r="E395" s="2" t="inlineStr">
        <is>
          <t>icing sugar</t>
        </is>
      </c>
      <c r="F395" s="3" t="n">
        <v>100</v>
      </c>
      <c r="G395" s="2" t="inlineStr">
        <is>
          <t>100</t>
        </is>
      </c>
      <c r="H395" s="2" t="inlineStr">
        <is>
          <t>H07</t>
        </is>
      </c>
    </row>
    <row r="396">
      <c r="A396" s="2" t="inlineStr">
        <is>
          <t>L047</t>
        </is>
      </c>
      <c r="B396" s="2" t="inlineStr">
        <is>
          <t>Short bread</t>
        </is>
      </c>
      <c r="C396" s="2" t="inlineStr">
        <is>
          <t>S132</t>
        </is>
      </c>
      <c r="D396" s="2" t="inlineStr">
        <is>
          <t>'Short bread'!C8,D8</t>
        </is>
      </c>
      <c r="E396" s="2" t="inlineStr">
        <is>
          <t>egg</t>
        </is>
      </c>
      <c r="F396" s="3" t="n">
        <v>100</v>
      </c>
      <c r="G396" s="2" t="inlineStr">
        <is>
          <t>100</t>
        </is>
      </c>
      <c r="H396" s="2" t="inlineStr">
        <is>
          <t>H07</t>
        </is>
      </c>
    </row>
    <row r="397">
      <c r="A397" s="2" t="inlineStr">
        <is>
          <t>L047</t>
        </is>
      </c>
      <c r="B397" s="2" t="inlineStr">
        <is>
          <t>Short bread</t>
        </is>
      </c>
      <c r="C397" s="2" t="inlineStr">
        <is>
          <t>S132</t>
        </is>
      </c>
      <c r="D397" s="2" t="inlineStr">
        <is>
          <t>'Short bread'!C9,D9</t>
        </is>
      </c>
      <c r="E397" s="2" t="inlineStr">
        <is>
          <t>milk</t>
        </is>
      </c>
      <c r="F397" s="3" t="n">
        <v>200</v>
      </c>
      <c r="G397" s="2" t="inlineStr">
        <is>
          <t>200</t>
        </is>
      </c>
      <c r="H397" s="2" t="inlineStr">
        <is>
          <t>H07</t>
        </is>
      </c>
    </row>
    <row r="398">
      <c r="A398" s="2" t="inlineStr">
        <is>
          <t>L047</t>
        </is>
      </c>
      <c r="B398" s="2" t="inlineStr">
        <is>
          <t>Short bread</t>
        </is>
      </c>
      <c r="C398" s="2" t="inlineStr">
        <is>
          <t>S132</t>
        </is>
      </c>
      <c r="D398" s="2" t="inlineStr">
        <is>
          <t>'Short bread'!C10,D10</t>
        </is>
      </c>
      <c r="E398" s="2" t="inlineStr">
        <is>
          <t>sugar</t>
        </is>
      </c>
      <c r="F398" s="3" t="n">
        <v>400</v>
      </c>
      <c r="G398" s="2" t="inlineStr">
        <is>
          <t>400</t>
        </is>
      </c>
      <c r="H398" s="2" t="inlineStr">
        <is>
          <t>H07</t>
        </is>
      </c>
    </row>
    <row r="399">
      <c r="A399" s="2" t="inlineStr">
        <is>
          <t>L047</t>
        </is>
      </c>
      <c r="B399" s="2" t="inlineStr">
        <is>
          <t>Short bread</t>
        </is>
      </c>
      <c r="C399" s="2" t="inlineStr">
        <is>
          <t>S132</t>
        </is>
      </c>
      <c r="D399" s="2" t="inlineStr">
        <is>
          <t>'Short bread'!C11,D11</t>
        </is>
      </c>
      <c r="E399" s="2" t="inlineStr">
        <is>
          <t>salt</t>
        </is>
      </c>
      <c r="F399" s="3" t="n">
        <v>150</v>
      </c>
      <c r="G399" s="2" t="inlineStr">
        <is>
          <t>150</t>
        </is>
      </c>
      <c r="H399" s="2" t="inlineStr">
        <is>
          <t>H07</t>
        </is>
      </c>
    </row>
    <row r="400">
      <c r="A400" s="2" t="inlineStr">
        <is>
          <t>L048</t>
        </is>
      </c>
      <c r="B400" s="2" t="inlineStr">
        <is>
          <t>Short bread</t>
        </is>
      </c>
      <c r="C400" s="2" t="inlineStr">
        <is>
          <t>S132</t>
        </is>
      </c>
      <c r="D400" s="2" t="inlineStr">
        <is>
          <t>'Short bread'!C5,H5</t>
        </is>
      </c>
      <c r="E400" s="2" t="inlineStr">
        <is>
          <t>flour</t>
        </is>
      </c>
      <c r="F400" s="3" t="n">
        <v>1000</v>
      </c>
      <c r="G400" s="2" t="inlineStr">
        <is>
          <t>1000</t>
        </is>
      </c>
      <c r="H400" s="2" t="inlineStr">
        <is>
          <t>H07</t>
        </is>
      </c>
    </row>
    <row r="401">
      <c r="A401" s="2" t="inlineStr">
        <is>
          <t>L048</t>
        </is>
      </c>
      <c r="B401" s="2" t="inlineStr">
        <is>
          <t>Short bread</t>
        </is>
      </c>
      <c r="C401" s="2" t="inlineStr">
        <is>
          <t>S132</t>
        </is>
      </c>
      <c r="D401" s="2" t="inlineStr">
        <is>
          <t>'Short bread'!C6,H6</t>
        </is>
      </c>
      <c r="E401" s="2" t="inlineStr">
        <is>
          <t>Butter</t>
        </is>
      </c>
      <c r="F401" s="3" t="n">
        <v>600</v>
      </c>
      <c r="G401" s="2" t="inlineStr">
        <is>
          <t>600</t>
        </is>
      </c>
      <c r="H401" s="2" t="inlineStr">
        <is>
          <t>H07</t>
        </is>
      </c>
    </row>
    <row r="402">
      <c r="A402" s="2" t="inlineStr">
        <is>
          <t>L048</t>
        </is>
      </c>
      <c r="B402" s="2" t="inlineStr">
        <is>
          <t>Short bread</t>
        </is>
      </c>
      <c r="C402" s="2" t="inlineStr">
        <is>
          <t>S132</t>
        </is>
      </c>
      <c r="D402" s="2" t="inlineStr">
        <is>
          <t>'Short bread'!C7,H7</t>
        </is>
      </c>
      <c r="E402" s="2" t="inlineStr">
        <is>
          <t>icing sugar</t>
        </is>
      </c>
      <c r="F402" s="3" t="n">
        <v>100</v>
      </c>
      <c r="G402" s="2" t="inlineStr">
        <is>
          <t>100</t>
        </is>
      </c>
      <c r="H402" s="2" t="inlineStr">
        <is>
          <t>H07</t>
        </is>
      </c>
    </row>
    <row r="403">
      <c r="A403" s="2" t="inlineStr">
        <is>
          <t>L048</t>
        </is>
      </c>
      <c r="B403" s="2" t="inlineStr">
        <is>
          <t>Short bread</t>
        </is>
      </c>
      <c r="C403" s="2" t="inlineStr">
        <is>
          <t>S132</t>
        </is>
      </c>
      <c r="D403" s="2" t="inlineStr">
        <is>
          <t>'Short bread'!C8,H8</t>
        </is>
      </c>
      <c r="E403" s="2" t="inlineStr">
        <is>
          <t>egg</t>
        </is>
      </c>
      <c r="F403" s="3" t="n">
        <v>50</v>
      </c>
      <c r="G403" s="2" t="inlineStr">
        <is>
          <t>50</t>
        </is>
      </c>
      <c r="H403" s="2" t="inlineStr">
        <is>
          <t>H07</t>
        </is>
      </c>
    </row>
    <row r="404">
      <c r="A404" s="2" t="inlineStr">
        <is>
          <t>L048</t>
        </is>
      </c>
      <c r="B404" s="2" t="inlineStr">
        <is>
          <t>Short bread</t>
        </is>
      </c>
      <c r="C404" s="2" t="inlineStr">
        <is>
          <t>S132</t>
        </is>
      </c>
      <c r="D404" s="2" t="inlineStr">
        <is>
          <t>'Short bread'!C9,H9</t>
        </is>
      </c>
      <c r="E404" s="2" t="inlineStr">
        <is>
          <t>milk</t>
        </is>
      </c>
      <c r="F404" s="3" t="n">
        <v>100</v>
      </c>
      <c r="G404" s="2" t="inlineStr">
        <is>
          <t>100</t>
        </is>
      </c>
      <c r="H404" s="2" t="inlineStr">
        <is>
          <t>H07</t>
        </is>
      </c>
    </row>
    <row r="405">
      <c r="A405" s="2" t="inlineStr">
        <is>
          <t>L048</t>
        </is>
      </c>
      <c r="B405" s="2" t="inlineStr">
        <is>
          <t>Short bread</t>
        </is>
      </c>
      <c r="C405" s="2" t="inlineStr">
        <is>
          <t>S132</t>
        </is>
      </c>
      <c r="D405" s="2" t="inlineStr">
        <is>
          <t>'Short bread'!C10,H10</t>
        </is>
      </c>
      <c r="E405" s="2" t="inlineStr">
        <is>
          <t>sugar</t>
        </is>
      </c>
      <c r="F405" s="3" t="n">
        <v>70</v>
      </c>
      <c r="G405" s="2" t="inlineStr">
        <is>
          <t>70</t>
        </is>
      </c>
      <c r="H405" s="2" t="inlineStr">
        <is>
          <t>H07</t>
        </is>
      </c>
    </row>
    <row r="406">
      <c r="A406" s="2" t="inlineStr">
        <is>
          <t>L048</t>
        </is>
      </c>
      <c r="B406" s="2" t="inlineStr">
        <is>
          <t>Short bread</t>
        </is>
      </c>
      <c r="C406" s="2" t="inlineStr">
        <is>
          <t>S132</t>
        </is>
      </c>
      <c r="D406" s="2" t="inlineStr">
        <is>
          <t>'Short bread'!C11,H11</t>
        </is>
      </c>
      <c r="E406" s="2" t="inlineStr">
        <is>
          <t>salt</t>
        </is>
      </c>
      <c r="F406" s="3" t="n">
        <v>60</v>
      </c>
      <c r="G406" s="2" t="inlineStr">
        <is>
          <t>60</t>
        </is>
      </c>
      <c r="H406" s="2" t="inlineStr">
        <is>
          <t>H07</t>
        </is>
      </c>
    </row>
    <row r="407">
      <c r="A407" s="2" t="inlineStr">
        <is>
          <t>L049</t>
        </is>
      </c>
      <c r="B407" s="2" t="inlineStr">
        <is>
          <t>Sugar Balls</t>
        </is>
      </c>
      <c r="C407" s="2" t="inlineStr">
        <is>
          <t>S132</t>
        </is>
      </c>
      <c r="D407" s="2" t="inlineStr">
        <is>
          <t>'Sugar Balls'!C5,D5</t>
        </is>
      </c>
      <c r="E407" s="2" t="inlineStr">
        <is>
          <t>flour</t>
        </is>
      </c>
      <c r="F407" s="3" t="n">
        <v>10000</v>
      </c>
      <c r="G407" s="2" t="inlineStr">
        <is>
          <t>10000</t>
        </is>
      </c>
      <c r="H407" s="2" t="inlineStr">
        <is>
          <t>Retain unique variant; no equivalent operating card selected</t>
        </is>
      </c>
    </row>
    <row r="408">
      <c r="A408" s="2" t="inlineStr">
        <is>
          <t>L049</t>
        </is>
      </c>
      <c r="B408" s="2" t="inlineStr">
        <is>
          <t>Sugar Balls</t>
        </is>
      </c>
      <c r="C408" s="2" t="inlineStr">
        <is>
          <t>S132</t>
        </is>
      </c>
      <c r="D408" s="2" t="inlineStr">
        <is>
          <t>'Sugar Balls'!C6,D6</t>
        </is>
      </c>
      <c r="E408" s="2" t="inlineStr">
        <is>
          <t>baking powder</t>
        </is>
      </c>
      <c r="F408" s="3" t="n">
        <v>110</v>
      </c>
      <c r="G408" s="2" t="inlineStr">
        <is>
          <t>110</t>
        </is>
      </c>
      <c r="H408" s="2" t="inlineStr">
        <is>
          <t>Retain unique variant; no equivalent operating card selected</t>
        </is>
      </c>
    </row>
    <row r="409">
      <c r="A409" s="2" t="inlineStr">
        <is>
          <t>L049</t>
        </is>
      </c>
      <c r="B409" s="2" t="inlineStr">
        <is>
          <t>Sugar Balls</t>
        </is>
      </c>
      <c r="C409" s="2" t="inlineStr">
        <is>
          <t>S132</t>
        </is>
      </c>
      <c r="D409" s="2" t="inlineStr">
        <is>
          <t>'Sugar Balls'!C7,D7</t>
        </is>
      </c>
      <c r="E409" s="2" t="inlineStr">
        <is>
          <t>sugar</t>
        </is>
      </c>
      <c r="F409" s="3" t="n">
        <v>1000</v>
      </c>
      <c r="G409" s="2" t="inlineStr">
        <is>
          <t>1000</t>
        </is>
      </c>
      <c r="H409" s="2" t="inlineStr">
        <is>
          <t>Retain unique variant; no equivalent operating card selected</t>
        </is>
      </c>
    </row>
    <row r="410">
      <c r="A410" s="2" t="inlineStr">
        <is>
          <t>L049</t>
        </is>
      </c>
      <c r="B410" s="2" t="inlineStr">
        <is>
          <t>Sugar Balls</t>
        </is>
      </c>
      <c r="C410" s="2" t="inlineStr">
        <is>
          <t>S132</t>
        </is>
      </c>
      <c r="D410" s="2" t="inlineStr">
        <is>
          <t>'Sugar Balls'!C8,D8</t>
        </is>
      </c>
      <c r="E410" s="2" t="inlineStr">
        <is>
          <t>Butter</t>
        </is>
      </c>
      <c r="F410" s="3" t="n">
        <v>1000</v>
      </c>
      <c r="G410" s="2" t="inlineStr">
        <is>
          <t>1000</t>
        </is>
      </c>
      <c r="H410" s="2" t="inlineStr">
        <is>
          <t>Retain unique variant; no equivalent operating card selected</t>
        </is>
      </c>
    </row>
    <row r="411">
      <c r="A411" s="2" t="inlineStr">
        <is>
          <t>L049</t>
        </is>
      </c>
      <c r="B411" s="2" t="inlineStr">
        <is>
          <t>Sugar Balls</t>
        </is>
      </c>
      <c r="C411" s="2" t="inlineStr">
        <is>
          <t>S132</t>
        </is>
      </c>
      <c r="D411" s="2" t="inlineStr">
        <is>
          <t>'Sugar Balls'!C9,D9</t>
        </is>
      </c>
      <c r="E411" s="2" t="inlineStr">
        <is>
          <t>salt</t>
        </is>
      </c>
      <c r="F411" s="3" t="n">
        <v>120</v>
      </c>
      <c r="G411" s="2" t="inlineStr">
        <is>
          <t>120</t>
        </is>
      </c>
      <c r="H411" s="2" t="inlineStr">
        <is>
          <t>Retain unique variant; no equivalent operating card selected</t>
        </is>
      </c>
    </row>
    <row r="412">
      <c r="A412" s="2" t="inlineStr">
        <is>
          <t>L049</t>
        </is>
      </c>
      <c r="B412" s="2" t="inlineStr">
        <is>
          <t>Sugar Balls</t>
        </is>
      </c>
      <c r="C412" s="2" t="inlineStr">
        <is>
          <t>S132</t>
        </is>
      </c>
      <c r="D412" s="2" t="inlineStr">
        <is>
          <t>'Sugar Balls'!C10,D10</t>
        </is>
      </c>
      <c r="E412" s="2" t="inlineStr">
        <is>
          <t>Cold Water</t>
        </is>
      </c>
      <c r="F412" s="3" t="n">
        <v>4500</v>
      </c>
      <c r="G412" s="2" t="inlineStr">
        <is>
          <t>4500</t>
        </is>
      </c>
      <c r="H412" s="2" t="inlineStr">
        <is>
          <t>Retain unique variant; no equivalent operating card selected</t>
        </is>
      </c>
    </row>
    <row r="413">
      <c r="A413" s="2" t="inlineStr">
        <is>
          <t>L049</t>
        </is>
      </c>
      <c r="B413" s="2" t="inlineStr">
        <is>
          <t>Sugar Balls</t>
        </is>
      </c>
      <c r="C413" s="2" t="inlineStr">
        <is>
          <t>S132</t>
        </is>
      </c>
      <c r="D413" s="2" t="inlineStr">
        <is>
          <t>'Sugar Balls'!C11,D11</t>
        </is>
      </c>
      <c r="E413" s="2" t="inlineStr">
        <is>
          <t>Improver</t>
        </is>
      </c>
      <c r="F413" s="3" t="n">
        <v>120</v>
      </c>
      <c r="G413" s="2" t="inlineStr">
        <is>
          <t>120</t>
        </is>
      </c>
      <c r="H413" s="2" t="inlineStr">
        <is>
          <t>Retain unique variant; no equivalent operating card selected</t>
        </is>
      </c>
    </row>
    <row r="414">
      <c r="A414" s="2" t="inlineStr">
        <is>
          <t>L049</t>
        </is>
      </c>
      <c r="B414" s="2" t="inlineStr">
        <is>
          <t>Sugar Balls</t>
        </is>
      </c>
      <c r="C414" s="2" t="inlineStr">
        <is>
          <t>S132</t>
        </is>
      </c>
      <c r="D414" s="2" t="inlineStr">
        <is>
          <t>'Sugar Balls'!C12,D12</t>
        </is>
      </c>
      <c r="E414" s="2" t="inlineStr">
        <is>
          <t>yeast</t>
        </is>
      </c>
      <c r="F414" s="3" t="n">
        <v>160</v>
      </c>
      <c r="G414" s="2" t="inlineStr">
        <is>
          <t>160</t>
        </is>
      </c>
      <c r="H414" s="2" t="inlineStr">
        <is>
          <t>Retain unique variant; no equivalent operating card selected</t>
        </is>
      </c>
    </row>
    <row r="415">
      <c r="A415" s="2" t="inlineStr">
        <is>
          <t>L050</t>
        </is>
      </c>
      <c r="B415" s="2" t="inlineStr">
        <is>
          <t>Sugar Balls</t>
        </is>
      </c>
      <c r="C415" s="2" t="inlineStr">
        <is>
          <t>S132</t>
        </is>
      </c>
      <c r="D415" s="2" t="inlineStr">
        <is>
          <t>'Sugar Balls'!C5,F5</t>
        </is>
      </c>
      <c r="E415" s="2" t="inlineStr">
        <is>
          <t>flour</t>
        </is>
      </c>
      <c r="F415" s="3" t="n">
        <v>50000</v>
      </c>
      <c r="G415" s="2" t="inlineStr">
        <is>
          <t>=H5*10 [cached: 50000]</t>
        </is>
      </c>
      <c r="H415" s="2" t="inlineStr">
        <is>
          <t>Retain unique variant; no equivalent operating card selected</t>
        </is>
      </c>
    </row>
    <row r="416">
      <c r="A416" s="2" t="inlineStr">
        <is>
          <t>L050</t>
        </is>
      </c>
      <c r="B416" s="2" t="inlineStr">
        <is>
          <t>Sugar Balls</t>
        </is>
      </c>
      <c r="C416" s="2" t="inlineStr">
        <is>
          <t>S132</t>
        </is>
      </c>
      <c r="D416" s="2" t="inlineStr">
        <is>
          <t>'Sugar Balls'!C6,F6</t>
        </is>
      </c>
      <c r="E416" s="2" t="inlineStr">
        <is>
          <t>baking powder</t>
        </is>
      </c>
      <c r="F416" s="3" t="n">
        <v>550</v>
      </c>
      <c r="G416" s="2" t="inlineStr">
        <is>
          <t>=H6*10 [cached: 550]</t>
        </is>
      </c>
      <c r="H416" s="2" t="inlineStr">
        <is>
          <t>Retain unique variant; no equivalent operating card selected</t>
        </is>
      </c>
    </row>
    <row r="417">
      <c r="A417" s="2" t="inlineStr">
        <is>
          <t>L050</t>
        </is>
      </c>
      <c r="B417" s="2" t="inlineStr">
        <is>
          <t>Sugar Balls</t>
        </is>
      </c>
      <c r="C417" s="2" t="inlineStr">
        <is>
          <t>S132</t>
        </is>
      </c>
      <c r="D417" s="2" t="inlineStr">
        <is>
          <t>'Sugar Balls'!C7,F7</t>
        </is>
      </c>
      <c r="E417" s="2" t="inlineStr">
        <is>
          <t>sugar</t>
        </is>
      </c>
      <c r="F417" s="3" t="n">
        <v>5000</v>
      </c>
      <c r="G417" s="2" t="inlineStr">
        <is>
          <t>=H7*10 [cached: 5000]</t>
        </is>
      </c>
      <c r="H417" s="2" t="inlineStr">
        <is>
          <t>Retain unique variant; no equivalent operating card selected</t>
        </is>
      </c>
    </row>
    <row r="418">
      <c r="A418" s="2" t="inlineStr">
        <is>
          <t>L050</t>
        </is>
      </c>
      <c r="B418" s="2" t="inlineStr">
        <is>
          <t>Sugar Balls</t>
        </is>
      </c>
      <c r="C418" s="2" t="inlineStr">
        <is>
          <t>S132</t>
        </is>
      </c>
      <c r="D418" s="2" t="inlineStr">
        <is>
          <t>'Sugar Balls'!C8,F8</t>
        </is>
      </c>
      <c r="E418" s="2" t="inlineStr">
        <is>
          <t>Butter</t>
        </is>
      </c>
      <c r="F418" s="3" t="n">
        <v>3000</v>
      </c>
      <c r="G418" s="2" t="inlineStr">
        <is>
          <t>=H8*10 [cached: 3000]</t>
        </is>
      </c>
      <c r="H418" s="2" t="inlineStr">
        <is>
          <t>Retain unique variant; no equivalent operating card selected</t>
        </is>
      </c>
    </row>
    <row r="419">
      <c r="A419" s="2" t="inlineStr">
        <is>
          <t>L050</t>
        </is>
      </c>
      <c r="B419" s="2" t="inlineStr">
        <is>
          <t>Sugar Balls</t>
        </is>
      </c>
      <c r="C419" s="2" t="inlineStr">
        <is>
          <t>S132</t>
        </is>
      </c>
      <c r="D419" s="2" t="inlineStr">
        <is>
          <t>'Sugar Balls'!C9,F9</t>
        </is>
      </c>
      <c r="E419" s="2" t="inlineStr">
        <is>
          <t>salt</t>
        </is>
      </c>
      <c r="F419" s="3" t="n">
        <v>500</v>
      </c>
      <c r="G419" s="2" t="inlineStr">
        <is>
          <t>=H9*10 [cached: 500]</t>
        </is>
      </c>
      <c r="H419" s="2" t="inlineStr">
        <is>
          <t>Retain unique variant; no equivalent operating card selected</t>
        </is>
      </c>
    </row>
    <row r="420">
      <c r="A420" s="2" t="inlineStr">
        <is>
          <t>L050</t>
        </is>
      </c>
      <c r="B420" s="2" t="inlineStr">
        <is>
          <t>Sugar Balls</t>
        </is>
      </c>
      <c r="C420" s="2" t="inlineStr">
        <is>
          <t>S132</t>
        </is>
      </c>
      <c r="D420" s="2" t="inlineStr">
        <is>
          <t>'Sugar Balls'!C10,F10</t>
        </is>
      </c>
      <c r="E420" s="2" t="inlineStr">
        <is>
          <t>Cold Water</t>
        </is>
      </c>
      <c r="F420" s="3" t="n">
        <v>30000</v>
      </c>
      <c r="G420" s="2" t="inlineStr">
        <is>
          <t>=H10*10 [cached: 30000]</t>
        </is>
      </c>
      <c r="H420" s="2" t="inlineStr">
        <is>
          <t>Retain unique variant; no equivalent operating card selected</t>
        </is>
      </c>
    </row>
    <row r="421">
      <c r="A421" s="2" t="inlineStr">
        <is>
          <t>L050</t>
        </is>
      </c>
      <c r="B421" s="2" t="inlineStr">
        <is>
          <t>Sugar Balls</t>
        </is>
      </c>
      <c r="C421" s="2" t="inlineStr">
        <is>
          <t>S132</t>
        </is>
      </c>
      <c r="D421" s="2" t="inlineStr">
        <is>
          <t>'Sugar Balls'!C11,F11</t>
        </is>
      </c>
      <c r="E421" s="2" t="inlineStr">
        <is>
          <t>Improver</t>
        </is>
      </c>
      <c r="F421" s="3" t="n">
        <v>600</v>
      </c>
      <c r="G421" s="2" t="inlineStr">
        <is>
          <t>=H11*10 [cached: 600]</t>
        </is>
      </c>
      <c r="H421" s="2" t="inlineStr">
        <is>
          <t>Retain unique variant; no equivalent operating card selected</t>
        </is>
      </c>
    </row>
    <row r="422">
      <c r="A422" s="2" t="inlineStr">
        <is>
          <t>L050</t>
        </is>
      </c>
      <c r="B422" s="2" t="inlineStr">
        <is>
          <t>Sugar Balls</t>
        </is>
      </c>
      <c r="C422" s="2" t="inlineStr">
        <is>
          <t>S132</t>
        </is>
      </c>
      <c r="D422" s="2" t="inlineStr">
        <is>
          <t>'Sugar Balls'!C12,F12</t>
        </is>
      </c>
      <c r="E422" s="2" t="inlineStr">
        <is>
          <t>yeast</t>
        </is>
      </c>
      <c r="F422" s="3" t="n">
        <v>600</v>
      </c>
      <c r="G422" s="2" t="inlineStr">
        <is>
          <t>=H12*10 [cached: 600]</t>
        </is>
      </c>
      <c r="H422" s="2" t="inlineStr">
        <is>
          <t>Retain unique variant; no equivalent operating card selected</t>
        </is>
      </c>
    </row>
    <row r="423">
      <c r="A423" s="2" t="inlineStr">
        <is>
          <t>L051</t>
        </is>
      </c>
      <c r="B423" s="2" t="inlineStr">
        <is>
          <t>Taste it</t>
        </is>
      </c>
      <c r="C423" s="2" t="inlineStr">
        <is>
          <t>S132</t>
        </is>
      </c>
      <c r="D423" s="2" t="inlineStr">
        <is>
          <t>'Taste it'!C5,D5</t>
        </is>
      </c>
      <c r="E423" s="2" t="inlineStr">
        <is>
          <t>flour</t>
        </is>
      </c>
      <c r="F423" s="3" t="n">
        <v>10000</v>
      </c>
      <c r="G423" s="2" t="inlineStr">
        <is>
          <t>10000</t>
        </is>
      </c>
      <c r="H423" s="2" t="inlineStr">
        <is>
          <t>Retain unique variant; no equivalent operating card selected</t>
        </is>
      </c>
    </row>
    <row r="424">
      <c r="A424" s="2" t="inlineStr">
        <is>
          <t>L051</t>
        </is>
      </c>
      <c r="B424" s="2" t="inlineStr">
        <is>
          <t>Taste it</t>
        </is>
      </c>
      <c r="C424" s="2" t="inlineStr">
        <is>
          <t>S132</t>
        </is>
      </c>
      <c r="D424" s="2" t="inlineStr">
        <is>
          <t>'Taste it'!C6,D6</t>
        </is>
      </c>
      <c r="E424" s="2" t="inlineStr">
        <is>
          <t>Butter</t>
        </is>
      </c>
      <c r="F424" s="3" t="n">
        <v>1000</v>
      </c>
      <c r="G424" s="2" t="inlineStr">
        <is>
          <t>1000</t>
        </is>
      </c>
      <c r="H424" s="2" t="inlineStr">
        <is>
          <t>Retain unique variant; no equivalent operating card selected</t>
        </is>
      </c>
    </row>
    <row r="425">
      <c r="A425" s="2" t="inlineStr">
        <is>
          <t>L051</t>
        </is>
      </c>
      <c r="B425" s="2" t="inlineStr">
        <is>
          <t>Taste it</t>
        </is>
      </c>
      <c r="C425" s="2" t="inlineStr">
        <is>
          <t>S132</t>
        </is>
      </c>
      <c r="D425" s="2" t="inlineStr">
        <is>
          <t>'Taste it'!C7,D7</t>
        </is>
      </c>
      <c r="E425" s="2" t="inlineStr">
        <is>
          <t>sugar</t>
        </is>
      </c>
      <c r="F425" s="3" t="n">
        <v>1000</v>
      </c>
      <c r="G425" s="2" t="inlineStr">
        <is>
          <t>1000</t>
        </is>
      </c>
      <c r="H425" s="2" t="inlineStr">
        <is>
          <t>Retain unique variant; no equivalent operating card selected</t>
        </is>
      </c>
    </row>
    <row r="426">
      <c r="A426" s="2" t="inlineStr">
        <is>
          <t>L051</t>
        </is>
      </c>
      <c r="B426" s="2" t="inlineStr">
        <is>
          <t>Taste it</t>
        </is>
      </c>
      <c r="C426" s="2" t="inlineStr">
        <is>
          <t>S132</t>
        </is>
      </c>
      <c r="D426" s="2" t="inlineStr">
        <is>
          <t>'Taste it'!C8,D8</t>
        </is>
      </c>
      <c r="E426" s="2" t="inlineStr">
        <is>
          <t>Milk</t>
        </is>
      </c>
      <c r="F426" s="3" t="n">
        <v>800</v>
      </c>
      <c r="G426" s="2" t="inlineStr">
        <is>
          <t>800</t>
        </is>
      </c>
      <c r="H426" s="2" t="inlineStr">
        <is>
          <t>Retain unique variant; no equivalent operating card selected</t>
        </is>
      </c>
    </row>
    <row r="427">
      <c r="A427" s="2" t="inlineStr">
        <is>
          <t>L051</t>
        </is>
      </c>
      <c r="B427" s="2" t="inlineStr">
        <is>
          <t>Taste it</t>
        </is>
      </c>
      <c r="C427" s="2" t="inlineStr">
        <is>
          <t>S132</t>
        </is>
      </c>
      <c r="D427" s="2" t="inlineStr">
        <is>
          <t>'Taste it'!C9,D9</t>
        </is>
      </c>
      <c r="E427" s="2" t="inlineStr">
        <is>
          <t>egg</t>
        </is>
      </c>
      <c r="F427" s="3" t="n">
        <v>800</v>
      </c>
      <c r="G427" s="2" t="inlineStr">
        <is>
          <t>800</t>
        </is>
      </c>
      <c r="H427" s="2" t="inlineStr">
        <is>
          <t>Retain unique variant; no equivalent operating card selected</t>
        </is>
      </c>
    </row>
    <row r="428">
      <c r="A428" s="2" t="inlineStr">
        <is>
          <t>L051</t>
        </is>
      </c>
      <c r="B428" s="2" t="inlineStr">
        <is>
          <t>Taste it</t>
        </is>
      </c>
      <c r="C428" s="2" t="inlineStr">
        <is>
          <t>S132</t>
        </is>
      </c>
      <c r="D428" s="2" t="inlineStr">
        <is>
          <t>'Taste it'!C10,D10</t>
        </is>
      </c>
      <c r="E428" s="2" t="inlineStr">
        <is>
          <t>salt</t>
        </is>
      </c>
      <c r="F428" s="3" t="n">
        <v>110</v>
      </c>
      <c r="G428" s="2" t="inlineStr">
        <is>
          <t>110</t>
        </is>
      </c>
      <c r="H428" s="2" t="inlineStr">
        <is>
          <t>Retain unique variant; no equivalent operating card selected</t>
        </is>
      </c>
    </row>
    <row r="429">
      <c r="A429" s="2" t="inlineStr">
        <is>
          <t>L051</t>
        </is>
      </c>
      <c r="B429" s="2" t="inlineStr">
        <is>
          <t>Taste it</t>
        </is>
      </c>
      <c r="C429" s="2" t="inlineStr">
        <is>
          <t>S132</t>
        </is>
      </c>
      <c r="D429" s="2" t="inlineStr">
        <is>
          <t>'Taste it'!C11,D11</t>
        </is>
      </c>
      <c r="E429" s="2" t="inlineStr">
        <is>
          <t>improver</t>
        </is>
      </c>
      <c r="F429" s="3" t="n">
        <v>100</v>
      </c>
      <c r="G429" s="2" t="inlineStr">
        <is>
          <t>100</t>
        </is>
      </c>
      <c r="H429" s="2" t="inlineStr">
        <is>
          <t>Retain unique variant; no equivalent operating card selected</t>
        </is>
      </c>
    </row>
    <row r="430">
      <c r="A430" s="2" t="inlineStr">
        <is>
          <t>L051</t>
        </is>
      </c>
      <c r="B430" s="2" t="inlineStr">
        <is>
          <t>Taste it</t>
        </is>
      </c>
      <c r="C430" s="2" t="inlineStr">
        <is>
          <t>S132</t>
        </is>
      </c>
      <c r="D430" s="2" t="inlineStr">
        <is>
          <t>'Taste it'!C12,D12</t>
        </is>
      </c>
      <c r="E430" s="2" t="inlineStr">
        <is>
          <t>yeast</t>
        </is>
      </c>
      <c r="F430" s="3" t="n">
        <v>80</v>
      </c>
      <c r="G430" s="2" t="inlineStr">
        <is>
          <t>80</t>
        </is>
      </c>
      <c r="H430" s="2" t="inlineStr">
        <is>
          <t>Retain unique variant; no equivalent operating card selected</t>
        </is>
      </c>
    </row>
    <row r="431">
      <c r="A431" s="2" t="inlineStr">
        <is>
          <t>L051</t>
        </is>
      </c>
      <c r="B431" s="2" t="inlineStr">
        <is>
          <t>Taste it</t>
        </is>
      </c>
      <c r="C431" s="2" t="inlineStr">
        <is>
          <t>S132</t>
        </is>
      </c>
      <c r="D431" s="2" t="inlineStr">
        <is>
          <t>'Taste it'!C13,D13</t>
        </is>
      </c>
      <c r="E431" s="2" t="inlineStr">
        <is>
          <t>water</t>
        </is>
      </c>
      <c r="F431" s="3" t="n">
        <v>2000</v>
      </c>
      <c r="G431" s="2" t="inlineStr">
        <is>
          <t>2000</t>
        </is>
      </c>
      <c r="H431" s="2" t="inlineStr">
        <is>
          <t>Retain unique variant; no equivalent operating card selected</t>
        </is>
      </c>
    </row>
    <row r="432">
      <c r="A432" s="2" t="inlineStr">
        <is>
          <t>L051</t>
        </is>
      </c>
      <c r="B432" s="2" t="inlineStr">
        <is>
          <t>Taste it</t>
        </is>
      </c>
      <c r="C432" s="2" t="inlineStr">
        <is>
          <t>S132</t>
        </is>
      </c>
      <c r="D432" s="2" t="inlineStr">
        <is>
          <t>'Taste it'!C14,D14</t>
        </is>
      </c>
      <c r="E432" s="2" t="inlineStr">
        <is>
          <t>baking powder</t>
        </is>
      </c>
      <c r="F432" s="3" t="n">
        <v>80</v>
      </c>
      <c r="G432" s="2" t="inlineStr">
        <is>
          <t>80</t>
        </is>
      </c>
      <c r="H432" s="2" t="inlineStr">
        <is>
          <t>Retain unique variant; no equivalent operating card selected</t>
        </is>
      </c>
    </row>
    <row r="433">
      <c r="A433" s="2" t="inlineStr">
        <is>
          <t>L051</t>
        </is>
      </c>
      <c r="B433" s="2" t="inlineStr">
        <is>
          <t>Taste it</t>
        </is>
      </c>
      <c r="C433" s="2" t="inlineStr">
        <is>
          <t>S132</t>
        </is>
      </c>
      <c r="D433" s="2" t="inlineStr">
        <is>
          <t>'Taste it'!C15,D15</t>
        </is>
      </c>
      <c r="E433" s="2" t="inlineStr">
        <is>
          <t>EDC</t>
        </is>
      </c>
      <c r="F433" s="3" t="n">
        <v>75</v>
      </c>
      <c r="G433" s="2" t="inlineStr">
        <is>
          <t>75</t>
        </is>
      </c>
      <c r="H433" s="2" t="inlineStr">
        <is>
          <t>Retain unique variant; no equivalent operating card selected</t>
        </is>
      </c>
    </row>
    <row r="434">
      <c r="A434" s="2" t="inlineStr">
        <is>
          <t>L052</t>
        </is>
      </c>
      <c r="B434" s="2" t="inlineStr">
        <is>
          <t>Taste it</t>
        </is>
      </c>
      <c r="C434" s="2" t="inlineStr">
        <is>
          <t>S132</t>
        </is>
      </c>
      <c r="D434" s="2" t="inlineStr">
        <is>
          <t>'Taste it'!C5,H5</t>
        </is>
      </c>
      <c r="E434" s="2" t="inlineStr">
        <is>
          <t>flour</t>
        </is>
      </c>
      <c r="F434" s="3" t="n">
        <v>5000</v>
      </c>
      <c r="G434" s="2" t="inlineStr">
        <is>
          <t>5000</t>
        </is>
      </c>
      <c r="H434" s="2" t="inlineStr">
        <is>
          <t>Retain unique variant; no equivalent operating card selected</t>
        </is>
      </c>
    </row>
    <row r="435">
      <c r="A435" s="2" t="inlineStr">
        <is>
          <t>L052</t>
        </is>
      </c>
      <c r="B435" s="2" t="inlineStr">
        <is>
          <t>Taste it</t>
        </is>
      </c>
      <c r="C435" s="2" t="inlineStr">
        <is>
          <t>S132</t>
        </is>
      </c>
      <c r="D435" s="2" t="inlineStr">
        <is>
          <t>'Taste it'!C6,H6</t>
        </is>
      </c>
      <c r="E435" s="2" t="inlineStr">
        <is>
          <t>Butter</t>
        </is>
      </c>
      <c r="F435" s="3" t="n">
        <v>500</v>
      </c>
      <c r="G435" s="2" t="inlineStr">
        <is>
          <t>500</t>
        </is>
      </c>
      <c r="H435" s="2" t="inlineStr">
        <is>
          <t>Retain unique variant; no equivalent operating card selected</t>
        </is>
      </c>
    </row>
    <row r="436">
      <c r="A436" s="2" t="inlineStr">
        <is>
          <t>L052</t>
        </is>
      </c>
      <c r="B436" s="2" t="inlineStr">
        <is>
          <t>Taste it</t>
        </is>
      </c>
      <c r="C436" s="2" t="inlineStr">
        <is>
          <t>S132</t>
        </is>
      </c>
      <c r="D436" s="2" t="inlineStr">
        <is>
          <t>'Taste it'!C7,H7</t>
        </is>
      </c>
      <c r="E436" s="2" t="inlineStr">
        <is>
          <t>sugar</t>
        </is>
      </c>
      <c r="F436" s="3" t="n">
        <v>500</v>
      </c>
      <c r="G436" s="2" t="inlineStr">
        <is>
          <t>500</t>
        </is>
      </c>
      <c r="H436" s="2" t="inlineStr">
        <is>
          <t>Retain unique variant; no equivalent operating card selected</t>
        </is>
      </c>
    </row>
    <row r="437">
      <c r="A437" s="2" t="inlineStr">
        <is>
          <t>L052</t>
        </is>
      </c>
      <c r="B437" s="2" t="inlineStr">
        <is>
          <t>Taste it</t>
        </is>
      </c>
      <c r="C437" s="2" t="inlineStr">
        <is>
          <t>S132</t>
        </is>
      </c>
      <c r="D437" s="2" t="inlineStr">
        <is>
          <t>'Taste it'!C8,H8</t>
        </is>
      </c>
      <c r="E437" s="2" t="inlineStr">
        <is>
          <t>Milk</t>
        </is>
      </c>
      <c r="F437" s="3" t="n">
        <v>400</v>
      </c>
      <c r="G437" s="2" t="inlineStr">
        <is>
          <t>400</t>
        </is>
      </c>
      <c r="H437" s="2" t="inlineStr">
        <is>
          <t>Retain unique variant; no equivalent operating card selected</t>
        </is>
      </c>
    </row>
    <row r="438">
      <c r="A438" s="2" t="inlineStr">
        <is>
          <t>L052</t>
        </is>
      </c>
      <c r="B438" s="2" t="inlineStr">
        <is>
          <t>Taste it</t>
        </is>
      </c>
      <c r="C438" s="2" t="inlineStr">
        <is>
          <t>S132</t>
        </is>
      </c>
      <c r="D438" s="2" t="inlineStr">
        <is>
          <t>'Taste it'!C9,H9</t>
        </is>
      </c>
      <c r="E438" s="2" t="inlineStr">
        <is>
          <t>egg</t>
        </is>
      </c>
      <c r="F438" s="3" t="n">
        <v>400</v>
      </c>
      <c r="G438" s="2" t="inlineStr">
        <is>
          <t>400</t>
        </is>
      </c>
      <c r="H438" s="2" t="inlineStr">
        <is>
          <t>Retain unique variant; no equivalent operating card selected</t>
        </is>
      </c>
    </row>
    <row r="439">
      <c r="A439" s="2" t="inlineStr">
        <is>
          <t>L052</t>
        </is>
      </c>
      <c r="B439" s="2" t="inlineStr">
        <is>
          <t>Taste it</t>
        </is>
      </c>
      <c r="C439" s="2" t="inlineStr">
        <is>
          <t>S132</t>
        </is>
      </c>
      <c r="D439" s="2" t="inlineStr">
        <is>
          <t>'Taste it'!C10,H10</t>
        </is>
      </c>
      <c r="E439" s="2" t="inlineStr">
        <is>
          <t>salt</t>
        </is>
      </c>
      <c r="F439" s="3" t="n">
        <v>50</v>
      </c>
      <c r="G439" s="2" t="inlineStr">
        <is>
          <t>50</t>
        </is>
      </c>
      <c r="H439" s="2" t="inlineStr">
        <is>
          <t>Retain unique variant; no equivalent operating card selected</t>
        </is>
      </c>
    </row>
    <row r="440">
      <c r="A440" s="2" t="inlineStr">
        <is>
          <t>L052</t>
        </is>
      </c>
      <c r="B440" s="2" t="inlineStr">
        <is>
          <t>Taste it</t>
        </is>
      </c>
      <c r="C440" s="2" t="inlineStr">
        <is>
          <t>S132</t>
        </is>
      </c>
      <c r="D440" s="2" t="inlineStr">
        <is>
          <t>'Taste it'!C11,H11</t>
        </is>
      </c>
      <c r="E440" s="2" t="inlineStr">
        <is>
          <t>improver</t>
        </is>
      </c>
      <c r="F440" s="3" t="n">
        <v>60</v>
      </c>
      <c r="G440" s="2" t="inlineStr">
        <is>
          <t>60</t>
        </is>
      </c>
      <c r="H440" s="2" t="inlineStr">
        <is>
          <t>Retain unique variant; no equivalent operating card selected</t>
        </is>
      </c>
    </row>
    <row r="441">
      <c r="A441" s="2" t="inlineStr">
        <is>
          <t>L052</t>
        </is>
      </c>
      <c r="B441" s="2" t="inlineStr">
        <is>
          <t>Taste it</t>
        </is>
      </c>
      <c r="C441" s="2" t="inlineStr">
        <is>
          <t>S132</t>
        </is>
      </c>
      <c r="D441" s="2" t="inlineStr">
        <is>
          <t>'Taste it'!C12,H12</t>
        </is>
      </c>
      <c r="E441" s="2" t="inlineStr">
        <is>
          <t>yeast</t>
        </is>
      </c>
      <c r="F441" s="3" t="n">
        <v>50</v>
      </c>
      <c r="G441" s="2" t="inlineStr">
        <is>
          <t>50</t>
        </is>
      </c>
      <c r="H441" s="2" t="inlineStr">
        <is>
          <t>Retain unique variant; no equivalent operating card selected</t>
        </is>
      </c>
    </row>
    <row r="442">
      <c r="A442" s="2" t="inlineStr">
        <is>
          <t>L052</t>
        </is>
      </c>
      <c r="B442" s="2" t="inlineStr">
        <is>
          <t>Taste it</t>
        </is>
      </c>
      <c r="C442" s="2" t="inlineStr">
        <is>
          <t>S132</t>
        </is>
      </c>
      <c r="D442" s="2" t="inlineStr">
        <is>
          <t>'Taste it'!C13,H13</t>
        </is>
      </c>
      <c r="E442" s="2" t="inlineStr">
        <is>
          <t>water</t>
        </is>
      </c>
      <c r="F442" s="3" t="n">
        <v>1000</v>
      </c>
      <c r="G442" s="2" t="inlineStr">
        <is>
          <t>1000</t>
        </is>
      </c>
      <c r="H442" s="2" t="inlineStr">
        <is>
          <t>Retain unique variant; no equivalent operating card selected</t>
        </is>
      </c>
    </row>
    <row r="443">
      <c r="A443" s="2" t="inlineStr">
        <is>
          <t>L052</t>
        </is>
      </c>
      <c r="B443" s="2" t="inlineStr">
        <is>
          <t>Taste it</t>
        </is>
      </c>
      <c r="C443" s="2" t="inlineStr">
        <is>
          <t>S132</t>
        </is>
      </c>
      <c r="D443" s="2" t="inlineStr">
        <is>
          <t>'Taste it'!C14,H14</t>
        </is>
      </c>
      <c r="E443" s="2" t="inlineStr">
        <is>
          <t>baking powder</t>
        </is>
      </c>
      <c r="F443" s="3" t="n">
        <v>35</v>
      </c>
      <c r="G443" s="2" t="inlineStr">
        <is>
          <t>35</t>
        </is>
      </c>
      <c r="H443" s="2" t="inlineStr">
        <is>
          <t>Retain unique variant; no equivalent operating card selected</t>
        </is>
      </c>
    </row>
    <row r="444">
      <c r="A444" s="2" t="inlineStr">
        <is>
          <t>L052</t>
        </is>
      </c>
      <c r="B444" s="2" t="inlineStr">
        <is>
          <t>Taste it</t>
        </is>
      </c>
      <c r="C444" s="2" t="inlineStr">
        <is>
          <t>S132</t>
        </is>
      </c>
      <c r="D444" s="2" t="inlineStr">
        <is>
          <t>'Taste it'!C15,H15</t>
        </is>
      </c>
      <c r="E444" s="2" t="inlineStr">
        <is>
          <t>EDC</t>
        </is>
      </c>
      <c r="F444" s="3" t="n">
        <v>100</v>
      </c>
      <c r="G444" s="2" t="inlineStr">
        <is>
          <t>100</t>
        </is>
      </c>
      <c r="H444" s="2" t="inlineStr">
        <is>
          <t>Retain unique variant; no equivalent operating card selected</t>
        </is>
      </c>
    </row>
    <row r="445">
      <c r="A445" s="2" t="inlineStr">
        <is>
          <t>L053</t>
        </is>
      </c>
      <c r="B445" s="2" t="inlineStr">
        <is>
          <t>Universal bread</t>
        </is>
      </c>
      <c r="C445" s="2" t="inlineStr">
        <is>
          <t>S132</t>
        </is>
      </c>
      <c r="D445" s="2" t="inlineStr">
        <is>
          <t>'Universal bread'!C5,D5</t>
        </is>
      </c>
      <c r="E445" s="2" t="inlineStr">
        <is>
          <t>flour</t>
        </is>
      </c>
      <c r="F445" s="3" t="n">
        <v>26000</v>
      </c>
      <c r="G445" s="2" t="inlineStr">
        <is>
          <t>26000</t>
        </is>
      </c>
      <c r="H445" s="2" t="inlineStr">
        <is>
          <t>M1-B01–B13</t>
        </is>
      </c>
    </row>
    <row r="446">
      <c r="A446" s="2" t="inlineStr">
        <is>
          <t>L053</t>
        </is>
      </c>
      <c r="B446" s="2" t="inlineStr">
        <is>
          <t>Universal bread</t>
        </is>
      </c>
      <c r="C446" s="2" t="inlineStr">
        <is>
          <t>S132</t>
        </is>
      </c>
      <c r="D446" s="2" t="inlineStr">
        <is>
          <t>'Universal bread'!C6,D6</t>
        </is>
      </c>
      <c r="E446" s="2" t="inlineStr">
        <is>
          <t>Butter</t>
        </is>
      </c>
      <c r="F446" s="3" t="n">
        <v>1400</v>
      </c>
      <c r="G446" s="2" t="inlineStr">
        <is>
          <t>1400</t>
        </is>
      </c>
      <c r="H446" s="2" t="inlineStr">
        <is>
          <t>M1-B01–B13</t>
        </is>
      </c>
    </row>
    <row r="447">
      <c r="A447" s="2" t="inlineStr">
        <is>
          <t>L053</t>
        </is>
      </c>
      <c r="B447" s="2" t="inlineStr">
        <is>
          <t>Universal bread</t>
        </is>
      </c>
      <c r="C447" s="2" t="inlineStr">
        <is>
          <t>S132</t>
        </is>
      </c>
      <c r="D447" s="2" t="inlineStr">
        <is>
          <t>'Universal bread'!C7,D7</t>
        </is>
      </c>
      <c r="E447" s="2" t="inlineStr">
        <is>
          <t>sugar</t>
        </is>
      </c>
      <c r="F447" s="3" t="n">
        <v>1700</v>
      </c>
      <c r="G447" s="2" t="inlineStr">
        <is>
          <t>1700</t>
        </is>
      </c>
      <c r="H447" s="2" t="inlineStr">
        <is>
          <t>M1-B01–B13</t>
        </is>
      </c>
    </row>
    <row r="448">
      <c r="A448" s="2" t="inlineStr">
        <is>
          <t>L053</t>
        </is>
      </c>
      <c r="B448" s="2" t="inlineStr">
        <is>
          <t>Universal bread</t>
        </is>
      </c>
      <c r="C448" s="2" t="inlineStr">
        <is>
          <t>S132</t>
        </is>
      </c>
      <c r="D448" s="2" t="inlineStr">
        <is>
          <t>'Universal bread'!C8,D8</t>
        </is>
      </c>
      <c r="E448" s="2" t="inlineStr">
        <is>
          <t>Conc Milk</t>
        </is>
      </c>
      <c r="F448" s="3" t="n">
        <v>800</v>
      </c>
      <c r="G448" s="2" t="inlineStr">
        <is>
          <t>800</t>
        </is>
      </c>
      <c r="H448" s="2" t="inlineStr">
        <is>
          <t>M1-B01–B13</t>
        </is>
      </c>
    </row>
    <row r="449">
      <c r="A449" s="2" t="inlineStr">
        <is>
          <t>L053</t>
        </is>
      </c>
      <c r="B449" s="2" t="inlineStr">
        <is>
          <t>Universal bread</t>
        </is>
      </c>
      <c r="C449" s="2" t="inlineStr">
        <is>
          <t>S132</t>
        </is>
      </c>
      <c r="D449" s="2" t="inlineStr">
        <is>
          <t>'Universal bread'!C9,D9</t>
        </is>
      </c>
      <c r="E449" s="2" t="inlineStr">
        <is>
          <t>egg</t>
        </is>
      </c>
      <c r="F449" s="3" t="n">
        <v>500</v>
      </c>
      <c r="G449" s="2" t="inlineStr">
        <is>
          <t>500</t>
        </is>
      </c>
      <c r="H449" s="2" t="inlineStr">
        <is>
          <t>M1-B01–B13</t>
        </is>
      </c>
    </row>
    <row r="450">
      <c r="A450" s="2" t="inlineStr">
        <is>
          <t>L053</t>
        </is>
      </c>
      <c r="B450" s="2" t="inlineStr">
        <is>
          <t>Universal bread</t>
        </is>
      </c>
      <c r="C450" s="2" t="inlineStr">
        <is>
          <t>S132</t>
        </is>
      </c>
      <c r="D450" s="2" t="inlineStr">
        <is>
          <t>'Universal bread'!C10,D10</t>
        </is>
      </c>
      <c r="E450" s="2" t="inlineStr">
        <is>
          <t>salt</t>
        </is>
      </c>
      <c r="F450" s="3" t="n">
        <v>290</v>
      </c>
      <c r="G450" s="2" t="inlineStr">
        <is>
          <t>290</t>
        </is>
      </c>
      <c r="H450" s="2" t="inlineStr">
        <is>
          <t>M1-B01–B13</t>
        </is>
      </c>
    </row>
    <row r="451">
      <c r="A451" s="2" t="inlineStr">
        <is>
          <t>L053</t>
        </is>
      </c>
      <c r="B451" s="2" t="inlineStr">
        <is>
          <t>Universal bread</t>
        </is>
      </c>
      <c r="C451" s="2" t="inlineStr">
        <is>
          <t>S132</t>
        </is>
      </c>
      <c r="D451" s="2" t="inlineStr">
        <is>
          <t>'Universal bread'!C11,D11</t>
        </is>
      </c>
      <c r="E451" s="2" t="inlineStr">
        <is>
          <t>improver</t>
        </is>
      </c>
      <c r="F451" s="3" t="n">
        <v>130</v>
      </c>
      <c r="G451" s="2" t="inlineStr">
        <is>
          <t>130</t>
        </is>
      </c>
      <c r="H451" s="2" t="inlineStr">
        <is>
          <t>M1-B01–B13</t>
        </is>
      </c>
    </row>
    <row r="452">
      <c r="A452" s="2" t="inlineStr">
        <is>
          <t>L053</t>
        </is>
      </c>
      <c r="B452" s="2" t="inlineStr">
        <is>
          <t>Universal bread</t>
        </is>
      </c>
      <c r="C452" s="2" t="inlineStr">
        <is>
          <t>S132</t>
        </is>
      </c>
      <c r="D452" s="2" t="inlineStr">
        <is>
          <t>'Universal bread'!C12,D12</t>
        </is>
      </c>
      <c r="E452" s="2" t="inlineStr">
        <is>
          <t>yeast</t>
        </is>
      </c>
      <c r="F452" s="3" t="n">
        <v>170</v>
      </c>
      <c r="G452" s="2" t="inlineStr">
        <is>
          <t>170</t>
        </is>
      </c>
      <c r="H452" s="2" t="inlineStr">
        <is>
          <t>M1-B01–B13</t>
        </is>
      </c>
    </row>
    <row r="453">
      <c r="A453" s="2" t="inlineStr">
        <is>
          <t>L053</t>
        </is>
      </c>
      <c r="B453" s="2" t="inlineStr">
        <is>
          <t>Universal bread</t>
        </is>
      </c>
      <c r="C453" s="2" t="inlineStr">
        <is>
          <t>S132</t>
        </is>
      </c>
      <c r="D453" s="2" t="inlineStr">
        <is>
          <t>'Universal bread'!C13,D13</t>
        </is>
      </c>
      <c r="E453" s="2" t="inlineStr">
        <is>
          <t>water</t>
        </is>
      </c>
      <c r="F453" s="3" t="n">
        <v>10000</v>
      </c>
      <c r="G453" s="2" t="inlineStr">
        <is>
          <t>10000</t>
        </is>
      </c>
      <c r="H453" s="2" t="inlineStr">
        <is>
          <t>M1-B01–B13</t>
        </is>
      </c>
    </row>
    <row r="454">
      <c r="A454" s="2" t="inlineStr">
        <is>
          <t>L053</t>
        </is>
      </c>
      <c r="B454" s="2" t="inlineStr">
        <is>
          <t>Universal bread</t>
        </is>
      </c>
      <c r="C454" s="2" t="inlineStr">
        <is>
          <t>S132</t>
        </is>
      </c>
      <c r="D454" s="2" t="inlineStr">
        <is>
          <t>'Universal bread'!C14,D14</t>
        </is>
      </c>
      <c r="E454" s="2" t="inlineStr">
        <is>
          <t>baking powder</t>
        </is>
      </c>
      <c r="F454" s="3" t="n">
        <v>180</v>
      </c>
      <c r="G454" s="2" t="inlineStr">
        <is>
          <t>180</t>
        </is>
      </c>
      <c r="H454" s="2" t="inlineStr">
        <is>
          <t>M1-B01–B13</t>
        </is>
      </c>
    </row>
    <row r="455">
      <c r="A455" s="2" t="inlineStr">
        <is>
          <t>L053</t>
        </is>
      </c>
      <c r="B455" s="2" t="inlineStr">
        <is>
          <t>Universal bread</t>
        </is>
      </c>
      <c r="C455" s="2" t="inlineStr">
        <is>
          <t>S132</t>
        </is>
      </c>
      <c r="D455" s="2" t="inlineStr">
        <is>
          <t>'Universal bread'!C15,D15</t>
        </is>
      </c>
      <c r="E455" s="2" t="inlineStr">
        <is>
          <t>frying oil</t>
        </is>
      </c>
      <c r="F455" s="3" t="n">
        <v>9000</v>
      </c>
      <c r="G455" s="2" t="inlineStr">
        <is>
          <t>9000</t>
        </is>
      </c>
      <c r="H455" s="2" t="inlineStr">
        <is>
          <t>M1-B01–B13</t>
        </is>
      </c>
    </row>
    <row r="456">
      <c r="A456" s="2" t="inlineStr">
        <is>
          <t>L054</t>
        </is>
      </c>
      <c r="B456" s="2" t="inlineStr">
        <is>
          <t>Universal bread</t>
        </is>
      </c>
      <c r="C456" s="2" t="inlineStr">
        <is>
          <t>S132</t>
        </is>
      </c>
      <c r="D456" s="2" t="inlineStr">
        <is>
          <t>'Universal bread'!C5,J5</t>
        </is>
      </c>
      <c r="E456" s="2" t="inlineStr">
        <is>
          <t>flour</t>
        </is>
      </c>
      <c r="F456" s="3" t="n">
        <v>20000</v>
      </c>
      <c r="G456" s="2" t="inlineStr">
        <is>
          <t>20000</t>
        </is>
      </c>
      <c r="H456" s="2" t="inlineStr">
        <is>
          <t>M1-B01–B13</t>
        </is>
      </c>
    </row>
    <row r="457">
      <c r="A457" s="2" t="inlineStr">
        <is>
          <t>L054</t>
        </is>
      </c>
      <c r="B457" s="2" t="inlineStr">
        <is>
          <t>Universal bread</t>
        </is>
      </c>
      <c r="C457" s="2" t="inlineStr">
        <is>
          <t>S132</t>
        </is>
      </c>
      <c r="D457" s="2" t="inlineStr">
        <is>
          <t>'Universal bread'!C6,J6</t>
        </is>
      </c>
      <c r="E457" s="2" t="inlineStr">
        <is>
          <t>Butter</t>
        </is>
      </c>
      <c r="F457" s="3" t="n">
        <v>560</v>
      </c>
      <c r="G457" s="2" t="inlineStr">
        <is>
          <t>560</t>
        </is>
      </c>
      <c r="H457" s="2" t="inlineStr">
        <is>
          <t>M1-B01–B13</t>
        </is>
      </c>
    </row>
    <row r="458">
      <c r="A458" s="2" t="inlineStr">
        <is>
          <t>L054</t>
        </is>
      </c>
      <c r="B458" s="2" t="inlineStr">
        <is>
          <t>Universal bread</t>
        </is>
      </c>
      <c r="C458" s="2" t="inlineStr">
        <is>
          <t>S132</t>
        </is>
      </c>
      <c r="D458" s="2" t="inlineStr">
        <is>
          <t>'Universal bread'!C7,J7</t>
        </is>
      </c>
      <c r="E458" s="2" t="inlineStr">
        <is>
          <t>sugar</t>
        </is>
      </c>
      <c r="F458" s="3" t="n">
        <v>800</v>
      </c>
      <c r="G458" s="2" t="inlineStr">
        <is>
          <t>800</t>
        </is>
      </c>
      <c r="H458" s="2" t="inlineStr">
        <is>
          <t>M1-B01–B13</t>
        </is>
      </c>
    </row>
    <row r="459">
      <c r="A459" s="2" t="inlineStr">
        <is>
          <t>L054</t>
        </is>
      </c>
      <c r="B459" s="2" t="inlineStr">
        <is>
          <t>Universal bread</t>
        </is>
      </c>
      <c r="C459" s="2" t="inlineStr">
        <is>
          <t>S132</t>
        </is>
      </c>
      <c r="D459" s="2" t="inlineStr">
        <is>
          <t>'Universal bread'!C8,J8</t>
        </is>
      </c>
      <c r="E459" s="2" t="inlineStr">
        <is>
          <t>Conc Milk</t>
        </is>
      </c>
      <c r="F459" s="3" t="n">
        <v>500</v>
      </c>
      <c r="G459" s="2" t="inlineStr">
        <is>
          <t>500</t>
        </is>
      </c>
      <c r="H459" s="2" t="inlineStr">
        <is>
          <t>M1-B01–B13</t>
        </is>
      </c>
    </row>
    <row r="460">
      <c r="A460" s="2" t="inlineStr">
        <is>
          <t>L054</t>
        </is>
      </c>
      <c r="B460" s="2" t="inlineStr">
        <is>
          <t>Universal bread</t>
        </is>
      </c>
      <c r="C460" s="2" t="inlineStr">
        <is>
          <t>S132</t>
        </is>
      </c>
      <c r="D460" s="2" t="inlineStr">
        <is>
          <t>'Universal bread'!C9,J9</t>
        </is>
      </c>
      <c r="E460" s="2" t="inlineStr">
        <is>
          <t>egg</t>
        </is>
      </c>
      <c r="F460" s="3" t="n">
        <v>144</v>
      </c>
      <c r="G460" s="2" t="inlineStr">
        <is>
          <t>144</t>
        </is>
      </c>
      <c r="H460" s="2" t="inlineStr">
        <is>
          <t>M1-B01–B13</t>
        </is>
      </c>
    </row>
    <row r="461">
      <c r="A461" s="2" t="inlineStr">
        <is>
          <t>L054</t>
        </is>
      </c>
      <c r="B461" s="2" t="inlineStr">
        <is>
          <t>Universal bread</t>
        </is>
      </c>
      <c r="C461" s="2" t="inlineStr">
        <is>
          <t>S132</t>
        </is>
      </c>
      <c r="D461" s="2" t="inlineStr">
        <is>
          <t>'Universal bread'!C10,J10</t>
        </is>
      </c>
      <c r="E461" s="2" t="inlineStr">
        <is>
          <t>salt</t>
        </is>
      </c>
      <c r="F461" s="3" t="n">
        <v>166</v>
      </c>
      <c r="G461" s="2" t="inlineStr">
        <is>
          <t>166</t>
        </is>
      </c>
      <c r="H461" s="2" t="inlineStr">
        <is>
          <t>M1-B01–B13</t>
        </is>
      </c>
    </row>
    <row r="462">
      <c r="A462" s="2" t="inlineStr">
        <is>
          <t>L054</t>
        </is>
      </c>
      <c r="B462" s="2" t="inlineStr">
        <is>
          <t>Universal bread</t>
        </is>
      </c>
      <c r="C462" s="2" t="inlineStr">
        <is>
          <t>S132</t>
        </is>
      </c>
      <c r="D462" s="2" t="inlineStr">
        <is>
          <t>'Universal bread'!C11,J11</t>
        </is>
      </c>
      <c r="E462" s="2" t="inlineStr">
        <is>
          <t>improver</t>
        </is>
      </c>
      <c r="F462" s="3" t="n">
        <v>130</v>
      </c>
      <c r="G462" s="2" t="inlineStr">
        <is>
          <t>=D11 [cached: 130]</t>
        </is>
      </c>
      <c r="H462" s="2" t="inlineStr">
        <is>
          <t>M1-B01–B13</t>
        </is>
      </c>
    </row>
    <row r="463">
      <c r="A463" s="2" t="inlineStr">
        <is>
          <t>L054</t>
        </is>
      </c>
      <c r="B463" s="2" t="inlineStr">
        <is>
          <t>Universal bread</t>
        </is>
      </c>
      <c r="C463" s="2" t="inlineStr">
        <is>
          <t>S132</t>
        </is>
      </c>
      <c r="D463" s="2" t="inlineStr">
        <is>
          <t>'Universal bread'!C12,J12</t>
        </is>
      </c>
      <c r="E463" s="2" t="inlineStr">
        <is>
          <t>yeast</t>
        </is>
      </c>
      <c r="F463" s="3" t="n">
        <v>70</v>
      </c>
      <c r="G463" s="2" t="inlineStr">
        <is>
          <t>70</t>
        </is>
      </c>
      <c r="H463" s="2" t="inlineStr">
        <is>
          <t>M1-B01–B13</t>
        </is>
      </c>
    </row>
    <row r="464">
      <c r="A464" s="2" t="inlineStr">
        <is>
          <t>L054</t>
        </is>
      </c>
      <c r="B464" s="2" t="inlineStr">
        <is>
          <t>Universal bread</t>
        </is>
      </c>
      <c r="C464" s="2" t="inlineStr">
        <is>
          <t>S132</t>
        </is>
      </c>
      <c r="D464" s="2" t="inlineStr">
        <is>
          <t>'Universal bread'!C13,J13</t>
        </is>
      </c>
      <c r="E464" s="2" t="inlineStr">
        <is>
          <t>water</t>
        </is>
      </c>
      <c r="F464" s="3" t="n">
        <v>7000</v>
      </c>
      <c r="G464" s="2" t="inlineStr">
        <is>
          <t>7000</t>
        </is>
      </c>
      <c r="H464" s="2" t="inlineStr">
        <is>
          <t>M1-B01–B13</t>
        </is>
      </c>
    </row>
    <row r="465">
      <c r="A465" s="2" t="inlineStr">
        <is>
          <t>L054</t>
        </is>
      </c>
      <c r="B465" s="2" t="inlineStr">
        <is>
          <t>Universal bread</t>
        </is>
      </c>
      <c r="C465" s="2" t="inlineStr">
        <is>
          <t>S132</t>
        </is>
      </c>
      <c r="D465" s="2" t="inlineStr">
        <is>
          <t>'Universal bread'!C14,J14</t>
        </is>
      </c>
      <c r="E465" s="2" t="inlineStr">
        <is>
          <t>baking powder</t>
        </is>
      </c>
      <c r="F465" s="3" t="n">
        <v>20</v>
      </c>
      <c r="G465" s="2" t="inlineStr">
        <is>
          <t>20</t>
        </is>
      </c>
      <c r="H465" s="2" t="inlineStr">
        <is>
          <t>M1-B01–B13</t>
        </is>
      </c>
    </row>
    <row r="466">
      <c r="A466" s="2" t="inlineStr">
        <is>
          <t>L054</t>
        </is>
      </c>
      <c r="B466" s="2" t="inlineStr">
        <is>
          <t>Universal bread</t>
        </is>
      </c>
      <c r="C466" s="2" t="inlineStr">
        <is>
          <t>S132</t>
        </is>
      </c>
      <c r="D466" s="2" t="inlineStr">
        <is>
          <t>'Universal bread'!C15,J15</t>
        </is>
      </c>
      <c r="E466" s="2" t="inlineStr">
        <is>
          <t>frying oil</t>
        </is>
      </c>
      <c r="F466" s="3" t="n">
        <v>9000</v>
      </c>
      <c r="G466" s="2" t="inlineStr">
        <is>
          <t>=D15 [cached: 9000]</t>
        </is>
      </c>
      <c r="H466" s="2" t="inlineStr">
        <is>
          <t>M1-B01–B13</t>
        </is>
      </c>
    </row>
    <row r="467">
      <c r="A467" s="2" t="inlineStr">
        <is>
          <t>L055</t>
        </is>
      </c>
      <c r="B467" s="2" t="inlineStr">
        <is>
          <t>YUMMY BREAD</t>
        </is>
      </c>
      <c r="C467" s="2" t="inlineStr">
        <is>
          <t>S132</t>
        </is>
      </c>
      <c r="D467" s="2" t="inlineStr">
        <is>
          <t>'YUMMY BREAD'!C5,D5</t>
        </is>
      </c>
      <c r="E467" s="2" t="inlineStr">
        <is>
          <t>flour</t>
        </is>
      </c>
      <c r="F467" s="3" t="n">
        <v>15000</v>
      </c>
      <c r="G467" s="2" t="inlineStr">
        <is>
          <t>15000</t>
        </is>
      </c>
      <c r="H467" s="2" t="inlineStr">
        <is>
          <t>M1-B01–B13</t>
        </is>
      </c>
    </row>
    <row r="468">
      <c r="A468" s="2" t="inlineStr">
        <is>
          <t>L055</t>
        </is>
      </c>
      <c r="B468" s="2" t="inlineStr">
        <is>
          <t>YUMMY BREAD</t>
        </is>
      </c>
      <c r="C468" s="2" t="inlineStr">
        <is>
          <t>S132</t>
        </is>
      </c>
      <c r="D468" s="2" t="inlineStr">
        <is>
          <t>'YUMMY BREAD'!C6,D6</t>
        </is>
      </c>
      <c r="E468" s="2" t="inlineStr">
        <is>
          <t>Butter</t>
        </is>
      </c>
      <c r="F468" s="3" t="n">
        <v>1500</v>
      </c>
      <c r="G468" s="2" t="inlineStr">
        <is>
          <t>1500</t>
        </is>
      </c>
      <c r="H468" s="2" t="inlineStr">
        <is>
          <t>M1-B01–B13</t>
        </is>
      </c>
    </row>
    <row r="469">
      <c r="A469" s="2" t="inlineStr">
        <is>
          <t>L055</t>
        </is>
      </c>
      <c r="B469" s="2" t="inlineStr">
        <is>
          <t>YUMMY BREAD</t>
        </is>
      </c>
      <c r="C469" s="2" t="inlineStr">
        <is>
          <t>S132</t>
        </is>
      </c>
      <c r="D469" s="2" t="inlineStr">
        <is>
          <t>'YUMMY BREAD'!C7,D7</t>
        </is>
      </c>
      <c r="E469" s="2" t="inlineStr">
        <is>
          <t>sugar</t>
        </is>
      </c>
      <c r="F469" s="3" t="n">
        <v>1500</v>
      </c>
      <c r="G469" s="2" t="inlineStr">
        <is>
          <t>1500</t>
        </is>
      </c>
      <c r="H469" s="2" t="inlineStr">
        <is>
          <t>M1-B01–B13</t>
        </is>
      </c>
    </row>
    <row r="470">
      <c r="A470" s="2" t="inlineStr">
        <is>
          <t>L055</t>
        </is>
      </c>
      <c r="B470" s="2" t="inlineStr">
        <is>
          <t>YUMMY BREAD</t>
        </is>
      </c>
      <c r="C470" s="2" t="inlineStr">
        <is>
          <t>S132</t>
        </is>
      </c>
      <c r="D470" s="2" t="inlineStr">
        <is>
          <t>'YUMMY BREAD'!C8,D8</t>
        </is>
      </c>
      <c r="E470" s="2" t="inlineStr">
        <is>
          <t>Milk</t>
        </is>
      </c>
      <c r="F470" s="3" t="n">
        <v>1000</v>
      </c>
      <c r="G470" s="2" t="inlineStr">
        <is>
          <t>1000</t>
        </is>
      </c>
      <c r="H470" s="2" t="inlineStr">
        <is>
          <t>M1-B01–B13</t>
        </is>
      </c>
    </row>
    <row r="471">
      <c r="A471" s="2" t="inlineStr">
        <is>
          <t>L055</t>
        </is>
      </c>
      <c r="B471" s="2" t="inlineStr">
        <is>
          <t>YUMMY BREAD</t>
        </is>
      </c>
      <c r="C471" s="2" t="inlineStr">
        <is>
          <t>S132</t>
        </is>
      </c>
      <c r="D471" s="2" t="inlineStr">
        <is>
          <t>'YUMMY BREAD'!C9,D9</t>
        </is>
      </c>
      <c r="E471" s="2" t="inlineStr">
        <is>
          <t>egg</t>
        </is>
      </c>
      <c r="F471" s="3" t="n">
        <v>750</v>
      </c>
      <c r="G471" s="2" t="inlineStr">
        <is>
          <t>750</t>
        </is>
      </c>
      <c r="H471" s="2" t="inlineStr">
        <is>
          <t>M1-B01–B13</t>
        </is>
      </c>
    </row>
    <row r="472">
      <c r="A472" s="2" t="inlineStr">
        <is>
          <t>L055</t>
        </is>
      </c>
      <c r="B472" s="2" t="inlineStr">
        <is>
          <t>YUMMY BREAD</t>
        </is>
      </c>
      <c r="C472" s="2" t="inlineStr">
        <is>
          <t>S132</t>
        </is>
      </c>
      <c r="D472" s="2" t="inlineStr">
        <is>
          <t>'YUMMY BREAD'!C10,D10</t>
        </is>
      </c>
      <c r="E472" s="2" t="inlineStr">
        <is>
          <t>salt</t>
        </is>
      </c>
      <c r="F472" s="3" t="n">
        <v>120</v>
      </c>
      <c r="G472" s="2" t="inlineStr">
        <is>
          <t>120</t>
        </is>
      </c>
      <c r="H472" s="2" t="inlineStr">
        <is>
          <t>M1-B01–B13</t>
        </is>
      </c>
    </row>
    <row r="473">
      <c r="A473" s="2" t="inlineStr">
        <is>
          <t>L055</t>
        </is>
      </c>
      <c r="B473" s="2" t="inlineStr">
        <is>
          <t>YUMMY BREAD</t>
        </is>
      </c>
      <c r="C473" s="2" t="inlineStr">
        <is>
          <t>S132</t>
        </is>
      </c>
      <c r="D473" s="2" t="inlineStr">
        <is>
          <t>'YUMMY BREAD'!C11,D11</t>
        </is>
      </c>
      <c r="E473" s="2" t="inlineStr">
        <is>
          <t>improver</t>
        </is>
      </c>
      <c r="F473" s="3" t="n">
        <v>120</v>
      </c>
      <c r="G473" s="2" t="inlineStr">
        <is>
          <t>120</t>
        </is>
      </c>
      <c r="H473" s="2" t="inlineStr">
        <is>
          <t>M1-B01–B13</t>
        </is>
      </c>
    </row>
    <row r="474">
      <c r="A474" s="2" t="inlineStr">
        <is>
          <t>L055</t>
        </is>
      </c>
      <c r="B474" s="2" t="inlineStr">
        <is>
          <t>YUMMY BREAD</t>
        </is>
      </c>
      <c r="C474" s="2" t="inlineStr">
        <is>
          <t>S132</t>
        </is>
      </c>
      <c r="D474" s="2" t="inlineStr">
        <is>
          <t>'YUMMY BREAD'!C12,D12</t>
        </is>
      </c>
      <c r="E474" s="2" t="inlineStr">
        <is>
          <t>yeast</t>
        </is>
      </c>
      <c r="F474" s="3" t="n">
        <v>160</v>
      </c>
      <c r="G474" s="2" t="inlineStr">
        <is>
          <t>160</t>
        </is>
      </c>
      <c r="H474" s="2" t="inlineStr">
        <is>
          <t>M1-B01–B13</t>
        </is>
      </c>
    </row>
    <row r="475">
      <c r="A475" s="2" t="inlineStr">
        <is>
          <t>L055</t>
        </is>
      </c>
      <c r="B475" s="2" t="inlineStr">
        <is>
          <t>YUMMY BREAD</t>
        </is>
      </c>
      <c r="C475" s="2" t="inlineStr">
        <is>
          <t>S132</t>
        </is>
      </c>
      <c r="D475" s="2" t="inlineStr">
        <is>
          <t>'YUMMY BREAD'!C13,D13</t>
        </is>
      </c>
      <c r="E475" s="2" t="inlineStr">
        <is>
          <t>water</t>
        </is>
      </c>
      <c r="F475" s="3" t="n">
        <v>4500</v>
      </c>
      <c r="G475" s="2" t="inlineStr">
        <is>
          <t>4500</t>
        </is>
      </c>
      <c r="H475" s="2" t="inlineStr">
        <is>
          <t>M1-B01–B13</t>
        </is>
      </c>
    </row>
    <row r="476">
      <c r="A476" s="2" t="inlineStr">
        <is>
          <t>L055</t>
        </is>
      </c>
      <c r="B476" s="2" t="inlineStr">
        <is>
          <t>YUMMY BREAD</t>
        </is>
      </c>
      <c r="C476" s="2" t="inlineStr">
        <is>
          <t>S132</t>
        </is>
      </c>
      <c r="D476" s="2" t="inlineStr">
        <is>
          <t>'YUMMY BREAD'!C14,D14</t>
        </is>
      </c>
      <c r="E476" s="2" t="inlineStr">
        <is>
          <t>EDC</t>
        </is>
      </c>
      <c r="F476" s="3" t="n">
        <v>100</v>
      </c>
      <c r="G476" s="2" t="inlineStr">
        <is>
          <t>100</t>
        </is>
      </c>
      <c r="H476" s="2" t="inlineStr">
        <is>
          <t>M1-B01–B13</t>
        </is>
      </c>
    </row>
    <row r="477">
      <c r="A477" s="2" t="inlineStr">
        <is>
          <t>L056</t>
        </is>
      </c>
      <c r="B477" s="2" t="inlineStr">
        <is>
          <t>YUMMY BREAD</t>
        </is>
      </c>
      <c r="C477" s="2" t="inlineStr">
        <is>
          <t>S132</t>
        </is>
      </c>
      <c r="D477" s="2" t="inlineStr">
        <is>
          <t>'YUMMY BREAD'!C5,F5</t>
        </is>
      </c>
      <c r="E477" s="2" t="inlineStr">
        <is>
          <t>flour</t>
        </is>
      </c>
      <c r="F477" s="3" t="n">
        <v>10500</v>
      </c>
      <c r="G477" s="2" t="inlineStr">
        <is>
          <t>10500</t>
        </is>
      </c>
      <c r="H477" s="2" t="inlineStr">
        <is>
          <t>M1-B01–B13</t>
        </is>
      </c>
    </row>
    <row r="478">
      <c r="A478" s="2" t="inlineStr">
        <is>
          <t>L056</t>
        </is>
      </c>
      <c r="B478" s="2" t="inlineStr">
        <is>
          <t>YUMMY BREAD</t>
        </is>
      </c>
      <c r="C478" s="2" t="inlineStr">
        <is>
          <t>S132</t>
        </is>
      </c>
      <c r="D478" s="2" t="inlineStr">
        <is>
          <t>'YUMMY BREAD'!C6,F6</t>
        </is>
      </c>
      <c r="E478" s="2" t="inlineStr">
        <is>
          <t>Butter</t>
        </is>
      </c>
      <c r="F478" s="3" t="n">
        <v>1000</v>
      </c>
      <c r="G478" s="2" t="inlineStr">
        <is>
          <t>1000</t>
        </is>
      </c>
      <c r="H478" s="2" t="inlineStr">
        <is>
          <t>M1-B01–B13</t>
        </is>
      </c>
    </row>
    <row r="479">
      <c r="A479" s="2" t="inlineStr">
        <is>
          <t>L056</t>
        </is>
      </c>
      <c r="B479" s="2" t="inlineStr">
        <is>
          <t>YUMMY BREAD</t>
        </is>
      </c>
      <c r="C479" s="2" t="inlineStr">
        <is>
          <t>S132</t>
        </is>
      </c>
      <c r="D479" s="2" t="inlineStr">
        <is>
          <t>'YUMMY BREAD'!C7,F7</t>
        </is>
      </c>
      <c r="E479" s="2" t="inlineStr">
        <is>
          <t>sugar</t>
        </is>
      </c>
      <c r="F479" s="3" t="n">
        <v>1000</v>
      </c>
      <c r="G479" s="2" t="inlineStr">
        <is>
          <t>1000</t>
        </is>
      </c>
      <c r="H479" s="2" t="inlineStr">
        <is>
          <t>M1-B01–B13</t>
        </is>
      </c>
    </row>
    <row r="480">
      <c r="A480" s="2" t="inlineStr">
        <is>
          <t>L056</t>
        </is>
      </c>
      <c r="B480" s="2" t="inlineStr">
        <is>
          <t>YUMMY BREAD</t>
        </is>
      </c>
      <c r="C480" s="2" t="inlineStr">
        <is>
          <t>S132</t>
        </is>
      </c>
      <c r="D480" s="2" t="inlineStr">
        <is>
          <t>'YUMMY BREAD'!C8,F8</t>
        </is>
      </c>
      <c r="E480" s="2" t="inlineStr">
        <is>
          <t>Milk</t>
        </is>
      </c>
      <c r="F480" s="3" t="n">
        <v>1000</v>
      </c>
      <c r="G480" s="2" t="inlineStr">
        <is>
          <t>1000</t>
        </is>
      </c>
      <c r="H480" s="2" t="inlineStr">
        <is>
          <t>M1-B01–B13</t>
        </is>
      </c>
    </row>
    <row r="481">
      <c r="A481" s="2" t="inlineStr">
        <is>
          <t>L056</t>
        </is>
      </c>
      <c r="B481" s="2" t="inlineStr">
        <is>
          <t>YUMMY BREAD</t>
        </is>
      </c>
      <c r="C481" s="2" t="inlineStr">
        <is>
          <t>S132</t>
        </is>
      </c>
      <c r="D481" s="2" t="inlineStr">
        <is>
          <t>'YUMMY BREAD'!C9,F9</t>
        </is>
      </c>
      <c r="E481" s="2" t="inlineStr">
        <is>
          <t>egg</t>
        </is>
      </c>
      <c r="F481" s="3" t="n">
        <v>1000</v>
      </c>
      <c r="G481" s="2" t="inlineStr">
        <is>
          <t>1000</t>
        </is>
      </c>
      <c r="H481" s="2" t="inlineStr">
        <is>
          <t>M1-B01–B13</t>
        </is>
      </c>
    </row>
    <row r="482">
      <c r="A482" s="2" t="inlineStr">
        <is>
          <t>L056</t>
        </is>
      </c>
      <c r="B482" s="2" t="inlineStr">
        <is>
          <t>YUMMY BREAD</t>
        </is>
      </c>
      <c r="C482" s="2" t="inlineStr">
        <is>
          <t>S132</t>
        </is>
      </c>
      <c r="D482" s="2" t="inlineStr">
        <is>
          <t>'YUMMY BREAD'!C10,F10</t>
        </is>
      </c>
      <c r="E482" s="2" t="inlineStr">
        <is>
          <t>salt</t>
        </is>
      </c>
      <c r="F482" s="3" t="n">
        <v>110</v>
      </c>
      <c r="G482" s="2" t="inlineStr">
        <is>
          <t>110</t>
        </is>
      </c>
      <c r="H482" s="2" t="inlineStr">
        <is>
          <t>M1-B01–B13</t>
        </is>
      </c>
    </row>
    <row r="483">
      <c r="A483" s="2" t="inlineStr">
        <is>
          <t>L056</t>
        </is>
      </c>
      <c r="B483" s="2" t="inlineStr">
        <is>
          <t>YUMMY BREAD</t>
        </is>
      </c>
      <c r="C483" s="2" t="inlineStr">
        <is>
          <t>S132</t>
        </is>
      </c>
      <c r="D483" s="2" t="inlineStr">
        <is>
          <t>'YUMMY BREAD'!C11,F11</t>
        </is>
      </c>
      <c r="E483" s="2" t="inlineStr">
        <is>
          <t>improver</t>
        </is>
      </c>
      <c r="F483" s="3" t="n">
        <v>100</v>
      </c>
      <c r="G483" s="2" t="inlineStr">
        <is>
          <t>100</t>
        </is>
      </c>
      <c r="H483" s="2" t="inlineStr">
        <is>
          <t>M1-B01–B13</t>
        </is>
      </c>
    </row>
    <row r="484">
      <c r="A484" s="2" t="inlineStr">
        <is>
          <t>L056</t>
        </is>
      </c>
      <c r="B484" s="2" t="inlineStr">
        <is>
          <t>YUMMY BREAD</t>
        </is>
      </c>
      <c r="C484" s="2" t="inlineStr">
        <is>
          <t>S132</t>
        </is>
      </c>
      <c r="D484" s="2" t="inlineStr">
        <is>
          <t>'YUMMY BREAD'!C12,F12</t>
        </is>
      </c>
      <c r="E484" s="2" t="inlineStr">
        <is>
          <t>yeast</t>
        </is>
      </c>
      <c r="F484" s="3" t="n">
        <v>125</v>
      </c>
      <c r="G484" s="2" t="inlineStr">
        <is>
          <t>125</t>
        </is>
      </c>
      <c r="H484" s="2" t="inlineStr">
        <is>
          <t>M1-B01–B13</t>
        </is>
      </c>
    </row>
    <row r="485">
      <c r="A485" s="2" t="inlineStr">
        <is>
          <t>L056</t>
        </is>
      </c>
      <c r="B485" s="2" t="inlineStr">
        <is>
          <t>YUMMY BREAD</t>
        </is>
      </c>
      <c r="C485" s="2" t="inlineStr">
        <is>
          <t>S132</t>
        </is>
      </c>
      <c r="D485" s="2" t="inlineStr">
        <is>
          <t>'YUMMY BREAD'!C13,F13</t>
        </is>
      </c>
      <c r="E485" s="2" t="inlineStr">
        <is>
          <t>water</t>
        </is>
      </c>
      <c r="F485" s="3" t="n">
        <v>5000</v>
      </c>
      <c r="G485" s="2" t="inlineStr">
        <is>
          <t>5000</t>
        </is>
      </c>
      <c r="H485" s="2" t="inlineStr">
        <is>
          <t>M1-B01–B13</t>
        </is>
      </c>
    </row>
    <row r="486">
      <c r="A486" s="2" t="inlineStr">
        <is>
          <t>L056</t>
        </is>
      </c>
      <c r="B486" s="2" t="inlineStr">
        <is>
          <t>YUMMY BREAD</t>
        </is>
      </c>
      <c r="C486" s="2" t="inlineStr">
        <is>
          <t>S132</t>
        </is>
      </c>
      <c r="D486" s="2" t="inlineStr">
        <is>
          <t>'YUMMY BREAD'!C14,F14</t>
        </is>
      </c>
      <c r="E486" s="2" t="inlineStr">
        <is>
          <t>EDC</t>
        </is>
      </c>
      <c r="F486" s="3" t="n">
        <v>25</v>
      </c>
      <c r="G486" s="2" t="inlineStr">
        <is>
          <t>25</t>
        </is>
      </c>
      <c r="H486" s="2" t="inlineStr">
        <is>
          <t>M1-B01–B13</t>
        </is>
      </c>
    </row>
    <row r="487">
      <c r="A487" s="2" t="inlineStr">
        <is>
          <t>L057</t>
        </is>
      </c>
      <c r="B487" s="2" t="inlineStr">
        <is>
          <t>YUMMY BREAD</t>
        </is>
      </c>
      <c r="C487" s="2" t="inlineStr">
        <is>
          <t>S132</t>
        </is>
      </c>
      <c r="D487" s="2" t="inlineStr">
        <is>
          <t>'YUMMY BREAD'!C5,H5</t>
        </is>
      </c>
      <c r="E487" s="2" t="inlineStr">
        <is>
          <t>flour</t>
        </is>
      </c>
      <c r="F487" s="3" t="n">
        <v>5000</v>
      </c>
      <c r="G487" s="2" t="inlineStr">
        <is>
          <t>5000</t>
        </is>
      </c>
      <c r="H487" s="2" t="inlineStr">
        <is>
          <t>M1-B01–B13</t>
        </is>
      </c>
    </row>
    <row r="488">
      <c r="A488" s="2" t="inlineStr">
        <is>
          <t>L057</t>
        </is>
      </c>
      <c r="B488" s="2" t="inlineStr">
        <is>
          <t>YUMMY BREAD</t>
        </is>
      </c>
      <c r="C488" s="2" t="inlineStr">
        <is>
          <t>S132</t>
        </is>
      </c>
      <c r="D488" s="2" t="inlineStr">
        <is>
          <t>'YUMMY BREAD'!C6,H6</t>
        </is>
      </c>
      <c r="E488" s="2" t="inlineStr">
        <is>
          <t>Butter</t>
        </is>
      </c>
      <c r="F488" s="3" t="n">
        <v>500</v>
      </c>
      <c r="G488" s="2" t="inlineStr">
        <is>
          <t>500</t>
        </is>
      </c>
      <c r="H488" s="2" t="inlineStr">
        <is>
          <t>M1-B01–B13</t>
        </is>
      </c>
    </row>
    <row r="489">
      <c r="A489" s="2" t="inlineStr">
        <is>
          <t>L057</t>
        </is>
      </c>
      <c r="B489" s="2" t="inlineStr">
        <is>
          <t>YUMMY BREAD</t>
        </is>
      </c>
      <c r="C489" s="2" t="inlineStr">
        <is>
          <t>S132</t>
        </is>
      </c>
      <c r="D489" s="2" t="inlineStr">
        <is>
          <t>'YUMMY BREAD'!C7,H7</t>
        </is>
      </c>
      <c r="E489" s="2" t="inlineStr">
        <is>
          <t>sugar</t>
        </is>
      </c>
      <c r="F489" s="3" t="n">
        <v>500</v>
      </c>
      <c r="G489" s="2" t="inlineStr">
        <is>
          <t>500</t>
        </is>
      </c>
      <c r="H489" s="2" t="inlineStr">
        <is>
          <t>M1-B01–B13</t>
        </is>
      </c>
    </row>
    <row r="490">
      <c r="A490" s="2" t="inlineStr">
        <is>
          <t>L057</t>
        </is>
      </c>
      <c r="B490" s="2" t="inlineStr">
        <is>
          <t>YUMMY BREAD</t>
        </is>
      </c>
      <c r="C490" s="2" t="inlineStr">
        <is>
          <t>S132</t>
        </is>
      </c>
      <c r="D490" s="2" t="inlineStr">
        <is>
          <t>'YUMMY BREAD'!C8,H8</t>
        </is>
      </c>
      <c r="E490" s="2" t="inlineStr">
        <is>
          <t>Milk</t>
        </is>
      </c>
      <c r="F490" s="3" t="n">
        <v>500</v>
      </c>
      <c r="G490" s="2" t="inlineStr">
        <is>
          <t>500</t>
        </is>
      </c>
      <c r="H490" s="2" t="inlineStr">
        <is>
          <t>M1-B01–B13</t>
        </is>
      </c>
    </row>
    <row r="491">
      <c r="A491" s="2" t="inlineStr">
        <is>
          <t>L057</t>
        </is>
      </c>
      <c r="B491" s="2" t="inlineStr">
        <is>
          <t>YUMMY BREAD</t>
        </is>
      </c>
      <c r="C491" s="2" t="inlineStr">
        <is>
          <t>S132</t>
        </is>
      </c>
      <c r="D491" s="2" t="inlineStr">
        <is>
          <t>'YUMMY BREAD'!C9,H9</t>
        </is>
      </c>
      <c r="E491" s="2" t="inlineStr">
        <is>
          <t>egg</t>
        </is>
      </c>
      <c r="F491" s="3" t="n">
        <v>400</v>
      </c>
      <c r="G491" s="2" t="inlineStr">
        <is>
          <t>400</t>
        </is>
      </c>
      <c r="H491" s="2" t="inlineStr">
        <is>
          <t>M1-B01–B13</t>
        </is>
      </c>
    </row>
    <row r="492">
      <c r="A492" s="2" t="inlineStr">
        <is>
          <t>L057</t>
        </is>
      </c>
      <c r="B492" s="2" t="inlineStr">
        <is>
          <t>YUMMY BREAD</t>
        </is>
      </c>
      <c r="C492" s="2" t="inlineStr">
        <is>
          <t>S132</t>
        </is>
      </c>
      <c r="D492" s="2" t="inlineStr">
        <is>
          <t>'YUMMY BREAD'!C10,H10</t>
        </is>
      </c>
      <c r="E492" s="2" t="inlineStr">
        <is>
          <t>salt</t>
        </is>
      </c>
      <c r="F492" s="3" t="n">
        <v>50</v>
      </c>
      <c r="G492" s="2" t="inlineStr">
        <is>
          <t>50</t>
        </is>
      </c>
      <c r="H492" s="2" t="inlineStr">
        <is>
          <t>M1-B01–B13</t>
        </is>
      </c>
    </row>
    <row r="493">
      <c r="A493" s="2" t="inlineStr">
        <is>
          <t>L057</t>
        </is>
      </c>
      <c r="B493" s="2" t="inlineStr">
        <is>
          <t>YUMMY BREAD</t>
        </is>
      </c>
      <c r="C493" s="2" t="inlineStr">
        <is>
          <t>S132</t>
        </is>
      </c>
      <c r="D493" s="2" t="inlineStr">
        <is>
          <t>'YUMMY BREAD'!C11,H11</t>
        </is>
      </c>
      <c r="E493" s="2" t="inlineStr">
        <is>
          <t>improver</t>
        </is>
      </c>
      <c r="F493" s="3" t="n">
        <v>60</v>
      </c>
      <c r="G493" s="2" t="inlineStr">
        <is>
          <t>60</t>
        </is>
      </c>
      <c r="H493" s="2" t="inlineStr">
        <is>
          <t>M1-B01–B13</t>
        </is>
      </c>
    </row>
    <row r="494">
      <c r="A494" s="2" t="inlineStr">
        <is>
          <t>L057</t>
        </is>
      </c>
      <c r="B494" s="2" t="inlineStr">
        <is>
          <t>YUMMY BREAD</t>
        </is>
      </c>
      <c r="C494" s="2" t="inlineStr">
        <is>
          <t>S132</t>
        </is>
      </c>
      <c r="D494" s="2" t="inlineStr">
        <is>
          <t>'YUMMY BREAD'!C12,H12</t>
        </is>
      </c>
      <c r="E494" s="2" t="inlineStr">
        <is>
          <t>yeast</t>
        </is>
      </c>
      <c r="F494" s="3" t="n">
        <v>50</v>
      </c>
      <c r="G494" s="2" t="inlineStr">
        <is>
          <t>50</t>
        </is>
      </c>
      <c r="H494" s="2" t="inlineStr">
        <is>
          <t>M1-B01–B13</t>
        </is>
      </c>
    </row>
    <row r="495">
      <c r="A495" s="2" t="inlineStr">
        <is>
          <t>L057</t>
        </is>
      </c>
      <c r="B495" s="2" t="inlineStr">
        <is>
          <t>YUMMY BREAD</t>
        </is>
      </c>
      <c r="C495" s="2" t="inlineStr">
        <is>
          <t>S132</t>
        </is>
      </c>
      <c r="D495" s="2" t="inlineStr">
        <is>
          <t>'YUMMY BREAD'!C13,H13</t>
        </is>
      </c>
      <c r="E495" s="2" t="inlineStr">
        <is>
          <t>water</t>
        </is>
      </c>
      <c r="F495" s="3" t="n">
        <v>1500</v>
      </c>
      <c r="G495" s="2" t="inlineStr">
        <is>
          <t>1500</t>
        </is>
      </c>
      <c r="H495" s="2" t="inlineStr">
        <is>
          <t>M1-B01–B13</t>
        </is>
      </c>
    </row>
    <row r="496">
      <c r="A496" s="2" t="inlineStr">
        <is>
          <t>L057</t>
        </is>
      </c>
      <c r="B496" s="2" t="inlineStr">
        <is>
          <t>YUMMY BREAD</t>
        </is>
      </c>
      <c r="C496" s="2" t="inlineStr">
        <is>
          <t>S132</t>
        </is>
      </c>
      <c r="D496" s="2" t="inlineStr">
        <is>
          <t>'YUMMY BREAD'!C14,H14</t>
        </is>
      </c>
      <c r="E496" s="2" t="inlineStr">
        <is>
          <t>EDC</t>
        </is>
      </c>
      <c r="F496" s="3" t="n">
        <v>50</v>
      </c>
      <c r="G496" s="2" t="inlineStr">
        <is>
          <t>50</t>
        </is>
      </c>
      <c r="H496" s="2" t="inlineStr">
        <is>
          <t>M1-B01–B13</t>
        </is>
      </c>
    </row>
    <row r="497">
      <c r="A497" s="2" t="inlineStr">
        <is>
          <t>L058</t>
        </is>
      </c>
      <c r="B497" s="2" t="inlineStr">
        <is>
          <t>YUMMY BREAD</t>
        </is>
      </c>
      <c r="C497" s="2" t="inlineStr">
        <is>
          <t>S132</t>
        </is>
      </c>
      <c r="D497" s="2" t="inlineStr">
        <is>
          <t>'YUMMY BREAD'!C5,N5</t>
        </is>
      </c>
      <c r="E497" s="2" t="inlineStr">
        <is>
          <t>flour</t>
        </is>
      </c>
      <c r="F497" s="3" t="n">
        <v>8500</v>
      </c>
      <c r="G497" s="2" t="inlineStr">
        <is>
          <t>8500</t>
        </is>
      </c>
      <c r="H497" s="2" t="inlineStr">
        <is>
          <t>M1-B01–B13</t>
        </is>
      </c>
    </row>
    <row r="498">
      <c r="A498" s="2" t="inlineStr">
        <is>
          <t>L058</t>
        </is>
      </c>
      <c r="B498" s="2" t="inlineStr">
        <is>
          <t>YUMMY BREAD</t>
        </is>
      </c>
      <c r="C498" s="2" t="inlineStr">
        <is>
          <t>S132</t>
        </is>
      </c>
      <c r="D498" s="2" t="inlineStr">
        <is>
          <t>'YUMMY BREAD'!C6,N6</t>
        </is>
      </c>
      <c r="E498" s="2" t="inlineStr">
        <is>
          <t>Butter</t>
        </is>
      </c>
      <c r="F498" s="3" t="n">
        <v>700</v>
      </c>
      <c r="G498" s="2" t="inlineStr">
        <is>
          <t>700</t>
        </is>
      </c>
      <c r="H498" s="2" t="inlineStr">
        <is>
          <t>M1-B01–B13</t>
        </is>
      </c>
    </row>
    <row r="499">
      <c r="A499" s="2" t="inlineStr">
        <is>
          <t>L058</t>
        </is>
      </c>
      <c r="B499" s="2" t="inlineStr">
        <is>
          <t>YUMMY BREAD</t>
        </is>
      </c>
      <c r="C499" s="2" t="inlineStr">
        <is>
          <t>S132</t>
        </is>
      </c>
      <c r="D499" s="2" t="inlineStr">
        <is>
          <t>'YUMMY BREAD'!C7,N7</t>
        </is>
      </c>
      <c r="E499" s="2" t="inlineStr">
        <is>
          <t>sugar</t>
        </is>
      </c>
      <c r="F499" s="3" t="n">
        <v>800</v>
      </c>
      <c r="G499" s="2" t="inlineStr">
        <is>
          <t>800</t>
        </is>
      </c>
      <c r="H499" s="2" t="inlineStr">
        <is>
          <t>M1-B01–B13</t>
        </is>
      </c>
    </row>
    <row r="500">
      <c r="A500" s="2" t="inlineStr">
        <is>
          <t>L058</t>
        </is>
      </c>
      <c r="B500" s="2" t="inlineStr">
        <is>
          <t>YUMMY BREAD</t>
        </is>
      </c>
      <c r="C500" s="2" t="inlineStr">
        <is>
          <t>S132</t>
        </is>
      </c>
      <c r="D500" s="2" t="inlineStr">
        <is>
          <t>'YUMMY BREAD'!C8,N8</t>
        </is>
      </c>
      <c r="E500" s="2" t="inlineStr">
        <is>
          <t>Milk</t>
        </is>
      </c>
      <c r="F500" s="3" t="n">
        <v>750</v>
      </c>
      <c r="G500" s="2" t="inlineStr">
        <is>
          <t>750</t>
        </is>
      </c>
      <c r="H500" s="2" t="inlineStr">
        <is>
          <t>M1-B01–B13</t>
        </is>
      </c>
    </row>
    <row r="501">
      <c r="A501" s="2" t="inlineStr">
        <is>
          <t>L058</t>
        </is>
      </c>
      <c r="B501" s="2" t="inlineStr">
        <is>
          <t>YUMMY BREAD</t>
        </is>
      </c>
      <c r="C501" s="2" t="inlineStr">
        <is>
          <t>S132</t>
        </is>
      </c>
      <c r="D501" s="2" t="inlineStr">
        <is>
          <t>'YUMMY BREAD'!C9,N9</t>
        </is>
      </c>
      <c r="E501" s="2" t="inlineStr">
        <is>
          <t>egg</t>
        </is>
      </c>
      <c r="F501" s="3" t="n">
        <v>400</v>
      </c>
      <c r="G501" s="2" t="inlineStr">
        <is>
          <t>400</t>
        </is>
      </c>
      <c r="H501" s="2" t="inlineStr">
        <is>
          <t>M1-B01–B13</t>
        </is>
      </c>
    </row>
    <row r="502">
      <c r="A502" s="2" t="inlineStr">
        <is>
          <t>L058</t>
        </is>
      </c>
      <c r="B502" s="2" t="inlineStr">
        <is>
          <t>YUMMY BREAD</t>
        </is>
      </c>
      <c r="C502" s="2" t="inlineStr">
        <is>
          <t>S132</t>
        </is>
      </c>
      <c r="D502" s="2" t="inlineStr">
        <is>
          <t>'YUMMY BREAD'!C10,N10</t>
        </is>
      </c>
      <c r="E502" s="2" t="inlineStr">
        <is>
          <t>salt</t>
        </is>
      </c>
      <c r="F502" s="3" t="n">
        <v>60</v>
      </c>
      <c r="G502" s="2" t="inlineStr">
        <is>
          <t>60</t>
        </is>
      </c>
      <c r="H502" s="2" t="inlineStr">
        <is>
          <t>M1-B01–B13</t>
        </is>
      </c>
    </row>
    <row r="503">
      <c r="A503" s="2" t="inlineStr">
        <is>
          <t>L058</t>
        </is>
      </c>
      <c r="B503" s="2" t="inlineStr">
        <is>
          <t>YUMMY BREAD</t>
        </is>
      </c>
      <c r="C503" s="2" t="inlineStr">
        <is>
          <t>S132</t>
        </is>
      </c>
      <c r="D503" s="2" t="inlineStr">
        <is>
          <t>'YUMMY BREAD'!C11,N11</t>
        </is>
      </c>
      <c r="E503" s="2" t="inlineStr">
        <is>
          <t>improver</t>
        </is>
      </c>
      <c r="F503" s="3" t="n">
        <v>100</v>
      </c>
      <c r="G503" s="2" t="inlineStr">
        <is>
          <t>100</t>
        </is>
      </c>
      <c r="H503" s="2" t="inlineStr">
        <is>
          <t>M1-B01–B13</t>
        </is>
      </c>
    </row>
    <row r="504">
      <c r="A504" s="2" t="inlineStr">
        <is>
          <t>L058</t>
        </is>
      </c>
      <c r="B504" s="2" t="inlineStr">
        <is>
          <t>YUMMY BREAD</t>
        </is>
      </c>
      <c r="C504" s="2" t="inlineStr">
        <is>
          <t>S132</t>
        </is>
      </c>
      <c r="D504" s="2" t="inlineStr">
        <is>
          <t>'YUMMY BREAD'!C12,N12</t>
        </is>
      </c>
      <c r="E504" s="2" t="inlineStr">
        <is>
          <t>yeast</t>
        </is>
      </c>
      <c r="F504" s="3" t="n">
        <v>90</v>
      </c>
      <c r="G504" s="2" t="inlineStr">
        <is>
          <t>90</t>
        </is>
      </c>
      <c r="H504" s="2" t="inlineStr">
        <is>
          <t>M1-B01–B13</t>
        </is>
      </c>
    </row>
    <row r="505">
      <c r="A505" s="2" t="inlineStr">
        <is>
          <t>L058</t>
        </is>
      </c>
      <c r="B505" s="2" t="inlineStr">
        <is>
          <t>YUMMY BREAD</t>
        </is>
      </c>
      <c r="C505" s="2" t="inlineStr">
        <is>
          <t>S132</t>
        </is>
      </c>
      <c r="D505" s="2" t="inlineStr">
        <is>
          <t>'YUMMY BREAD'!C13,N13</t>
        </is>
      </c>
      <c r="E505" s="2" t="inlineStr">
        <is>
          <t>water</t>
        </is>
      </c>
      <c r="F505" s="3" t="n">
        <v>1900</v>
      </c>
      <c r="G505" s="2" t="inlineStr">
        <is>
          <t>1900</t>
        </is>
      </c>
      <c r="H505" s="2" t="inlineStr">
        <is>
          <t>M1-B01–B13</t>
        </is>
      </c>
    </row>
    <row r="506">
      <c r="A506" s="2" t="inlineStr">
        <is>
          <t>L058</t>
        </is>
      </c>
      <c r="B506" s="2" t="inlineStr">
        <is>
          <t>YUMMY BREAD</t>
        </is>
      </c>
      <c r="C506" s="2" t="inlineStr">
        <is>
          <t>S132</t>
        </is>
      </c>
      <c r="D506" s="2" t="inlineStr">
        <is>
          <t>'YUMMY BREAD'!C14,N14</t>
        </is>
      </c>
      <c r="E506" s="2" t="inlineStr">
        <is>
          <t>EDC</t>
        </is>
      </c>
      <c r="F506" s="3" t="n">
        <v>12.5</v>
      </c>
      <c r="G506" s="2" t="inlineStr">
        <is>
          <t>=F14/2 [cached: 12.5]</t>
        </is>
      </c>
      <c r="H506" s="2" t="inlineStr">
        <is>
          <t>M1-B01–B13</t>
        </is>
      </c>
    </row>
    <row r="507">
      <c r="A507" s="2" t="inlineStr">
        <is>
          <t>L059</t>
        </is>
      </c>
      <c r="B507" s="2" t="inlineStr">
        <is>
          <t>Zebree</t>
        </is>
      </c>
      <c r="C507" s="2" t="inlineStr">
        <is>
          <t>S132</t>
        </is>
      </c>
      <c r="D507" s="2" t="inlineStr">
        <is>
          <t>'Zebree'!C5,D5</t>
        </is>
      </c>
      <c r="E507" s="2" t="inlineStr">
        <is>
          <t>flour</t>
        </is>
      </c>
      <c r="F507" s="3" t="n">
        <v>10000</v>
      </c>
      <c r="G507" s="2" t="inlineStr">
        <is>
          <t>10000</t>
        </is>
      </c>
      <c r="H507" s="2" t="inlineStr">
        <is>
          <t>H15</t>
        </is>
      </c>
    </row>
    <row r="508">
      <c r="A508" s="2" t="inlineStr">
        <is>
          <t>L059</t>
        </is>
      </c>
      <c r="B508" s="2" t="inlineStr">
        <is>
          <t>Zebree</t>
        </is>
      </c>
      <c r="C508" s="2" t="inlineStr">
        <is>
          <t>S132</t>
        </is>
      </c>
      <c r="D508" s="2" t="inlineStr">
        <is>
          <t>'Zebree'!C6,D6</t>
        </is>
      </c>
      <c r="E508" s="2" t="inlineStr">
        <is>
          <t>Butter</t>
        </is>
      </c>
      <c r="F508" s="3" t="n">
        <v>1000</v>
      </c>
      <c r="G508" s="2" t="inlineStr">
        <is>
          <t>1000</t>
        </is>
      </c>
      <c r="H508" s="2" t="inlineStr">
        <is>
          <t>H15</t>
        </is>
      </c>
    </row>
    <row r="509">
      <c r="A509" s="2" t="inlineStr">
        <is>
          <t>L059</t>
        </is>
      </c>
      <c r="B509" s="2" t="inlineStr">
        <is>
          <t>Zebree</t>
        </is>
      </c>
      <c r="C509" s="2" t="inlineStr">
        <is>
          <t>S132</t>
        </is>
      </c>
      <c r="D509" s="2" t="inlineStr">
        <is>
          <t>'Zebree'!C7,D7</t>
        </is>
      </c>
      <c r="E509" s="2" t="inlineStr">
        <is>
          <t>sugar</t>
        </is>
      </c>
      <c r="F509" s="3" t="n">
        <v>1000</v>
      </c>
      <c r="G509" s="2" t="inlineStr">
        <is>
          <t>1000</t>
        </is>
      </c>
      <c r="H509" s="2" t="inlineStr">
        <is>
          <t>H15</t>
        </is>
      </c>
    </row>
    <row r="510">
      <c r="A510" s="2" t="inlineStr">
        <is>
          <t>L059</t>
        </is>
      </c>
      <c r="B510" s="2" t="inlineStr">
        <is>
          <t>Zebree</t>
        </is>
      </c>
      <c r="C510" s="2" t="inlineStr">
        <is>
          <t>S132</t>
        </is>
      </c>
      <c r="D510" s="2" t="inlineStr">
        <is>
          <t>'Zebree'!C8,D8</t>
        </is>
      </c>
      <c r="E510" s="2" t="inlineStr">
        <is>
          <t>Milk</t>
        </is>
      </c>
      <c r="F510" s="3" t="n">
        <v>800</v>
      </c>
      <c r="G510" s="2" t="inlineStr">
        <is>
          <t>800</t>
        </is>
      </c>
      <c r="H510" s="2" t="inlineStr">
        <is>
          <t>H15</t>
        </is>
      </c>
    </row>
    <row r="511">
      <c r="A511" s="2" t="inlineStr">
        <is>
          <t>L059</t>
        </is>
      </c>
      <c r="B511" s="2" t="inlineStr">
        <is>
          <t>Zebree</t>
        </is>
      </c>
      <c r="C511" s="2" t="inlineStr">
        <is>
          <t>S132</t>
        </is>
      </c>
      <c r="D511" s="2" t="inlineStr">
        <is>
          <t>'Zebree'!C9,D9</t>
        </is>
      </c>
      <c r="E511" s="2" t="inlineStr">
        <is>
          <t>egg</t>
        </is>
      </c>
      <c r="F511" s="3" t="n">
        <v>750</v>
      </c>
      <c r="G511" s="2" t="inlineStr">
        <is>
          <t>750</t>
        </is>
      </c>
      <c r="H511" s="2" t="inlineStr">
        <is>
          <t>H15</t>
        </is>
      </c>
    </row>
    <row r="512">
      <c r="A512" s="2" t="inlineStr">
        <is>
          <t>L059</t>
        </is>
      </c>
      <c r="B512" s="2" t="inlineStr">
        <is>
          <t>Zebree</t>
        </is>
      </c>
      <c r="C512" s="2" t="inlineStr">
        <is>
          <t>S132</t>
        </is>
      </c>
      <c r="D512" s="2" t="inlineStr">
        <is>
          <t>'Zebree'!C10,D10</t>
        </is>
      </c>
      <c r="E512" s="2" t="inlineStr">
        <is>
          <t>salt</t>
        </is>
      </c>
      <c r="F512" s="3" t="n">
        <v>110</v>
      </c>
      <c r="G512" s="2" t="inlineStr">
        <is>
          <t>110</t>
        </is>
      </c>
      <c r="H512" s="2" t="inlineStr">
        <is>
          <t>H15</t>
        </is>
      </c>
    </row>
    <row r="513">
      <c r="A513" s="2" t="inlineStr">
        <is>
          <t>L059</t>
        </is>
      </c>
      <c r="B513" s="2" t="inlineStr">
        <is>
          <t>Zebree</t>
        </is>
      </c>
      <c r="C513" s="2" t="inlineStr">
        <is>
          <t>S132</t>
        </is>
      </c>
      <c r="D513" s="2" t="inlineStr">
        <is>
          <t>'Zebree'!C11,D11</t>
        </is>
      </c>
      <c r="E513" s="2" t="inlineStr">
        <is>
          <t>improver</t>
        </is>
      </c>
      <c r="F513" s="3" t="n">
        <v>100</v>
      </c>
      <c r="G513" s="2" t="inlineStr">
        <is>
          <t>100</t>
        </is>
      </c>
      <c r="H513" s="2" t="inlineStr">
        <is>
          <t>H15</t>
        </is>
      </c>
    </row>
    <row r="514">
      <c r="A514" s="2" t="inlineStr">
        <is>
          <t>L059</t>
        </is>
      </c>
      <c r="B514" s="2" t="inlineStr">
        <is>
          <t>Zebree</t>
        </is>
      </c>
      <c r="C514" s="2" t="inlineStr">
        <is>
          <t>S132</t>
        </is>
      </c>
      <c r="D514" s="2" t="inlineStr">
        <is>
          <t>'Zebree'!C12,D12</t>
        </is>
      </c>
      <c r="E514" s="2" t="inlineStr">
        <is>
          <t>yeast</t>
        </is>
      </c>
      <c r="F514" s="3" t="n">
        <v>85</v>
      </c>
      <c r="G514" s="2" t="inlineStr">
        <is>
          <t>85</t>
        </is>
      </c>
      <c r="H514" s="2" t="inlineStr">
        <is>
          <t>H15</t>
        </is>
      </c>
    </row>
    <row r="515">
      <c r="A515" s="2" t="inlineStr">
        <is>
          <t>L059</t>
        </is>
      </c>
      <c r="B515" s="2" t="inlineStr">
        <is>
          <t>Zebree</t>
        </is>
      </c>
      <c r="C515" s="2" t="inlineStr">
        <is>
          <t>S132</t>
        </is>
      </c>
      <c r="D515" s="2" t="inlineStr">
        <is>
          <t>'Zebree'!C13,D13</t>
        </is>
      </c>
      <c r="E515" s="2" t="inlineStr">
        <is>
          <t>water</t>
        </is>
      </c>
      <c r="F515" s="3" t="n">
        <v>3500</v>
      </c>
      <c r="G515" s="2" t="inlineStr">
        <is>
          <t>3500</t>
        </is>
      </c>
      <c r="H515" s="2" t="inlineStr">
        <is>
          <t>H15</t>
        </is>
      </c>
    </row>
    <row r="516">
      <c r="A516" s="2" t="inlineStr">
        <is>
          <t>L059</t>
        </is>
      </c>
      <c r="B516" s="2" t="inlineStr">
        <is>
          <t>Zebree</t>
        </is>
      </c>
      <c r="C516" s="2" t="inlineStr">
        <is>
          <t>S132</t>
        </is>
      </c>
      <c r="D516" s="2" t="inlineStr">
        <is>
          <t>'Zebree'!C14,D14</t>
        </is>
      </c>
      <c r="E516" s="2" t="inlineStr">
        <is>
          <t>baking powder</t>
        </is>
      </c>
      <c r="F516" s="3" t="n">
        <v>85</v>
      </c>
      <c r="G516" s="2" t="inlineStr">
        <is>
          <t>85</t>
        </is>
      </c>
      <c r="H516" s="2" t="inlineStr">
        <is>
          <t>H15</t>
        </is>
      </c>
    </row>
    <row r="517">
      <c r="A517" s="2" t="inlineStr">
        <is>
          <t>L059</t>
        </is>
      </c>
      <c r="B517" s="2" t="inlineStr">
        <is>
          <t>Zebree</t>
        </is>
      </c>
      <c r="C517" s="2" t="inlineStr">
        <is>
          <t>S132</t>
        </is>
      </c>
      <c r="D517" s="2" t="inlineStr">
        <is>
          <t>'Zebree'!C15,D15</t>
        </is>
      </c>
      <c r="E517" s="2" t="inlineStr">
        <is>
          <t>EDC</t>
        </is>
      </c>
      <c r="F517" s="3" t="n">
        <v>75</v>
      </c>
      <c r="G517" s="2" t="inlineStr">
        <is>
          <t>75</t>
        </is>
      </c>
      <c r="H517" s="2" t="inlineStr">
        <is>
          <t>H15</t>
        </is>
      </c>
    </row>
    <row r="518">
      <c r="A518" s="2" t="inlineStr">
        <is>
          <t>L059</t>
        </is>
      </c>
      <c r="B518" s="2" t="inlineStr">
        <is>
          <t>Zebree</t>
        </is>
      </c>
      <c r="C518" s="2" t="inlineStr">
        <is>
          <t>S132</t>
        </is>
      </c>
      <c r="D518" s="2" t="inlineStr">
        <is>
          <t>'Zebree'!C16,D16</t>
        </is>
      </c>
      <c r="E518" s="2" t="inlineStr">
        <is>
          <t>Chocolate</t>
        </is>
      </c>
      <c r="F518" s="3" t="n">
        <v>2000</v>
      </c>
      <c r="G518" s="2" t="inlineStr">
        <is>
          <t>2000</t>
        </is>
      </c>
      <c r="H518" s="2" t="inlineStr">
        <is>
          <t>H15</t>
        </is>
      </c>
    </row>
    <row r="519">
      <c r="A519" s="2" t="inlineStr">
        <is>
          <t>L060</t>
        </is>
      </c>
      <c r="B519" s="2" t="inlineStr">
        <is>
          <t>Zebree</t>
        </is>
      </c>
      <c r="C519" s="2" t="inlineStr">
        <is>
          <t>S132</t>
        </is>
      </c>
      <c r="D519" s="2" t="inlineStr">
        <is>
          <t>'Zebree'!C5,F5</t>
        </is>
      </c>
      <c r="E519" s="2" t="inlineStr">
        <is>
          <t>flour</t>
        </is>
      </c>
      <c r="F519" s="3" t="n">
        <v>50000</v>
      </c>
      <c r="G519" s="2" t="inlineStr">
        <is>
          <t>=H5*10 [cached: 50000]</t>
        </is>
      </c>
      <c r="H519" s="2" t="inlineStr">
        <is>
          <t>H15</t>
        </is>
      </c>
    </row>
    <row r="520">
      <c r="A520" s="2" t="inlineStr">
        <is>
          <t>L060</t>
        </is>
      </c>
      <c r="B520" s="2" t="inlineStr">
        <is>
          <t>Zebree</t>
        </is>
      </c>
      <c r="C520" s="2" t="inlineStr">
        <is>
          <t>S132</t>
        </is>
      </c>
      <c r="D520" s="2" t="inlineStr">
        <is>
          <t>'Zebree'!C6,F6</t>
        </is>
      </c>
      <c r="E520" s="2" t="inlineStr">
        <is>
          <t>Butter</t>
        </is>
      </c>
      <c r="F520" s="3" t="n">
        <v>7000</v>
      </c>
      <c r="G520" s="2" t="inlineStr">
        <is>
          <t>=H6*10 [cached: 7000]</t>
        </is>
      </c>
      <c r="H520" s="2" t="inlineStr">
        <is>
          <t>H15</t>
        </is>
      </c>
    </row>
    <row r="521">
      <c r="A521" s="2" t="inlineStr">
        <is>
          <t>L060</t>
        </is>
      </c>
      <c r="B521" s="2" t="inlineStr">
        <is>
          <t>Zebree</t>
        </is>
      </c>
      <c r="C521" s="2" t="inlineStr">
        <is>
          <t>S132</t>
        </is>
      </c>
      <c r="D521" s="2" t="inlineStr">
        <is>
          <t>'Zebree'!C7,F7</t>
        </is>
      </c>
      <c r="E521" s="2" t="inlineStr">
        <is>
          <t>sugar</t>
        </is>
      </c>
      <c r="F521" s="3" t="n">
        <v>5000</v>
      </c>
      <c r="G521" s="2" t="inlineStr">
        <is>
          <t>=H7*10 [cached: 5000]</t>
        </is>
      </c>
      <c r="H521" s="2" t="inlineStr">
        <is>
          <t>H15</t>
        </is>
      </c>
    </row>
    <row r="522">
      <c r="A522" s="2" t="inlineStr">
        <is>
          <t>L060</t>
        </is>
      </c>
      <c r="B522" s="2" t="inlineStr">
        <is>
          <t>Zebree</t>
        </is>
      </c>
      <c r="C522" s="2" t="inlineStr">
        <is>
          <t>S132</t>
        </is>
      </c>
      <c r="D522" s="2" t="inlineStr">
        <is>
          <t>'Zebree'!C8,F8</t>
        </is>
      </c>
      <c r="E522" s="2" t="inlineStr">
        <is>
          <t>Milk</t>
        </is>
      </c>
      <c r="F522" s="3" t="n">
        <v>3000</v>
      </c>
      <c r="G522" s="2" t="inlineStr">
        <is>
          <t>=H8*10 [cached: 3000]</t>
        </is>
      </c>
      <c r="H522" s="2" t="inlineStr">
        <is>
          <t>H15</t>
        </is>
      </c>
    </row>
    <row r="523">
      <c r="A523" s="2" t="inlineStr">
        <is>
          <t>L060</t>
        </is>
      </c>
      <c r="B523" s="2" t="inlineStr">
        <is>
          <t>Zebree</t>
        </is>
      </c>
      <c r="C523" s="2" t="inlineStr">
        <is>
          <t>S132</t>
        </is>
      </c>
      <c r="D523" s="2" t="inlineStr">
        <is>
          <t>'Zebree'!C9,F9</t>
        </is>
      </c>
      <c r="E523" s="2" t="inlineStr">
        <is>
          <t>egg</t>
        </is>
      </c>
      <c r="F523" s="3" t="n">
        <v>4000</v>
      </c>
      <c r="G523" s="2" t="inlineStr">
        <is>
          <t>=H9*10 [cached: 4000]</t>
        </is>
      </c>
      <c r="H523" s="2" t="inlineStr">
        <is>
          <t>H15</t>
        </is>
      </c>
    </row>
    <row r="524">
      <c r="A524" s="2" t="inlineStr">
        <is>
          <t>L060</t>
        </is>
      </c>
      <c r="B524" s="2" t="inlineStr">
        <is>
          <t>Zebree</t>
        </is>
      </c>
      <c r="C524" s="2" t="inlineStr">
        <is>
          <t>S132</t>
        </is>
      </c>
      <c r="D524" s="2" t="inlineStr">
        <is>
          <t>'Zebree'!C10,F10</t>
        </is>
      </c>
      <c r="E524" s="2" t="inlineStr">
        <is>
          <t>salt</t>
        </is>
      </c>
      <c r="F524" s="3" t="n">
        <v>500</v>
      </c>
      <c r="G524" s="2" t="inlineStr">
        <is>
          <t>=H10*10 [cached: 500]</t>
        </is>
      </c>
      <c r="H524" s="2" t="inlineStr">
        <is>
          <t>H15</t>
        </is>
      </c>
    </row>
    <row r="525">
      <c r="A525" s="2" t="inlineStr">
        <is>
          <t>L060</t>
        </is>
      </c>
      <c r="B525" s="2" t="inlineStr">
        <is>
          <t>Zebree</t>
        </is>
      </c>
      <c r="C525" s="2" t="inlineStr">
        <is>
          <t>S132</t>
        </is>
      </c>
      <c r="D525" s="2" t="inlineStr">
        <is>
          <t>'Zebree'!C11,F11</t>
        </is>
      </c>
      <c r="E525" s="2" t="inlineStr">
        <is>
          <t>improver</t>
        </is>
      </c>
      <c r="F525" s="3" t="n">
        <v>200</v>
      </c>
      <c r="G525" s="2" t="inlineStr">
        <is>
          <t>=H11*10 [cached: 200]</t>
        </is>
      </c>
      <c r="H525" s="2" t="inlineStr">
        <is>
          <t>H15</t>
        </is>
      </c>
    </row>
    <row r="526">
      <c r="A526" s="2" t="inlineStr">
        <is>
          <t>L060</t>
        </is>
      </c>
      <c r="B526" s="2" t="inlineStr">
        <is>
          <t>Zebree</t>
        </is>
      </c>
      <c r="C526" s="2" t="inlineStr">
        <is>
          <t>S132</t>
        </is>
      </c>
      <c r="D526" s="2" t="inlineStr">
        <is>
          <t>'Zebree'!C12,F12</t>
        </is>
      </c>
      <c r="E526" s="2" t="inlineStr">
        <is>
          <t>yeast</t>
        </is>
      </c>
      <c r="F526" s="3" t="n">
        <v>500</v>
      </c>
      <c r="G526" s="2" t="inlineStr">
        <is>
          <t>=H12*10 [cached: 500]</t>
        </is>
      </c>
      <c r="H526" s="2" t="inlineStr">
        <is>
          <t>H15</t>
        </is>
      </c>
    </row>
    <row r="527">
      <c r="A527" s="2" t="inlineStr">
        <is>
          <t>L060</t>
        </is>
      </c>
      <c r="B527" s="2" t="inlineStr">
        <is>
          <t>Zebree</t>
        </is>
      </c>
      <c r="C527" s="2" t="inlineStr">
        <is>
          <t>S132</t>
        </is>
      </c>
      <c r="D527" s="2" t="inlineStr">
        <is>
          <t>'Zebree'!C13,F13</t>
        </is>
      </c>
      <c r="E527" s="2" t="inlineStr">
        <is>
          <t>water</t>
        </is>
      </c>
      <c r="F527" s="3" t="n">
        <v>20000</v>
      </c>
      <c r="G527" s="2" t="inlineStr">
        <is>
          <t>=H13*10 [cached: 20000]</t>
        </is>
      </c>
      <c r="H527" s="2" t="inlineStr">
        <is>
          <t>H15</t>
        </is>
      </c>
    </row>
    <row r="528">
      <c r="A528" s="2" t="inlineStr">
        <is>
          <t>L060</t>
        </is>
      </c>
      <c r="B528" s="2" t="inlineStr">
        <is>
          <t>Zebree</t>
        </is>
      </c>
      <c r="C528" s="2" t="inlineStr">
        <is>
          <t>S132</t>
        </is>
      </c>
      <c r="D528" s="2" t="inlineStr">
        <is>
          <t>'Zebree'!C14,F14</t>
        </is>
      </c>
      <c r="E528" s="2" t="inlineStr">
        <is>
          <t>baking powder</t>
        </is>
      </c>
      <c r="F528" s="3" t="n">
        <v>350</v>
      </c>
      <c r="G528" s="2" t="inlineStr">
        <is>
          <t>=H14*10 [cached: 350]</t>
        </is>
      </c>
      <c r="H528" s="2" t="inlineStr">
        <is>
          <t>H15</t>
        </is>
      </c>
    </row>
    <row r="529">
      <c r="A529" s="2" t="inlineStr">
        <is>
          <t>L060</t>
        </is>
      </c>
      <c r="B529" s="2" t="inlineStr">
        <is>
          <t>Zebree</t>
        </is>
      </c>
      <c r="C529" s="2" t="inlineStr">
        <is>
          <t>S132</t>
        </is>
      </c>
      <c r="D529" s="2" t="inlineStr">
        <is>
          <t>'Zebree'!C15,F15</t>
        </is>
      </c>
      <c r="E529" s="2" t="inlineStr">
        <is>
          <t>EDC</t>
        </is>
      </c>
      <c r="F529" s="3" t="n">
        <v>300</v>
      </c>
      <c r="G529" s="2" t="inlineStr">
        <is>
          <t>=H15*10 [cached: 300]</t>
        </is>
      </c>
      <c r="H529" s="2" t="inlineStr">
        <is>
          <t>H15</t>
        </is>
      </c>
    </row>
    <row r="530">
      <c r="A530" s="2" t="inlineStr">
        <is>
          <t>L060</t>
        </is>
      </c>
      <c r="B530" s="2" t="inlineStr">
        <is>
          <t>Zebree</t>
        </is>
      </c>
      <c r="C530" s="2" t="inlineStr">
        <is>
          <t>S132</t>
        </is>
      </c>
      <c r="D530" s="2" t="inlineStr">
        <is>
          <t>'Zebree'!C16,F16</t>
        </is>
      </c>
      <c r="E530" s="2" t="inlineStr">
        <is>
          <t>Chocolate</t>
        </is>
      </c>
      <c r="F530" s="3" t="n">
        <v>15000</v>
      </c>
      <c r="G530" s="2" t="inlineStr">
        <is>
          <t>=H16*10 [cached: 15000]</t>
        </is>
      </c>
      <c r="H530" s="2" t="inlineStr">
        <is>
          <t>H15</t>
        </is>
      </c>
    </row>
    <row r="531">
      <c r="A531" s="2" t="inlineStr">
        <is>
          <t>L061</t>
        </is>
      </c>
      <c r="B531" s="2" t="inlineStr">
        <is>
          <t>baguette</t>
        </is>
      </c>
      <c r="C531" s="2" t="inlineStr">
        <is>
          <t>S132</t>
        </is>
      </c>
      <c r="D531" s="2" t="inlineStr">
        <is>
          <t>'baguette'!C5,D5</t>
        </is>
      </c>
      <c r="E531" s="2" t="inlineStr">
        <is>
          <t>flour</t>
        </is>
      </c>
      <c r="F531" s="3" t="n">
        <v>6000</v>
      </c>
      <c r="G531" s="2" t="inlineStr">
        <is>
          <t>6000</t>
        </is>
      </c>
      <c r="H531" s="2" t="inlineStr">
        <is>
          <t>M1-B12 / M1-B13 / S-B01</t>
        </is>
      </c>
    </row>
    <row r="532">
      <c r="A532" s="2" t="inlineStr">
        <is>
          <t>L061</t>
        </is>
      </c>
      <c r="B532" s="2" t="inlineStr">
        <is>
          <t>baguette</t>
        </is>
      </c>
      <c r="C532" s="2" t="inlineStr">
        <is>
          <t>S132</t>
        </is>
      </c>
      <c r="D532" s="2" t="inlineStr">
        <is>
          <t>'baguette'!C6,D6</t>
        </is>
      </c>
      <c r="E532" s="2" t="inlineStr">
        <is>
          <t>yeast</t>
        </is>
      </c>
      <c r="F532" s="3" t="n">
        <v>120</v>
      </c>
      <c r="G532" s="2" t="inlineStr">
        <is>
          <t>120</t>
        </is>
      </c>
      <c r="H532" s="2" t="inlineStr">
        <is>
          <t>M1-B12 / M1-B13 / S-B01</t>
        </is>
      </c>
    </row>
    <row r="533">
      <c r="A533" s="2" t="inlineStr">
        <is>
          <t>L061</t>
        </is>
      </c>
      <c r="B533" s="2" t="inlineStr">
        <is>
          <t>baguette</t>
        </is>
      </c>
      <c r="C533" s="2" t="inlineStr">
        <is>
          <t>S132</t>
        </is>
      </c>
      <c r="D533" s="2" t="inlineStr">
        <is>
          <t>'baguette'!C7,D7</t>
        </is>
      </c>
      <c r="E533" s="2" t="inlineStr">
        <is>
          <t>salt</t>
        </is>
      </c>
      <c r="F533" s="3" t="n">
        <v>90</v>
      </c>
      <c r="G533" s="2" t="inlineStr">
        <is>
          <t>90</t>
        </is>
      </c>
      <c r="H533" s="2" t="inlineStr">
        <is>
          <t>M1-B12 / M1-B13 / S-B01</t>
        </is>
      </c>
    </row>
    <row r="534">
      <c r="A534" s="2" t="inlineStr">
        <is>
          <t>L061</t>
        </is>
      </c>
      <c r="B534" s="2" t="inlineStr">
        <is>
          <t>baguette</t>
        </is>
      </c>
      <c r="C534" s="2" t="inlineStr">
        <is>
          <t>S132</t>
        </is>
      </c>
      <c r="D534" s="2" t="inlineStr">
        <is>
          <t>'baguette'!C8,D8</t>
        </is>
      </c>
      <c r="E534" s="2" t="inlineStr">
        <is>
          <t>water</t>
        </is>
      </c>
      <c r="F534" s="3" t="n">
        <v>3500</v>
      </c>
      <c r="G534" s="2" t="inlineStr">
        <is>
          <t>3500</t>
        </is>
      </c>
      <c r="H534" s="2" t="inlineStr">
        <is>
          <t>M1-B12 / M1-B13 / S-B01</t>
        </is>
      </c>
    </row>
    <row r="535">
      <c r="A535" s="2" t="inlineStr">
        <is>
          <t>L061</t>
        </is>
      </c>
      <c r="B535" s="2" t="inlineStr">
        <is>
          <t>baguette</t>
        </is>
      </c>
      <c r="C535" s="2" t="inlineStr">
        <is>
          <t>S132</t>
        </is>
      </c>
      <c r="D535" s="2" t="inlineStr">
        <is>
          <t>'baguette'!C9,D9</t>
        </is>
      </c>
      <c r="E535" s="2" t="inlineStr">
        <is>
          <t>improver</t>
        </is>
      </c>
      <c r="F535" s="3" t="n">
        <v>180</v>
      </c>
      <c r="G535" s="2" t="inlineStr">
        <is>
          <t>180</t>
        </is>
      </c>
      <c r="H535" s="2" t="inlineStr">
        <is>
          <t>M1-B12 / M1-B13 / S-B01</t>
        </is>
      </c>
    </row>
    <row r="536">
      <c r="A536" s="2" t="inlineStr">
        <is>
          <t>L062</t>
        </is>
      </c>
      <c r="B536" s="2" t="inlineStr">
        <is>
          <t>brioche</t>
        </is>
      </c>
      <c r="C536" s="2" t="inlineStr">
        <is>
          <t>S132</t>
        </is>
      </c>
      <c r="D536" s="2" t="inlineStr">
        <is>
          <t>'brioche'!C5,D5</t>
        </is>
      </c>
      <c r="E536" s="2" t="inlineStr">
        <is>
          <t>flour</t>
        </is>
      </c>
      <c r="F536" s="3" t="n">
        <v>10000</v>
      </c>
      <c r="G536" s="2" t="inlineStr">
        <is>
          <t>10000</t>
        </is>
      </c>
      <c r="H536" s="2" t="inlineStr">
        <is>
          <t>S-B06; richer true-butter variant</t>
        </is>
      </c>
    </row>
    <row r="537">
      <c r="A537" s="2" t="inlineStr">
        <is>
          <t>L062</t>
        </is>
      </c>
      <c r="B537" s="2" t="inlineStr">
        <is>
          <t>brioche</t>
        </is>
      </c>
      <c r="C537" s="2" t="inlineStr">
        <is>
          <t>S132</t>
        </is>
      </c>
      <c r="D537" s="2" t="inlineStr">
        <is>
          <t>'brioche'!C6,D6</t>
        </is>
      </c>
      <c r="E537" s="2" t="inlineStr">
        <is>
          <t>Butter</t>
        </is>
      </c>
      <c r="F537" s="3" t="n">
        <v>2500</v>
      </c>
      <c r="G537" s="2" t="inlineStr">
        <is>
          <t>2500</t>
        </is>
      </c>
      <c r="H537" s="2" t="inlineStr">
        <is>
          <t>S-B06; richer true-butter variant</t>
        </is>
      </c>
    </row>
    <row r="538">
      <c r="A538" s="2" t="inlineStr">
        <is>
          <t>L062</t>
        </is>
      </c>
      <c r="B538" s="2" t="inlineStr">
        <is>
          <t>brioche</t>
        </is>
      </c>
      <c r="C538" s="2" t="inlineStr">
        <is>
          <t>S132</t>
        </is>
      </c>
      <c r="D538" s="2" t="inlineStr">
        <is>
          <t>'brioche'!C7,D7</t>
        </is>
      </c>
      <c r="E538" s="2" t="inlineStr">
        <is>
          <t>sugar</t>
        </is>
      </c>
      <c r="F538" s="3" t="n">
        <v>1500</v>
      </c>
      <c r="G538" s="2" t="inlineStr">
        <is>
          <t>1500</t>
        </is>
      </c>
      <c r="H538" s="2" t="inlineStr">
        <is>
          <t>S-B06; richer true-butter variant</t>
        </is>
      </c>
    </row>
    <row r="539">
      <c r="A539" s="2" t="inlineStr">
        <is>
          <t>L062</t>
        </is>
      </c>
      <c r="B539" s="2" t="inlineStr">
        <is>
          <t>brioche</t>
        </is>
      </c>
      <c r="C539" s="2" t="inlineStr">
        <is>
          <t>S132</t>
        </is>
      </c>
      <c r="D539" s="2" t="inlineStr">
        <is>
          <t>'brioche'!C8,D8</t>
        </is>
      </c>
      <c r="E539" s="2" t="inlineStr">
        <is>
          <t>Milk</t>
        </is>
      </c>
      <c r="F539" s="3" t="n">
        <v>800</v>
      </c>
      <c r="G539" s="2" t="inlineStr">
        <is>
          <t>800</t>
        </is>
      </c>
      <c r="H539" s="2" t="inlineStr">
        <is>
          <t>S-B06; richer true-butter variant</t>
        </is>
      </c>
    </row>
    <row r="540">
      <c r="A540" s="2" t="inlineStr">
        <is>
          <t>L062</t>
        </is>
      </c>
      <c r="B540" s="2" t="inlineStr">
        <is>
          <t>brioche</t>
        </is>
      </c>
      <c r="C540" s="2" t="inlineStr">
        <is>
          <t>S132</t>
        </is>
      </c>
      <c r="D540" s="2" t="inlineStr">
        <is>
          <t>'brioche'!C9,D9</t>
        </is>
      </c>
      <c r="E540" s="2" t="inlineStr">
        <is>
          <t>egg</t>
        </is>
      </c>
      <c r="F540" s="3" t="n">
        <v>500</v>
      </c>
      <c r="G540" s="2" t="inlineStr">
        <is>
          <t>500</t>
        </is>
      </c>
      <c r="H540" s="2" t="inlineStr">
        <is>
          <t>S-B06; richer true-butter variant</t>
        </is>
      </c>
    </row>
    <row r="541">
      <c r="A541" s="2" t="inlineStr">
        <is>
          <t>L062</t>
        </is>
      </c>
      <c r="B541" s="2" t="inlineStr">
        <is>
          <t>brioche</t>
        </is>
      </c>
      <c r="C541" s="2" t="inlineStr">
        <is>
          <t>S132</t>
        </is>
      </c>
      <c r="D541" s="2" t="inlineStr">
        <is>
          <t>'brioche'!C10,D10</t>
        </is>
      </c>
      <c r="E541" s="2" t="inlineStr">
        <is>
          <t>salt</t>
        </is>
      </c>
      <c r="F541" s="3" t="n">
        <v>120</v>
      </c>
      <c r="G541" s="2" t="inlineStr">
        <is>
          <t>120</t>
        </is>
      </c>
      <c r="H541" s="2" t="inlineStr">
        <is>
          <t>S-B06; richer true-butter variant</t>
        </is>
      </c>
    </row>
    <row r="542">
      <c r="A542" s="2" t="inlineStr">
        <is>
          <t>L062</t>
        </is>
      </c>
      <c r="B542" s="2" t="inlineStr">
        <is>
          <t>brioche</t>
        </is>
      </c>
      <c r="C542" s="2" t="inlineStr">
        <is>
          <t>S132</t>
        </is>
      </c>
      <c r="D542" s="2" t="inlineStr">
        <is>
          <t>'brioche'!C11,D11</t>
        </is>
      </c>
      <c r="E542" s="2" t="inlineStr">
        <is>
          <t>improver</t>
        </is>
      </c>
      <c r="F542" s="3" t="n">
        <v>100</v>
      </c>
      <c r="G542" s="2" t="inlineStr">
        <is>
          <t>100</t>
        </is>
      </c>
      <c r="H542" s="2" t="inlineStr">
        <is>
          <t>S-B06; richer true-butter variant</t>
        </is>
      </c>
    </row>
    <row r="543">
      <c r="A543" s="2" t="inlineStr">
        <is>
          <t>L062</t>
        </is>
      </c>
      <c r="B543" s="2" t="inlineStr">
        <is>
          <t>brioche</t>
        </is>
      </c>
      <c r="C543" s="2" t="inlineStr">
        <is>
          <t>S132</t>
        </is>
      </c>
      <c r="D543" s="2" t="inlineStr">
        <is>
          <t>'brioche'!C12,D12</t>
        </is>
      </c>
      <c r="E543" s="2" t="inlineStr">
        <is>
          <t>yeast</t>
        </is>
      </c>
      <c r="F543" s="3" t="n">
        <v>140</v>
      </c>
      <c r="G543" s="2" t="inlineStr">
        <is>
          <t>140</t>
        </is>
      </c>
      <c r="H543" s="2" t="inlineStr">
        <is>
          <t>S-B06; richer true-butter variant</t>
        </is>
      </c>
    </row>
    <row r="544">
      <c r="A544" s="2" t="inlineStr">
        <is>
          <t>L062</t>
        </is>
      </c>
      <c r="B544" s="2" t="inlineStr">
        <is>
          <t>brioche</t>
        </is>
      </c>
      <c r="C544" s="2" t="inlineStr">
        <is>
          <t>S132</t>
        </is>
      </c>
      <c r="D544" s="2" t="inlineStr">
        <is>
          <t>'brioche'!C13,D13</t>
        </is>
      </c>
      <c r="E544" s="2" t="inlineStr">
        <is>
          <t>water</t>
        </is>
      </c>
      <c r="F544" s="3" t="n">
        <v>1700</v>
      </c>
      <c r="G544" s="2" t="inlineStr">
        <is>
          <t>1700</t>
        </is>
      </c>
      <c r="H544" s="2" t="inlineStr">
        <is>
          <t>S-B06; richer true-butter variant</t>
        </is>
      </c>
    </row>
    <row r="545">
      <c r="A545" s="2" t="inlineStr">
        <is>
          <t>L062</t>
        </is>
      </c>
      <c r="B545" s="2" t="inlineStr">
        <is>
          <t>brioche</t>
        </is>
      </c>
      <c r="C545" s="2" t="inlineStr">
        <is>
          <t>S132</t>
        </is>
      </c>
      <c r="D545" s="2" t="inlineStr">
        <is>
          <t>'brioche'!C14,D14</t>
        </is>
      </c>
      <c r="E545" s="2" t="inlineStr">
        <is>
          <t>Milk tantalizer</t>
        </is>
      </c>
      <c r="F545" s="3" t="n">
        <v>15</v>
      </c>
      <c r="G545" s="2" t="inlineStr">
        <is>
          <t>15</t>
        </is>
      </c>
      <c r="H545" s="2" t="inlineStr">
        <is>
          <t>S-B06; richer true-butter variant</t>
        </is>
      </c>
    </row>
    <row r="546">
      <c r="A546" s="2" t="inlineStr">
        <is>
          <t>L062</t>
        </is>
      </c>
      <c r="B546" s="2" t="inlineStr">
        <is>
          <t>brioche</t>
        </is>
      </c>
      <c r="C546" s="2" t="inlineStr">
        <is>
          <t>S132</t>
        </is>
      </c>
      <c r="D546" s="2" t="inlineStr">
        <is>
          <t>'brioche'!C15,D15</t>
        </is>
      </c>
      <c r="E546" s="2" t="inlineStr">
        <is>
          <t>EDC</t>
        </is>
      </c>
      <c r="F546" s="3" t="n">
        <v>25</v>
      </c>
      <c r="G546" s="2" t="inlineStr">
        <is>
          <t>25</t>
        </is>
      </c>
      <c r="H546" s="2" t="inlineStr">
        <is>
          <t>S-B06; richer true-butter variant</t>
        </is>
      </c>
    </row>
    <row r="547">
      <c r="A547" s="2" t="inlineStr">
        <is>
          <t>L063</t>
        </is>
      </c>
      <c r="B547" s="2" t="inlineStr">
        <is>
          <t>buns new look</t>
        </is>
      </c>
      <c r="C547" s="2" t="inlineStr">
        <is>
          <t>S132</t>
        </is>
      </c>
      <c r="D547" s="2" t="inlineStr">
        <is>
          <t>'buns new look'!C5,H5</t>
        </is>
      </c>
      <c r="E547" s="2" t="inlineStr">
        <is>
          <t>flour</t>
        </is>
      </c>
      <c r="F547" s="3" t="n">
        <v>5000</v>
      </c>
      <c r="G547" s="2" t="inlineStr">
        <is>
          <t>5000</t>
        </is>
      </c>
      <c r="H547" s="2" t="inlineStr">
        <is>
          <t>M1-B04 / M1-B09</t>
        </is>
      </c>
    </row>
    <row r="548">
      <c r="A548" s="2" t="inlineStr">
        <is>
          <t>L063</t>
        </is>
      </c>
      <c r="B548" s="2" t="inlineStr">
        <is>
          <t>buns new look</t>
        </is>
      </c>
      <c r="C548" s="2" t="inlineStr">
        <is>
          <t>S132</t>
        </is>
      </c>
      <c r="D548" s="2" t="inlineStr">
        <is>
          <t>'buns new look'!C6,H6</t>
        </is>
      </c>
      <c r="E548" s="2" t="inlineStr">
        <is>
          <t>Butter</t>
        </is>
      </c>
      <c r="F548" s="3" t="n">
        <v>400</v>
      </c>
      <c r="G548" s="2" t="inlineStr">
        <is>
          <t>400</t>
        </is>
      </c>
      <c r="H548" s="2" t="inlineStr">
        <is>
          <t>M1-B04 / M1-B09</t>
        </is>
      </c>
    </row>
    <row r="549">
      <c r="A549" s="2" t="inlineStr">
        <is>
          <t>L063</t>
        </is>
      </c>
      <c r="B549" s="2" t="inlineStr">
        <is>
          <t>buns new look</t>
        </is>
      </c>
      <c r="C549" s="2" t="inlineStr">
        <is>
          <t>S132</t>
        </is>
      </c>
      <c r="D549" s="2" t="inlineStr">
        <is>
          <t>'buns new look'!C7,H7</t>
        </is>
      </c>
      <c r="E549" s="2" t="inlineStr">
        <is>
          <t>sugar</t>
        </is>
      </c>
      <c r="F549" s="3" t="n">
        <v>300</v>
      </c>
      <c r="G549" s="2" t="inlineStr">
        <is>
          <t>300</t>
        </is>
      </c>
      <c r="H549" s="2" t="inlineStr">
        <is>
          <t>M1-B04 / M1-B09</t>
        </is>
      </c>
    </row>
    <row r="550">
      <c r="A550" s="2" t="inlineStr">
        <is>
          <t>L063</t>
        </is>
      </c>
      <c r="B550" s="2" t="inlineStr">
        <is>
          <t>buns new look</t>
        </is>
      </c>
      <c r="C550" s="2" t="inlineStr">
        <is>
          <t>S132</t>
        </is>
      </c>
      <c r="D550" s="2" t="inlineStr">
        <is>
          <t>'buns new look'!C8,H8</t>
        </is>
      </c>
      <c r="E550" s="2" t="inlineStr">
        <is>
          <t>Milk</t>
        </is>
      </c>
      <c r="F550" s="3" t="n">
        <v>200</v>
      </c>
      <c r="G550" s="2" t="inlineStr">
        <is>
          <t>200</t>
        </is>
      </c>
      <c r="H550" s="2" t="inlineStr">
        <is>
          <t>M1-B04 / M1-B09</t>
        </is>
      </c>
    </row>
    <row r="551">
      <c r="A551" s="2" t="inlineStr">
        <is>
          <t>L063</t>
        </is>
      </c>
      <c r="B551" s="2" t="inlineStr">
        <is>
          <t>buns new look</t>
        </is>
      </c>
      <c r="C551" s="2" t="inlineStr">
        <is>
          <t>S132</t>
        </is>
      </c>
      <c r="D551" s="2" t="inlineStr">
        <is>
          <t>'buns new look'!C9,H9</t>
        </is>
      </c>
      <c r="E551" s="2" t="inlineStr">
        <is>
          <t>egg</t>
        </is>
      </c>
      <c r="F551" s="3" t="n">
        <v>400</v>
      </c>
      <c r="G551" s="2" t="inlineStr">
        <is>
          <t>400</t>
        </is>
      </c>
      <c r="H551" s="2" t="inlineStr">
        <is>
          <t>M1-B04 / M1-B09</t>
        </is>
      </c>
    </row>
    <row r="552">
      <c r="A552" s="2" t="inlineStr">
        <is>
          <t>L063</t>
        </is>
      </c>
      <c r="B552" s="2" t="inlineStr">
        <is>
          <t>buns new look</t>
        </is>
      </c>
      <c r="C552" s="2" t="inlineStr">
        <is>
          <t>S132</t>
        </is>
      </c>
      <c r="D552" s="2" t="inlineStr">
        <is>
          <t>'buns new look'!C10,H10</t>
        </is>
      </c>
      <c r="E552" s="2" t="inlineStr">
        <is>
          <t>salt</t>
        </is>
      </c>
      <c r="F552" s="3" t="n">
        <v>50</v>
      </c>
      <c r="G552" s="2" t="inlineStr">
        <is>
          <t>50</t>
        </is>
      </c>
      <c r="H552" s="2" t="inlineStr">
        <is>
          <t>M1-B04 / M1-B09</t>
        </is>
      </c>
    </row>
    <row r="553">
      <c r="A553" s="2" t="inlineStr">
        <is>
          <t>L063</t>
        </is>
      </c>
      <c r="B553" s="2" t="inlineStr">
        <is>
          <t>buns new look</t>
        </is>
      </c>
      <c r="C553" s="2" t="inlineStr">
        <is>
          <t>S132</t>
        </is>
      </c>
      <c r="D553" s="2" t="inlineStr">
        <is>
          <t>'buns new look'!C11,H11</t>
        </is>
      </c>
      <c r="E553" s="2" t="inlineStr">
        <is>
          <t>improver</t>
        </is>
      </c>
      <c r="F553" s="3" t="n">
        <v>60</v>
      </c>
      <c r="G553" s="2" t="inlineStr">
        <is>
          <t>60</t>
        </is>
      </c>
      <c r="H553" s="2" t="inlineStr">
        <is>
          <t>M1-B04 / M1-B09</t>
        </is>
      </c>
    </row>
    <row r="554">
      <c r="A554" s="2" t="inlineStr">
        <is>
          <t>L063</t>
        </is>
      </c>
      <c r="B554" s="2" t="inlineStr">
        <is>
          <t>buns new look</t>
        </is>
      </c>
      <c r="C554" s="2" t="inlineStr">
        <is>
          <t>S132</t>
        </is>
      </c>
      <c r="D554" s="2" t="inlineStr">
        <is>
          <t>'buns new look'!C12,H12</t>
        </is>
      </c>
      <c r="E554" s="2" t="inlineStr">
        <is>
          <t>yeast</t>
        </is>
      </c>
      <c r="F554" s="3" t="n">
        <v>50</v>
      </c>
      <c r="G554" s="2" t="inlineStr">
        <is>
          <t>50</t>
        </is>
      </c>
      <c r="H554" s="2" t="inlineStr">
        <is>
          <t>M1-B04 / M1-B09</t>
        </is>
      </c>
    </row>
    <row r="555">
      <c r="A555" s="2" t="inlineStr">
        <is>
          <t>L063</t>
        </is>
      </c>
      <c r="B555" s="2" t="inlineStr">
        <is>
          <t>buns new look</t>
        </is>
      </c>
      <c r="C555" s="2" t="inlineStr">
        <is>
          <t>S132</t>
        </is>
      </c>
      <c r="D555" s="2" t="inlineStr">
        <is>
          <t>'buns new look'!C13,H13</t>
        </is>
      </c>
      <c r="E555" s="2" t="inlineStr">
        <is>
          <t>water</t>
        </is>
      </c>
      <c r="F555" s="3" t="n">
        <v>1500</v>
      </c>
      <c r="G555" s="2" t="inlineStr">
        <is>
          <t>1500</t>
        </is>
      </c>
      <c r="H555" s="2" t="inlineStr">
        <is>
          <t>M1-B04 / M1-B09</t>
        </is>
      </c>
    </row>
    <row r="556">
      <c r="A556" s="2" t="inlineStr">
        <is>
          <t>L063</t>
        </is>
      </c>
      <c r="B556" s="2" t="inlineStr">
        <is>
          <t>buns new look</t>
        </is>
      </c>
      <c r="C556" s="2" t="inlineStr">
        <is>
          <t>S132</t>
        </is>
      </c>
      <c r="D556" s="2" t="inlineStr">
        <is>
          <t>'buns new look'!C14,H14</t>
        </is>
      </c>
      <c r="E556" s="2" t="inlineStr">
        <is>
          <t>EDC</t>
        </is>
      </c>
      <c r="F556" s="3" t="n">
        <v>50</v>
      </c>
      <c r="G556" s="2" t="inlineStr">
        <is>
          <t>50</t>
        </is>
      </c>
      <c r="H556" s="2" t="inlineStr">
        <is>
          <t>M1-B04 / M1-B09</t>
        </is>
      </c>
    </row>
    <row r="557">
      <c r="A557" s="2" t="inlineStr">
        <is>
          <t>L064</t>
        </is>
      </c>
      <c r="B557" s="2" t="inlineStr">
        <is>
          <t>cake marbre</t>
        </is>
      </c>
      <c r="C557" s="2" t="inlineStr">
        <is>
          <t>S132</t>
        </is>
      </c>
      <c r="D557" s="2" t="inlineStr">
        <is>
          <t>'cake marbre'!C5,D5</t>
        </is>
      </c>
      <c r="E557" s="2" t="inlineStr">
        <is>
          <t>flour</t>
        </is>
      </c>
      <c r="F557" s="3" t="n">
        <v>2000</v>
      </c>
      <c r="G557" s="2" t="inlineStr">
        <is>
          <t>2000</t>
        </is>
      </c>
      <c r="H557" s="2" t="inlineStr">
        <is>
          <t>H08</t>
        </is>
      </c>
    </row>
    <row r="558">
      <c r="A558" s="2" t="inlineStr">
        <is>
          <t>L064</t>
        </is>
      </c>
      <c r="B558" s="2" t="inlineStr">
        <is>
          <t>cake marbre</t>
        </is>
      </c>
      <c r="C558" s="2" t="inlineStr">
        <is>
          <t>S132</t>
        </is>
      </c>
      <c r="D558" s="2" t="inlineStr">
        <is>
          <t>'cake marbre'!C6,D6</t>
        </is>
      </c>
      <c r="E558" s="2" t="inlineStr">
        <is>
          <t>baking powder</t>
        </is>
      </c>
      <c r="F558" s="3" t="n">
        <v>70</v>
      </c>
      <c r="G558" s="2" t="inlineStr">
        <is>
          <t>70</t>
        </is>
      </c>
      <c r="H558" s="2" t="inlineStr">
        <is>
          <t>H08</t>
        </is>
      </c>
    </row>
    <row r="559">
      <c r="A559" s="2" t="inlineStr">
        <is>
          <t>L064</t>
        </is>
      </c>
      <c r="B559" s="2" t="inlineStr">
        <is>
          <t>cake marbre</t>
        </is>
      </c>
      <c r="C559" s="2" t="inlineStr">
        <is>
          <t>S132</t>
        </is>
      </c>
      <c r="D559" s="2" t="inlineStr">
        <is>
          <t>'cake marbre'!C7,D7</t>
        </is>
      </c>
      <c r="E559" s="2" t="inlineStr">
        <is>
          <t>salt</t>
        </is>
      </c>
      <c r="F559" s="3" t="n">
        <v>20</v>
      </c>
      <c r="G559" s="2" t="inlineStr">
        <is>
          <t>20</t>
        </is>
      </c>
      <c r="H559" s="2" t="inlineStr">
        <is>
          <t>H08</t>
        </is>
      </c>
    </row>
    <row r="560">
      <c r="A560" s="2" t="inlineStr">
        <is>
          <t>L064</t>
        </is>
      </c>
      <c r="B560" s="2" t="inlineStr">
        <is>
          <t>cake marbre</t>
        </is>
      </c>
      <c r="C560" s="2" t="inlineStr">
        <is>
          <t>S132</t>
        </is>
      </c>
      <c r="D560" s="2" t="inlineStr">
        <is>
          <t>'cake marbre'!C8,D8</t>
        </is>
      </c>
      <c r="E560" s="2" t="inlineStr">
        <is>
          <t>Nut Meg</t>
        </is>
      </c>
      <c r="F560" s="3" t="n">
        <v>10</v>
      </c>
      <c r="G560" s="2" t="inlineStr">
        <is>
          <t>10</t>
        </is>
      </c>
      <c r="H560" s="2" t="inlineStr">
        <is>
          <t>H08</t>
        </is>
      </c>
    </row>
    <row r="561">
      <c r="A561" s="2" t="inlineStr">
        <is>
          <t>L064</t>
        </is>
      </c>
      <c r="B561" s="2" t="inlineStr">
        <is>
          <t>cake marbre</t>
        </is>
      </c>
      <c r="C561" s="2" t="inlineStr">
        <is>
          <t>S132</t>
        </is>
      </c>
      <c r="D561" s="2" t="inlineStr">
        <is>
          <t>'cake marbre'!C9,D9</t>
        </is>
      </c>
      <c r="E561" s="2" t="inlineStr">
        <is>
          <t>water</t>
        </is>
      </c>
      <c r="F561" s="3" t="n">
        <v>1100</v>
      </c>
      <c r="G561" s="2" t="inlineStr">
        <is>
          <t>1100</t>
        </is>
      </c>
      <c r="H561" s="2" t="inlineStr">
        <is>
          <t>H08</t>
        </is>
      </c>
    </row>
    <row r="562">
      <c r="A562" s="2" t="inlineStr">
        <is>
          <t>L064</t>
        </is>
      </c>
      <c r="B562" s="2" t="inlineStr">
        <is>
          <t>cake marbre</t>
        </is>
      </c>
      <c r="C562" s="2" t="inlineStr">
        <is>
          <t>S132</t>
        </is>
      </c>
      <c r="D562" s="2" t="inlineStr">
        <is>
          <t>'cake marbre'!C10,D10</t>
        </is>
      </c>
      <c r="E562" s="2" t="inlineStr">
        <is>
          <t>Egg</t>
        </is>
      </c>
      <c r="F562" s="3" t="n">
        <v>360</v>
      </c>
      <c r="G562" s="2" t="inlineStr">
        <is>
          <t>360</t>
        </is>
      </c>
      <c r="H562" s="2" t="inlineStr">
        <is>
          <t>H08</t>
        </is>
      </c>
    </row>
    <row r="563">
      <c r="A563" s="2" t="inlineStr">
        <is>
          <t>L064</t>
        </is>
      </c>
      <c r="B563" s="2" t="inlineStr">
        <is>
          <t>cake marbre</t>
        </is>
      </c>
      <c r="C563" s="2" t="inlineStr">
        <is>
          <t>S132</t>
        </is>
      </c>
      <c r="D563" s="2" t="inlineStr">
        <is>
          <t>'cake marbre'!C11,D11</t>
        </is>
      </c>
      <c r="E563" s="2" t="inlineStr">
        <is>
          <t>Butter</t>
        </is>
      </c>
      <c r="F563" s="3" t="n">
        <v>1000</v>
      </c>
      <c r="G563" s="2" t="inlineStr">
        <is>
          <t>1000</t>
        </is>
      </c>
      <c r="H563" s="2" t="inlineStr">
        <is>
          <t>H08</t>
        </is>
      </c>
    </row>
    <row r="564">
      <c r="A564" s="2" t="inlineStr">
        <is>
          <t>L064</t>
        </is>
      </c>
      <c r="B564" s="2" t="inlineStr">
        <is>
          <t>cake marbre</t>
        </is>
      </c>
      <c r="C564" s="2" t="inlineStr">
        <is>
          <t>S132</t>
        </is>
      </c>
      <c r="D564" s="2" t="inlineStr">
        <is>
          <t>'cake marbre'!C12,D12</t>
        </is>
      </c>
      <c r="E564" s="2" t="inlineStr">
        <is>
          <t>sugar</t>
        </is>
      </c>
      <c r="F564" s="3" t="n">
        <v>650</v>
      </c>
      <c r="G564" s="2" t="inlineStr">
        <is>
          <t>650</t>
        </is>
      </c>
      <c r="H564" s="2" t="inlineStr">
        <is>
          <t>H08</t>
        </is>
      </c>
    </row>
    <row r="565">
      <c r="A565" s="2" t="inlineStr">
        <is>
          <t>L064</t>
        </is>
      </c>
      <c r="B565" s="2" t="inlineStr">
        <is>
          <t>cake marbre</t>
        </is>
      </c>
      <c r="C565" s="2" t="inlineStr">
        <is>
          <t>S132</t>
        </is>
      </c>
      <c r="D565" s="2" t="inlineStr">
        <is>
          <t>'cake marbre'!C13,D13</t>
        </is>
      </c>
      <c r="E565" s="2" t="inlineStr">
        <is>
          <t>improver</t>
        </is>
      </c>
      <c r="F565" s="3" t="n">
        <v>5</v>
      </c>
      <c r="G565" s="2" t="inlineStr">
        <is>
          <t>5</t>
        </is>
      </c>
      <c r="H565" s="2" t="inlineStr">
        <is>
          <t>H08</t>
        </is>
      </c>
    </row>
    <row r="566">
      <c r="A566" s="2" t="inlineStr">
        <is>
          <t>L064</t>
        </is>
      </c>
      <c r="B566" s="2" t="inlineStr">
        <is>
          <t>cake marbre</t>
        </is>
      </c>
      <c r="C566" s="2" t="inlineStr">
        <is>
          <t>S132</t>
        </is>
      </c>
      <c r="D566" s="2" t="inlineStr">
        <is>
          <t>'cake marbre'!C14,D14</t>
        </is>
      </c>
      <c r="E566" s="2" t="inlineStr">
        <is>
          <t>milk</t>
        </is>
      </c>
      <c r="F566" s="3" t="n">
        <v>12</v>
      </c>
      <c r="G566" s="2" t="inlineStr">
        <is>
          <t>12</t>
        </is>
      </c>
      <c r="H566" s="2" t="inlineStr">
        <is>
          <t>H08</t>
        </is>
      </c>
    </row>
    <row r="567">
      <c r="A567" s="2" t="inlineStr">
        <is>
          <t>L065</t>
        </is>
      </c>
      <c r="B567" s="2" t="inlineStr">
        <is>
          <t>choko bread</t>
        </is>
      </c>
      <c r="C567" s="2" t="inlineStr">
        <is>
          <t>S132</t>
        </is>
      </c>
      <c r="D567" s="2" t="inlineStr">
        <is>
          <t>'choko bread'!C5,D5</t>
        </is>
      </c>
      <c r="E567" s="2" t="inlineStr">
        <is>
          <t>flour</t>
        </is>
      </c>
      <c r="F567" s="3" t="n">
        <v>5000</v>
      </c>
      <c r="G567" s="2" t="inlineStr">
        <is>
          <t>5000</t>
        </is>
      </c>
      <c r="H567" s="2" t="inlineStr">
        <is>
          <t>M1-B01–B13</t>
        </is>
      </c>
    </row>
    <row r="568">
      <c r="A568" s="2" t="inlineStr">
        <is>
          <t>L065</t>
        </is>
      </c>
      <c r="B568" s="2" t="inlineStr">
        <is>
          <t>choko bread</t>
        </is>
      </c>
      <c r="C568" s="2" t="inlineStr">
        <is>
          <t>S132</t>
        </is>
      </c>
      <c r="D568" s="2" t="inlineStr">
        <is>
          <t>'choko bread'!C6,D6</t>
        </is>
      </c>
      <c r="E568" s="2" t="inlineStr">
        <is>
          <t>Butter</t>
        </is>
      </c>
      <c r="F568" s="3" t="n">
        <v>200</v>
      </c>
      <c r="G568" s="2" t="inlineStr">
        <is>
          <t>200</t>
        </is>
      </c>
      <c r="H568" s="2" t="inlineStr">
        <is>
          <t>M1-B01–B13</t>
        </is>
      </c>
    </row>
    <row r="569">
      <c r="A569" s="2" t="inlineStr">
        <is>
          <t>L065</t>
        </is>
      </c>
      <c r="B569" s="2" t="inlineStr">
        <is>
          <t>choko bread</t>
        </is>
      </c>
      <c r="C569" s="2" t="inlineStr">
        <is>
          <t>S132</t>
        </is>
      </c>
      <c r="D569" s="2" t="inlineStr">
        <is>
          <t>'choko bread'!C7,D7</t>
        </is>
      </c>
      <c r="E569" s="2" t="inlineStr">
        <is>
          <t>sugar</t>
        </is>
      </c>
      <c r="F569" s="3" t="n">
        <v>300</v>
      </c>
      <c r="G569" s="2" t="inlineStr">
        <is>
          <t>300</t>
        </is>
      </c>
      <c r="H569" s="2" t="inlineStr">
        <is>
          <t>M1-B01–B13</t>
        </is>
      </c>
    </row>
    <row r="570">
      <c r="A570" s="2" t="inlineStr">
        <is>
          <t>L065</t>
        </is>
      </c>
      <c r="B570" s="2" t="inlineStr">
        <is>
          <t>choko bread</t>
        </is>
      </c>
      <c r="C570" s="2" t="inlineStr">
        <is>
          <t>S132</t>
        </is>
      </c>
      <c r="D570" s="2" t="inlineStr">
        <is>
          <t>'choko bread'!C8,D8</t>
        </is>
      </c>
      <c r="E570" s="2" t="inlineStr">
        <is>
          <t>Milk</t>
        </is>
      </c>
      <c r="F570" s="3" t="n">
        <v>100</v>
      </c>
      <c r="G570" s="2" t="inlineStr">
        <is>
          <t>100</t>
        </is>
      </c>
      <c r="H570" s="2" t="inlineStr">
        <is>
          <t>M1-B01–B13</t>
        </is>
      </c>
    </row>
    <row r="571">
      <c r="A571" s="2" t="inlineStr">
        <is>
          <t>L065</t>
        </is>
      </c>
      <c r="B571" s="2" t="inlineStr">
        <is>
          <t>choko bread</t>
        </is>
      </c>
      <c r="C571" s="2" t="inlineStr">
        <is>
          <t>S132</t>
        </is>
      </c>
      <c r="D571" s="2" t="inlineStr">
        <is>
          <t>'choko bread'!C9,D9</t>
        </is>
      </c>
      <c r="E571" s="2" t="inlineStr">
        <is>
          <t>egg</t>
        </is>
      </c>
      <c r="F571" s="3" t="n">
        <v>200</v>
      </c>
      <c r="G571" s="2" t="inlineStr">
        <is>
          <t>200</t>
        </is>
      </c>
      <c r="H571" s="2" t="inlineStr">
        <is>
          <t>M1-B01–B13</t>
        </is>
      </c>
    </row>
    <row r="572">
      <c r="A572" s="2" t="inlineStr">
        <is>
          <t>L065</t>
        </is>
      </c>
      <c r="B572" s="2" t="inlineStr">
        <is>
          <t>choko bread</t>
        </is>
      </c>
      <c r="C572" s="2" t="inlineStr">
        <is>
          <t>S132</t>
        </is>
      </c>
      <c r="D572" s="2" t="inlineStr">
        <is>
          <t>'choko bread'!C10,D10</t>
        </is>
      </c>
      <c r="E572" s="2" t="inlineStr">
        <is>
          <t>salt</t>
        </is>
      </c>
      <c r="F572" s="3" t="n">
        <v>45</v>
      </c>
      <c r="G572" s="2" t="inlineStr">
        <is>
          <t>45</t>
        </is>
      </c>
      <c r="H572" s="2" t="inlineStr">
        <is>
          <t>M1-B01–B13</t>
        </is>
      </c>
    </row>
    <row r="573">
      <c r="A573" s="2" t="inlineStr">
        <is>
          <t>L065</t>
        </is>
      </c>
      <c r="B573" s="2" t="inlineStr">
        <is>
          <t>choko bread</t>
        </is>
      </c>
      <c r="C573" s="2" t="inlineStr">
        <is>
          <t>S132</t>
        </is>
      </c>
      <c r="D573" s="2" t="inlineStr">
        <is>
          <t>'choko bread'!C11,D11</t>
        </is>
      </c>
      <c r="E573" s="2" t="inlineStr">
        <is>
          <t>improver</t>
        </is>
      </c>
      <c r="F573" s="3" t="n">
        <v>20</v>
      </c>
      <c r="G573" s="2" t="inlineStr">
        <is>
          <t>20</t>
        </is>
      </c>
      <c r="H573" s="2" t="inlineStr">
        <is>
          <t>M1-B01–B13</t>
        </is>
      </c>
    </row>
    <row r="574">
      <c r="A574" s="2" t="inlineStr">
        <is>
          <t>L065</t>
        </is>
      </c>
      <c r="B574" s="2" t="inlineStr">
        <is>
          <t>choko bread</t>
        </is>
      </c>
      <c r="C574" s="2" t="inlineStr">
        <is>
          <t>S132</t>
        </is>
      </c>
      <c r="D574" s="2" t="inlineStr">
        <is>
          <t>'choko bread'!C12,D12</t>
        </is>
      </c>
      <c r="E574" s="2" t="inlineStr">
        <is>
          <t>yeast</t>
        </is>
      </c>
      <c r="F574" s="3" t="n">
        <v>14</v>
      </c>
      <c r="G574" s="2" t="inlineStr">
        <is>
          <t>14</t>
        </is>
      </c>
      <c r="H574" s="2" t="inlineStr">
        <is>
          <t>M1-B01–B13</t>
        </is>
      </c>
    </row>
    <row r="575">
      <c r="A575" s="2" t="inlineStr">
        <is>
          <t>L065</t>
        </is>
      </c>
      <c r="B575" s="2" t="inlineStr">
        <is>
          <t>choko bread</t>
        </is>
      </c>
      <c r="C575" s="2" t="inlineStr">
        <is>
          <t>S132</t>
        </is>
      </c>
      <c r="D575" s="2" t="inlineStr">
        <is>
          <t>'choko bread'!C13,D13</t>
        </is>
      </c>
      <c r="E575" s="2" t="inlineStr">
        <is>
          <t>water</t>
        </is>
      </c>
      <c r="F575" s="3" t="n">
        <v>2000</v>
      </c>
      <c r="G575" s="2" t="inlineStr">
        <is>
          <t>2000</t>
        </is>
      </c>
      <c r="H575" s="2" t="inlineStr">
        <is>
          <t>M1-B01–B13</t>
        </is>
      </c>
    </row>
    <row r="576">
      <c r="A576" s="2" t="inlineStr">
        <is>
          <t>L065</t>
        </is>
      </c>
      <c r="B576" s="2" t="inlineStr">
        <is>
          <t>choko bread</t>
        </is>
      </c>
      <c r="C576" s="2" t="inlineStr">
        <is>
          <t>S132</t>
        </is>
      </c>
      <c r="D576" s="2" t="inlineStr">
        <is>
          <t>'choko bread'!C14,D14</t>
        </is>
      </c>
      <c r="E576" s="2" t="inlineStr">
        <is>
          <t>Nutmeg</t>
        </is>
      </c>
      <c r="F576" s="3" t="n">
        <v>5</v>
      </c>
      <c r="G576" s="2" t="inlineStr">
        <is>
          <t>5</t>
        </is>
      </c>
      <c r="H576" s="2" t="inlineStr">
        <is>
          <t>M1-B01–B13</t>
        </is>
      </c>
    </row>
    <row r="577">
      <c r="A577" s="2" t="inlineStr">
        <is>
          <t>L065</t>
        </is>
      </c>
      <c r="B577" s="2" t="inlineStr">
        <is>
          <t>choko bread</t>
        </is>
      </c>
      <c r="C577" s="2" t="inlineStr">
        <is>
          <t>S132</t>
        </is>
      </c>
      <c r="D577" s="2" t="inlineStr">
        <is>
          <t>'choko bread'!C15,D15</t>
        </is>
      </c>
      <c r="E577" s="2" t="inlineStr">
        <is>
          <t>choclate</t>
        </is>
      </c>
      <c r="F577" s="3" t="n">
        <v>500</v>
      </c>
      <c r="G577" s="2" t="inlineStr">
        <is>
          <t>500</t>
        </is>
      </c>
      <c r="H577" s="2" t="inlineStr">
        <is>
          <t>M1-B01–B13</t>
        </is>
      </c>
    </row>
    <row r="578">
      <c r="A578" s="2" t="inlineStr">
        <is>
          <t>L066</t>
        </is>
      </c>
      <c r="B578" s="2" t="inlineStr">
        <is>
          <t>gateau</t>
        </is>
      </c>
      <c r="C578" s="2" t="inlineStr">
        <is>
          <t>S132</t>
        </is>
      </c>
      <c r="D578" s="2" t="inlineStr">
        <is>
          <t>'gateau'!C5,D5</t>
        </is>
      </c>
      <c r="E578" s="2" t="inlineStr">
        <is>
          <t>flour</t>
        </is>
      </c>
      <c r="F578" s="3" t="n">
        <v>25000</v>
      </c>
      <c r="G578" s="2" t="inlineStr">
        <is>
          <t>25000</t>
        </is>
      </c>
      <c r="H578" s="2" t="inlineStr">
        <is>
          <t>Retain unique variant; no equivalent operating card selected</t>
        </is>
      </c>
    </row>
    <row r="579">
      <c r="A579" s="2" t="inlineStr">
        <is>
          <t>L066</t>
        </is>
      </c>
      <c r="B579" s="2" t="inlineStr">
        <is>
          <t>gateau</t>
        </is>
      </c>
      <c r="C579" s="2" t="inlineStr">
        <is>
          <t>S132</t>
        </is>
      </c>
      <c r="D579" s="2" t="inlineStr">
        <is>
          <t>'gateau'!C6,D6</t>
        </is>
      </c>
      <c r="E579" s="2" t="inlineStr">
        <is>
          <t>Butter</t>
        </is>
      </c>
      <c r="F579" s="3" t="n">
        <v>1300</v>
      </c>
      <c r="G579" s="2" t="inlineStr">
        <is>
          <t>1300</t>
        </is>
      </c>
      <c r="H579" s="2" t="inlineStr">
        <is>
          <t>Retain unique variant; no equivalent operating card selected</t>
        </is>
      </c>
    </row>
    <row r="580">
      <c r="A580" s="2" t="inlineStr">
        <is>
          <t>L066</t>
        </is>
      </c>
      <c r="B580" s="2" t="inlineStr">
        <is>
          <t>gateau</t>
        </is>
      </c>
      <c r="C580" s="2" t="inlineStr">
        <is>
          <t>S132</t>
        </is>
      </c>
      <c r="D580" s="2" t="inlineStr">
        <is>
          <t>'gateau'!C7,D7</t>
        </is>
      </c>
      <c r="E580" s="2" t="inlineStr">
        <is>
          <t>sugar</t>
        </is>
      </c>
      <c r="F580" s="3" t="n">
        <v>1600</v>
      </c>
      <c r="G580" s="2" t="inlineStr">
        <is>
          <t>1600</t>
        </is>
      </c>
      <c r="H580" s="2" t="inlineStr">
        <is>
          <t>Retain unique variant; no equivalent operating card selected</t>
        </is>
      </c>
    </row>
    <row r="581">
      <c r="A581" s="2" t="inlineStr">
        <is>
          <t>L066</t>
        </is>
      </c>
      <c r="B581" s="2" t="inlineStr">
        <is>
          <t>gateau</t>
        </is>
      </c>
      <c r="C581" s="2" t="inlineStr">
        <is>
          <t>S132</t>
        </is>
      </c>
      <c r="D581" s="2" t="inlineStr">
        <is>
          <t>'gateau'!C8,D8</t>
        </is>
      </c>
      <c r="E581" s="2" t="inlineStr">
        <is>
          <t>Conc Milk</t>
        </is>
      </c>
      <c r="F581" s="3" t="n">
        <v>950</v>
      </c>
      <c r="G581" s="2" t="inlineStr">
        <is>
          <t>950</t>
        </is>
      </c>
      <c r="H581" s="2" t="inlineStr">
        <is>
          <t>Retain unique variant; no equivalent operating card selected</t>
        </is>
      </c>
    </row>
    <row r="582">
      <c r="A582" s="2" t="inlineStr">
        <is>
          <t>L066</t>
        </is>
      </c>
      <c r="B582" s="2" t="inlineStr">
        <is>
          <t>gateau</t>
        </is>
      </c>
      <c r="C582" s="2" t="inlineStr">
        <is>
          <t>S132</t>
        </is>
      </c>
      <c r="D582" s="2" t="inlineStr">
        <is>
          <t>'gateau'!C9,D9</t>
        </is>
      </c>
      <c r="E582" s="2" t="inlineStr">
        <is>
          <t>egg</t>
        </is>
      </c>
      <c r="F582" s="3" t="n">
        <v>200</v>
      </c>
      <c r="G582" s="2" t="inlineStr">
        <is>
          <t>200</t>
        </is>
      </c>
      <c r="H582" s="2" t="inlineStr">
        <is>
          <t>Retain unique variant; no equivalent operating card selected</t>
        </is>
      </c>
    </row>
    <row r="583">
      <c r="A583" s="2" t="inlineStr">
        <is>
          <t>L066</t>
        </is>
      </c>
      <c r="B583" s="2" t="inlineStr">
        <is>
          <t>gateau</t>
        </is>
      </c>
      <c r="C583" s="2" t="inlineStr">
        <is>
          <t>S132</t>
        </is>
      </c>
      <c r="D583" s="2" t="inlineStr">
        <is>
          <t>'gateau'!C10,D10</t>
        </is>
      </c>
      <c r="E583" s="2" t="inlineStr">
        <is>
          <t>salt</t>
        </is>
      </c>
      <c r="F583" s="3" t="n">
        <v>270</v>
      </c>
      <c r="G583" s="2" t="inlineStr">
        <is>
          <t>270</t>
        </is>
      </c>
      <c r="H583" s="2" t="inlineStr">
        <is>
          <t>Retain unique variant; no equivalent operating card selected</t>
        </is>
      </c>
    </row>
    <row r="584">
      <c r="A584" s="2" t="inlineStr">
        <is>
          <t>L066</t>
        </is>
      </c>
      <c r="B584" s="2" t="inlineStr">
        <is>
          <t>gateau</t>
        </is>
      </c>
      <c r="C584" s="2" t="inlineStr">
        <is>
          <t>S132</t>
        </is>
      </c>
      <c r="D584" s="2" t="inlineStr">
        <is>
          <t>'gateau'!C11,D11</t>
        </is>
      </c>
      <c r="E584" s="2" t="inlineStr">
        <is>
          <t>improver</t>
        </is>
      </c>
      <c r="F584" s="3" t="n">
        <v>170</v>
      </c>
      <c r="G584" s="2" t="inlineStr">
        <is>
          <t>170</t>
        </is>
      </c>
      <c r="H584" s="2" t="inlineStr">
        <is>
          <t>Retain unique variant; no equivalent operating card selected</t>
        </is>
      </c>
    </row>
    <row r="585">
      <c r="A585" s="2" t="inlineStr">
        <is>
          <t>L066</t>
        </is>
      </c>
      <c r="B585" s="2" t="inlineStr">
        <is>
          <t>gateau</t>
        </is>
      </c>
      <c r="C585" s="2" t="inlineStr">
        <is>
          <t>S132</t>
        </is>
      </c>
      <c r="D585" s="2" t="inlineStr">
        <is>
          <t>'gateau'!C12,D12</t>
        </is>
      </c>
      <c r="E585" s="2" t="inlineStr">
        <is>
          <t>yeast</t>
        </is>
      </c>
      <c r="F585" s="3" t="n">
        <v>170</v>
      </c>
      <c r="G585" s="2" t="inlineStr">
        <is>
          <t>170</t>
        </is>
      </c>
      <c r="H585" s="2" t="inlineStr">
        <is>
          <t>Retain unique variant; no equivalent operating card selected</t>
        </is>
      </c>
    </row>
    <row r="586">
      <c r="A586" s="2" t="inlineStr">
        <is>
          <t>L066</t>
        </is>
      </c>
      <c r="B586" s="2" t="inlineStr">
        <is>
          <t>gateau</t>
        </is>
      </c>
      <c r="C586" s="2" t="inlineStr">
        <is>
          <t>S132</t>
        </is>
      </c>
      <c r="D586" s="2" t="inlineStr">
        <is>
          <t>'gateau'!C13,D13</t>
        </is>
      </c>
      <c r="E586" s="2" t="inlineStr">
        <is>
          <t>water</t>
        </is>
      </c>
      <c r="F586" s="3" t="n">
        <v>10000</v>
      </c>
      <c r="G586" s="2" t="inlineStr">
        <is>
          <t>10000</t>
        </is>
      </c>
      <c r="H586" s="2" t="inlineStr">
        <is>
          <t>Retain unique variant; no equivalent operating card selected</t>
        </is>
      </c>
    </row>
    <row r="587">
      <c r="A587" s="2" t="inlineStr">
        <is>
          <t>L066</t>
        </is>
      </c>
      <c r="B587" s="2" t="inlineStr">
        <is>
          <t>gateau</t>
        </is>
      </c>
      <c r="C587" s="2" t="inlineStr">
        <is>
          <t>S132</t>
        </is>
      </c>
      <c r="D587" s="2" t="inlineStr">
        <is>
          <t>'gateau'!C14,D14</t>
        </is>
      </c>
      <c r="E587" s="2" t="inlineStr">
        <is>
          <t>Nutmeg</t>
        </is>
      </c>
      <c r="F587" s="3" t="n">
        <v>40</v>
      </c>
      <c r="G587" s="2" t="inlineStr">
        <is>
          <t>40</t>
        </is>
      </c>
      <c r="H587" s="2" t="inlineStr">
        <is>
          <t>Retain unique variant; no equivalent operating card selected</t>
        </is>
      </c>
    </row>
    <row r="588">
      <c r="A588" s="2" t="inlineStr">
        <is>
          <t>L066</t>
        </is>
      </c>
      <c r="B588" s="2" t="inlineStr">
        <is>
          <t>gateau</t>
        </is>
      </c>
      <c r="C588" s="2" t="inlineStr">
        <is>
          <t>S132</t>
        </is>
      </c>
      <c r="D588" s="2" t="inlineStr">
        <is>
          <t>'gateau'!C15,D15</t>
        </is>
      </c>
      <c r="E588" s="2" t="inlineStr">
        <is>
          <t>baking powder</t>
        </is>
      </c>
      <c r="F588" s="3" t="n">
        <v>170</v>
      </c>
      <c r="G588" s="2" t="inlineStr">
        <is>
          <t>170</t>
        </is>
      </c>
      <c r="H588" s="2" t="inlineStr">
        <is>
          <t>Retain unique variant; no equivalent operating card selected</t>
        </is>
      </c>
    </row>
    <row r="589">
      <c r="A589" s="2" t="inlineStr">
        <is>
          <t>L066</t>
        </is>
      </c>
      <c r="B589" s="2" t="inlineStr">
        <is>
          <t>gateau</t>
        </is>
      </c>
      <c r="C589" s="2" t="inlineStr">
        <is>
          <t>S132</t>
        </is>
      </c>
      <c r="D589" s="2" t="inlineStr">
        <is>
          <t>'gateau'!C16,D16</t>
        </is>
      </c>
      <c r="E589" s="2" t="inlineStr">
        <is>
          <t>frying oil</t>
        </is>
      </c>
      <c r="F589" s="3" t="n">
        <v>10</v>
      </c>
      <c r="G589" s="2" t="inlineStr">
        <is>
          <t>10</t>
        </is>
      </c>
      <c r="H589" s="2" t="inlineStr">
        <is>
          <t>Retain unique variant; no equivalent operating card selected</t>
        </is>
      </c>
    </row>
    <row r="590">
      <c r="A590" s="2" t="inlineStr">
        <is>
          <t>L067</t>
        </is>
      </c>
      <c r="B590" s="2" t="inlineStr">
        <is>
          <t>gateau</t>
        </is>
      </c>
      <c r="C590" s="2" t="inlineStr">
        <is>
          <t>S132</t>
        </is>
      </c>
      <c r="D590" s="2" t="inlineStr">
        <is>
          <t>'gateau'!C5,J5</t>
        </is>
      </c>
      <c r="E590" s="2" t="inlineStr">
        <is>
          <t>flour</t>
        </is>
      </c>
      <c r="F590" s="3" t="n">
        <v>20000</v>
      </c>
      <c r="G590" s="2" t="inlineStr">
        <is>
          <t>20000</t>
        </is>
      </c>
      <c r="H590" s="2" t="inlineStr">
        <is>
          <t>Retain unique variant; no equivalent operating card selected</t>
        </is>
      </c>
    </row>
    <row r="591">
      <c r="A591" s="2" t="inlineStr">
        <is>
          <t>L067</t>
        </is>
      </c>
      <c r="B591" s="2" t="inlineStr">
        <is>
          <t>gateau</t>
        </is>
      </c>
      <c r="C591" s="2" t="inlineStr">
        <is>
          <t>S132</t>
        </is>
      </c>
      <c r="D591" s="2" t="inlineStr">
        <is>
          <t>'gateau'!C6,J6</t>
        </is>
      </c>
      <c r="E591" s="2" t="inlineStr">
        <is>
          <t>Butter</t>
        </is>
      </c>
      <c r="F591" s="3" t="n">
        <v>560</v>
      </c>
      <c r="G591" s="2" t="inlineStr">
        <is>
          <t>560</t>
        </is>
      </c>
      <c r="H591" s="2" t="inlineStr">
        <is>
          <t>Retain unique variant; no equivalent operating card selected</t>
        </is>
      </c>
    </row>
    <row r="592">
      <c r="A592" s="2" t="inlineStr">
        <is>
          <t>L067</t>
        </is>
      </c>
      <c r="B592" s="2" t="inlineStr">
        <is>
          <t>gateau</t>
        </is>
      </c>
      <c r="C592" s="2" t="inlineStr">
        <is>
          <t>S132</t>
        </is>
      </c>
      <c r="D592" s="2" t="inlineStr">
        <is>
          <t>'gateau'!C7,J7</t>
        </is>
      </c>
      <c r="E592" s="2" t="inlineStr">
        <is>
          <t>sugar</t>
        </is>
      </c>
      <c r="F592" s="3" t="n">
        <v>800</v>
      </c>
      <c r="G592" s="2" t="inlineStr">
        <is>
          <t>800</t>
        </is>
      </c>
      <c r="H592" s="2" t="inlineStr">
        <is>
          <t>Retain unique variant; no equivalent operating card selected</t>
        </is>
      </c>
    </row>
    <row r="593">
      <c r="A593" s="2" t="inlineStr">
        <is>
          <t>L067</t>
        </is>
      </c>
      <c r="B593" s="2" t="inlineStr">
        <is>
          <t>gateau</t>
        </is>
      </c>
      <c r="C593" s="2" t="inlineStr">
        <is>
          <t>S132</t>
        </is>
      </c>
      <c r="D593" s="2" t="inlineStr">
        <is>
          <t>'gateau'!C8,J8</t>
        </is>
      </c>
      <c r="E593" s="2" t="inlineStr">
        <is>
          <t>Conc Milk</t>
        </is>
      </c>
      <c r="F593" s="3" t="n">
        <v>500</v>
      </c>
      <c r="G593" s="2" t="inlineStr">
        <is>
          <t>500</t>
        </is>
      </c>
      <c r="H593" s="2" t="inlineStr">
        <is>
          <t>Retain unique variant; no equivalent operating card selected</t>
        </is>
      </c>
    </row>
    <row r="594">
      <c r="A594" s="2" t="inlineStr">
        <is>
          <t>L067</t>
        </is>
      </c>
      <c r="B594" s="2" t="inlineStr">
        <is>
          <t>gateau</t>
        </is>
      </c>
      <c r="C594" s="2" t="inlineStr">
        <is>
          <t>S132</t>
        </is>
      </c>
      <c r="D594" s="2" t="inlineStr">
        <is>
          <t>'gateau'!C9,J9</t>
        </is>
      </c>
      <c r="E594" s="2" t="inlineStr">
        <is>
          <t>egg</t>
        </is>
      </c>
      <c r="F594" s="3" t="n">
        <v>144</v>
      </c>
      <c r="G594" s="2" t="inlineStr">
        <is>
          <t>144</t>
        </is>
      </c>
      <c r="H594" s="2" t="inlineStr">
        <is>
          <t>Retain unique variant; no equivalent operating card selected</t>
        </is>
      </c>
    </row>
    <row r="595">
      <c r="A595" s="2" t="inlineStr">
        <is>
          <t>L067</t>
        </is>
      </c>
      <c r="B595" s="2" t="inlineStr">
        <is>
          <t>gateau</t>
        </is>
      </c>
      <c r="C595" s="2" t="inlineStr">
        <is>
          <t>S132</t>
        </is>
      </c>
      <c r="D595" s="2" t="inlineStr">
        <is>
          <t>'gateau'!C10,J10</t>
        </is>
      </c>
      <c r="E595" s="2" t="inlineStr">
        <is>
          <t>salt</t>
        </is>
      </c>
      <c r="F595" s="3" t="n">
        <v>166</v>
      </c>
      <c r="G595" s="2" t="inlineStr">
        <is>
          <t>166</t>
        </is>
      </c>
      <c r="H595" s="2" t="inlineStr">
        <is>
          <t>Retain unique variant; no equivalent operating card selected</t>
        </is>
      </c>
    </row>
    <row r="596">
      <c r="A596" s="2" t="inlineStr">
        <is>
          <t>L067</t>
        </is>
      </c>
      <c r="B596" s="2" t="inlineStr">
        <is>
          <t>gateau</t>
        </is>
      </c>
      <c r="C596" s="2" t="inlineStr">
        <is>
          <t>S132</t>
        </is>
      </c>
      <c r="D596" s="2" t="inlineStr">
        <is>
          <t>'gateau'!C11,J11</t>
        </is>
      </c>
      <c r="E596" s="2" t="inlineStr">
        <is>
          <t>improver</t>
        </is>
      </c>
      <c r="F596" s="3" t="n">
        <v>170</v>
      </c>
      <c r="G596" s="2" t="inlineStr">
        <is>
          <t>=D11 [cached: 170]</t>
        </is>
      </c>
      <c r="H596" s="2" t="inlineStr">
        <is>
          <t>Retain unique variant; no equivalent operating card selected</t>
        </is>
      </c>
    </row>
    <row r="597">
      <c r="A597" s="2" t="inlineStr">
        <is>
          <t>L067</t>
        </is>
      </c>
      <c r="B597" s="2" t="inlineStr">
        <is>
          <t>gateau</t>
        </is>
      </c>
      <c r="C597" s="2" t="inlineStr">
        <is>
          <t>S132</t>
        </is>
      </c>
      <c r="D597" s="2" t="inlineStr">
        <is>
          <t>'gateau'!C12,J12</t>
        </is>
      </c>
      <c r="E597" s="2" t="inlineStr">
        <is>
          <t>yeast</t>
        </is>
      </c>
      <c r="F597" s="3" t="n">
        <v>70</v>
      </c>
      <c r="G597" s="2" t="inlineStr">
        <is>
          <t>70</t>
        </is>
      </c>
      <c r="H597" s="2" t="inlineStr">
        <is>
          <t>Retain unique variant; no equivalent operating card selected</t>
        </is>
      </c>
    </row>
    <row r="598">
      <c r="A598" s="2" t="inlineStr">
        <is>
          <t>L067</t>
        </is>
      </c>
      <c r="B598" s="2" t="inlineStr">
        <is>
          <t>gateau</t>
        </is>
      </c>
      <c r="C598" s="2" t="inlineStr">
        <is>
          <t>S132</t>
        </is>
      </c>
      <c r="D598" s="2" t="inlineStr">
        <is>
          <t>'gateau'!C13,J13</t>
        </is>
      </c>
      <c r="E598" s="2" t="inlineStr">
        <is>
          <t>water</t>
        </is>
      </c>
      <c r="F598" s="3" t="n">
        <v>7000</v>
      </c>
      <c r="G598" s="2" t="inlineStr">
        <is>
          <t>7000</t>
        </is>
      </c>
      <c r="H598" s="2" t="inlineStr">
        <is>
          <t>Retain unique variant; no equivalent operating card selected</t>
        </is>
      </c>
    </row>
    <row r="599">
      <c r="A599" s="2" t="inlineStr">
        <is>
          <t>L067</t>
        </is>
      </c>
      <c r="B599" s="2" t="inlineStr">
        <is>
          <t>gateau</t>
        </is>
      </c>
      <c r="C599" s="2" t="inlineStr">
        <is>
          <t>S132</t>
        </is>
      </c>
      <c r="D599" s="2" t="inlineStr">
        <is>
          <t>'gateau'!C14,J14</t>
        </is>
      </c>
      <c r="E599" s="2" t="inlineStr">
        <is>
          <t>Nutmeg</t>
        </is>
      </c>
      <c r="F599" s="3" t="n">
        <v>40</v>
      </c>
      <c r="G599" s="2" t="inlineStr">
        <is>
          <t>=D14 [cached: 40]</t>
        </is>
      </c>
      <c r="H599" s="2" t="inlineStr">
        <is>
          <t>Retain unique variant; no equivalent operating card selected</t>
        </is>
      </c>
    </row>
    <row r="600">
      <c r="A600" s="2" t="inlineStr">
        <is>
          <t>L067</t>
        </is>
      </c>
      <c r="B600" s="2" t="inlineStr">
        <is>
          <t>gateau</t>
        </is>
      </c>
      <c r="C600" s="2" t="inlineStr">
        <is>
          <t>S132</t>
        </is>
      </c>
      <c r="D600" s="2" t="inlineStr">
        <is>
          <t>'gateau'!C15,J15</t>
        </is>
      </c>
      <c r="E600" s="2" t="inlineStr">
        <is>
          <t>baking powder</t>
        </is>
      </c>
      <c r="F600" s="3" t="n">
        <v>20</v>
      </c>
      <c r="G600" s="2" t="inlineStr">
        <is>
          <t>20</t>
        </is>
      </c>
      <c r="H600" s="2" t="inlineStr">
        <is>
          <t>Retain unique variant; no equivalent operating card selected</t>
        </is>
      </c>
    </row>
    <row r="601">
      <c r="A601" s="2" t="inlineStr">
        <is>
          <t>L067</t>
        </is>
      </c>
      <c r="B601" s="2" t="inlineStr">
        <is>
          <t>gateau</t>
        </is>
      </c>
      <c r="C601" s="2" t="inlineStr">
        <is>
          <t>S132</t>
        </is>
      </c>
      <c r="D601" s="2" t="inlineStr">
        <is>
          <t>'gateau'!C16,J16</t>
        </is>
      </c>
      <c r="E601" s="2" t="inlineStr">
        <is>
          <t>frying oil</t>
        </is>
      </c>
      <c r="F601" s="3" t="n">
        <v>10</v>
      </c>
      <c r="G601" s="2" t="inlineStr">
        <is>
          <t>=D16 [cached: 10]</t>
        </is>
      </c>
      <c r="H601" s="2" t="inlineStr">
        <is>
          <t>Retain unique variant; no equivalent operating card selected</t>
        </is>
      </c>
    </row>
    <row r="602">
      <c r="A602" s="2" t="inlineStr">
        <is>
          <t>L068</t>
        </is>
      </c>
      <c r="B602" s="2" t="inlineStr">
        <is>
          <t>professinal Buns</t>
        </is>
      </c>
      <c r="C602" s="2" t="inlineStr">
        <is>
          <t>S132</t>
        </is>
      </c>
      <c r="D602" s="2" t="inlineStr">
        <is>
          <t>'professinal Buns'!C5,D5</t>
        </is>
      </c>
      <c r="E602" s="2" t="inlineStr">
        <is>
          <t>flour</t>
        </is>
      </c>
      <c r="F602" s="3" t="n">
        <v>10000</v>
      </c>
      <c r="G602" s="2" t="inlineStr">
        <is>
          <t>10000</t>
        </is>
      </c>
      <c r="H602" s="2" t="inlineStr">
        <is>
          <t>M1-B04 / M1-B09</t>
        </is>
      </c>
    </row>
    <row r="603">
      <c r="A603" s="2" t="inlineStr">
        <is>
          <t>L068</t>
        </is>
      </c>
      <c r="B603" s="2" t="inlineStr">
        <is>
          <t>professinal Buns</t>
        </is>
      </c>
      <c r="C603" s="2" t="inlineStr">
        <is>
          <t>S132</t>
        </is>
      </c>
      <c r="D603" s="2" t="inlineStr">
        <is>
          <t>'professinal Buns'!C6,D6</t>
        </is>
      </c>
      <c r="E603" s="2" t="inlineStr">
        <is>
          <t>Butter</t>
        </is>
      </c>
      <c r="F603" s="3" t="n">
        <v>1000</v>
      </c>
      <c r="G603" s="2" t="inlineStr">
        <is>
          <t>1000</t>
        </is>
      </c>
      <c r="H603" s="2" t="inlineStr">
        <is>
          <t>M1-B04 / M1-B09</t>
        </is>
      </c>
    </row>
    <row r="604">
      <c r="A604" s="2" t="inlineStr">
        <is>
          <t>L068</t>
        </is>
      </c>
      <c r="B604" s="2" t="inlineStr">
        <is>
          <t>professinal Buns</t>
        </is>
      </c>
      <c r="C604" s="2" t="inlineStr">
        <is>
          <t>S132</t>
        </is>
      </c>
      <c r="D604" s="2" t="inlineStr">
        <is>
          <t>'professinal Buns'!C7,D7</t>
        </is>
      </c>
      <c r="E604" s="2" t="inlineStr">
        <is>
          <t>sugar</t>
        </is>
      </c>
      <c r="F604" s="3" t="n">
        <v>800</v>
      </c>
      <c r="G604" s="2" t="inlineStr">
        <is>
          <t>800</t>
        </is>
      </c>
      <c r="H604" s="2" t="inlineStr">
        <is>
          <t>M1-B04 / M1-B09</t>
        </is>
      </c>
    </row>
    <row r="605">
      <c r="A605" s="2" t="inlineStr">
        <is>
          <t>L068</t>
        </is>
      </c>
      <c r="B605" s="2" t="inlineStr">
        <is>
          <t>professinal Buns</t>
        </is>
      </c>
      <c r="C605" s="2" t="inlineStr">
        <is>
          <t>S132</t>
        </is>
      </c>
      <c r="D605" s="2" t="inlineStr">
        <is>
          <t>'professinal Buns'!C8,D8</t>
        </is>
      </c>
      <c r="E605" s="2" t="inlineStr">
        <is>
          <t>CONC MILK</t>
        </is>
      </c>
      <c r="F605" s="3" t="n">
        <v>700</v>
      </c>
      <c r="G605" s="2" t="inlineStr">
        <is>
          <t>700</t>
        </is>
      </c>
      <c r="H605" s="2" t="inlineStr">
        <is>
          <t>M1-B04 / M1-B09</t>
        </is>
      </c>
    </row>
    <row r="606">
      <c r="A606" s="2" t="inlineStr">
        <is>
          <t>L068</t>
        </is>
      </c>
      <c r="B606" s="2" t="inlineStr">
        <is>
          <t>professinal Buns</t>
        </is>
      </c>
      <c r="C606" s="2" t="inlineStr">
        <is>
          <t>S132</t>
        </is>
      </c>
      <c r="D606" s="2" t="inlineStr">
        <is>
          <t>'professinal Buns'!C9,D9</t>
        </is>
      </c>
      <c r="E606" s="2" t="inlineStr">
        <is>
          <t>egg</t>
        </is>
      </c>
      <c r="F606" s="3" t="n">
        <v>400</v>
      </c>
      <c r="G606" s="2" t="inlineStr">
        <is>
          <t>400</t>
        </is>
      </c>
      <c r="H606" s="2" t="inlineStr">
        <is>
          <t>M1-B04 / M1-B09</t>
        </is>
      </c>
    </row>
    <row r="607">
      <c r="A607" s="2" t="inlineStr">
        <is>
          <t>L068</t>
        </is>
      </c>
      <c r="B607" s="2" t="inlineStr">
        <is>
          <t>professinal Buns</t>
        </is>
      </c>
      <c r="C607" s="2" t="inlineStr">
        <is>
          <t>S132</t>
        </is>
      </c>
      <c r="D607" s="2" t="inlineStr">
        <is>
          <t>'professinal Buns'!C10,D10</t>
        </is>
      </c>
      <c r="E607" s="2" t="inlineStr">
        <is>
          <t>salt</t>
        </is>
      </c>
      <c r="F607" s="3" t="n">
        <v>70</v>
      </c>
      <c r="G607" s="2" t="inlineStr">
        <is>
          <t>70</t>
        </is>
      </c>
      <c r="H607" s="2" t="inlineStr">
        <is>
          <t>M1-B04 / M1-B09</t>
        </is>
      </c>
    </row>
    <row r="608">
      <c r="A608" s="2" t="inlineStr">
        <is>
          <t>L068</t>
        </is>
      </c>
      <c r="B608" s="2" t="inlineStr">
        <is>
          <t>professinal Buns</t>
        </is>
      </c>
      <c r="C608" s="2" t="inlineStr">
        <is>
          <t>S132</t>
        </is>
      </c>
      <c r="D608" s="2" t="inlineStr">
        <is>
          <t>'professinal Buns'!C11,D11</t>
        </is>
      </c>
      <c r="E608" s="2" t="inlineStr">
        <is>
          <t>improver</t>
        </is>
      </c>
      <c r="F608" s="3" t="n">
        <v>100</v>
      </c>
      <c r="G608" s="2" t="inlineStr">
        <is>
          <t>100</t>
        </is>
      </c>
      <c r="H608" s="2" t="inlineStr">
        <is>
          <t>M1-B04 / M1-B09</t>
        </is>
      </c>
    </row>
    <row r="609">
      <c r="A609" s="2" t="inlineStr">
        <is>
          <t>L068</t>
        </is>
      </c>
      <c r="B609" s="2" t="inlineStr">
        <is>
          <t>professinal Buns</t>
        </is>
      </c>
      <c r="C609" s="2" t="inlineStr">
        <is>
          <t>S132</t>
        </is>
      </c>
      <c r="D609" s="2" t="inlineStr">
        <is>
          <t>'professinal Buns'!C12,D12</t>
        </is>
      </c>
      <c r="E609" s="2" t="inlineStr">
        <is>
          <t>yeast</t>
        </is>
      </c>
      <c r="F609" s="3" t="n">
        <v>110</v>
      </c>
      <c r="G609" s="2" t="inlineStr">
        <is>
          <t>110</t>
        </is>
      </c>
      <c r="H609" s="2" t="inlineStr">
        <is>
          <t>M1-B04 / M1-B09</t>
        </is>
      </c>
    </row>
    <row r="610">
      <c r="A610" s="2" t="inlineStr">
        <is>
          <t>L068</t>
        </is>
      </c>
      <c r="B610" s="2" t="inlineStr">
        <is>
          <t>professinal Buns</t>
        </is>
      </c>
      <c r="C610" s="2" t="inlineStr">
        <is>
          <t>S132</t>
        </is>
      </c>
      <c r="D610" s="2" t="inlineStr">
        <is>
          <t>'professinal Buns'!C13,D13</t>
        </is>
      </c>
      <c r="E610" s="2" t="inlineStr">
        <is>
          <t>water</t>
        </is>
      </c>
      <c r="F610" s="3" t="n">
        <v>300</v>
      </c>
      <c r="G610" s="2" t="inlineStr">
        <is>
          <t>300</t>
        </is>
      </c>
      <c r="H610" s="2" t="inlineStr">
        <is>
          <t>M1-B04 / M1-B09</t>
        </is>
      </c>
    </row>
    <row r="611">
      <c r="A611" s="2" t="inlineStr">
        <is>
          <t>L068</t>
        </is>
      </c>
      <c r="B611" s="2" t="inlineStr">
        <is>
          <t>professinal Buns</t>
        </is>
      </c>
      <c r="C611" s="2" t="inlineStr">
        <is>
          <t>S132</t>
        </is>
      </c>
      <c r="D611" s="2" t="inlineStr">
        <is>
          <t>'professinal Buns'!C14,D14</t>
        </is>
      </c>
      <c r="E611" s="2" t="inlineStr">
        <is>
          <t>EDC</t>
        </is>
      </c>
      <c r="F611" s="3" t="n">
        <v>25</v>
      </c>
      <c r="G611" s="2" t="inlineStr">
        <is>
          <t>25</t>
        </is>
      </c>
      <c r="H611" s="2" t="inlineStr">
        <is>
          <t>M1-B04 / M1-B09</t>
        </is>
      </c>
    </row>
    <row r="612">
      <c r="A612" s="2" t="inlineStr">
        <is>
          <t>L068</t>
        </is>
      </c>
      <c r="B612" s="2" t="inlineStr">
        <is>
          <t>professinal Buns</t>
        </is>
      </c>
      <c r="C612" s="2" t="inlineStr">
        <is>
          <t>S132</t>
        </is>
      </c>
      <c r="D612" s="2" t="inlineStr">
        <is>
          <t>'professinal Buns'!C15,D15</t>
        </is>
      </c>
      <c r="E612" s="2" t="inlineStr">
        <is>
          <t>Milk tantalizer</t>
        </is>
      </c>
      <c r="F612" s="3" t="n">
        <v>50</v>
      </c>
      <c r="G612" s="2" t="inlineStr">
        <is>
          <t>50</t>
        </is>
      </c>
      <c r="H612" s="2" t="inlineStr">
        <is>
          <t>M1-B04 / M1-B09</t>
        </is>
      </c>
    </row>
    <row r="613">
      <c r="A613" s="2" t="inlineStr">
        <is>
          <t>L068</t>
        </is>
      </c>
      <c r="B613" s="2" t="inlineStr">
        <is>
          <t>professinal Buns</t>
        </is>
      </c>
      <c r="C613" s="2" t="inlineStr">
        <is>
          <t>S132</t>
        </is>
      </c>
      <c r="D613" s="2" t="inlineStr">
        <is>
          <t>'professinal Buns'!C16,D16</t>
        </is>
      </c>
      <c r="E613" s="2" t="inlineStr">
        <is>
          <t>Oil</t>
        </is>
      </c>
      <c r="F613" s="3" t="n">
        <v>300</v>
      </c>
      <c r="G613" s="2" t="inlineStr">
        <is>
          <t>300</t>
        </is>
      </c>
      <c r="H613" s="2" t="inlineStr">
        <is>
          <t>M1-B04 / M1-B09</t>
        </is>
      </c>
    </row>
    <row r="614">
      <c r="A614" s="2" t="inlineStr">
        <is>
          <t>L068</t>
        </is>
      </c>
      <c r="B614" s="2" t="inlineStr">
        <is>
          <t>professinal Buns</t>
        </is>
      </c>
      <c r="C614" s="2" t="inlineStr">
        <is>
          <t>S132</t>
        </is>
      </c>
      <c r="D614" s="2" t="inlineStr">
        <is>
          <t>'professinal Buns'!C17,D17</t>
        </is>
      </c>
      <c r="E614" s="2" t="inlineStr">
        <is>
          <t>Nutmeg</t>
        </is>
      </c>
      <c r="F614" s="3" t="n">
        <v>50</v>
      </c>
      <c r="G614" s="2" t="inlineStr">
        <is>
          <t>50</t>
        </is>
      </c>
      <c r="H614" s="2" t="inlineStr">
        <is>
          <t>M1-B04 / M1-B09</t>
        </is>
      </c>
    </row>
    <row r="615">
      <c r="A615" s="2" t="inlineStr">
        <is>
          <t>L069</t>
        </is>
      </c>
      <c r="B615" s="2" t="inlineStr">
        <is>
          <t>BUNS SPECIAL</t>
        </is>
      </c>
      <c r="C615" s="2" t="inlineStr">
        <is>
          <t>S044</t>
        </is>
      </c>
      <c r="D615" s="2" t="inlineStr">
        <is>
          <t>'BUNS SPECIAL'!C5,D5</t>
        </is>
      </c>
      <c r="E615" s="2" t="inlineStr">
        <is>
          <t>flour</t>
        </is>
      </c>
      <c r="F615" s="3" t="n">
        <v>10000</v>
      </c>
      <c r="G615" s="2" t="inlineStr">
        <is>
          <t>10000</t>
        </is>
      </c>
      <c r="H615" s="2" t="inlineStr">
        <is>
          <t>M1-B04 / M1-B09</t>
        </is>
      </c>
    </row>
    <row r="616">
      <c r="A616" s="2" t="inlineStr">
        <is>
          <t>L069</t>
        </is>
      </c>
      <c r="B616" s="2" t="inlineStr">
        <is>
          <t>BUNS SPECIAL</t>
        </is>
      </c>
      <c r="C616" s="2" t="inlineStr">
        <is>
          <t>S044</t>
        </is>
      </c>
      <c r="D616" s="2" t="inlineStr">
        <is>
          <t>'BUNS SPECIAL'!C6,D6</t>
        </is>
      </c>
      <c r="E616" s="2" t="inlineStr">
        <is>
          <t>Butter</t>
        </is>
      </c>
      <c r="F616" s="3" t="n">
        <v>450</v>
      </c>
      <c r="G616" s="2" t="inlineStr">
        <is>
          <t>450</t>
        </is>
      </c>
      <c r="H616" s="2" t="inlineStr">
        <is>
          <t>M1-B04 / M1-B09</t>
        </is>
      </c>
    </row>
    <row r="617">
      <c r="A617" s="2" t="inlineStr">
        <is>
          <t>L069</t>
        </is>
      </c>
      <c r="B617" s="2" t="inlineStr">
        <is>
          <t>BUNS SPECIAL</t>
        </is>
      </c>
      <c r="C617" s="2" t="inlineStr">
        <is>
          <t>S044</t>
        </is>
      </c>
      <c r="D617" s="2" t="inlineStr">
        <is>
          <t>'BUNS SPECIAL'!C7,D7</t>
        </is>
      </c>
      <c r="E617" s="2" t="inlineStr">
        <is>
          <t>sugar</t>
        </is>
      </c>
      <c r="F617" s="3" t="n">
        <v>350</v>
      </c>
      <c r="G617" s="2" t="inlineStr">
        <is>
          <t>350</t>
        </is>
      </c>
      <c r="H617" s="2" t="inlineStr">
        <is>
          <t>M1-B04 / M1-B09</t>
        </is>
      </c>
    </row>
    <row r="618">
      <c r="A618" s="2" t="inlineStr">
        <is>
          <t>L069</t>
        </is>
      </c>
      <c r="B618" s="2" t="inlineStr">
        <is>
          <t>BUNS SPECIAL</t>
        </is>
      </c>
      <c r="C618" s="2" t="inlineStr">
        <is>
          <t>S044</t>
        </is>
      </c>
      <c r="D618" s="2" t="inlineStr">
        <is>
          <t>'BUNS SPECIAL'!C8,D8</t>
        </is>
      </c>
      <c r="E618" s="2" t="inlineStr">
        <is>
          <t>powder milk</t>
        </is>
      </c>
      <c r="F618" s="3" t="n">
        <v>1000</v>
      </c>
      <c r="G618" s="2" t="inlineStr">
        <is>
          <t>1000</t>
        </is>
      </c>
      <c r="H618" s="2" t="inlineStr">
        <is>
          <t>M1-B04 / M1-B09</t>
        </is>
      </c>
    </row>
    <row r="619">
      <c r="A619" s="2" t="inlineStr">
        <is>
          <t>L069</t>
        </is>
      </c>
      <c r="B619" s="2" t="inlineStr">
        <is>
          <t>BUNS SPECIAL</t>
        </is>
      </c>
      <c r="C619" s="2" t="inlineStr">
        <is>
          <t>S044</t>
        </is>
      </c>
      <c r="D619" s="2" t="inlineStr">
        <is>
          <t>'BUNS SPECIAL'!C9,D9</t>
        </is>
      </c>
      <c r="E619" s="2" t="inlineStr">
        <is>
          <t>egg</t>
        </is>
      </c>
      <c r="F619" s="3" t="n">
        <v>220</v>
      </c>
      <c r="G619" s="2" t="inlineStr">
        <is>
          <t>220</t>
        </is>
      </c>
      <c r="H619" s="2" t="inlineStr">
        <is>
          <t>M1-B04 / M1-B09</t>
        </is>
      </c>
    </row>
    <row r="620">
      <c r="A620" s="2" t="inlineStr">
        <is>
          <t>L069</t>
        </is>
      </c>
      <c r="B620" s="2" t="inlineStr">
        <is>
          <t>BUNS SPECIAL</t>
        </is>
      </c>
      <c r="C620" s="2" t="inlineStr">
        <is>
          <t>S044</t>
        </is>
      </c>
      <c r="D620" s="2" t="inlineStr">
        <is>
          <t>'BUNS SPECIAL'!C10,D10</t>
        </is>
      </c>
      <c r="E620" s="2" t="inlineStr">
        <is>
          <t>salt</t>
        </is>
      </c>
      <c r="F620" s="3" t="n">
        <v>100</v>
      </c>
      <c r="G620" s="2" t="inlineStr">
        <is>
          <t>100</t>
        </is>
      </c>
      <c r="H620" s="2" t="inlineStr">
        <is>
          <t>M1-B04 / M1-B09</t>
        </is>
      </c>
    </row>
    <row r="621">
      <c r="A621" s="2" t="inlineStr">
        <is>
          <t>L069</t>
        </is>
      </c>
      <c r="B621" s="2" t="inlineStr">
        <is>
          <t>BUNS SPECIAL</t>
        </is>
      </c>
      <c r="C621" s="2" t="inlineStr">
        <is>
          <t>S044</t>
        </is>
      </c>
      <c r="D621" s="2" t="inlineStr">
        <is>
          <t>'BUNS SPECIAL'!C11,D11</t>
        </is>
      </c>
      <c r="E621" s="2" t="inlineStr">
        <is>
          <t>improver</t>
        </is>
      </c>
      <c r="F621" s="3" t="n">
        <v>150</v>
      </c>
      <c r="G621" s="2" t="inlineStr">
        <is>
          <t>150</t>
        </is>
      </c>
      <c r="H621" s="2" t="inlineStr">
        <is>
          <t>M1-B04 / M1-B09</t>
        </is>
      </c>
    </row>
    <row r="622">
      <c r="A622" s="2" t="inlineStr">
        <is>
          <t>L069</t>
        </is>
      </c>
      <c r="B622" s="2" t="inlineStr">
        <is>
          <t>BUNS SPECIAL</t>
        </is>
      </c>
      <c r="C622" s="2" t="inlineStr">
        <is>
          <t>S044</t>
        </is>
      </c>
      <c r="D622" s="2" t="inlineStr">
        <is>
          <t>'BUNS SPECIAL'!C12,D12</t>
        </is>
      </c>
      <c r="E622" s="2" t="inlineStr">
        <is>
          <t>yeast</t>
        </is>
      </c>
      <c r="F622" s="3" t="n">
        <v>150</v>
      </c>
      <c r="G622" s="2" t="inlineStr">
        <is>
          <t>150</t>
        </is>
      </c>
      <c r="H622" s="2" t="inlineStr">
        <is>
          <t>M1-B04 / M1-B09</t>
        </is>
      </c>
    </row>
    <row r="623">
      <c r="A623" s="2" t="inlineStr">
        <is>
          <t>L069</t>
        </is>
      </c>
      <c r="B623" s="2" t="inlineStr">
        <is>
          <t>BUNS SPECIAL</t>
        </is>
      </c>
      <c r="C623" s="2" t="inlineStr">
        <is>
          <t>S044</t>
        </is>
      </c>
      <c r="D623" s="2" t="inlineStr">
        <is>
          <t>'BUNS SPECIAL'!C13,D13</t>
        </is>
      </c>
      <c r="E623" s="2" t="inlineStr">
        <is>
          <t>water</t>
        </is>
      </c>
      <c r="F623" s="3" t="n">
        <v>2500</v>
      </c>
      <c r="G623" s="2" t="inlineStr">
        <is>
          <t>2500</t>
        </is>
      </c>
      <c r="H623" s="2" t="inlineStr">
        <is>
          <t>M1-B04 / M1-B09</t>
        </is>
      </c>
    </row>
    <row r="624">
      <c r="A624" s="2" t="inlineStr">
        <is>
          <t>L070</t>
        </is>
      </c>
      <c r="B624" s="2" t="inlineStr">
        <is>
          <t>Best Chinchin</t>
        </is>
      </c>
      <c r="C624" s="2" t="inlineStr">
        <is>
          <t>S044</t>
        </is>
      </c>
      <c r="D624" s="2" t="inlineStr">
        <is>
          <t>'Best Chinchin'!C5,D5</t>
        </is>
      </c>
      <c r="E624" s="2" t="inlineStr">
        <is>
          <t>flour</t>
        </is>
      </c>
      <c r="F624" s="3" t="n">
        <v>25000</v>
      </c>
      <c r="G624" s="2" t="inlineStr">
        <is>
          <t>25000</t>
        </is>
      </c>
      <c r="H624" s="2" t="inlineStr">
        <is>
          <t>H10</t>
        </is>
      </c>
    </row>
    <row r="625">
      <c r="A625" s="2" t="inlineStr">
        <is>
          <t>L070</t>
        </is>
      </c>
      <c r="B625" s="2" t="inlineStr">
        <is>
          <t>Best Chinchin</t>
        </is>
      </c>
      <c r="C625" s="2" t="inlineStr">
        <is>
          <t>S044</t>
        </is>
      </c>
      <c r="D625" s="2" t="inlineStr">
        <is>
          <t>'Best Chinchin'!C6,D6</t>
        </is>
      </c>
      <c r="E625" s="2" t="inlineStr">
        <is>
          <t>baking powder</t>
        </is>
      </c>
      <c r="F625" s="3" t="n">
        <v>500</v>
      </c>
      <c r="G625" s="2" t="inlineStr">
        <is>
          <t>500</t>
        </is>
      </c>
      <c r="H625" s="2" t="inlineStr">
        <is>
          <t>H10</t>
        </is>
      </c>
    </row>
    <row r="626">
      <c r="A626" s="2" t="inlineStr">
        <is>
          <t>L070</t>
        </is>
      </c>
      <c r="B626" s="2" t="inlineStr">
        <is>
          <t>Best Chinchin</t>
        </is>
      </c>
      <c r="C626" s="2" t="inlineStr">
        <is>
          <t>S044</t>
        </is>
      </c>
      <c r="D626" s="2" t="inlineStr">
        <is>
          <t>'Best Chinchin'!C7,D7</t>
        </is>
      </c>
      <c r="E626" s="2" t="inlineStr">
        <is>
          <t>nut meg</t>
        </is>
      </c>
      <c r="F626" s="3" t="n">
        <v>50</v>
      </c>
      <c r="G626" s="2" t="inlineStr">
        <is>
          <t>50</t>
        </is>
      </c>
      <c r="H626" s="2" t="inlineStr">
        <is>
          <t>H10</t>
        </is>
      </c>
    </row>
    <row r="627">
      <c r="A627" s="2" t="inlineStr">
        <is>
          <t>L070</t>
        </is>
      </c>
      <c r="B627" s="2" t="inlineStr">
        <is>
          <t>Best Chinchin</t>
        </is>
      </c>
      <c r="C627" s="2" t="inlineStr">
        <is>
          <t>S044</t>
        </is>
      </c>
      <c r="D627" s="2" t="inlineStr">
        <is>
          <t>'Best Chinchin'!C8,D8</t>
        </is>
      </c>
      <c r="E627" s="2" t="inlineStr">
        <is>
          <t>sugar</t>
        </is>
      </c>
      <c r="F627" s="3" t="n">
        <v>4500</v>
      </c>
      <c r="G627" s="2" t="inlineStr">
        <is>
          <t>4500</t>
        </is>
      </c>
      <c r="H627" s="2" t="inlineStr">
        <is>
          <t>H10</t>
        </is>
      </c>
    </row>
    <row r="628">
      <c r="A628" s="2" t="inlineStr">
        <is>
          <t>L070</t>
        </is>
      </c>
      <c r="B628" s="2" t="inlineStr">
        <is>
          <t>Best Chinchin</t>
        </is>
      </c>
      <c r="C628" s="2" t="inlineStr">
        <is>
          <t>S044</t>
        </is>
      </c>
      <c r="D628" s="2" t="inlineStr">
        <is>
          <t>'Best Chinchin'!C9,D9</t>
        </is>
      </c>
      <c r="E628" s="2" t="inlineStr">
        <is>
          <t>Butter</t>
        </is>
      </c>
      <c r="F628" s="3" t="n">
        <v>4000</v>
      </c>
      <c r="G628" s="2" t="inlineStr">
        <is>
          <t>4000</t>
        </is>
      </c>
      <c r="H628" s="2" t="inlineStr">
        <is>
          <t>H10</t>
        </is>
      </c>
    </row>
    <row r="629">
      <c r="A629" s="2" t="inlineStr">
        <is>
          <t>L070</t>
        </is>
      </c>
      <c r="B629" s="2" t="inlineStr">
        <is>
          <t>Best Chinchin</t>
        </is>
      </c>
      <c r="C629" s="2" t="inlineStr">
        <is>
          <t>S044</t>
        </is>
      </c>
      <c r="D629" s="2" t="inlineStr">
        <is>
          <t>'Best Chinchin'!C10,D10</t>
        </is>
      </c>
      <c r="E629" s="2" t="inlineStr">
        <is>
          <t>egg</t>
        </is>
      </c>
      <c r="F629" s="3" t="n">
        <v>12000</v>
      </c>
      <c r="G629" s="2" t="inlineStr">
        <is>
          <t>12000</t>
        </is>
      </c>
      <c r="H629" s="2" t="inlineStr">
        <is>
          <t>H10</t>
        </is>
      </c>
    </row>
    <row r="630">
      <c r="A630" s="2" t="inlineStr">
        <is>
          <t>L070</t>
        </is>
      </c>
      <c r="B630" s="2" t="inlineStr">
        <is>
          <t>Best Chinchin</t>
        </is>
      </c>
      <c r="C630" s="2" t="inlineStr">
        <is>
          <t>S044</t>
        </is>
      </c>
      <c r="D630" s="2" t="inlineStr">
        <is>
          <t>'Best Chinchin'!C11,D11</t>
        </is>
      </c>
      <c r="E630" s="2" t="inlineStr">
        <is>
          <t>salt</t>
        </is>
      </c>
      <c r="F630" s="3" t="n">
        <v>200</v>
      </c>
      <c r="G630" s="2" t="inlineStr">
        <is>
          <t>200</t>
        </is>
      </c>
      <c r="H630" s="2" t="inlineStr">
        <is>
          <t>H10</t>
        </is>
      </c>
    </row>
    <row r="631">
      <c r="A631" s="2" t="inlineStr">
        <is>
          <t>L070</t>
        </is>
      </c>
      <c r="B631" s="2" t="inlineStr">
        <is>
          <t>Best Chinchin</t>
        </is>
      </c>
      <c r="C631" s="2" t="inlineStr">
        <is>
          <t>S044</t>
        </is>
      </c>
      <c r="D631" s="2" t="inlineStr">
        <is>
          <t>'Best Chinchin'!C12,D12</t>
        </is>
      </c>
      <c r="E631" s="2" t="inlineStr">
        <is>
          <t>Improver</t>
        </is>
      </c>
      <c r="F631" s="3" t="n">
        <v>200</v>
      </c>
      <c r="G631" s="2" t="inlineStr">
        <is>
          <t>200</t>
        </is>
      </c>
      <c r="H631" s="2" t="inlineStr">
        <is>
          <t>H10</t>
        </is>
      </c>
    </row>
    <row r="632">
      <c r="A632" s="2" t="inlineStr">
        <is>
          <t>L070</t>
        </is>
      </c>
      <c r="B632" s="2" t="inlineStr">
        <is>
          <t>Best Chinchin</t>
        </is>
      </c>
      <c r="C632" s="2" t="inlineStr">
        <is>
          <t>S044</t>
        </is>
      </c>
      <c r="D632" s="2" t="inlineStr">
        <is>
          <t>'Best Chinchin'!C13,D13</t>
        </is>
      </c>
      <c r="E632" s="2" t="inlineStr">
        <is>
          <t>oil</t>
        </is>
      </c>
      <c r="F632" s="3" t="n">
        <v>400</v>
      </c>
      <c r="G632" s="2" t="inlineStr">
        <is>
          <t>400</t>
        </is>
      </c>
      <c r="H632" s="2" t="inlineStr">
        <is>
          <t>H10</t>
        </is>
      </c>
    </row>
    <row r="633">
      <c r="A633" s="2" t="inlineStr">
        <is>
          <t>L071</t>
        </is>
      </c>
      <c r="B633" s="2" t="inlineStr">
        <is>
          <t>Cake Prof</t>
        </is>
      </c>
      <c r="C633" s="2" t="inlineStr">
        <is>
          <t>S044</t>
        </is>
      </c>
      <c r="D633" s="2" t="inlineStr">
        <is>
          <t>'Cake Prof'!C5,D5</t>
        </is>
      </c>
      <c r="E633" s="2" t="inlineStr">
        <is>
          <t>flour</t>
        </is>
      </c>
      <c r="F633" s="3" t="n">
        <v>3000</v>
      </c>
      <c r="G633" s="2" t="inlineStr">
        <is>
          <t>3000</t>
        </is>
      </c>
      <c r="H633" s="2" t="inlineStr">
        <is>
          <t>H08 / H09; exact style differs</t>
        </is>
      </c>
    </row>
    <row r="634">
      <c r="A634" s="2" t="inlineStr">
        <is>
          <t>L071</t>
        </is>
      </c>
      <c r="B634" s="2" t="inlineStr">
        <is>
          <t>Cake Prof</t>
        </is>
      </c>
      <c r="C634" s="2" t="inlineStr">
        <is>
          <t>S044</t>
        </is>
      </c>
      <c r="D634" s="2" t="inlineStr">
        <is>
          <t>'Cake Prof'!C6,D6</t>
        </is>
      </c>
      <c r="E634" s="2" t="inlineStr">
        <is>
          <t>baking powder</t>
        </is>
      </c>
      <c r="F634" s="3" t="n">
        <v>110</v>
      </c>
      <c r="G634" s="2" t="inlineStr">
        <is>
          <t>110</t>
        </is>
      </c>
      <c r="H634" s="2" t="inlineStr">
        <is>
          <t>H08 / H09; exact style differs</t>
        </is>
      </c>
    </row>
    <row r="635">
      <c r="A635" s="2" t="inlineStr">
        <is>
          <t>L071</t>
        </is>
      </c>
      <c r="B635" s="2" t="inlineStr">
        <is>
          <t>Cake Prof</t>
        </is>
      </c>
      <c r="C635" s="2" t="inlineStr">
        <is>
          <t>S044</t>
        </is>
      </c>
      <c r="D635" s="2" t="inlineStr">
        <is>
          <t>'Cake Prof'!C7,D7</t>
        </is>
      </c>
      <c r="E635" s="2" t="inlineStr">
        <is>
          <t>Egg</t>
        </is>
      </c>
      <c r="F635" s="3" t="n">
        <v>1600</v>
      </c>
      <c r="G635" s="2" t="inlineStr">
        <is>
          <t>1600</t>
        </is>
      </c>
      <c r="H635" s="2" t="inlineStr">
        <is>
          <t>H08 / H09; exact style differs</t>
        </is>
      </c>
    </row>
    <row r="636">
      <c r="A636" s="2" t="inlineStr">
        <is>
          <t>L071</t>
        </is>
      </c>
      <c r="B636" s="2" t="inlineStr">
        <is>
          <t>Cake Prof</t>
        </is>
      </c>
      <c r="C636" s="2" t="inlineStr">
        <is>
          <t>S044</t>
        </is>
      </c>
      <c r="D636" s="2" t="inlineStr">
        <is>
          <t>'Cake Prof'!C8,D8</t>
        </is>
      </c>
      <c r="E636" s="2" t="inlineStr">
        <is>
          <t>Butter</t>
        </is>
      </c>
      <c r="F636" s="3" t="n">
        <v>1500</v>
      </c>
      <c r="G636" s="2" t="inlineStr">
        <is>
          <t>1500</t>
        </is>
      </c>
      <c r="H636" s="2" t="inlineStr">
        <is>
          <t>H08 / H09; exact style differs</t>
        </is>
      </c>
    </row>
    <row r="637">
      <c r="A637" s="2" t="inlineStr">
        <is>
          <t>L071</t>
        </is>
      </c>
      <c r="B637" s="2" t="inlineStr">
        <is>
          <t>Cake Prof</t>
        </is>
      </c>
      <c r="C637" s="2" t="inlineStr">
        <is>
          <t>S044</t>
        </is>
      </c>
      <c r="D637" s="2" t="inlineStr">
        <is>
          <t>'Cake Prof'!C9,D9</t>
        </is>
      </c>
      <c r="E637" s="2" t="inlineStr">
        <is>
          <t>sugar</t>
        </is>
      </c>
      <c r="F637" s="3" t="n">
        <v>1000</v>
      </c>
      <c r="G637" s="2" t="inlineStr">
        <is>
          <t>1000</t>
        </is>
      </c>
      <c r="H637" s="2" t="inlineStr">
        <is>
          <t>H08 / H09; exact style differs</t>
        </is>
      </c>
    </row>
    <row r="638">
      <c r="A638" s="2" t="inlineStr">
        <is>
          <t>L072</t>
        </is>
      </c>
      <c r="B638" s="2" t="inlineStr">
        <is>
          <t>Chinchin</t>
        </is>
      </c>
      <c r="C638" s="2" t="inlineStr">
        <is>
          <t>S044</t>
        </is>
      </c>
      <c r="D638" s="2" t="inlineStr">
        <is>
          <t>'Chinchin'!C5,D5</t>
        </is>
      </c>
      <c r="E638" s="2" t="inlineStr">
        <is>
          <t>flour</t>
        </is>
      </c>
      <c r="F638" s="3" t="n">
        <v>3600</v>
      </c>
      <c r="G638" s="2" t="inlineStr">
        <is>
          <t>3600</t>
        </is>
      </c>
      <c r="H638" s="2" t="inlineStr">
        <is>
          <t>H10</t>
        </is>
      </c>
    </row>
    <row r="639">
      <c r="A639" s="2" t="inlineStr">
        <is>
          <t>L072</t>
        </is>
      </c>
      <c r="B639" s="2" t="inlineStr">
        <is>
          <t>Chinchin</t>
        </is>
      </c>
      <c r="C639" s="2" t="inlineStr">
        <is>
          <t>S044</t>
        </is>
      </c>
      <c r="D639" s="2" t="inlineStr">
        <is>
          <t>'Chinchin'!C6,D6</t>
        </is>
      </c>
      <c r="E639" s="2" t="inlineStr">
        <is>
          <t>baking powder</t>
        </is>
      </c>
      <c r="F639" s="3" t="n">
        <v>70</v>
      </c>
      <c r="G639" s="2" t="inlineStr">
        <is>
          <t>70</t>
        </is>
      </c>
      <c r="H639" s="2" t="inlineStr">
        <is>
          <t>H10</t>
        </is>
      </c>
    </row>
    <row r="640">
      <c r="A640" s="2" t="inlineStr">
        <is>
          <t>L072</t>
        </is>
      </c>
      <c r="B640" s="2" t="inlineStr">
        <is>
          <t>Chinchin</t>
        </is>
      </c>
      <c r="C640" s="2" t="inlineStr">
        <is>
          <t>S044</t>
        </is>
      </c>
      <c r="D640" s="2" t="inlineStr">
        <is>
          <t>'Chinchin'!C7,D7</t>
        </is>
      </c>
      <c r="E640" s="2" t="inlineStr">
        <is>
          <t>nut meg</t>
        </is>
      </c>
      <c r="F640" s="3" t="n">
        <v>5</v>
      </c>
      <c r="G640" s="2" t="inlineStr">
        <is>
          <t>5</t>
        </is>
      </c>
      <c r="H640" s="2" t="inlineStr">
        <is>
          <t>H10</t>
        </is>
      </c>
    </row>
    <row r="641">
      <c r="A641" s="2" t="inlineStr">
        <is>
          <t>L072</t>
        </is>
      </c>
      <c r="B641" s="2" t="inlineStr">
        <is>
          <t>Chinchin</t>
        </is>
      </c>
      <c r="C641" s="2" t="inlineStr">
        <is>
          <t>S044</t>
        </is>
      </c>
      <c r="D641" s="2" t="inlineStr">
        <is>
          <t>'Chinchin'!C8,D8</t>
        </is>
      </c>
      <c r="E641" s="2" t="inlineStr">
        <is>
          <t>sugar</t>
        </is>
      </c>
      <c r="F641" s="3" t="n">
        <v>650</v>
      </c>
      <c r="G641" s="2" t="inlineStr">
        <is>
          <t>650</t>
        </is>
      </c>
      <c r="H641" s="2" t="inlineStr">
        <is>
          <t>H10</t>
        </is>
      </c>
    </row>
    <row r="642">
      <c r="A642" s="2" t="inlineStr">
        <is>
          <t>L072</t>
        </is>
      </c>
      <c r="B642" s="2" t="inlineStr">
        <is>
          <t>Chinchin</t>
        </is>
      </c>
      <c r="C642" s="2" t="inlineStr">
        <is>
          <t>S044</t>
        </is>
      </c>
      <c r="D642" s="2" t="inlineStr">
        <is>
          <t>'Chinchin'!C9,D9</t>
        </is>
      </c>
      <c r="E642" s="2" t="inlineStr">
        <is>
          <t>Butter</t>
        </is>
      </c>
      <c r="F642" s="3" t="n">
        <v>450</v>
      </c>
      <c r="G642" s="2" t="inlineStr">
        <is>
          <t>450</t>
        </is>
      </c>
      <c r="H642" s="2" t="inlineStr">
        <is>
          <t>H10</t>
        </is>
      </c>
    </row>
    <row r="643">
      <c r="A643" s="2" t="inlineStr">
        <is>
          <t>L072</t>
        </is>
      </c>
      <c r="B643" s="2" t="inlineStr">
        <is>
          <t>Chinchin</t>
        </is>
      </c>
      <c r="C643" s="2" t="inlineStr">
        <is>
          <t>S044</t>
        </is>
      </c>
      <c r="D643" s="2" t="inlineStr">
        <is>
          <t>'Chinchin'!C10,D10</t>
        </is>
      </c>
      <c r="E643" s="2" t="inlineStr">
        <is>
          <t>egg</t>
        </is>
      </c>
      <c r="F643" s="3" t="n">
        <v>1200</v>
      </c>
      <c r="G643" s="2" t="inlineStr">
        <is>
          <t>1200</t>
        </is>
      </c>
      <c r="H643" s="2" t="inlineStr">
        <is>
          <t>H10</t>
        </is>
      </c>
    </row>
    <row r="644">
      <c r="A644" s="2" t="inlineStr">
        <is>
          <t>L072</t>
        </is>
      </c>
      <c r="B644" s="2" t="inlineStr">
        <is>
          <t>Chinchin</t>
        </is>
      </c>
      <c r="C644" s="2" t="inlineStr">
        <is>
          <t>S044</t>
        </is>
      </c>
      <c r="D644" s="2" t="inlineStr">
        <is>
          <t>'Chinchin'!C11,D11</t>
        </is>
      </c>
      <c r="E644" s="2" t="inlineStr">
        <is>
          <t>salt</t>
        </is>
      </c>
      <c r="F644" s="3" t="n">
        <v>13</v>
      </c>
      <c r="G644" s="2" t="inlineStr">
        <is>
          <t>13</t>
        </is>
      </c>
      <c r="H644" s="2" t="inlineStr">
        <is>
          <t>H10</t>
        </is>
      </c>
    </row>
    <row r="645">
      <c r="A645" s="2" t="inlineStr">
        <is>
          <t>L072</t>
        </is>
      </c>
      <c r="B645" s="2" t="inlineStr">
        <is>
          <t>Chinchin</t>
        </is>
      </c>
      <c r="C645" s="2" t="inlineStr">
        <is>
          <t>S044</t>
        </is>
      </c>
      <c r="D645" s="2" t="inlineStr">
        <is>
          <t>'Chinchin'!C12,D12</t>
        </is>
      </c>
      <c r="E645" s="2" t="inlineStr">
        <is>
          <t>improver</t>
        </is>
      </c>
      <c r="F645" s="3" t="n">
        <v>40</v>
      </c>
      <c r="G645" s="2" t="inlineStr">
        <is>
          <t>40</t>
        </is>
      </c>
      <c r="H645" s="2" t="inlineStr">
        <is>
          <t>H10</t>
        </is>
      </c>
    </row>
    <row r="646">
      <c r="A646" s="2" t="inlineStr">
        <is>
          <t>L072</t>
        </is>
      </c>
      <c r="B646" s="2" t="inlineStr">
        <is>
          <t>Chinchin</t>
        </is>
      </c>
      <c r="C646" s="2" t="inlineStr">
        <is>
          <t>S044</t>
        </is>
      </c>
      <c r="D646" s="2" t="inlineStr">
        <is>
          <t>'Chinchin'!C13,D13</t>
        </is>
      </c>
      <c r="E646" s="2" t="inlineStr">
        <is>
          <t>oil</t>
        </is>
      </c>
      <c r="F646" s="3" t="n">
        <v>2</v>
      </c>
      <c r="G646" s="2" t="inlineStr">
        <is>
          <t>2</t>
        </is>
      </c>
      <c r="H646" s="2" t="inlineStr">
        <is>
          <t>H10</t>
        </is>
      </c>
    </row>
    <row r="647">
      <c r="A647" s="2" t="inlineStr">
        <is>
          <t>L073</t>
        </is>
      </c>
      <c r="B647" s="2" t="inlineStr">
        <is>
          <t>GALETTE</t>
        </is>
      </c>
      <c r="C647" s="2" t="inlineStr">
        <is>
          <t>S044</t>
        </is>
      </c>
      <c r="D647" s="2" t="inlineStr">
        <is>
          <t>'GALETTE'!C5,D5</t>
        </is>
      </c>
      <c r="E647" s="2" t="inlineStr">
        <is>
          <t>flour</t>
        </is>
      </c>
      <c r="F647" s="3" t="n">
        <v>10000</v>
      </c>
      <c r="G647" s="2" t="inlineStr">
        <is>
          <t>10000</t>
        </is>
      </c>
      <c r="H647" s="2" t="inlineStr">
        <is>
          <t>H14</t>
        </is>
      </c>
    </row>
    <row r="648">
      <c r="A648" s="2" t="inlineStr">
        <is>
          <t>L073</t>
        </is>
      </c>
      <c r="B648" s="2" t="inlineStr">
        <is>
          <t>GALETTE</t>
        </is>
      </c>
      <c r="C648" s="2" t="inlineStr">
        <is>
          <t>S044</t>
        </is>
      </c>
      <c r="D648" s="2" t="inlineStr">
        <is>
          <t>'GALETTE'!C6,D6</t>
        </is>
      </c>
      <c r="E648" s="2" t="inlineStr">
        <is>
          <t>Butter</t>
        </is>
      </c>
      <c r="F648" s="3" t="n">
        <v>1000</v>
      </c>
      <c r="G648" s="2" t="inlineStr">
        <is>
          <t>1000</t>
        </is>
      </c>
      <c r="H648" s="2" t="inlineStr">
        <is>
          <t>H14</t>
        </is>
      </c>
    </row>
    <row r="649">
      <c r="A649" s="2" t="inlineStr">
        <is>
          <t>L073</t>
        </is>
      </c>
      <c r="B649" s="2" t="inlineStr">
        <is>
          <t>GALETTE</t>
        </is>
      </c>
      <c r="C649" s="2" t="inlineStr">
        <is>
          <t>S044</t>
        </is>
      </c>
      <c r="D649" s="2" t="inlineStr">
        <is>
          <t>'GALETTE'!C7,D7</t>
        </is>
      </c>
      <c r="E649" s="2" t="inlineStr">
        <is>
          <t>sugar</t>
        </is>
      </c>
      <c r="F649" s="3" t="n">
        <v>900</v>
      </c>
      <c r="G649" s="2" t="inlineStr">
        <is>
          <t>900</t>
        </is>
      </c>
      <c r="H649" s="2" t="inlineStr">
        <is>
          <t>H14</t>
        </is>
      </c>
    </row>
    <row r="650">
      <c r="A650" s="2" t="inlineStr">
        <is>
          <t>L073</t>
        </is>
      </c>
      <c r="B650" s="2" t="inlineStr">
        <is>
          <t>GALETTE</t>
        </is>
      </c>
      <c r="C650" s="2" t="inlineStr">
        <is>
          <t>S044</t>
        </is>
      </c>
      <c r="D650" s="2" t="inlineStr">
        <is>
          <t>'GALETTE'!C8,D8</t>
        </is>
      </c>
      <c r="E650" s="2" t="inlineStr">
        <is>
          <t>Milk</t>
        </is>
      </c>
      <c r="F650" s="3" t="n">
        <v>800</v>
      </c>
      <c r="G650" s="2" t="inlineStr">
        <is>
          <t>800</t>
        </is>
      </c>
      <c r="H650" s="2" t="inlineStr">
        <is>
          <t>H14</t>
        </is>
      </c>
    </row>
    <row r="651">
      <c r="A651" s="2" t="inlineStr">
        <is>
          <t>L073</t>
        </is>
      </c>
      <c r="B651" s="2" t="inlineStr">
        <is>
          <t>GALETTE</t>
        </is>
      </c>
      <c r="C651" s="2" t="inlineStr">
        <is>
          <t>S044</t>
        </is>
      </c>
      <c r="D651" s="2" t="inlineStr">
        <is>
          <t>'GALETTE'!C9,D9</t>
        </is>
      </c>
      <c r="E651" s="2" t="inlineStr">
        <is>
          <t>egg</t>
        </is>
      </c>
      <c r="F651" s="3" t="n">
        <v>750</v>
      </c>
      <c r="G651" s="2" t="inlineStr">
        <is>
          <t>750</t>
        </is>
      </c>
      <c r="H651" s="2" t="inlineStr">
        <is>
          <t>H14</t>
        </is>
      </c>
    </row>
    <row r="652">
      <c r="A652" s="2" t="inlineStr">
        <is>
          <t>L073</t>
        </is>
      </c>
      <c r="B652" s="2" t="inlineStr">
        <is>
          <t>GALETTE</t>
        </is>
      </c>
      <c r="C652" s="2" t="inlineStr">
        <is>
          <t>S044</t>
        </is>
      </c>
      <c r="D652" s="2" t="inlineStr">
        <is>
          <t>'GALETTE'!C10,D10</t>
        </is>
      </c>
      <c r="E652" s="2" t="inlineStr">
        <is>
          <t>salt</t>
        </is>
      </c>
      <c r="F652" s="3" t="n">
        <v>130</v>
      </c>
      <c r="G652" s="2" t="inlineStr">
        <is>
          <t>130</t>
        </is>
      </c>
      <c r="H652" s="2" t="inlineStr">
        <is>
          <t>H14</t>
        </is>
      </c>
    </row>
    <row r="653">
      <c r="A653" s="2" t="inlineStr">
        <is>
          <t>L073</t>
        </is>
      </c>
      <c r="B653" s="2" t="inlineStr">
        <is>
          <t>GALETTE</t>
        </is>
      </c>
      <c r="C653" s="2" t="inlineStr">
        <is>
          <t>S044</t>
        </is>
      </c>
      <c r="D653" s="2" t="inlineStr">
        <is>
          <t>'GALETTE'!C11,D11</t>
        </is>
      </c>
      <c r="E653" s="2" t="inlineStr">
        <is>
          <t>improver</t>
        </is>
      </c>
      <c r="F653" s="3" t="n">
        <v>120</v>
      </c>
      <c r="G653" s="2" t="inlineStr">
        <is>
          <t>120</t>
        </is>
      </c>
      <c r="H653" s="2" t="inlineStr">
        <is>
          <t>H14</t>
        </is>
      </c>
    </row>
    <row r="654">
      <c r="A654" s="2" t="inlineStr">
        <is>
          <t>L073</t>
        </is>
      </c>
      <c r="B654" s="2" t="inlineStr">
        <is>
          <t>GALETTE</t>
        </is>
      </c>
      <c r="C654" s="2" t="inlineStr">
        <is>
          <t>S044</t>
        </is>
      </c>
      <c r="D654" s="2" t="inlineStr">
        <is>
          <t>'GALETTE'!C12,D12</t>
        </is>
      </c>
      <c r="E654" s="2" t="inlineStr">
        <is>
          <t>yeast</t>
        </is>
      </c>
      <c r="F654" s="3" t="n">
        <v>80</v>
      </c>
      <c r="G654" s="2" t="inlineStr">
        <is>
          <t>80</t>
        </is>
      </c>
      <c r="H654" s="2" t="inlineStr">
        <is>
          <t>H14</t>
        </is>
      </c>
    </row>
    <row r="655">
      <c r="A655" s="2" t="inlineStr">
        <is>
          <t>L073</t>
        </is>
      </c>
      <c r="B655" s="2" t="inlineStr">
        <is>
          <t>GALETTE</t>
        </is>
      </c>
      <c r="C655" s="2" t="inlineStr">
        <is>
          <t>S044</t>
        </is>
      </c>
      <c r="D655" s="2" t="inlineStr">
        <is>
          <t>'GALETTE'!C13,D13</t>
        </is>
      </c>
      <c r="E655" s="2" t="inlineStr">
        <is>
          <t>water</t>
        </is>
      </c>
      <c r="F655" s="3" t="n">
        <v>3500</v>
      </c>
      <c r="G655" s="2" t="inlineStr">
        <is>
          <t>3500</t>
        </is>
      </c>
      <c r="H655" s="2" t="inlineStr">
        <is>
          <t>H14</t>
        </is>
      </c>
    </row>
    <row r="656">
      <c r="A656" s="2" t="inlineStr">
        <is>
          <t>L073</t>
        </is>
      </c>
      <c r="B656" s="2" t="inlineStr">
        <is>
          <t>GALETTE</t>
        </is>
      </c>
      <c r="C656" s="2" t="inlineStr">
        <is>
          <t>S044</t>
        </is>
      </c>
      <c r="D656" s="2" t="inlineStr">
        <is>
          <t>'GALETTE'!C14,D14</t>
        </is>
      </c>
      <c r="E656" s="2" t="inlineStr">
        <is>
          <t>baking powder</t>
        </is>
      </c>
      <c r="F656" s="3" t="n">
        <v>80</v>
      </c>
      <c r="G656" s="2" t="inlineStr">
        <is>
          <t>80</t>
        </is>
      </c>
      <c r="H656" s="2" t="inlineStr">
        <is>
          <t>H14</t>
        </is>
      </c>
    </row>
    <row r="657">
      <c r="A657" s="2" t="inlineStr">
        <is>
          <t>L073</t>
        </is>
      </c>
      <c r="B657" s="2" t="inlineStr">
        <is>
          <t>GALETTE</t>
        </is>
      </c>
      <c r="C657" s="2" t="inlineStr">
        <is>
          <t>S044</t>
        </is>
      </c>
      <c r="D657" s="2" t="inlineStr">
        <is>
          <t>'GALETTE'!C15,D15</t>
        </is>
      </c>
      <c r="E657" s="2" t="inlineStr">
        <is>
          <t>Chocolate</t>
        </is>
      </c>
      <c r="F657" s="3" t="n">
        <v>1000</v>
      </c>
      <c r="G657" s="2" t="inlineStr">
        <is>
          <t>1000</t>
        </is>
      </c>
      <c r="H657" s="2" t="inlineStr">
        <is>
          <t>H14</t>
        </is>
      </c>
    </row>
    <row r="658">
      <c r="A658" s="2" t="inlineStr">
        <is>
          <t>L073</t>
        </is>
      </c>
      <c r="B658" s="2" t="inlineStr">
        <is>
          <t>GALETTE</t>
        </is>
      </c>
      <c r="C658" s="2" t="inlineStr">
        <is>
          <t>S044</t>
        </is>
      </c>
      <c r="D658" s="2" t="inlineStr">
        <is>
          <t>'GALETTE'!C16,D16</t>
        </is>
      </c>
      <c r="E658" s="2" t="inlineStr">
        <is>
          <t>EDC</t>
        </is>
      </c>
      <c r="F658" s="3" t="n">
        <v>25</v>
      </c>
      <c r="G658" s="2" t="inlineStr">
        <is>
          <t>25</t>
        </is>
      </c>
      <c r="H658" s="2" t="inlineStr">
        <is>
          <t>H14</t>
        </is>
      </c>
    </row>
    <row r="659">
      <c r="A659" s="2" t="inlineStr">
        <is>
          <t>L074</t>
        </is>
      </c>
      <c r="B659" s="2" t="inlineStr">
        <is>
          <t>GALETTE</t>
        </is>
      </c>
      <c r="C659" s="2" t="inlineStr">
        <is>
          <t>S044</t>
        </is>
      </c>
      <c r="D659" s="2" t="inlineStr">
        <is>
          <t>'GALETTE'!C5,F5</t>
        </is>
      </c>
      <c r="E659" s="2" t="inlineStr">
        <is>
          <t>flour</t>
        </is>
      </c>
      <c r="F659" s="3" t="n">
        <v>50010.8</v>
      </c>
      <c r="G659" s="2" t="inlineStr">
        <is>
          <t>=H5*7.1444 [cached: 50010.8]</t>
        </is>
      </c>
      <c r="H659" s="2" t="inlineStr">
        <is>
          <t>H14</t>
        </is>
      </c>
    </row>
    <row r="660">
      <c r="A660" s="2" t="inlineStr">
        <is>
          <t>L074</t>
        </is>
      </c>
      <c r="B660" s="2" t="inlineStr">
        <is>
          <t>GALETTE</t>
        </is>
      </c>
      <c r="C660" s="2" t="inlineStr">
        <is>
          <t>S044</t>
        </is>
      </c>
      <c r="D660" s="2" t="inlineStr">
        <is>
          <t>'GALETTE'!C6,F6</t>
        </is>
      </c>
      <c r="E660" s="2" t="inlineStr">
        <is>
          <t>Butter</t>
        </is>
      </c>
      <c r="F660" s="3" t="n">
        <v>5001.08</v>
      </c>
      <c r="G660" s="2" t="inlineStr">
        <is>
          <t>=H6*7.1444 [cached: 5001.08]</t>
        </is>
      </c>
      <c r="H660" s="2" t="inlineStr">
        <is>
          <t>H14</t>
        </is>
      </c>
    </row>
    <row r="661">
      <c r="A661" s="2" t="inlineStr">
        <is>
          <t>L074</t>
        </is>
      </c>
      <c r="B661" s="2" t="inlineStr">
        <is>
          <t>GALETTE</t>
        </is>
      </c>
      <c r="C661" s="2" t="inlineStr">
        <is>
          <t>S044</t>
        </is>
      </c>
      <c r="D661" s="2" t="inlineStr">
        <is>
          <t>'GALETTE'!C7,F7</t>
        </is>
      </c>
      <c r="E661" s="2" t="inlineStr">
        <is>
          <t>sugar</t>
        </is>
      </c>
      <c r="F661" s="3" t="n">
        <v>5715.52</v>
      </c>
      <c r="G661" s="2" t="inlineStr">
        <is>
          <t>=H7*7.1444 [cached: 5715.52]</t>
        </is>
      </c>
      <c r="H661" s="2" t="inlineStr">
        <is>
          <t>H14</t>
        </is>
      </c>
    </row>
    <row r="662">
      <c r="A662" s="2" t="inlineStr">
        <is>
          <t>L074</t>
        </is>
      </c>
      <c r="B662" s="2" t="inlineStr">
        <is>
          <t>GALETTE</t>
        </is>
      </c>
      <c r="C662" s="2" t="inlineStr">
        <is>
          <t>S044</t>
        </is>
      </c>
      <c r="D662" s="2" t="inlineStr">
        <is>
          <t>'GALETTE'!C8,F8</t>
        </is>
      </c>
      <c r="E662" s="2" t="inlineStr">
        <is>
          <t>Milk</t>
        </is>
      </c>
      <c r="F662" s="3" t="n">
        <v>3572.2</v>
      </c>
      <c r="G662" s="2" t="inlineStr">
        <is>
          <t>=H8*7.1444 [cached: 3572.2]</t>
        </is>
      </c>
      <c r="H662" s="2" t="inlineStr">
        <is>
          <t>H14</t>
        </is>
      </c>
    </row>
    <row r="663">
      <c r="A663" s="2" t="inlineStr">
        <is>
          <t>L074</t>
        </is>
      </c>
      <c r="B663" s="2" t="inlineStr">
        <is>
          <t>GALETTE</t>
        </is>
      </c>
      <c r="C663" s="2" t="inlineStr">
        <is>
          <t>S044</t>
        </is>
      </c>
      <c r="D663" s="2" t="inlineStr">
        <is>
          <t>'GALETTE'!C9,F9</t>
        </is>
      </c>
      <c r="E663" s="2" t="inlineStr">
        <is>
          <t>egg</t>
        </is>
      </c>
      <c r="F663" s="3" t="n">
        <v>3572.2</v>
      </c>
      <c r="G663" s="2" t="inlineStr">
        <is>
          <t>=H9*7.1444 [cached: 3572.2]</t>
        </is>
      </c>
      <c r="H663" s="2" t="inlineStr">
        <is>
          <t>H14</t>
        </is>
      </c>
    </row>
    <row r="664">
      <c r="A664" s="2" t="inlineStr">
        <is>
          <t>L074</t>
        </is>
      </c>
      <c r="B664" s="2" t="inlineStr">
        <is>
          <t>GALETTE</t>
        </is>
      </c>
      <c r="C664" s="2" t="inlineStr">
        <is>
          <t>S044</t>
        </is>
      </c>
      <c r="D664" s="2" t="inlineStr">
        <is>
          <t>'GALETTE'!C10,F10</t>
        </is>
      </c>
      <c r="E664" s="2" t="inlineStr">
        <is>
          <t>salt</t>
        </is>
      </c>
      <c r="F664" s="3" t="n">
        <v>714.4400000000001</v>
      </c>
      <c r="G664" s="2" t="inlineStr">
        <is>
          <t>=H10*7.1444 [cached: 714.44]</t>
        </is>
      </c>
      <c r="H664" s="2" t="inlineStr">
        <is>
          <t>H14</t>
        </is>
      </c>
    </row>
    <row r="665">
      <c r="A665" s="2" t="inlineStr">
        <is>
          <t>L074</t>
        </is>
      </c>
      <c r="B665" s="2" t="inlineStr">
        <is>
          <t>GALETTE</t>
        </is>
      </c>
      <c r="C665" s="2" t="inlineStr">
        <is>
          <t>S044</t>
        </is>
      </c>
      <c r="D665" s="2" t="inlineStr">
        <is>
          <t>'GALETTE'!C11,F11</t>
        </is>
      </c>
      <c r="E665" s="2" t="inlineStr">
        <is>
          <t>improver</t>
        </is>
      </c>
      <c r="F665" s="3" t="n">
        <v>714.4400000000001</v>
      </c>
      <c r="G665" s="2" t="inlineStr">
        <is>
          <t>=H11*7.1444 [cached: 714.44]</t>
        </is>
      </c>
      <c r="H665" s="2" t="inlineStr">
        <is>
          <t>H14</t>
        </is>
      </c>
    </row>
    <row r="666">
      <c r="A666" s="2" t="inlineStr">
        <is>
          <t>L074</t>
        </is>
      </c>
      <c r="B666" s="2" t="inlineStr">
        <is>
          <t>GALETTE</t>
        </is>
      </c>
      <c r="C666" s="2" t="inlineStr">
        <is>
          <t>S044</t>
        </is>
      </c>
      <c r="D666" s="2" t="inlineStr">
        <is>
          <t>'GALETTE'!C12,F12</t>
        </is>
      </c>
      <c r="E666" s="2" t="inlineStr">
        <is>
          <t>yeast</t>
        </is>
      </c>
      <c r="F666" s="3" t="n">
        <v>642.996</v>
      </c>
      <c r="G666" s="2" t="inlineStr">
        <is>
          <t>=H12*7.1444 [cached: 642.996]</t>
        </is>
      </c>
      <c r="H666" s="2" t="inlineStr">
        <is>
          <t>H14</t>
        </is>
      </c>
    </row>
    <row r="667">
      <c r="A667" s="2" t="inlineStr">
        <is>
          <t>L074</t>
        </is>
      </c>
      <c r="B667" s="2" t="inlineStr">
        <is>
          <t>GALETTE</t>
        </is>
      </c>
      <c r="C667" s="2" t="inlineStr">
        <is>
          <t>S044</t>
        </is>
      </c>
      <c r="D667" s="2" t="inlineStr">
        <is>
          <t>'GALETTE'!C13,F13</t>
        </is>
      </c>
      <c r="E667" s="2" t="inlineStr">
        <is>
          <t>water</t>
        </is>
      </c>
      <c r="F667" s="3" t="n">
        <v>15717.68</v>
      </c>
      <c r="G667" s="2" t="inlineStr">
        <is>
          <t>=H13*7.1444 [cached: 15717.68]</t>
        </is>
      </c>
      <c r="H667" s="2" t="inlineStr">
        <is>
          <t>H14</t>
        </is>
      </c>
    </row>
    <row r="668">
      <c r="A668" s="2" t="inlineStr">
        <is>
          <t>L074</t>
        </is>
      </c>
      <c r="B668" s="2" t="inlineStr">
        <is>
          <t>GALETTE</t>
        </is>
      </c>
      <c r="C668" s="2" t="inlineStr">
        <is>
          <t>S044</t>
        </is>
      </c>
      <c r="D668" s="2" t="inlineStr">
        <is>
          <t>'GALETTE'!C14,F14</t>
        </is>
      </c>
      <c r="E668" s="2" t="inlineStr">
        <is>
          <t>baking powder</t>
        </is>
      </c>
      <c r="F668" s="3" t="n">
        <v>642.996</v>
      </c>
      <c r="G668" s="2" t="inlineStr">
        <is>
          <t>=H14*7.1444 [cached: 642.996]</t>
        </is>
      </c>
      <c r="H668" s="2" t="inlineStr">
        <is>
          <t>H14</t>
        </is>
      </c>
    </row>
    <row r="669">
      <c r="A669" s="2" t="inlineStr">
        <is>
          <t>L074</t>
        </is>
      </c>
      <c r="B669" s="2" t="inlineStr">
        <is>
          <t>GALETTE</t>
        </is>
      </c>
      <c r="C669" s="2" t="inlineStr">
        <is>
          <t>S044</t>
        </is>
      </c>
      <c r="D669" s="2" t="inlineStr">
        <is>
          <t>'GALETTE'!C15,F15</t>
        </is>
      </c>
      <c r="E669" s="2" t="inlineStr">
        <is>
          <t>Chocolate</t>
        </is>
      </c>
      <c r="F669" s="3" t="n">
        <v>7144.4</v>
      </c>
      <c r="G669" s="2" t="inlineStr">
        <is>
          <t>=H15*7.1444 [cached: 7144.4]</t>
        </is>
      </c>
      <c r="H669" s="2" t="inlineStr">
        <is>
          <t>H14</t>
        </is>
      </c>
    </row>
    <row r="670">
      <c r="A670" s="2" t="inlineStr">
        <is>
          <t>L074</t>
        </is>
      </c>
      <c r="B670" s="2" t="inlineStr">
        <is>
          <t>GALETTE</t>
        </is>
      </c>
      <c r="C670" s="2" t="inlineStr">
        <is>
          <t>S044</t>
        </is>
      </c>
      <c r="D670" s="2" t="inlineStr">
        <is>
          <t>'GALETTE'!C16,F16</t>
        </is>
      </c>
      <c r="E670" s="2" t="inlineStr">
        <is>
          <t>EDC</t>
        </is>
      </c>
      <c r="F670" s="3" t="n">
        <v>214.332</v>
      </c>
      <c r="G670" s="2" t="inlineStr">
        <is>
          <t>=H16*7.1444 [cached: 214.332]</t>
        </is>
      </c>
      <c r="H670" s="2" t="inlineStr">
        <is>
          <t>H14</t>
        </is>
      </c>
    </row>
    <row r="671">
      <c r="A671" s="2" t="inlineStr">
        <is>
          <t>L075</t>
        </is>
      </c>
      <c r="B671" s="2" t="inlineStr">
        <is>
          <t>Kouatchoua gato</t>
        </is>
      </c>
      <c r="C671" s="2" t="inlineStr">
        <is>
          <t>S044</t>
        </is>
      </c>
      <c r="D671" s="2" t="inlineStr">
        <is>
          <t>'Kouatchoua gato'!C5,D5</t>
        </is>
      </c>
      <c r="E671" s="2" t="inlineStr">
        <is>
          <t>flour</t>
        </is>
      </c>
      <c r="F671" s="3" t="n">
        <v>25000</v>
      </c>
      <c r="G671" s="2" t="inlineStr">
        <is>
          <t>25000</t>
        </is>
      </c>
      <c r="H671" s="2" t="inlineStr">
        <is>
          <t>Retain unique variant; no equivalent operating card selected</t>
        </is>
      </c>
    </row>
    <row r="672">
      <c r="A672" s="2" t="inlineStr">
        <is>
          <t>L075</t>
        </is>
      </c>
      <c r="B672" s="2" t="inlineStr">
        <is>
          <t>Kouatchoua gato</t>
        </is>
      </c>
      <c r="C672" s="2" t="inlineStr">
        <is>
          <t>S044</t>
        </is>
      </c>
      <c r="D672" s="2" t="inlineStr">
        <is>
          <t>'Kouatchoua gato'!C6,D6</t>
        </is>
      </c>
      <c r="E672" s="2" t="inlineStr">
        <is>
          <t>Butter</t>
        </is>
      </c>
      <c r="F672" s="3" t="n">
        <v>1300</v>
      </c>
      <c r="G672" s="2" t="inlineStr">
        <is>
          <t>1300</t>
        </is>
      </c>
      <c r="H672" s="2" t="inlineStr">
        <is>
          <t>Retain unique variant; no equivalent operating card selected</t>
        </is>
      </c>
    </row>
    <row r="673">
      <c r="A673" s="2" t="inlineStr">
        <is>
          <t>L075</t>
        </is>
      </c>
      <c r="B673" s="2" t="inlineStr">
        <is>
          <t>Kouatchoua gato</t>
        </is>
      </c>
      <c r="C673" s="2" t="inlineStr">
        <is>
          <t>S044</t>
        </is>
      </c>
      <c r="D673" s="2" t="inlineStr">
        <is>
          <t>'Kouatchoua gato'!C7,D7</t>
        </is>
      </c>
      <c r="E673" s="2" t="inlineStr">
        <is>
          <t>sugar</t>
        </is>
      </c>
      <c r="F673" s="3" t="n">
        <v>1700</v>
      </c>
      <c r="G673" s="2" t="inlineStr">
        <is>
          <t>1700</t>
        </is>
      </c>
      <c r="H673" s="2" t="inlineStr">
        <is>
          <t>Retain unique variant; no equivalent operating card selected</t>
        </is>
      </c>
    </row>
    <row r="674">
      <c r="A674" s="2" t="inlineStr">
        <is>
          <t>L075</t>
        </is>
      </c>
      <c r="B674" s="2" t="inlineStr">
        <is>
          <t>Kouatchoua gato</t>
        </is>
      </c>
      <c r="C674" s="2" t="inlineStr">
        <is>
          <t>S044</t>
        </is>
      </c>
      <c r="D674" s="2" t="inlineStr">
        <is>
          <t>'Kouatchoua gato'!C8,D8</t>
        </is>
      </c>
      <c r="E674" s="2" t="inlineStr">
        <is>
          <t>Conc Milk</t>
        </is>
      </c>
      <c r="F674" s="3" t="n">
        <v>500</v>
      </c>
      <c r="G674" s="2" t="inlineStr">
        <is>
          <t>500</t>
        </is>
      </c>
      <c r="H674" s="2" t="inlineStr">
        <is>
          <t>Retain unique variant; no equivalent operating card selected</t>
        </is>
      </c>
    </row>
    <row r="675">
      <c r="A675" s="2" t="inlineStr">
        <is>
          <t>L075</t>
        </is>
      </c>
      <c r="B675" s="2" t="inlineStr">
        <is>
          <t>Kouatchoua gato</t>
        </is>
      </c>
      <c r="C675" s="2" t="inlineStr">
        <is>
          <t>S044</t>
        </is>
      </c>
      <c r="D675" s="2" t="inlineStr">
        <is>
          <t>'Kouatchoua gato'!C9,D9</t>
        </is>
      </c>
      <c r="E675" s="2" t="inlineStr">
        <is>
          <t>egg</t>
        </is>
      </c>
      <c r="F675" s="3" t="n">
        <v>750</v>
      </c>
      <c r="G675" s="2" t="inlineStr">
        <is>
          <t>750</t>
        </is>
      </c>
      <c r="H675" s="2" t="inlineStr">
        <is>
          <t>Retain unique variant; no equivalent operating card selected</t>
        </is>
      </c>
    </row>
    <row r="676">
      <c r="A676" s="2" t="inlineStr">
        <is>
          <t>L075</t>
        </is>
      </c>
      <c r="B676" s="2" t="inlineStr">
        <is>
          <t>Kouatchoua gato</t>
        </is>
      </c>
      <c r="C676" s="2" t="inlineStr">
        <is>
          <t>S044</t>
        </is>
      </c>
      <c r="D676" s="2" t="inlineStr">
        <is>
          <t>'Kouatchoua gato'!C10,D10</t>
        </is>
      </c>
      <c r="E676" s="2" t="inlineStr">
        <is>
          <t>salt</t>
        </is>
      </c>
      <c r="F676" s="3" t="n">
        <v>270</v>
      </c>
      <c r="G676" s="2" t="inlineStr">
        <is>
          <t>270</t>
        </is>
      </c>
      <c r="H676" s="2" t="inlineStr">
        <is>
          <t>Retain unique variant; no equivalent operating card selected</t>
        </is>
      </c>
    </row>
    <row r="677">
      <c r="A677" s="2" t="inlineStr">
        <is>
          <t>L075</t>
        </is>
      </c>
      <c r="B677" s="2" t="inlineStr">
        <is>
          <t>Kouatchoua gato</t>
        </is>
      </c>
      <c r="C677" s="2" t="inlineStr">
        <is>
          <t>S044</t>
        </is>
      </c>
      <c r="D677" s="2" t="inlineStr">
        <is>
          <t>'Kouatchoua gato'!C11,D11</t>
        </is>
      </c>
      <c r="E677" s="2" t="inlineStr">
        <is>
          <t>improver</t>
        </is>
      </c>
      <c r="F677" s="3" t="n">
        <v>150</v>
      </c>
      <c r="G677" s="2" t="inlineStr">
        <is>
          <t>150</t>
        </is>
      </c>
      <c r="H677" s="2" t="inlineStr">
        <is>
          <t>Retain unique variant; no equivalent operating card selected</t>
        </is>
      </c>
    </row>
    <row r="678">
      <c r="A678" s="2" t="inlineStr">
        <is>
          <t>L075</t>
        </is>
      </c>
      <c r="B678" s="2" t="inlineStr">
        <is>
          <t>Kouatchoua gato</t>
        </is>
      </c>
      <c r="C678" s="2" t="inlineStr">
        <is>
          <t>S044</t>
        </is>
      </c>
      <c r="D678" s="2" t="inlineStr">
        <is>
          <t>'Kouatchoua gato'!C12,D12</t>
        </is>
      </c>
      <c r="E678" s="2" t="inlineStr">
        <is>
          <t>yeast</t>
        </is>
      </c>
      <c r="F678" s="3" t="n">
        <v>170</v>
      </c>
      <c r="G678" s="2" t="inlineStr">
        <is>
          <t>170</t>
        </is>
      </c>
      <c r="H678" s="2" t="inlineStr">
        <is>
          <t>Retain unique variant; no equivalent operating card selected</t>
        </is>
      </c>
    </row>
    <row r="679">
      <c r="A679" s="2" t="inlineStr">
        <is>
          <t>L075</t>
        </is>
      </c>
      <c r="B679" s="2" t="inlineStr">
        <is>
          <t>Kouatchoua gato</t>
        </is>
      </c>
      <c r="C679" s="2" t="inlineStr">
        <is>
          <t>S044</t>
        </is>
      </c>
      <c r="D679" s="2" t="inlineStr">
        <is>
          <t>'Kouatchoua gato'!C13,D13</t>
        </is>
      </c>
      <c r="E679" s="2" t="inlineStr">
        <is>
          <t>water</t>
        </is>
      </c>
      <c r="F679" s="3" t="n">
        <v>10000</v>
      </c>
      <c r="G679" s="2" t="inlineStr">
        <is>
          <t>10000</t>
        </is>
      </c>
      <c r="H679" s="2" t="inlineStr">
        <is>
          <t>Retain unique variant; no equivalent operating card selected</t>
        </is>
      </c>
    </row>
    <row r="680">
      <c r="A680" s="2" t="inlineStr">
        <is>
          <t>L075</t>
        </is>
      </c>
      <c r="B680" s="2" t="inlineStr">
        <is>
          <t>Kouatchoua gato</t>
        </is>
      </c>
      <c r="C680" s="2" t="inlineStr">
        <is>
          <t>S044</t>
        </is>
      </c>
      <c r="D680" s="2" t="inlineStr">
        <is>
          <t>'Kouatchoua gato'!C14,D14</t>
        </is>
      </c>
      <c r="E680" s="2" t="inlineStr">
        <is>
          <t>Nutmeg</t>
        </is>
      </c>
      <c r="F680" s="3" t="n">
        <v>40</v>
      </c>
      <c r="G680" s="2" t="inlineStr">
        <is>
          <t>40</t>
        </is>
      </c>
      <c r="H680" s="2" t="inlineStr">
        <is>
          <t>Retain unique variant; no equivalent operating card selected</t>
        </is>
      </c>
    </row>
    <row r="681">
      <c r="A681" s="2" t="inlineStr">
        <is>
          <t>L075</t>
        </is>
      </c>
      <c r="B681" s="2" t="inlineStr">
        <is>
          <t>Kouatchoua gato</t>
        </is>
      </c>
      <c r="C681" s="2" t="inlineStr">
        <is>
          <t>S044</t>
        </is>
      </c>
      <c r="D681" s="2" t="inlineStr">
        <is>
          <t>'Kouatchoua gato'!C15,D15</t>
        </is>
      </c>
      <c r="E681" s="2" t="inlineStr">
        <is>
          <t>baking powder</t>
        </is>
      </c>
      <c r="F681" s="3" t="n">
        <v>170</v>
      </c>
      <c r="G681" s="2" t="inlineStr">
        <is>
          <t>170</t>
        </is>
      </c>
      <c r="H681" s="2" t="inlineStr">
        <is>
          <t>Retain unique variant; no equivalent operating card selected</t>
        </is>
      </c>
    </row>
    <row r="682">
      <c r="A682" s="2" t="inlineStr">
        <is>
          <t>L075</t>
        </is>
      </c>
      <c r="B682" s="2" t="inlineStr">
        <is>
          <t>Kouatchoua gato</t>
        </is>
      </c>
      <c r="C682" s="2" t="inlineStr">
        <is>
          <t>S044</t>
        </is>
      </c>
      <c r="D682" s="2" t="inlineStr">
        <is>
          <t>'Kouatchoua gato'!C16,D16</t>
        </is>
      </c>
      <c r="E682" s="2" t="inlineStr">
        <is>
          <t>frying oil</t>
        </is>
      </c>
      <c r="F682" s="3" t="n">
        <v>8000</v>
      </c>
      <c r="G682" s="2" t="inlineStr">
        <is>
          <t>8000</t>
        </is>
      </c>
      <c r="H682" s="2" t="inlineStr">
        <is>
          <t>Retain unique variant; no equivalent operating card selected</t>
        </is>
      </c>
    </row>
    <row r="683">
      <c r="A683" s="2" t="inlineStr">
        <is>
          <t>L076</t>
        </is>
      </c>
      <c r="B683" s="2" t="inlineStr">
        <is>
          <t>Kouatchoua gato</t>
        </is>
      </c>
      <c r="C683" s="2" t="inlineStr">
        <is>
          <t>S044</t>
        </is>
      </c>
      <c r="D683" s="2" t="inlineStr">
        <is>
          <t>'Kouatchoua gato'!C5,J5</t>
        </is>
      </c>
      <c r="E683" s="2" t="inlineStr">
        <is>
          <t>flour</t>
        </is>
      </c>
      <c r="F683" s="3" t="n">
        <v>20000</v>
      </c>
      <c r="G683" s="2" t="inlineStr">
        <is>
          <t>20000</t>
        </is>
      </c>
      <c r="H683" s="2" t="inlineStr">
        <is>
          <t>Retain unique variant; no equivalent operating card selected</t>
        </is>
      </c>
    </row>
    <row r="684">
      <c r="A684" s="2" t="inlineStr">
        <is>
          <t>L076</t>
        </is>
      </c>
      <c r="B684" s="2" t="inlineStr">
        <is>
          <t>Kouatchoua gato</t>
        </is>
      </c>
      <c r="C684" s="2" t="inlineStr">
        <is>
          <t>S044</t>
        </is>
      </c>
      <c r="D684" s="2" t="inlineStr">
        <is>
          <t>'Kouatchoua gato'!C6,J6</t>
        </is>
      </c>
      <c r="E684" s="2" t="inlineStr">
        <is>
          <t>Butter</t>
        </is>
      </c>
      <c r="F684" s="3" t="n">
        <v>560</v>
      </c>
      <c r="G684" s="2" t="inlineStr">
        <is>
          <t>560</t>
        </is>
      </c>
      <c r="H684" s="2" t="inlineStr">
        <is>
          <t>Retain unique variant; no equivalent operating card selected</t>
        </is>
      </c>
    </row>
    <row r="685">
      <c r="A685" s="2" t="inlineStr">
        <is>
          <t>L076</t>
        </is>
      </c>
      <c r="B685" s="2" t="inlineStr">
        <is>
          <t>Kouatchoua gato</t>
        </is>
      </c>
      <c r="C685" s="2" t="inlineStr">
        <is>
          <t>S044</t>
        </is>
      </c>
      <c r="D685" s="2" t="inlineStr">
        <is>
          <t>'Kouatchoua gato'!C7,J7</t>
        </is>
      </c>
      <c r="E685" s="2" t="inlineStr">
        <is>
          <t>sugar</t>
        </is>
      </c>
      <c r="F685" s="3" t="n">
        <v>800</v>
      </c>
      <c r="G685" s="2" t="inlineStr">
        <is>
          <t>800</t>
        </is>
      </c>
      <c r="H685" s="2" t="inlineStr">
        <is>
          <t>Retain unique variant; no equivalent operating card selected</t>
        </is>
      </c>
    </row>
    <row r="686">
      <c r="A686" s="2" t="inlineStr">
        <is>
          <t>L076</t>
        </is>
      </c>
      <c r="B686" s="2" t="inlineStr">
        <is>
          <t>Kouatchoua gato</t>
        </is>
      </c>
      <c r="C686" s="2" t="inlineStr">
        <is>
          <t>S044</t>
        </is>
      </c>
      <c r="D686" s="2" t="inlineStr">
        <is>
          <t>'Kouatchoua gato'!C8,J8</t>
        </is>
      </c>
      <c r="E686" s="2" t="inlineStr">
        <is>
          <t>Conc Milk</t>
        </is>
      </c>
      <c r="F686" s="3" t="n">
        <v>500</v>
      </c>
      <c r="G686" s="2" t="inlineStr">
        <is>
          <t>500</t>
        </is>
      </c>
      <c r="H686" s="2" t="inlineStr">
        <is>
          <t>Retain unique variant; no equivalent operating card selected</t>
        </is>
      </c>
    </row>
    <row r="687">
      <c r="A687" s="2" t="inlineStr">
        <is>
          <t>L076</t>
        </is>
      </c>
      <c r="B687" s="2" t="inlineStr">
        <is>
          <t>Kouatchoua gato</t>
        </is>
      </c>
      <c r="C687" s="2" t="inlineStr">
        <is>
          <t>S044</t>
        </is>
      </c>
      <c r="D687" s="2" t="inlineStr">
        <is>
          <t>'Kouatchoua gato'!C9,J9</t>
        </is>
      </c>
      <c r="E687" s="2" t="inlineStr">
        <is>
          <t>egg</t>
        </is>
      </c>
      <c r="F687" s="3" t="n">
        <v>144</v>
      </c>
      <c r="G687" s="2" t="inlineStr">
        <is>
          <t>144</t>
        </is>
      </c>
      <c r="H687" s="2" t="inlineStr">
        <is>
          <t>Retain unique variant; no equivalent operating card selected</t>
        </is>
      </c>
    </row>
    <row r="688">
      <c r="A688" s="2" t="inlineStr">
        <is>
          <t>L076</t>
        </is>
      </c>
      <c r="B688" s="2" t="inlineStr">
        <is>
          <t>Kouatchoua gato</t>
        </is>
      </c>
      <c r="C688" s="2" t="inlineStr">
        <is>
          <t>S044</t>
        </is>
      </c>
      <c r="D688" s="2" t="inlineStr">
        <is>
          <t>'Kouatchoua gato'!C10,J10</t>
        </is>
      </c>
      <c r="E688" s="2" t="inlineStr">
        <is>
          <t>salt</t>
        </is>
      </c>
      <c r="F688" s="3" t="n">
        <v>166</v>
      </c>
      <c r="G688" s="2" t="inlineStr">
        <is>
          <t>166</t>
        </is>
      </c>
      <c r="H688" s="2" t="inlineStr">
        <is>
          <t>Retain unique variant; no equivalent operating card selected</t>
        </is>
      </c>
    </row>
    <row r="689">
      <c r="A689" s="2" t="inlineStr">
        <is>
          <t>L076</t>
        </is>
      </c>
      <c r="B689" s="2" t="inlineStr">
        <is>
          <t>Kouatchoua gato</t>
        </is>
      </c>
      <c r="C689" s="2" t="inlineStr">
        <is>
          <t>S044</t>
        </is>
      </c>
      <c r="D689" s="2" t="inlineStr">
        <is>
          <t>'Kouatchoua gato'!C11,J11</t>
        </is>
      </c>
      <c r="E689" s="2" t="inlineStr">
        <is>
          <t>improver</t>
        </is>
      </c>
      <c r="F689" s="3" t="n">
        <v>150</v>
      </c>
      <c r="G689" s="2" t="inlineStr">
        <is>
          <t>=D11 [cached: 150]</t>
        </is>
      </c>
      <c r="H689" s="2" t="inlineStr">
        <is>
          <t>Retain unique variant; no equivalent operating card selected</t>
        </is>
      </c>
    </row>
    <row r="690">
      <c r="A690" s="2" t="inlineStr">
        <is>
          <t>L076</t>
        </is>
      </c>
      <c r="B690" s="2" t="inlineStr">
        <is>
          <t>Kouatchoua gato</t>
        </is>
      </c>
      <c r="C690" s="2" t="inlineStr">
        <is>
          <t>S044</t>
        </is>
      </c>
      <c r="D690" s="2" t="inlineStr">
        <is>
          <t>'Kouatchoua gato'!C12,J12</t>
        </is>
      </c>
      <c r="E690" s="2" t="inlineStr">
        <is>
          <t>yeast</t>
        </is>
      </c>
      <c r="F690" s="3" t="n">
        <v>70</v>
      </c>
      <c r="G690" s="2" t="inlineStr">
        <is>
          <t>70</t>
        </is>
      </c>
      <c r="H690" s="2" t="inlineStr">
        <is>
          <t>Retain unique variant; no equivalent operating card selected</t>
        </is>
      </c>
    </row>
    <row r="691">
      <c r="A691" s="2" t="inlineStr">
        <is>
          <t>L076</t>
        </is>
      </c>
      <c r="B691" s="2" t="inlineStr">
        <is>
          <t>Kouatchoua gato</t>
        </is>
      </c>
      <c r="C691" s="2" t="inlineStr">
        <is>
          <t>S044</t>
        </is>
      </c>
      <c r="D691" s="2" t="inlineStr">
        <is>
          <t>'Kouatchoua gato'!C13,J13</t>
        </is>
      </c>
      <c r="E691" s="2" t="inlineStr">
        <is>
          <t>water</t>
        </is>
      </c>
      <c r="F691" s="3" t="n">
        <v>7000</v>
      </c>
      <c r="G691" s="2" t="inlineStr">
        <is>
          <t>7000</t>
        </is>
      </c>
      <c r="H691" s="2" t="inlineStr">
        <is>
          <t>Retain unique variant; no equivalent operating card selected</t>
        </is>
      </c>
    </row>
    <row r="692">
      <c r="A692" s="2" t="inlineStr">
        <is>
          <t>L076</t>
        </is>
      </c>
      <c r="B692" s="2" t="inlineStr">
        <is>
          <t>Kouatchoua gato</t>
        </is>
      </c>
      <c r="C692" s="2" t="inlineStr">
        <is>
          <t>S044</t>
        </is>
      </c>
      <c r="D692" s="2" t="inlineStr">
        <is>
          <t>'Kouatchoua gato'!C14,J14</t>
        </is>
      </c>
      <c r="E692" s="2" t="inlineStr">
        <is>
          <t>Nutmeg</t>
        </is>
      </c>
      <c r="F692" s="3" t="n">
        <v>40</v>
      </c>
      <c r="G692" s="2" t="inlineStr">
        <is>
          <t>=D14 [cached: 40]</t>
        </is>
      </c>
      <c r="H692" s="2" t="inlineStr">
        <is>
          <t>Retain unique variant; no equivalent operating card selected</t>
        </is>
      </c>
    </row>
    <row r="693">
      <c r="A693" s="2" t="inlineStr">
        <is>
          <t>L076</t>
        </is>
      </c>
      <c r="B693" s="2" t="inlineStr">
        <is>
          <t>Kouatchoua gato</t>
        </is>
      </c>
      <c r="C693" s="2" t="inlineStr">
        <is>
          <t>S044</t>
        </is>
      </c>
      <c r="D693" s="2" t="inlineStr">
        <is>
          <t>'Kouatchoua gato'!C15,J15</t>
        </is>
      </c>
      <c r="E693" s="2" t="inlineStr">
        <is>
          <t>baking powder</t>
        </is>
      </c>
      <c r="F693" s="3" t="n">
        <v>20</v>
      </c>
      <c r="G693" s="2" t="inlineStr">
        <is>
          <t>20</t>
        </is>
      </c>
      <c r="H693" s="2" t="inlineStr">
        <is>
          <t>Retain unique variant; no equivalent operating card selected</t>
        </is>
      </c>
    </row>
    <row r="694">
      <c r="A694" s="2" t="inlineStr">
        <is>
          <t>L076</t>
        </is>
      </c>
      <c r="B694" s="2" t="inlineStr">
        <is>
          <t>Kouatchoua gato</t>
        </is>
      </c>
      <c r="C694" s="2" t="inlineStr">
        <is>
          <t>S044</t>
        </is>
      </c>
      <c r="D694" s="2" t="inlineStr">
        <is>
          <t>'Kouatchoua gato'!C16,J16</t>
        </is>
      </c>
      <c r="E694" s="2" t="inlineStr">
        <is>
          <t>frying oil</t>
        </is>
      </c>
      <c r="F694" s="3" t="n">
        <v>8000</v>
      </c>
      <c r="G694" s="2" t="inlineStr">
        <is>
          <t>=D16 [cached: 8000]</t>
        </is>
      </c>
      <c r="H694" s="2" t="inlineStr">
        <is>
          <t>Retain unique variant; no equivalent operating card selected</t>
        </is>
      </c>
    </row>
    <row r="695">
      <c r="A695" s="2" t="inlineStr">
        <is>
          <t>L077</t>
        </is>
      </c>
      <c r="B695" s="2" t="inlineStr">
        <is>
          <t>NGALA BREAD</t>
        </is>
      </c>
      <c r="C695" s="2" t="inlineStr">
        <is>
          <t>S044</t>
        </is>
      </c>
      <c r="D695" s="2" t="inlineStr">
        <is>
          <t>'NGALA BREAD'!C5,D5</t>
        </is>
      </c>
      <c r="E695" s="2" t="inlineStr">
        <is>
          <t>flour</t>
        </is>
      </c>
      <c r="F695" s="3" t="n">
        <v>8500</v>
      </c>
      <c r="G695" s="2" t="inlineStr">
        <is>
          <t>8500</t>
        </is>
      </c>
      <c r="H695" s="2" t="inlineStr">
        <is>
          <t>M1-B01–B13</t>
        </is>
      </c>
    </row>
    <row r="696">
      <c r="A696" s="2" t="inlineStr">
        <is>
          <t>L077</t>
        </is>
      </c>
      <c r="B696" s="2" t="inlineStr">
        <is>
          <t>NGALA BREAD</t>
        </is>
      </c>
      <c r="C696" s="2" t="inlineStr">
        <is>
          <t>S044</t>
        </is>
      </c>
      <c r="D696" s="2" t="inlineStr">
        <is>
          <t>'NGALA BREAD'!C6,D6</t>
        </is>
      </c>
      <c r="E696" s="2" t="inlineStr">
        <is>
          <t>Butter</t>
        </is>
      </c>
      <c r="F696" s="3" t="n">
        <v>1000</v>
      </c>
      <c r="G696" s="2" t="inlineStr">
        <is>
          <t>1000</t>
        </is>
      </c>
      <c r="H696" s="2" t="inlineStr">
        <is>
          <t>M1-B01–B13</t>
        </is>
      </c>
    </row>
    <row r="697">
      <c r="A697" s="2" t="inlineStr">
        <is>
          <t>L077</t>
        </is>
      </c>
      <c r="B697" s="2" t="inlineStr">
        <is>
          <t>NGALA BREAD</t>
        </is>
      </c>
      <c r="C697" s="2" t="inlineStr">
        <is>
          <t>S044</t>
        </is>
      </c>
      <c r="D697" s="2" t="inlineStr">
        <is>
          <t>'NGALA BREAD'!C7,D7</t>
        </is>
      </c>
      <c r="E697" s="2" t="inlineStr">
        <is>
          <t>sugar</t>
        </is>
      </c>
      <c r="F697" s="3" t="n">
        <v>100</v>
      </c>
      <c r="G697" s="2" t="inlineStr">
        <is>
          <t>100</t>
        </is>
      </c>
      <c r="H697" s="2" t="inlineStr">
        <is>
          <t>M1-B01–B13</t>
        </is>
      </c>
    </row>
    <row r="698">
      <c r="A698" s="2" t="inlineStr">
        <is>
          <t>L077</t>
        </is>
      </c>
      <c r="B698" s="2" t="inlineStr">
        <is>
          <t>NGALA BREAD</t>
        </is>
      </c>
      <c r="C698" s="2" t="inlineStr">
        <is>
          <t>S044</t>
        </is>
      </c>
      <c r="D698" s="2" t="inlineStr">
        <is>
          <t>'NGALA BREAD'!C8,D8</t>
        </is>
      </c>
      <c r="E698" s="2" t="inlineStr">
        <is>
          <t>conc milk</t>
        </is>
      </c>
      <c r="F698" s="3" t="n">
        <v>1500</v>
      </c>
      <c r="G698" s="2" t="inlineStr">
        <is>
          <t>1500</t>
        </is>
      </c>
      <c r="H698" s="2" t="inlineStr">
        <is>
          <t>M1-B01–B13</t>
        </is>
      </c>
    </row>
    <row r="699">
      <c r="A699" s="2" t="inlineStr">
        <is>
          <t>L077</t>
        </is>
      </c>
      <c r="B699" s="2" t="inlineStr">
        <is>
          <t>NGALA BREAD</t>
        </is>
      </c>
      <c r="C699" s="2" t="inlineStr">
        <is>
          <t>S044</t>
        </is>
      </c>
      <c r="D699" s="2" t="inlineStr">
        <is>
          <t>'NGALA BREAD'!C9,D9</t>
        </is>
      </c>
      <c r="E699" s="2" t="inlineStr">
        <is>
          <t>egg</t>
        </is>
      </c>
      <c r="F699" s="3" t="n">
        <v>550</v>
      </c>
      <c r="G699" s="2" t="inlineStr">
        <is>
          <t>550</t>
        </is>
      </c>
      <c r="H699" s="2" t="inlineStr">
        <is>
          <t>M1-B01–B13</t>
        </is>
      </c>
    </row>
    <row r="700">
      <c r="A700" s="2" t="inlineStr">
        <is>
          <t>L077</t>
        </is>
      </c>
      <c r="B700" s="2" t="inlineStr">
        <is>
          <t>NGALA BREAD</t>
        </is>
      </c>
      <c r="C700" s="2" t="inlineStr">
        <is>
          <t>S044</t>
        </is>
      </c>
      <c r="D700" s="2" t="inlineStr">
        <is>
          <t>'NGALA BREAD'!C10,D10</t>
        </is>
      </c>
      <c r="E700" s="2" t="inlineStr">
        <is>
          <t>salt</t>
        </is>
      </c>
      <c r="F700" s="3" t="n">
        <v>100</v>
      </c>
      <c r="G700" s="2" t="inlineStr">
        <is>
          <t>100</t>
        </is>
      </c>
      <c r="H700" s="2" t="inlineStr">
        <is>
          <t>M1-B01–B13</t>
        </is>
      </c>
    </row>
    <row r="701">
      <c r="A701" s="2" t="inlineStr">
        <is>
          <t>L077</t>
        </is>
      </c>
      <c r="B701" s="2" t="inlineStr">
        <is>
          <t>NGALA BREAD</t>
        </is>
      </c>
      <c r="C701" s="2" t="inlineStr">
        <is>
          <t>S044</t>
        </is>
      </c>
      <c r="D701" s="2" t="inlineStr">
        <is>
          <t>'NGALA BREAD'!C11,D11</t>
        </is>
      </c>
      <c r="E701" s="2" t="inlineStr">
        <is>
          <t>improver</t>
        </is>
      </c>
      <c r="F701" s="3" t="n">
        <v>100</v>
      </c>
      <c r="G701" s="2" t="inlineStr">
        <is>
          <t>100</t>
        </is>
      </c>
      <c r="H701" s="2" t="inlineStr">
        <is>
          <t>M1-B01–B13</t>
        </is>
      </c>
    </row>
    <row r="702">
      <c r="A702" s="2" t="inlineStr">
        <is>
          <t>L077</t>
        </is>
      </c>
      <c r="B702" s="2" t="inlineStr">
        <is>
          <t>NGALA BREAD</t>
        </is>
      </c>
      <c r="C702" s="2" t="inlineStr">
        <is>
          <t>S044</t>
        </is>
      </c>
      <c r="D702" s="2" t="inlineStr">
        <is>
          <t>'NGALA BREAD'!C12,D12</t>
        </is>
      </c>
      <c r="E702" s="2" t="inlineStr">
        <is>
          <t>yeast</t>
        </is>
      </c>
      <c r="F702" s="3" t="n">
        <v>90</v>
      </c>
      <c r="G702" s="2" t="inlineStr">
        <is>
          <t>90</t>
        </is>
      </c>
      <c r="H702" s="2" t="inlineStr">
        <is>
          <t>M1-B01–B13</t>
        </is>
      </c>
    </row>
    <row r="703">
      <c r="A703" s="2" t="inlineStr">
        <is>
          <t>L077</t>
        </is>
      </c>
      <c r="B703" s="2" t="inlineStr">
        <is>
          <t>NGALA BREAD</t>
        </is>
      </c>
      <c r="C703" s="2" t="inlineStr">
        <is>
          <t>S044</t>
        </is>
      </c>
      <c r="D703" s="2" t="inlineStr">
        <is>
          <t>'NGALA BREAD'!C13,D13</t>
        </is>
      </c>
      <c r="E703" s="2" t="inlineStr">
        <is>
          <t>water</t>
        </is>
      </c>
      <c r="F703" s="3" t="n">
        <v>4000</v>
      </c>
      <c r="G703" s="2" t="inlineStr">
        <is>
          <t>4000</t>
        </is>
      </c>
      <c r="H703" s="2" t="inlineStr">
        <is>
          <t>M1-B01–B13</t>
        </is>
      </c>
    </row>
    <row r="704">
      <c r="A704" s="2" t="inlineStr">
        <is>
          <t>L078</t>
        </is>
      </c>
      <c r="B704" s="2" t="inlineStr">
        <is>
          <t>New bageutte</t>
        </is>
      </c>
      <c r="C704" s="2" t="inlineStr">
        <is>
          <t>S044</t>
        </is>
      </c>
      <c r="D704" s="2" t="inlineStr">
        <is>
          <t>'New bageutte'!C5,D5</t>
        </is>
      </c>
      <c r="E704" s="2" t="inlineStr">
        <is>
          <t>flour</t>
        </is>
      </c>
      <c r="F704" s="3" t="n">
        <v>7000</v>
      </c>
      <c r="G704" s="2" t="inlineStr">
        <is>
          <t>=F5*20 [cached: 7000]</t>
        </is>
      </c>
      <c r="H704" s="2" t="inlineStr">
        <is>
          <t>Retain unique variant; no equivalent operating card selected</t>
        </is>
      </c>
    </row>
    <row r="705">
      <c r="A705" s="2" t="inlineStr">
        <is>
          <t>L078</t>
        </is>
      </c>
      <c r="B705" s="2" t="inlineStr">
        <is>
          <t>New bageutte</t>
        </is>
      </c>
      <c r="C705" s="2" t="inlineStr">
        <is>
          <t>S044</t>
        </is>
      </c>
      <c r="D705" s="2" t="inlineStr">
        <is>
          <t>'New bageutte'!C6,D6</t>
        </is>
      </c>
      <c r="E705" s="2" t="inlineStr">
        <is>
          <t>yeast</t>
        </is>
      </c>
      <c r="F705" s="3" t="n">
        <v>40</v>
      </c>
      <c r="G705" s="2" t="inlineStr">
        <is>
          <t>=F6*20 [cached: 40]</t>
        </is>
      </c>
      <c r="H705" s="2" t="inlineStr">
        <is>
          <t>Retain unique variant; no equivalent operating card selected</t>
        </is>
      </c>
    </row>
    <row r="706">
      <c r="A706" s="2" t="inlineStr">
        <is>
          <t>L078</t>
        </is>
      </c>
      <c r="B706" s="2" t="inlineStr">
        <is>
          <t>New bageutte</t>
        </is>
      </c>
      <c r="C706" s="2" t="inlineStr">
        <is>
          <t>S044</t>
        </is>
      </c>
      <c r="D706" s="2" t="inlineStr">
        <is>
          <t>'New bageutte'!C7,D7</t>
        </is>
      </c>
      <c r="E706" s="2" t="inlineStr">
        <is>
          <t>sugar</t>
        </is>
      </c>
      <c r="F706" s="3" t="n">
        <v>200</v>
      </c>
      <c r="G706" s="2" t="inlineStr">
        <is>
          <t>=F7*20 [cached: 200]</t>
        </is>
      </c>
      <c r="H706" s="2" t="inlineStr">
        <is>
          <t>Retain unique variant; no equivalent operating card selected</t>
        </is>
      </c>
    </row>
    <row r="707">
      <c r="A707" s="2" t="inlineStr">
        <is>
          <t>L078</t>
        </is>
      </c>
      <c r="B707" s="2" t="inlineStr">
        <is>
          <t>New bageutte</t>
        </is>
      </c>
      <c r="C707" s="2" t="inlineStr">
        <is>
          <t>S044</t>
        </is>
      </c>
      <c r="D707" s="2" t="inlineStr">
        <is>
          <t>'New bageutte'!C8,D8</t>
        </is>
      </c>
      <c r="E707" s="2" t="inlineStr">
        <is>
          <t>salt</t>
        </is>
      </c>
      <c r="F707" s="3" t="n">
        <v>200</v>
      </c>
      <c r="G707" s="2" t="inlineStr">
        <is>
          <t>=F8*20 [cached: 200]</t>
        </is>
      </c>
      <c r="H707" s="2" t="inlineStr">
        <is>
          <t>Retain unique variant; no equivalent operating card selected</t>
        </is>
      </c>
    </row>
    <row r="708">
      <c r="A708" s="2" t="inlineStr">
        <is>
          <t>L078</t>
        </is>
      </c>
      <c r="B708" s="2" t="inlineStr">
        <is>
          <t>New bageutte</t>
        </is>
      </c>
      <c r="C708" s="2" t="inlineStr">
        <is>
          <t>S044</t>
        </is>
      </c>
      <c r="D708" s="2" t="inlineStr">
        <is>
          <t>'New bageutte'!C9,D9</t>
        </is>
      </c>
      <c r="E708" s="2" t="inlineStr">
        <is>
          <t>water</t>
        </is>
      </c>
      <c r="F708" s="3" t="n">
        <v>4200</v>
      </c>
      <c r="G708" s="2" t="inlineStr">
        <is>
          <t>=F9*20 [cached: 4200]</t>
        </is>
      </c>
      <c r="H708" s="2" t="inlineStr">
        <is>
          <t>Retain unique variant; no equivalent operating card selected</t>
        </is>
      </c>
    </row>
    <row r="709">
      <c r="A709" s="2" t="inlineStr">
        <is>
          <t>L078</t>
        </is>
      </c>
      <c r="B709" s="2" t="inlineStr">
        <is>
          <t>New bageutte</t>
        </is>
      </c>
      <c r="C709" s="2" t="inlineStr">
        <is>
          <t>S044</t>
        </is>
      </c>
      <c r="D709" s="2" t="inlineStr">
        <is>
          <t>'New bageutte'!C10,D10</t>
        </is>
      </c>
      <c r="E709" s="2" t="inlineStr">
        <is>
          <t>improver</t>
        </is>
      </c>
      <c r="F709" s="3" t="n">
        <v>400</v>
      </c>
      <c r="G709" s="2" t="inlineStr">
        <is>
          <t>=F10*20 [cached: 400]</t>
        </is>
      </c>
      <c r="H709" s="2" t="inlineStr">
        <is>
          <t>Retain unique variant; no equivalent operating card selected</t>
        </is>
      </c>
    </row>
    <row r="710">
      <c r="A710" s="2" t="inlineStr">
        <is>
          <t>L079</t>
        </is>
      </c>
      <c r="B710" s="2" t="inlineStr">
        <is>
          <t>Pancake</t>
        </is>
      </c>
      <c r="C710" s="2" t="inlineStr">
        <is>
          <t>S044</t>
        </is>
      </c>
      <c r="D710" s="2" t="inlineStr">
        <is>
          <t>'Pancake'!C5,D5</t>
        </is>
      </c>
      <c r="E710" s="2" t="inlineStr">
        <is>
          <t>flour</t>
        </is>
      </c>
      <c r="F710" s="3" t="n">
        <v>2000</v>
      </c>
      <c r="G710" s="2" t="inlineStr">
        <is>
          <t>2000</t>
        </is>
      </c>
      <c r="H710" s="2" t="inlineStr">
        <is>
          <t>H08 / H09; exact style differs</t>
        </is>
      </c>
    </row>
    <row r="711">
      <c r="A711" s="2" t="inlineStr">
        <is>
          <t>L079</t>
        </is>
      </c>
      <c r="B711" s="2" t="inlineStr">
        <is>
          <t>Pancake</t>
        </is>
      </c>
      <c r="C711" s="2" t="inlineStr">
        <is>
          <t>S044</t>
        </is>
      </c>
      <c r="D711" s="2" t="inlineStr">
        <is>
          <t>'Pancake'!C6,D6</t>
        </is>
      </c>
      <c r="E711" s="2" t="inlineStr">
        <is>
          <t>yeast</t>
        </is>
      </c>
      <c r="F711" s="3" t="n">
        <v>30</v>
      </c>
      <c r="G711" s="2" t="inlineStr">
        <is>
          <t>30</t>
        </is>
      </c>
      <c r="H711" s="2" t="inlineStr">
        <is>
          <t>H08 / H09; exact style differs</t>
        </is>
      </c>
    </row>
    <row r="712">
      <c r="A712" s="2" t="inlineStr">
        <is>
          <t>L079</t>
        </is>
      </c>
      <c r="B712" s="2" t="inlineStr">
        <is>
          <t>Pancake</t>
        </is>
      </c>
      <c r="C712" s="2" t="inlineStr">
        <is>
          <t>S044</t>
        </is>
      </c>
      <c r="D712" s="2" t="inlineStr">
        <is>
          <t>'Pancake'!C7,D7</t>
        </is>
      </c>
      <c r="E712" s="2" t="inlineStr">
        <is>
          <t>salt</t>
        </is>
      </c>
      <c r="F712" s="3" t="n">
        <v>20</v>
      </c>
      <c r="G712" s="2" t="inlineStr">
        <is>
          <t>20</t>
        </is>
      </c>
      <c r="H712" s="2" t="inlineStr">
        <is>
          <t>H08 / H09; exact style differs</t>
        </is>
      </c>
    </row>
    <row r="713">
      <c r="A713" s="2" t="inlineStr">
        <is>
          <t>L079</t>
        </is>
      </c>
      <c r="B713" s="2" t="inlineStr">
        <is>
          <t>Pancake</t>
        </is>
      </c>
      <c r="C713" s="2" t="inlineStr">
        <is>
          <t>S044</t>
        </is>
      </c>
      <c r="D713" s="2" t="inlineStr">
        <is>
          <t>'Pancake'!C8,D8</t>
        </is>
      </c>
      <c r="E713" s="2" t="inlineStr">
        <is>
          <t>Nut Meg</t>
        </is>
      </c>
      <c r="F713" s="3" t="n">
        <v>20</v>
      </c>
      <c r="G713" s="2" t="inlineStr">
        <is>
          <t>20</t>
        </is>
      </c>
      <c r="H713" s="2" t="inlineStr">
        <is>
          <t>H08 / H09; exact style differs</t>
        </is>
      </c>
    </row>
    <row r="714">
      <c r="A714" s="2" t="inlineStr">
        <is>
          <t>L079</t>
        </is>
      </c>
      <c r="B714" s="2" t="inlineStr">
        <is>
          <t>Pancake</t>
        </is>
      </c>
      <c r="C714" s="2" t="inlineStr">
        <is>
          <t>S044</t>
        </is>
      </c>
      <c r="D714" s="2" t="inlineStr">
        <is>
          <t>'Pancake'!C9,D9</t>
        </is>
      </c>
      <c r="E714" s="2" t="inlineStr">
        <is>
          <t>water</t>
        </is>
      </c>
      <c r="F714" s="3" t="n">
        <v>4500</v>
      </c>
      <c r="G714" s="2" t="inlineStr">
        <is>
          <t>4500</t>
        </is>
      </c>
      <c r="H714" s="2" t="inlineStr">
        <is>
          <t>H08 / H09; exact style differs</t>
        </is>
      </c>
    </row>
    <row r="715">
      <c r="A715" s="2" t="inlineStr">
        <is>
          <t>L079</t>
        </is>
      </c>
      <c r="B715" s="2" t="inlineStr">
        <is>
          <t>Pancake</t>
        </is>
      </c>
      <c r="C715" s="2" t="inlineStr">
        <is>
          <t>S044</t>
        </is>
      </c>
      <c r="D715" s="2" t="inlineStr">
        <is>
          <t>'Pancake'!C10,D10</t>
        </is>
      </c>
      <c r="E715" s="2" t="inlineStr">
        <is>
          <t>Egg</t>
        </is>
      </c>
      <c r="F715" s="3" t="n">
        <v>36</v>
      </c>
      <c r="G715" s="2" t="inlineStr">
        <is>
          <t>36</t>
        </is>
      </c>
      <c r="H715" s="2" t="inlineStr">
        <is>
          <t>H08 / H09; exact style differs</t>
        </is>
      </c>
    </row>
    <row r="716">
      <c r="A716" s="2" t="inlineStr">
        <is>
          <t>L079</t>
        </is>
      </c>
      <c r="B716" s="2" t="inlineStr">
        <is>
          <t>Pancake</t>
        </is>
      </c>
      <c r="C716" s="2" t="inlineStr">
        <is>
          <t>S044</t>
        </is>
      </c>
      <c r="D716" s="2" t="inlineStr">
        <is>
          <t>'Pancake'!C11,D11</t>
        </is>
      </c>
      <c r="E716" s="2" t="inlineStr">
        <is>
          <t>sugar</t>
        </is>
      </c>
      <c r="F716" s="3" t="n">
        <v>600</v>
      </c>
      <c r="G716" s="2" t="inlineStr">
        <is>
          <t>600</t>
        </is>
      </c>
      <c r="H716" s="2" t="inlineStr">
        <is>
          <t>H08 / H09; exact style differs</t>
        </is>
      </c>
    </row>
    <row r="717">
      <c r="A717" s="2" t="inlineStr">
        <is>
          <t>L079</t>
        </is>
      </c>
      <c r="B717" s="2" t="inlineStr">
        <is>
          <t>Pancake</t>
        </is>
      </c>
      <c r="C717" s="2" t="inlineStr">
        <is>
          <t>S044</t>
        </is>
      </c>
      <c r="D717" s="2" t="inlineStr">
        <is>
          <t>'Pancake'!C12,D12</t>
        </is>
      </c>
      <c r="E717" s="2" t="inlineStr">
        <is>
          <t>improver</t>
        </is>
      </c>
      <c r="F717" s="3" t="n">
        <v>20</v>
      </c>
      <c r="G717" s="2" t="inlineStr">
        <is>
          <t>20</t>
        </is>
      </c>
      <c r="H717" s="2" t="inlineStr">
        <is>
          <t>H08 / H09; exact style differs</t>
        </is>
      </c>
    </row>
    <row r="718">
      <c r="A718" s="2" t="inlineStr">
        <is>
          <t>L079</t>
        </is>
      </c>
      <c r="B718" s="2" t="inlineStr">
        <is>
          <t>Pancake</t>
        </is>
      </c>
      <c r="C718" s="2" t="inlineStr">
        <is>
          <t>S044</t>
        </is>
      </c>
      <c r="D718" s="2" t="inlineStr">
        <is>
          <t>'Pancake'!C13,D13</t>
        </is>
      </c>
      <c r="E718" s="2" t="inlineStr">
        <is>
          <t>milk</t>
        </is>
      </c>
      <c r="F718" s="3" t="n">
        <v>650</v>
      </c>
      <c r="G718" s="2" t="inlineStr">
        <is>
          <t>650</t>
        </is>
      </c>
      <c r="H718" s="2" t="inlineStr">
        <is>
          <t>H08 / H09; exact style differs</t>
        </is>
      </c>
    </row>
    <row r="719">
      <c r="A719" s="2" t="inlineStr">
        <is>
          <t>L080</t>
        </is>
      </c>
      <c r="B719" s="2" t="inlineStr">
        <is>
          <t>Sugar Balls</t>
        </is>
      </c>
      <c r="C719" s="2" t="inlineStr">
        <is>
          <t>S044</t>
        </is>
      </c>
      <c r="D719" s="2" t="inlineStr">
        <is>
          <t>'Sugar Balls'!C5,D5</t>
        </is>
      </c>
      <c r="E719" s="2" t="inlineStr">
        <is>
          <t>flour</t>
        </is>
      </c>
      <c r="F719" s="3" t="n">
        <v>5000</v>
      </c>
      <c r="G719" s="2" t="inlineStr">
        <is>
          <t>5000</t>
        </is>
      </c>
      <c r="H719" s="2" t="inlineStr">
        <is>
          <t>Retain unique variant; no equivalent operating card selected</t>
        </is>
      </c>
    </row>
    <row r="720">
      <c r="A720" s="2" t="inlineStr">
        <is>
          <t>L080</t>
        </is>
      </c>
      <c r="B720" s="2" t="inlineStr">
        <is>
          <t>Sugar Balls</t>
        </is>
      </c>
      <c r="C720" s="2" t="inlineStr">
        <is>
          <t>S044</t>
        </is>
      </c>
      <c r="D720" s="2" t="inlineStr">
        <is>
          <t>'Sugar Balls'!C6,D6</t>
        </is>
      </c>
      <c r="E720" s="2" t="inlineStr">
        <is>
          <t>baking powder</t>
        </is>
      </c>
      <c r="F720" s="3" t="n">
        <v>70</v>
      </c>
      <c r="G720" s="2" t="inlineStr">
        <is>
          <t>70</t>
        </is>
      </c>
      <c r="H720" s="2" t="inlineStr">
        <is>
          <t>Retain unique variant; no equivalent operating card selected</t>
        </is>
      </c>
    </row>
    <row r="721">
      <c r="A721" s="2" t="inlineStr">
        <is>
          <t>L080</t>
        </is>
      </c>
      <c r="B721" s="2" t="inlineStr">
        <is>
          <t>Sugar Balls</t>
        </is>
      </c>
      <c r="C721" s="2" t="inlineStr">
        <is>
          <t>S044</t>
        </is>
      </c>
      <c r="D721" s="2" t="inlineStr">
        <is>
          <t>'Sugar Balls'!C7,D7</t>
        </is>
      </c>
      <c r="E721" s="2" t="inlineStr">
        <is>
          <t>sugar</t>
        </is>
      </c>
      <c r="F721" s="3" t="n">
        <v>600</v>
      </c>
      <c r="G721" s="2" t="inlineStr">
        <is>
          <t>600</t>
        </is>
      </c>
      <c r="H721" s="2" t="inlineStr">
        <is>
          <t>Retain unique variant; no equivalent operating card selected</t>
        </is>
      </c>
    </row>
    <row r="722">
      <c r="A722" s="2" t="inlineStr">
        <is>
          <t>L080</t>
        </is>
      </c>
      <c r="B722" s="2" t="inlineStr">
        <is>
          <t>Sugar Balls</t>
        </is>
      </c>
      <c r="C722" s="2" t="inlineStr">
        <is>
          <t>S044</t>
        </is>
      </c>
      <c r="D722" s="2" t="inlineStr">
        <is>
          <t>'Sugar Balls'!C8,D8</t>
        </is>
      </c>
      <c r="E722" s="2" t="inlineStr">
        <is>
          <t>Butter</t>
        </is>
      </c>
      <c r="F722" s="3" t="n">
        <v>550</v>
      </c>
      <c r="G722" s="2" t="inlineStr">
        <is>
          <t>550</t>
        </is>
      </c>
      <c r="H722" s="2" t="inlineStr">
        <is>
          <t>Retain unique variant; no equivalent operating card selected</t>
        </is>
      </c>
    </row>
    <row r="723">
      <c r="A723" s="2" t="inlineStr">
        <is>
          <t>L080</t>
        </is>
      </c>
      <c r="B723" s="2" t="inlineStr">
        <is>
          <t>Sugar Balls</t>
        </is>
      </c>
      <c r="C723" s="2" t="inlineStr">
        <is>
          <t>S044</t>
        </is>
      </c>
      <c r="D723" s="2" t="inlineStr">
        <is>
          <t>'Sugar Balls'!C9,D9</t>
        </is>
      </c>
      <c r="E723" s="2" t="inlineStr">
        <is>
          <t>salt</t>
        </is>
      </c>
      <c r="F723" s="3" t="n">
        <v>80</v>
      </c>
      <c r="G723" s="2" t="inlineStr">
        <is>
          <t>80</t>
        </is>
      </c>
      <c r="H723" s="2" t="inlineStr">
        <is>
          <t>Retain unique variant; no equivalent operating card selected</t>
        </is>
      </c>
    </row>
    <row r="724">
      <c r="A724" s="2" t="inlineStr">
        <is>
          <t>L080</t>
        </is>
      </c>
      <c r="B724" s="2" t="inlineStr">
        <is>
          <t>Sugar Balls</t>
        </is>
      </c>
      <c r="C724" s="2" t="inlineStr">
        <is>
          <t>S044</t>
        </is>
      </c>
      <c r="D724" s="2" t="inlineStr">
        <is>
          <t>'Sugar Balls'!C10,D10</t>
        </is>
      </c>
      <c r="E724" s="2" t="inlineStr">
        <is>
          <t>Cold Water</t>
        </is>
      </c>
      <c r="F724" s="3" t="n">
        <v>2000</v>
      </c>
      <c r="G724" s="2" t="inlineStr">
        <is>
          <t>2000</t>
        </is>
      </c>
      <c r="H724" s="2" t="inlineStr">
        <is>
          <t>Retain unique variant; no equivalent operating card selected</t>
        </is>
      </c>
    </row>
    <row r="725">
      <c r="A725" s="2" t="inlineStr">
        <is>
          <t>L080</t>
        </is>
      </c>
      <c r="B725" s="2" t="inlineStr">
        <is>
          <t>Sugar Balls</t>
        </is>
      </c>
      <c r="C725" s="2" t="inlineStr">
        <is>
          <t>S044</t>
        </is>
      </c>
      <c r="D725" s="2" t="inlineStr">
        <is>
          <t>'Sugar Balls'!C11,D11</t>
        </is>
      </c>
      <c r="E725" s="2" t="inlineStr">
        <is>
          <t>Improver</t>
        </is>
      </c>
      <c r="F725" s="3" t="n">
        <v>100</v>
      </c>
      <c r="G725" s="2" t="inlineStr">
        <is>
          <t>100</t>
        </is>
      </c>
      <c r="H725" s="2" t="inlineStr">
        <is>
          <t>Retain unique variant; no equivalent operating card selected</t>
        </is>
      </c>
    </row>
    <row r="726">
      <c r="A726" s="2" t="inlineStr">
        <is>
          <t>L080</t>
        </is>
      </c>
      <c r="B726" s="2" t="inlineStr">
        <is>
          <t>Sugar Balls</t>
        </is>
      </c>
      <c r="C726" s="2" t="inlineStr">
        <is>
          <t>S044</t>
        </is>
      </c>
      <c r="D726" s="2" t="inlineStr">
        <is>
          <t>'Sugar Balls'!C12,D12</t>
        </is>
      </c>
      <c r="E726" s="2" t="inlineStr">
        <is>
          <t>yeast</t>
        </is>
      </c>
      <c r="F726" s="3" t="n">
        <v>140</v>
      </c>
      <c r="G726" s="2" t="inlineStr">
        <is>
          <t>140</t>
        </is>
      </c>
      <c r="H726" s="2" t="inlineStr">
        <is>
          <t>Retain unique variant; no equivalent operating card selected</t>
        </is>
      </c>
    </row>
    <row r="727">
      <c r="A727" s="2" t="inlineStr">
        <is>
          <t>L081</t>
        </is>
      </c>
      <c r="B727" s="2" t="inlineStr">
        <is>
          <t>Sugar Balls</t>
        </is>
      </c>
      <c r="C727" s="2" t="inlineStr">
        <is>
          <t>S044</t>
        </is>
      </c>
      <c r="D727" s="2" t="inlineStr">
        <is>
          <t>'Sugar Balls'!C5,H5</t>
        </is>
      </c>
      <c r="E727" s="2" t="inlineStr">
        <is>
          <t>flour</t>
        </is>
      </c>
      <c r="F727" s="3" t="n">
        <v>25000</v>
      </c>
      <c r="G727" s="2" t="inlineStr">
        <is>
          <t>=D5*5 [cached: 25000]</t>
        </is>
      </c>
      <c r="H727" s="2" t="inlineStr">
        <is>
          <t>Retain unique variant; no equivalent operating card selected</t>
        </is>
      </c>
    </row>
    <row r="728">
      <c r="A728" s="2" t="inlineStr">
        <is>
          <t>L081</t>
        </is>
      </c>
      <c r="B728" s="2" t="inlineStr">
        <is>
          <t>Sugar Balls</t>
        </is>
      </c>
      <c r="C728" s="2" t="inlineStr">
        <is>
          <t>S044</t>
        </is>
      </c>
      <c r="D728" s="2" t="inlineStr">
        <is>
          <t>'Sugar Balls'!C6,H6</t>
        </is>
      </c>
      <c r="E728" s="2" t="inlineStr">
        <is>
          <t>baking powder</t>
        </is>
      </c>
      <c r="F728" s="3" t="n">
        <v>350</v>
      </c>
      <c r="G728" s="2" t="inlineStr">
        <is>
          <t>=D6*5 [cached: 350]</t>
        </is>
      </c>
      <c r="H728" s="2" t="inlineStr">
        <is>
          <t>Retain unique variant; no equivalent operating card selected</t>
        </is>
      </c>
    </row>
    <row r="729">
      <c r="A729" s="2" t="inlineStr">
        <is>
          <t>L081</t>
        </is>
      </c>
      <c r="B729" s="2" t="inlineStr">
        <is>
          <t>Sugar Balls</t>
        </is>
      </c>
      <c r="C729" s="2" t="inlineStr">
        <is>
          <t>S044</t>
        </is>
      </c>
      <c r="D729" s="2" t="inlineStr">
        <is>
          <t>'Sugar Balls'!C7,H7</t>
        </is>
      </c>
      <c r="E729" s="2" t="inlineStr">
        <is>
          <t>sugar</t>
        </is>
      </c>
      <c r="F729" s="3" t="n">
        <v>3000</v>
      </c>
      <c r="G729" s="2" t="inlineStr">
        <is>
          <t>=D7*5 [cached: 3000]</t>
        </is>
      </c>
      <c r="H729" s="2" t="inlineStr">
        <is>
          <t>Retain unique variant; no equivalent operating card selected</t>
        </is>
      </c>
    </row>
    <row r="730">
      <c r="A730" s="2" t="inlineStr">
        <is>
          <t>L081</t>
        </is>
      </c>
      <c r="B730" s="2" t="inlineStr">
        <is>
          <t>Sugar Balls</t>
        </is>
      </c>
      <c r="C730" s="2" t="inlineStr">
        <is>
          <t>S044</t>
        </is>
      </c>
      <c r="D730" s="2" t="inlineStr">
        <is>
          <t>'Sugar Balls'!C8,H8</t>
        </is>
      </c>
      <c r="E730" s="2" t="inlineStr">
        <is>
          <t>Butter</t>
        </is>
      </c>
      <c r="F730" s="3" t="n">
        <v>2750</v>
      </c>
      <c r="G730" s="2" t="inlineStr">
        <is>
          <t>=D8*5 [cached: 2750]</t>
        </is>
      </c>
      <c r="H730" s="2" t="inlineStr">
        <is>
          <t>Retain unique variant; no equivalent operating card selected</t>
        </is>
      </c>
    </row>
    <row r="731">
      <c r="A731" s="2" t="inlineStr">
        <is>
          <t>L081</t>
        </is>
      </c>
      <c r="B731" s="2" t="inlineStr">
        <is>
          <t>Sugar Balls</t>
        </is>
      </c>
      <c r="C731" s="2" t="inlineStr">
        <is>
          <t>S044</t>
        </is>
      </c>
      <c r="D731" s="2" t="inlineStr">
        <is>
          <t>'Sugar Balls'!C9,H9</t>
        </is>
      </c>
      <c r="E731" s="2" t="inlineStr">
        <is>
          <t>salt</t>
        </is>
      </c>
      <c r="F731" s="3" t="n">
        <v>400</v>
      </c>
      <c r="G731" s="2" t="inlineStr">
        <is>
          <t>=D9*5 [cached: 400]</t>
        </is>
      </c>
      <c r="H731" s="2" t="inlineStr">
        <is>
          <t>Retain unique variant; no equivalent operating card selected</t>
        </is>
      </c>
    </row>
    <row r="732">
      <c r="A732" s="2" t="inlineStr">
        <is>
          <t>L081</t>
        </is>
      </c>
      <c r="B732" s="2" t="inlineStr">
        <is>
          <t>Sugar Balls</t>
        </is>
      </c>
      <c r="C732" s="2" t="inlineStr">
        <is>
          <t>S044</t>
        </is>
      </c>
      <c r="D732" s="2" t="inlineStr">
        <is>
          <t>'Sugar Balls'!C10,H10</t>
        </is>
      </c>
      <c r="E732" s="2" t="inlineStr">
        <is>
          <t>Cold Water</t>
        </is>
      </c>
      <c r="F732" s="3" t="n">
        <v>10000</v>
      </c>
      <c r="G732" s="2" t="inlineStr">
        <is>
          <t>=D10*5 [cached: 10000]</t>
        </is>
      </c>
      <c r="H732" s="2" t="inlineStr">
        <is>
          <t>Retain unique variant; no equivalent operating card selected</t>
        </is>
      </c>
    </row>
    <row r="733">
      <c r="A733" s="2" t="inlineStr">
        <is>
          <t>L081</t>
        </is>
      </c>
      <c r="B733" s="2" t="inlineStr">
        <is>
          <t>Sugar Balls</t>
        </is>
      </c>
      <c r="C733" s="2" t="inlineStr">
        <is>
          <t>S044</t>
        </is>
      </c>
      <c r="D733" s="2" t="inlineStr">
        <is>
          <t>'Sugar Balls'!C11,H11</t>
        </is>
      </c>
      <c r="E733" s="2" t="inlineStr">
        <is>
          <t>Improver</t>
        </is>
      </c>
      <c r="F733" s="3" t="n">
        <v>500</v>
      </c>
      <c r="G733" s="2" t="inlineStr">
        <is>
          <t>=D11*5 [cached: 500]</t>
        </is>
      </c>
      <c r="H733" s="2" t="inlineStr">
        <is>
          <t>Retain unique variant; no equivalent operating card selected</t>
        </is>
      </c>
    </row>
    <row r="734">
      <c r="A734" s="2" t="inlineStr">
        <is>
          <t>L081</t>
        </is>
      </c>
      <c r="B734" s="2" t="inlineStr">
        <is>
          <t>Sugar Balls</t>
        </is>
      </c>
      <c r="C734" s="2" t="inlineStr">
        <is>
          <t>S044</t>
        </is>
      </c>
      <c r="D734" s="2" t="inlineStr">
        <is>
          <t>'Sugar Balls'!C12,H12</t>
        </is>
      </c>
      <c r="E734" s="2" t="inlineStr">
        <is>
          <t>yeast</t>
        </is>
      </c>
      <c r="F734" s="3" t="n">
        <v>233.8</v>
      </c>
      <c r="G734" s="2" t="inlineStr">
        <is>
          <t>=D12*1.67 [cached: 233.8]</t>
        </is>
      </c>
      <c r="H734" s="2" t="inlineStr">
        <is>
          <t>Retain unique variant; no equivalent operating card selected</t>
        </is>
      </c>
    </row>
    <row r="735">
      <c r="A735" s="2" t="inlineStr">
        <is>
          <t>L082</t>
        </is>
      </c>
      <c r="B735" s="2" t="inlineStr">
        <is>
          <t>YUMMY BREAD</t>
        </is>
      </c>
      <c r="C735" s="2" t="inlineStr">
        <is>
          <t>S044</t>
        </is>
      </c>
      <c r="D735" s="2" t="inlineStr">
        <is>
          <t>'YUMMY BREAD'!C5,D5</t>
        </is>
      </c>
      <c r="E735" s="2" t="inlineStr">
        <is>
          <t>flour</t>
        </is>
      </c>
      <c r="F735" s="3" t="n">
        <v>15000</v>
      </c>
      <c r="G735" s="2" t="inlineStr">
        <is>
          <t>15000</t>
        </is>
      </c>
      <c r="H735" s="2" t="inlineStr">
        <is>
          <t>M1-B01–B13</t>
        </is>
      </c>
    </row>
    <row r="736">
      <c r="A736" s="2" t="inlineStr">
        <is>
          <t>L082</t>
        </is>
      </c>
      <c r="B736" s="2" t="inlineStr">
        <is>
          <t>YUMMY BREAD</t>
        </is>
      </c>
      <c r="C736" s="2" t="inlineStr">
        <is>
          <t>S044</t>
        </is>
      </c>
      <c r="D736" s="2" t="inlineStr">
        <is>
          <t>'YUMMY BREAD'!C6,D6</t>
        </is>
      </c>
      <c r="E736" s="2" t="inlineStr">
        <is>
          <t>Butter</t>
        </is>
      </c>
      <c r="F736" s="3" t="n">
        <v>1500</v>
      </c>
      <c r="G736" s="2" t="inlineStr">
        <is>
          <t>1500</t>
        </is>
      </c>
      <c r="H736" s="2" t="inlineStr">
        <is>
          <t>M1-B01–B13</t>
        </is>
      </c>
    </row>
    <row r="737">
      <c r="A737" s="2" t="inlineStr">
        <is>
          <t>L082</t>
        </is>
      </c>
      <c r="B737" s="2" t="inlineStr">
        <is>
          <t>YUMMY BREAD</t>
        </is>
      </c>
      <c r="C737" s="2" t="inlineStr">
        <is>
          <t>S044</t>
        </is>
      </c>
      <c r="D737" s="2" t="inlineStr">
        <is>
          <t>'YUMMY BREAD'!C7,D7</t>
        </is>
      </c>
      <c r="E737" s="2" t="inlineStr">
        <is>
          <t>sugar</t>
        </is>
      </c>
      <c r="F737" s="3" t="n">
        <v>1500</v>
      </c>
      <c r="G737" s="2" t="inlineStr">
        <is>
          <t>1500</t>
        </is>
      </c>
      <c r="H737" s="2" t="inlineStr">
        <is>
          <t>M1-B01–B13</t>
        </is>
      </c>
    </row>
    <row r="738">
      <c r="A738" s="2" t="inlineStr">
        <is>
          <t>L082</t>
        </is>
      </c>
      <c r="B738" s="2" t="inlineStr">
        <is>
          <t>YUMMY BREAD</t>
        </is>
      </c>
      <c r="C738" s="2" t="inlineStr">
        <is>
          <t>S044</t>
        </is>
      </c>
      <c r="D738" s="2" t="inlineStr">
        <is>
          <t>'YUMMY BREAD'!C8,D8</t>
        </is>
      </c>
      <c r="E738" s="2" t="inlineStr">
        <is>
          <t>Milk</t>
        </is>
      </c>
      <c r="F738" s="3" t="n">
        <v>800</v>
      </c>
      <c r="G738" s="2" t="inlineStr">
        <is>
          <t>800</t>
        </is>
      </c>
      <c r="H738" s="2" t="inlineStr">
        <is>
          <t>M1-B01–B13</t>
        </is>
      </c>
    </row>
    <row r="739">
      <c r="A739" s="2" t="inlineStr">
        <is>
          <t>L082</t>
        </is>
      </c>
      <c r="B739" s="2" t="inlineStr">
        <is>
          <t>YUMMY BREAD</t>
        </is>
      </c>
      <c r="C739" s="2" t="inlineStr">
        <is>
          <t>S044</t>
        </is>
      </c>
      <c r="D739" s="2" t="inlineStr">
        <is>
          <t>'YUMMY BREAD'!C9,D9</t>
        </is>
      </c>
      <c r="E739" s="2" t="inlineStr">
        <is>
          <t>egg</t>
        </is>
      </c>
      <c r="F739" s="3" t="n">
        <v>750</v>
      </c>
      <c r="G739" s="2" t="inlineStr">
        <is>
          <t>750</t>
        </is>
      </c>
      <c r="H739" s="2" t="inlineStr">
        <is>
          <t>M1-B01–B13</t>
        </is>
      </c>
    </row>
    <row r="740">
      <c r="A740" s="2" t="inlineStr">
        <is>
          <t>L082</t>
        </is>
      </c>
      <c r="B740" s="2" t="inlineStr">
        <is>
          <t>YUMMY BREAD</t>
        </is>
      </c>
      <c r="C740" s="2" t="inlineStr">
        <is>
          <t>S044</t>
        </is>
      </c>
      <c r="D740" s="2" t="inlineStr">
        <is>
          <t>'YUMMY BREAD'!C10,D10</t>
        </is>
      </c>
      <c r="E740" s="2" t="inlineStr">
        <is>
          <t>salt</t>
        </is>
      </c>
      <c r="F740" s="3" t="n">
        <v>150</v>
      </c>
      <c r="G740" s="2" t="inlineStr">
        <is>
          <t>150</t>
        </is>
      </c>
      <c r="H740" s="2" t="inlineStr">
        <is>
          <t>M1-B01–B13</t>
        </is>
      </c>
    </row>
    <row r="741">
      <c r="A741" s="2" t="inlineStr">
        <is>
          <t>L082</t>
        </is>
      </c>
      <c r="B741" s="2" t="inlineStr">
        <is>
          <t>YUMMY BREAD</t>
        </is>
      </c>
      <c r="C741" s="2" t="inlineStr">
        <is>
          <t>S044</t>
        </is>
      </c>
      <c r="D741" s="2" t="inlineStr">
        <is>
          <t>'YUMMY BREAD'!C11,D11</t>
        </is>
      </c>
      <c r="E741" s="2" t="inlineStr">
        <is>
          <t>improver</t>
        </is>
      </c>
      <c r="F741" s="3" t="n">
        <v>120</v>
      </c>
      <c r="G741" s="2" t="inlineStr">
        <is>
          <t>120</t>
        </is>
      </c>
      <c r="H741" s="2" t="inlineStr">
        <is>
          <t>M1-B01–B13</t>
        </is>
      </c>
    </row>
    <row r="742">
      <c r="A742" s="2" t="inlineStr">
        <is>
          <t>L082</t>
        </is>
      </c>
      <c r="B742" s="2" t="inlineStr">
        <is>
          <t>YUMMY BREAD</t>
        </is>
      </c>
      <c r="C742" s="2" t="inlineStr">
        <is>
          <t>S044</t>
        </is>
      </c>
      <c r="D742" s="2" t="inlineStr">
        <is>
          <t>'YUMMY BREAD'!C12,D12</t>
        </is>
      </c>
      <c r="E742" s="2" t="inlineStr">
        <is>
          <t>yeast</t>
        </is>
      </c>
      <c r="F742" s="3" t="n">
        <v>180</v>
      </c>
      <c r="G742" s="2" t="inlineStr">
        <is>
          <t>180</t>
        </is>
      </c>
      <c r="H742" s="2" t="inlineStr">
        <is>
          <t>M1-B01–B13</t>
        </is>
      </c>
    </row>
    <row r="743">
      <c r="A743" s="2" t="inlineStr">
        <is>
          <t>L082</t>
        </is>
      </c>
      <c r="B743" s="2" t="inlineStr">
        <is>
          <t>YUMMY BREAD</t>
        </is>
      </c>
      <c r="C743" s="2" t="inlineStr">
        <is>
          <t>S044</t>
        </is>
      </c>
      <c r="D743" s="2" t="inlineStr">
        <is>
          <t>'YUMMY BREAD'!C13,D13</t>
        </is>
      </c>
      <c r="E743" s="2" t="inlineStr">
        <is>
          <t>water</t>
        </is>
      </c>
      <c r="F743" s="3" t="n">
        <v>4000</v>
      </c>
      <c r="G743" s="2" t="inlineStr">
        <is>
          <t>4000</t>
        </is>
      </c>
      <c r="H743" s="2" t="inlineStr">
        <is>
          <t>M1-B01–B13</t>
        </is>
      </c>
    </row>
    <row r="744">
      <c r="A744" s="2" t="inlineStr">
        <is>
          <t>L082</t>
        </is>
      </c>
      <c r="B744" s="2" t="inlineStr">
        <is>
          <t>YUMMY BREAD</t>
        </is>
      </c>
      <c r="C744" s="2" t="inlineStr">
        <is>
          <t>S044</t>
        </is>
      </c>
      <c r="D744" s="2" t="inlineStr">
        <is>
          <t>'YUMMY BREAD'!C14,D14</t>
        </is>
      </c>
      <c r="E744" s="2" t="inlineStr">
        <is>
          <t>Oil</t>
        </is>
      </c>
      <c r="F744" s="3" t="n">
        <v>400</v>
      </c>
      <c r="G744" s="2" t="inlineStr">
        <is>
          <t>400</t>
        </is>
      </c>
      <c r="H744" s="2" t="inlineStr">
        <is>
          <t>M1-B01–B13</t>
        </is>
      </c>
    </row>
    <row r="745">
      <c r="A745" s="2" t="inlineStr">
        <is>
          <t>L082</t>
        </is>
      </c>
      <c r="B745" s="2" t="inlineStr">
        <is>
          <t>YUMMY BREAD</t>
        </is>
      </c>
      <c r="C745" s="2" t="inlineStr">
        <is>
          <t>S044</t>
        </is>
      </c>
      <c r="D745" s="2" t="inlineStr">
        <is>
          <t>'YUMMY BREAD'!C15,D15</t>
        </is>
      </c>
      <c r="E745" s="2" t="inlineStr">
        <is>
          <t>EDC</t>
        </is>
      </c>
      <c r="F745" s="3" t="n">
        <v>50</v>
      </c>
      <c r="G745" s="2" t="inlineStr">
        <is>
          <t>50</t>
        </is>
      </c>
      <c r="H745" s="2" t="inlineStr">
        <is>
          <t>M1-B01–B13</t>
        </is>
      </c>
    </row>
    <row r="746">
      <c r="A746" s="2" t="inlineStr">
        <is>
          <t>L083</t>
        </is>
      </c>
      <c r="B746" s="2" t="inlineStr">
        <is>
          <t>YUMMY BREAD</t>
        </is>
      </c>
      <c r="C746" s="2" t="inlineStr">
        <is>
          <t>S044</t>
        </is>
      </c>
      <c r="D746" s="2" t="inlineStr">
        <is>
          <t>'YUMMY BREAD'!C5,F5</t>
        </is>
      </c>
      <c r="E746" s="2" t="inlineStr">
        <is>
          <t>flour</t>
        </is>
      </c>
      <c r="F746" s="3" t="n">
        <v>9000</v>
      </c>
      <c r="G746" s="2" t="inlineStr">
        <is>
          <t>9000</t>
        </is>
      </c>
      <c r="H746" s="2" t="inlineStr">
        <is>
          <t>M1-B01–B13</t>
        </is>
      </c>
    </row>
    <row r="747">
      <c r="A747" s="2" t="inlineStr">
        <is>
          <t>L083</t>
        </is>
      </c>
      <c r="B747" s="2" t="inlineStr">
        <is>
          <t>YUMMY BREAD</t>
        </is>
      </c>
      <c r="C747" s="2" t="inlineStr">
        <is>
          <t>S044</t>
        </is>
      </c>
      <c r="D747" s="2" t="inlineStr">
        <is>
          <t>'YUMMY BREAD'!C6,F6</t>
        </is>
      </c>
      <c r="E747" s="2" t="inlineStr">
        <is>
          <t>Butter</t>
        </is>
      </c>
      <c r="F747" s="3" t="n">
        <v>1000</v>
      </c>
      <c r="G747" s="2" t="inlineStr">
        <is>
          <t>1000</t>
        </is>
      </c>
      <c r="H747" s="2" t="inlineStr">
        <is>
          <t>M1-B01–B13</t>
        </is>
      </c>
    </row>
    <row r="748">
      <c r="A748" s="2" t="inlineStr">
        <is>
          <t>L083</t>
        </is>
      </c>
      <c r="B748" s="2" t="inlineStr">
        <is>
          <t>YUMMY BREAD</t>
        </is>
      </c>
      <c r="C748" s="2" t="inlineStr">
        <is>
          <t>S044</t>
        </is>
      </c>
      <c r="D748" s="2" t="inlineStr">
        <is>
          <t>'YUMMY BREAD'!C7,F7</t>
        </is>
      </c>
      <c r="E748" s="2" t="inlineStr">
        <is>
          <t>sugar</t>
        </is>
      </c>
      <c r="F748" s="3" t="n">
        <v>900</v>
      </c>
      <c r="G748" s="2" t="inlineStr">
        <is>
          <t>900</t>
        </is>
      </c>
      <c r="H748" s="2" t="inlineStr">
        <is>
          <t>M1-B01–B13</t>
        </is>
      </c>
    </row>
    <row r="749">
      <c r="A749" s="2" t="inlineStr">
        <is>
          <t>L083</t>
        </is>
      </c>
      <c r="B749" s="2" t="inlineStr">
        <is>
          <t>YUMMY BREAD</t>
        </is>
      </c>
      <c r="C749" s="2" t="inlineStr">
        <is>
          <t>S044</t>
        </is>
      </c>
      <c r="D749" s="2" t="inlineStr">
        <is>
          <t>'YUMMY BREAD'!C8,F8</t>
        </is>
      </c>
      <c r="E749" s="2" t="inlineStr">
        <is>
          <t>Milk</t>
        </is>
      </c>
      <c r="F749" s="3" t="n">
        <v>750</v>
      </c>
      <c r="G749" s="2" t="inlineStr">
        <is>
          <t>750</t>
        </is>
      </c>
      <c r="H749" s="2" t="inlineStr">
        <is>
          <t>M1-B01–B13</t>
        </is>
      </c>
    </row>
    <row r="750">
      <c r="A750" s="2" t="inlineStr">
        <is>
          <t>L083</t>
        </is>
      </c>
      <c r="B750" s="2" t="inlineStr">
        <is>
          <t>YUMMY BREAD</t>
        </is>
      </c>
      <c r="C750" s="2" t="inlineStr">
        <is>
          <t>S044</t>
        </is>
      </c>
      <c r="D750" s="2" t="inlineStr">
        <is>
          <t>'YUMMY BREAD'!C9,F9</t>
        </is>
      </c>
      <c r="E750" s="2" t="inlineStr">
        <is>
          <t>egg</t>
        </is>
      </c>
      <c r="F750" s="3" t="n">
        <v>500</v>
      </c>
      <c r="G750" s="2" t="inlineStr">
        <is>
          <t>500</t>
        </is>
      </c>
      <c r="H750" s="2" t="inlineStr">
        <is>
          <t>M1-B01–B13</t>
        </is>
      </c>
    </row>
    <row r="751">
      <c r="A751" s="2" t="inlineStr">
        <is>
          <t>L083</t>
        </is>
      </c>
      <c r="B751" s="2" t="inlineStr">
        <is>
          <t>YUMMY BREAD</t>
        </is>
      </c>
      <c r="C751" s="2" t="inlineStr">
        <is>
          <t>S044</t>
        </is>
      </c>
      <c r="D751" s="2" t="inlineStr">
        <is>
          <t>'YUMMY BREAD'!C10,F10</t>
        </is>
      </c>
      <c r="E751" s="2" t="inlineStr">
        <is>
          <t>salt</t>
        </is>
      </c>
      <c r="F751" s="3" t="n">
        <v>100</v>
      </c>
      <c r="G751" s="2" t="inlineStr">
        <is>
          <t>100</t>
        </is>
      </c>
      <c r="H751" s="2" t="inlineStr">
        <is>
          <t>M1-B01–B13</t>
        </is>
      </c>
    </row>
    <row r="752">
      <c r="A752" s="2" t="inlineStr">
        <is>
          <t>L083</t>
        </is>
      </c>
      <c r="B752" s="2" t="inlineStr">
        <is>
          <t>YUMMY BREAD</t>
        </is>
      </c>
      <c r="C752" s="2" t="inlineStr">
        <is>
          <t>S044</t>
        </is>
      </c>
      <c r="D752" s="2" t="inlineStr">
        <is>
          <t>'YUMMY BREAD'!C11,F11</t>
        </is>
      </c>
      <c r="E752" s="2" t="inlineStr">
        <is>
          <t>improver</t>
        </is>
      </c>
      <c r="F752" s="3" t="n">
        <v>100</v>
      </c>
      <c r="G752" s="2" t="inlineStr">
        <is>
          <t>100</t>
        </is>
      </c>
      <c r="H752" s="2" t="inlineStr">
        <is>
          <t>M1-B01–B13</t>
        </is>
      </c>
    </row>
    <row r="753">
      <c r="A753" s="2" t="inlineStr">
        <is>
          <t>L083</t>
        </is>
      </c>
      <c r="B753" s="2" t="inlineStr">
        <is>
          <t>YUMMY BREAD</t>
        </is>
      </c>
      <c r="C753" s="2" t="inlineStr">
        <is>
          <t>S044</t>
        </is>
      </c>
      <c r="D753" s="2" t="inlineStr">
        <is>
          <t>'YUMMY BREAD'!C12,F12</t>
        </is>
      </c>
      <c r="E753" s="2" t="inlineStr">
        <is>
          <t>yeast</t>
        </is>
      </c>
      <c r="F753" s="3" t="n">
        <v>140</v>
      </c>
      <c r="G753" s="2" t="inlineStr">
        <is>
          <t>140</t>
        </is>
      </c>
      <c r="H753" s="2" t="inlineStr">
        <is>
          <t>M1-B01–B13</t>
        </is>
      </c>
    </row>
    <row r="754">
      <c r="A754" s="2" t="inlineStr">
        <is>
          <t>L083</t>
        </is>
      </c>
      <c r="B754" s="2" t="inlineStr">
        <is>
          <t>YUMMY BREAD</t>
        </is>
      </c>
      <c r="C754" s="2" t="inlineStr">
        <is>
          <t>S044</t>
        </is>
      </c>
      <c r="D754" s="2" t="inlineStr">
        <is>
          <t>'YUMMY BREAD'!C13,F13</t>
        </is>
      </c>
      <c r="E754" s="2" t="inlineStr">
        <is>
          <t>water</t>
        </is>
      </c>
      <c r="F754" s="3" t="n">
        <v>2500</v>
      </c>
      <c r="G754" s="2" t="inlineStr">
        <is>
          <t>2500</t>
        </is>
      </c>
      <c r="H754" s="2" t="inlineStr">
        <is>
          <t>M1-B01–B13</t>
        </is>
      </c>
    </row>
    <row r="755">
      <c r="A755" s="2" t="inlineStr">
        <is>
          <t>L083</t>
        </is>
      </c>
      <c r="B755" s="2" t="inlineStr">
        <is>
          <t>YUMMY BREAD</t>
        </is>
      </c>
      <c r="C755" s="2" t="inlineStr">
        <is>
          <t>S044</t>
        </is>
      </c>
      <c r="D755" s="2" t="inlineStr">
        <is>
          <t>'YUMMY BREAD'!C14,F14</t>
        </is>
      </c>
      <c r="E755" s="2" t="inlineStr">
        <is>
          <t>Oil</t>
        </is>
      </c>
      <c r="F755" s="3" t="n">
        <v>220</v>
      </c>
      <c r="G755" s="2" t="inlineStr">
        <is>
          <t>220</t>
        </is>
      </c>
      <c r="H755" s="2" t="inlineStr">
        <is>
          <t>M1-B01–B13</t>
        </is>
      </c>
    </row>
    <row r="756">
      <c r="A756" s="2" t="inlineStr">
        <is>
          <t>L083</t>
        </is>
      </c>
      <c r="B756" s="2" t="inlineStr">
        <is>
          <t>YUMMY BREAD</t>
        </is>
      </c>
      <c r="C756" s="2" t="inlineStr">
        <is>
          <t>S044</t>
        </is>
      </c>
      <c r="D756" s="2" t="inlineStr">
        <is>
          <t>'YUMMY BREAD'!C15,F15</t>
        </is>
      </c>
      <c r="E756" s="2" t="inlineStr">
        <is>
          <t>EDC</t>
        </is>
      </c>
      <c r="F756" s="3" t="n">
        <v>25</v>
      </c>
      <c r="G756" s="2" t="inlineStr">
        <is>
          <t>25</t>
        </is>
      </c>
      <c r="H756" s="2" t="inlineStr">
        <is>
          <t>M1-B01–B13</t>
        </is>
      </c>
    </row>
    <row r="757">
      <c r="A757" s="2" t="inlineStr">
        <is>
          <t>L084</t>
        </is>
      </c>
      <c r="B757" s="2" t="inlineStr">
        <is>
          <t>buns new look</t>
        </is>
      </c>
      <c r="C757" s="2" t="inlineStr">
        <is>
          <t>S044</t>
        </is>
      </c>
      <c r="D757" s="2" t="inlineStr">
        <is>
          <t>'buns new look'!C5,D5</t>
        </is>
      </c>
      <c r="E757" s="2" t="inlineStr">
        <is>
          <t>flour</t>
        </is>
      </c>
      <c r="F757" s="3" t="n">
        <v>6000</v>
      </c>
      <c r="G757" s="2" t="inlineStr">
        <is>
          <t>6000</t>
        </is>
      </c>
      <c r="H757" s="2" t="inlineStr">
        <is>
          <t>M1-B04 / M1-B09</t>
        </is>
      </c>
    </row>
    <row r="758">
      <c r="A758" s="2" t="inlineStr">
        <is>
          <t>L084</t>
        </is>
      </c>
      <c r="B758" s="2" t="inlineStr">
        <is>
          <t>buns new look</t>
        </is>
      </c>
      <c r="C758" s="2" t="inlineStr">
        <is>
          <t>S044</t>
        </is>
      </c>
      <c r="D758" s="2" t="inlineStr">
        <is>
          <t>'buns new look'!C6,D6</t>
        </is>
      </c>
      <c r="E758" s="2" t="inlineStr">
        <is>
          <t>Butter</t>
        </is>
      </c>
      <c r="F758" s="3" t="n">
        <v>300</v>
      </c>
      <c r="G758" s="2" t="inlineStr">
        <is>
          <t>300</t>
        </is>
      </c>
      <c r="H758" s="2" t="inlineStr">
        <is>
          <t>M1-B04 / M1-B09</t>
        </is>
      </c>
    </row>
    <row r="759">
      <c r="A759" s="2" t="inlineStr">
        <is>
          <t>L084</t>
        </is>
      </c>
      <c r="B759" s="2" t="inlineStr">
        <is>
          <t>buns new look</t>
        </is>
      </c>
      <c r="C759" s="2" t="inlineStr">
        <is>
          <t>S044</t>
        </is>
      </c>
      <c r="D759" s="2" t="inlineStr">
        <is>
          <t>'buns new look'!C7,D7</t>
        </is>
      </c>
      <c r="E759" s="2" t="inlineStr">
        <is>
          <t>sugar</t>
        </is>
      </c>
      <c r="F759" s="3" t="n">
        <v>50</v>
      </c>
      <c r="G759" s="2" t="inlineStr">
        <is>
          <t>50</t>
        </is>
      </c>
      <c r="H759" s="2" t="inlineStr">
        <is>
          <t>M1-B04 / M1-B09</t>
        </is>
      </c>
    </row>
    <row r="760">
      <c r="A760" s="2" t="inlineStr">
        <is>
          <t>L084</t>
        </is>
      </c>
      <c r="B760" s="2" t="inlineStr">
        <is>
          <t>buns new look</t>
        </is>
      </c>
      <c r="C760" s="2" t="inlineStr">
        <is>
          <t>S044</t>
        </is>
      </c>
      <c r="D760" s="2" t="inlineStr">
        <is>
          <t>'buns new look'!C8,D8</t>
        </is>
      </c>
      <c r="E760" s="2" t="inlineStr">
        <is>
          <t>conc milk</t>
        </is>
      </c>
      <c r="F760" s="3" t="n">
        <v>950</v>
      </c>
      <c r="G760" s="2" t="inlineStr">
        <is>
          <t>950</t>
        </is>
      </c>
      <c r="H760" s="2" t="inlineStr">
        <is>
          <t>M1-B04 / M1-B09</t>
        </is>
      </c>
    </row>
    <row r="761">
      <c r="A761" s="2" t="inlineStr">
        <is>
          <t>L084</t>
        </is>
      </c>
      <c r="B761" s="2" t="inlineStr">
        <is>
          <t>buns new look</t>
        </is>
      </c>
      <c r="C761" s="2" t="inlineStr">
        <is>
          <t>S044</t>
        </is>
      </c>
      <c r="D761" s="2" t="inlineStr">
        <is>
          <t>'buns new look'!C9,D9</t>
        </is>
      </c>
      <c r="E761" s="2" t="inlineStr">
        <is>
          <t>egg</t>
        </is>
      </c>
      <c r="F761" s="3" t="n">
        <v>220</v>
      </c>
      <c r="G761" s="2" t="inlineStr">
        <is>
          <t>220</t>
        </is>
      </c>
      <c r="H761" s="2" t="inlineStr">
        <is>
          <t>M1-B04 / M1-B09</t>
        </is>
      </c>
    </row>
    <row r="762">
      <c r="A762" s="2" t="inlineStr">
        <is>
          <t>L084</t>
        </is>
      </c>
      <c r="B762" s="2" t="inlineStr">
        <is>
          <t>buns new look</t>
        </is>
      </c>
      <c r="C762" s="2" t="inlineStr">
        <is>
          <t>S044</t>
        </is>
      </c>
      <c r="D762" s="2" t="inlineStr">
        <is>
          <t>'buns new look'!C10,D10</t>
        </is>
      </c>
      <c r="E762" s="2" t="inlineStr">
        <is>
          <t>salt</t>
        </is>
      </c>
      <c r="F762" s="3" t="n">
        <v>100</v>
      </c>
      <c r="G762" s="2" t="inlineStr">
        <is>
          <t>100</t>
        </is>
      </c>
      <c r="H762" s="2" t="inlineStr">
        <is>
          <t>M1-B04 / M1-B09</t>
        </is>
      </c>
    </row>
    <row r="763">
      <c r="A763" s="2" t="inlineStr">
        <is>
          <t>L084</t>
        </is>
      </c>
      <c r="B763" s="2" t="inlineStr">
        <is>
          <t>buns new look</t>
        </is>
      </c>
      <c r="C763" s="2" t="inlineStr">
        <is>
          <t>S044</t>
        </is>
      </c>
      <c r="D763" s="2" t="inlineStr">
        <is>
          <t>'buns new look'!C11,D11</t>
        </is>
      </c>
      <c r="E763" s="2" t="inlineStr">
        <is>
          <t>improver</t>
        </is>
      </c>
      <c r="F763" s="3" t="n">
        <v>100</v>
      </c>
      <c r="G763" s="2" t="inlineStr">
        <is>
          <t>100</t>
        </is>
      </c>
      <c r="H763" s="2" t="inlineStr">
        <is>
          <t>M1-B04 / M1-B09</t>
        </is>
      </c>
    </row>
    <row r="764">
      <c r="A764" s="2" t="inlineStr">
        <is>
          <t>L084</t>
        </is>
      </c>
      <c r="B764" s="2" t="inlineStr">
        <is>
          <t>buns new look</t>
        </is>
      </c>
      <c r="C764" s="2" t="inlineStr">
        <is>
          <t>S044</t>
        </is>
      </c>
      <c r="D764" s="2" t="inlineStr">
        <is>
          <t>'buns new look'!C12,D12</t>
        </is>
      </c>
      <c r="E764" s="2" t="inlineStr">
        <is>
          <t>yeast</t>
        </is>
      </c>
      <c r="F764" s="3" t="n">
        <v>100</v>
      </c>
      <c r="G764" s="2" t="inlineStr">
        <is>
          <t>100</t>
        </is>
      </c>
      <c r="H764" s="2" t="inlineStr">
        <is>
          <t>M1-B04 / M1-B09</t>
        </is>
      </c>
    </row>
    <row r="765">
      <c r="A765" s="2" t="inlineStr">
        <is>
          <t>L084</t>
        </is>
      </c>
      <c r="B765" s="2" t="inlineStr">
        <is>
          <t>buns new look</t>
        </is>
      </c>
      <c r="C765" s="2" t="inlineStr">
        <is>
          <t>S044</t>
        </is>
      </c>
      <c r="D765" s="2" t="inlineStr">
        <is>
          <t>'buns new look'!C13,D13</t>
        </is>
      </c>
      <c r="E765" s="2" t="inlineStr">
        <is>
          <t>water</t>
        </is>
      </c>
      <c r="F765" s="3" t="n">
        <v>2500</v>
      </c>
      <c r="G765" s="2" t="inlineStr">
        <is>
          <t>2500</t>
        </is>
      </c>
      <c r="H765" s="2" t="inlineStr">
        <is>
          <t>M1-B04 / M1-B09</t>
        </is>
      </c>
    </row>
    <row r="766">
      <c r="A766" s="2" t="inlineStr">
        <is>
          <t>L085</t>
        </is>
      </c>
      <c r="B766" s="2" t="inlineStr">
        <is>
          <t>doughnuts</t>
        </is>
      </c>
      <c r="C766" s="2" t="inlineStr">
        <is>
          <t>S044</t>
        </is>
      </c>
      <c r="D766" s="2" t="inlineStr">
        <is>
          <t>'doughnuts'!C5,D5</t>
        </is>
      </c>
      <c r="E766" s="2" t="inlineStr">
        <is>
          <t>flour</t>
        </is>
      </c>
      <c r="F766" s="3" t="n">
        <v>16000</v>
      </c>
      <c r="G766" s="2" t="inlineStr">
        <is>
          <t>16000</t>
        </is>
      </c>
      <c r="H766" s="2" t="inlineStr">
        <is>
          <t>T01 for cake / O-P04 for yeast</t>
        </is>
      </c>
    </row>
    <row r="767">
      <c r="A767" s="2" t="inlineStr">
        <is>
          <t>L085</t>
        </is>
      </c>
      <c r="B767" s="2" t="inlineStr">
        <is>
          <t>doughnuts</t>
        </is>
      </c>
      <c r="C767" s="2" t="inlineStr">
        <is>
          <t>S044</t>
        </is>
      </c>
      <c r="D767" s="2" t="inlineStr">
        <is>
          <t>'doughnuts'!C6,D6</t>
        </is>
      </c>
      <c r="E767" s="2" t="inlineStr">
        <is>
          <t>baking powder</t>
        </is>
      </c>
      <c r="F767" s="3" t="n">
        <v>130</v>
      </c>
      <c r="G767" s="2" t="inlineStr">
        <is>
          <t>130</t>
        </is>
      </c>
      <c r="H767" s="2" t="inlineStr">
        <is>
          <t>T01 for cake / O-P04 for yeast</t>
        </is>
      </c>
    </row>
    <row r="768">
      <c r="A768" s="2" t="inlineStr">
        <is>
          <t>L085</t>
        </is>
      </c>
      <c r="B768" s="2" t="inlineStr">
        <is>
          <t>doughnuts</t>
        </is>
      </c>
      <c r="C768" s="2" t="inlineStr">
        <is>
          <t>S044</t>
        </is>
      </c>
      <c r="D768" s="2" t="inlineStr">
        <is>
          <t>'doughnuts'!C7,D7</t>
        </is>
      </c>
      <c r="E768" s="2" t="inlineStr">
        <is>
          <t>milk</t>
        </is>
      </c>
      <c r="F768" s="3" t="n">
        <v>1000</v>
      </c>
      <c r="G768" s="2" t="inlineStr">
        <is>
          <t>1000</t>
        </is>
      </c>
      <c r="H768" s="2" t="inlineStr">
        <is>
          <t>T01 for cake / O-P04 for yeast</t>
        </is>
      </c>
    </row>
    <row r="769">
      <c r="A769" s="2" t="inlineStr">
        <is>
          <t>L085</t>
        </is>
      </c>
      <c r="B769" s="2" t="inlineStr">
        <is>
          <t>doughnuts</t>
        </is>
      </c>
      <c r="C769" s="2" t="inlineStr">
        <is>
          <t>S044</t>
        </is>
      </c>
      <c r="D769" s="2" t="inlineStr">
        <is>
          <t>'doughnuts'!C8,D8</t>
        </is>
      </c>
      <c r="E769" s="2" t="inlineStr">
        <is>
          <t>oil</t>
        </is>
      </c>
      <c r="F769" s="3" t="n">
        <v>850</v>
      </c>
      <c r="G769" s="2" t="inlineStr">
        <is>
          <t>850</t>
        </is>
      </c>
      <c r="H769" s="2" t="inlineStr">
        <is>
          <t>T01 for cake / O-P04 for yeast</t>
        </is>
      </c>
    </row>
    <row r="770">
      <c r="A770" s="2" t="inlineStr">
        <is>
          <t>L085</t>
        </is>
      </c>
      <c r="B770" s="2" t="inlineStr">
        <is>
          <t>doughnuts</t>
        </is>
      </c>
      <c r="C770" s="2" t="inlineStr">
        <is>
          <t>S044</t>
        </is>
      </c>
      <c r="D770" s="2" t="inlineStr">
        <is>
          <t>'doughnuts'!C9,D9</t>
        </is>
      </c>
      <c r="E770" s="2" t="inlineStr">
        <is>
          <t>salt</t>
        </is>
      </c>
      <c r="F770" s="3" t="n">
        <v>170</v>
      </c>
      <c r="G770" s="2" t="inlineStr">
        <is>
          <t>170</t>
        </is>
      </c>
      <c r="H770" s="2" t="inlineStr">
        <is>
          <t>T01 for cake / O-P04 for yeast</t>
        </is>
      </c>
    </row>
    <row r="771">
      <c r="A771" s="2" t="inlineStr">
        <is>
          <t>L085</t>
        </is>
      </c>
      <c r="B771" s="2" t="inlineStr">
        <is>
          <t>doughnuts</t>
        </is>
      </c>
      <c r="C771" s="2" t="inlineStr">
        <is>
          <t>S044</t>
        </is>
      </c>
      <c r="D771" s="2" t="inlineStr">
        <is>
          <t>'doughnuts'!C10,D10</t>
        </is>
      </c>
      <c r="E771" s="2" t="inlineStr">
        <is>
          <t>Improver</t>
        </is>
      </c>
      <c r="F771" s="3" t="n">
        <v>120</v>
      </c>
      <c r="G771" s="2" t="inlineStr">
        <is>
          <t>120</t>
        </is>
      </c>
      <c r="H771" s="2" t="inlineStr">
        <is>
          <t>T01 for cake / O-P04 for yeast</t>
        </is>
      </c>
    </row>
    <row r="772">
      <c r="A772" s="2" t="inlineStr">
        <is>
          <t>L085</t>
        </is>
      </c>
      <c r="B772" s="2" t="inlineStr">
        <is>
          <t>doughnuts</t>
        </is>
      </c>
      <c r="C772" s="2" t="inlineStr">
        <is>
          <t>S044</t>
        </is>
      </c>
      <c r="D772" s="2" t="inlineStr">
        <is>
          <t>'doughnuts'!C11,D11</t>
        </is>
      </c>
      <c r="E772" s="2" t="inlineStr">
        <is>
          <t>eggs</t>
        </is>
      </c>
      <c r="F772" s="3" t="n">
        <v>1500</v>
      </c>
      <c r="G772" s="2" t="inlineStr">
        <is>
          <t>1500</t>
        </is>
      </c>
      <c r="H772" s="2" t="inlineStr">
        <is>
          <t>T01 for cake / O-P04 for yeast</t>
        </is>
      </c>
    </row>
    <row r="773">
      <c r="A773" s="2" t="inlineStr">
        <is>
          <t>L085</t>
        </is>
      </c>
      <c r="B773" s="2" t="inlineStr">
        <is>
          <t>doughnuts</t>
        </is>
      </c>
      <c r="C773" s="2" t="inlineStr">
        <is>
          <t>S044</t>
        </is>
      </c>
      <c r="D773" s="2" t="inlineStr">
        <is>
          <t>'doughnuts'!C12,D12</t>
        </is>
      </c>
      <c r="E773" s="2" t="inlineStr">
        <is>
          <t>water</t>
        </is>
      </c>
      <c r="F773" s="3" t="n">
        <v>10000</v>
      </c>
      <c r="G773" s="2" t="inlineStr">
        <is>
          <t>10000</t>
        </is>
      </c>
      <c r="H773" s="2" t="inlineStr">
        <is>
          <t>T01 for cake / O-P04 for yeast</t>
        </is>
      </c>
    </row>
    <row r="774">
      <c r="A774" s="2" t="inlineStr">
        <is>
          <t>L085</t>
        </is>
      </c>
      <c r="B774" s="2" t="inlineStr">
        <is>
          <t>doughnuts</t>
        </is>
      </c>
      <c r="C774" s="2" t="inlineStr">
        <is>
          <t>S044</t>
        </is>
      </c>
      <c r="D774" s="2" t="inlineStr">
        <is>
          <t>'doughnuts'!C13,D13</t>
        </is>
      </c>
      <c r="E774" s="2" t="inlineStr">
        <is>
          <t>oil</t>
        </is>
      </c>
      <c r="F774" s="3" t="n">
        <v>10000</v>
      </c>
      <c r="G774" s="2" t="inlineStr">
        <is>
          <t>10000</t>
        </is>
      </c>
      <c r="H774" s="2" t="inlineStr">
        <is>
          <t>T01 for cake / O-P04 for yeast</t>
        </is>
      </c>
    </row>
    <row r="775">
      <c r="A775" s="2" t="inlineStr">
        <is>
          <t>L086</t>
        </is>
      </c>
      <c r="B775" s="2" t="inlineStr">
        <is>
          <t>doughnuts</t>
        </is>
      </c>
      <c r="C775" s="2" t="inlineStr">
        <is>
          <t>S044</t>
        </is>
      </c>
      <c r="D775" s="2" t="inlineStr">
        <is>
          <t>'doughnuts'!C5,L5</t>
        </is>
      </c>
      <c r="E775" s="2" t="inlineStr">
        <is>
          <t>flour</t>
        </is>
      </c>
      <c r="F775" s="3" t="n">
        <v>5000</v>
      </c>
      <c r="G775" s="2" t="inlineStr">
        <is>
          <t>=F5/10 [cached: 5000]</t>
        </is>
      </c>
      <c r="H775" s="2" t="inlineStr">
        <is>
          <t>T01 for cake / O-P04 for yeast</t>
        </is>
      </c>
    </row>
    <row r="776">
      <c r="A776" s="2" t="inlineStr">
        <is>
          <t>L086</t>
        </is>
      </c>
      <c r="B776" s="2" t="inlineStr">
        <is>
          <t>doughnuts</t>
        </is>
      </c>
      <c r="C776" s="2" t="inlineStr">
        <is>
          <t>S044</t>
        </is>
      </c>
      <c r="D776" s="2" t="inlineStr">
        <is>
          <t>'doughnuts'!C6,L6</t>
        </is>
      </c>
      <c r="E776" s="2" t="inlineStr">
        <is>
          <t>baking powder</t>
        </is>
      </c>
      <c r="F776" s="3" t="n">
        <v>40.625</v>
      </c>
      <c r="G776" s="2" t="inlineStr">
        <is>
          <t>=F6/10 [cached: 40.625]</t>
        </is>
      </c>
      <c r="H776" s="2" t="inlineStr">
        <is>
          <t>T01 for cake / O-P04 for yeast</t>
        </is>
      </c>
    </row>
    <row r="777">
      <c r="A777" s="2" t="inlineStr">
        <is>
          <t>L086</t>
        </is>
      </c>
      <c r="B777" s="2" t="inlineStr">
        <is>
          <t>doughnuts</t>
        </is>
      </c>
      <c r="C777" s="2" t="inlineStr">
        <is>
          <t>S044</t>
        </is>
      </c>
      <c r="D777" s="2" t="inlineStr">
        <is>
          <t>'doughnuts'!C7,L7</t>
        </is>
      </c>
      <c r="E777" s="2" t="inlineStr">
        <is>
          <t>milk</t>
        </is>
      </c>
      <c r="F777" s="3" t="n">
        <v>312.5</v>
      </c>
      <c r="G777" s="2" t="inlineStr">
        <is>
          <t>=F7/10 [cached: 312.5]</t>
        </is>
      </c>
      <c r="H777" s="2" t="inlineStr">
        <is>
          <t>T01 for cake / O-P04 for yeast</t>
        </is>
      </c>
    </row>
    <row r="778">
      <c r="A778" s="2" t="inlineStr">
        <is>
          <t>L086</t>
        </is>
      </c>
      <c r="B778" s="2" t="inlineStr">
        <is>
          <t>doughnuts</t>
        </is>
      </c>
      <c r="C778" s="2" t="inlineStr">
        <is>
          <t>S044</t>
        </is>
      </c>
      <c r="D778" s="2" t="inlineStr">
        <is>
          <t>'doughnuts'!C8,L8</t>
        </is>
      </c>
      <c r="E778" s="2" t="inlineStr">
        <is>
          <t>oil</t>
        </is>
      </c>
      <c r="F778" s="3" t="n">
        <v>265.625</v>
      </c>
      <c r="G778" s="2" t="inlineStr">
        <is>
          <t>=F8/10 [cached: 265.625]</t>
        </is>
      </c>
      <c r="H778" s="2" t="inlineStr">
        <is>
          <t>T01 for cake / O-P04 for yeast</t>
        </is>
      </c>
    </row>
    <row r="779">
      <c r="A779" s="2" t="inlineStr">
        <is>
          <t>L086</t>
        </is>
      </c>
      <c r="B779" s="2" t="inlineStr">
        <is>
          <t>doughnuts</t>
        </is>
      </c>
      <c r="C779" s="2" t="inlineStr">
        <is>
          <t>S044</t>
        </is>
      </c>
      <c r="D779" s="2" t="inlineStr">
        <is>
          <t>'doughnuts'!C9,L9</t>
        </is>
      </c>
      <c r="E779" s="2" t="inlineStr">
        <is>
          <t>salt</t>
        </is>
      </c>
      <c r="F779" s="3" t="n">
        <v>53.125</v>
      </c>
      <c r="G779" s="2" t="inlineStr">
        <is>
          <t>=F9/10 [cached: 53.125]</t>
        </is>
      </c>
      <c r="H779" s="2" t="inlineStr">
        <is>
          <t>T01 for cake / O-P04 for yeast</t>
        </is>
      </c>
    </row>
    <row r="780">
      <c r="A780" s="2" t="inlineStr">
        <is>
          <t>L086</t>
        </is>
      </c>
      <c r="B780" s="2" t="inlineStr">
        <is>
          <t>doughnuts</t>
        </is>
      </c>
      <c r="C780" s="2" t="inlineStr">
        <is>
          <t>S044</t>
        </is>
      </c>
      <c r="D780" s="2" t="inlineStr">
        <is>
          <t>'doughnuts'!C10,L10</t>
        </is>
      </c>
      <c r="E780" s="2" t="inlineStr">
        <is>
          <t>Improver</t>
        </is>
      </c>
      <c r="F780" s="3" t="n">
        <v>37.5</v>
      </c>
      <c r="G780" s="2" t="inlineStr">
        <is>
          <t>=F10/10 [cached: 37.5]</t>
        </is>
      </c>
      <c r="H780" s="2" t="inlineStr">
        <is>
          <t>T01 for cake / O-P04 for yeast</t>
        </is>
      </c>
    </row>
    <row r="781">
      <c r="A781" s="2" t="inlineStr">
        <is>
          <t>L086</t>
        </is>
      </c>
      <c r="B781" s="2" t="inlineStr">
        <is>
          <t>doughnuts</t>
        </is>
      </c>
      <c r="C781" s="2" t="inlineStr">
        <is>
          <t>S044</t>
        </is>
      </c>
      <c r="D781" s="2" t="inlineStr">
        <is>
          <t>'doughnuts'!C11,L11</t>
        </is>
      </c>
      <c r="E781" s="2" t="inlineStr">
        <is>
          <t>eggs</t>
        </is>
      </c>
      <c r="F781" s="3" t="n">
        <v>2000</v>
      </c>
      <c r="G781" s="2" t="inlineStr">
        <is>
          <t>=' COST rRAW MATERIAL'!C13 [cached: 2000]</t>
        </is>
      </c>
      <c r="H781" s="2" t="inlineStr">
        <is>
          <t>T01 for cake / O-P04 for yeast</t>
        </is>
      </c>
    </row>
    <row r="782">
      <c r="A782" s="2" t="inlineStr">
        <is>
          <t>L086</t>
        </is>
      </c>
      <c r="B782" s="2" t="inlineStr">
        <is>
          <t>doughnuts</t>
        </is>
      </c>
      <c r="C782" s="2" t="inlineStr">
        <is>
          <t>S044</t>
        </is>
      </c>
      <c r="D782" s="2" t="inlineStr">
        <is>
          <t>'doughnuts'!C13,L13</t>
        </is>
      </c>
      <c r="E782" s="2" t="inlineStr">
        <is>
          <t>oil</t>
        </is>
      </c>
      <c r="F782" s="3" t="n">
        <v>20000</v>
      </c>
      <c r="G782" s="2" t="inlineStr">
        <is>
          <t>=' COST rRAW MATERIAL'!D8 [cached: 20000]</t>
        </is>
      </c>
      <c r="H782" s="2" t="inlineStr">
        <is>
          <t>T01 for cake / O-P04 for yeast</t>
        </is>
      </c>
    </row>
    <row r="783">
      <c r="A783" s="2" t="inlineStr">
        <is>
          <t>L087</t>
        </is>
      </c>
      <c r="B783" s="2" t="inlineStr">
        <is>
          <t>Kouatchoua gato</t>
        </is>
      </c>
      <c r="C783" s="2" t="inlineStr">
        <is>
          <t>S045</t>
        </is>
      </c>
      <c r="D783" s="2" t="inlineStr">
        <is>
          <t>'Kouatchoua gato'!C5,D5</t>
        </is>
      </c>
      <c r="E783" s="2" t="inlineStr">
        <is>
          <t>flour</t>
        </is>
      </c>
      <c r="F783" s="3" t="n">
        <v>25000</v>
      </c>
      <c r="G783" s="2" t="inlineStr">
        <is>
          <t>25000</t>
        </is>
      </c>
      <c r="H783" s="2" t="inlineStr">
        <is>
          <t>Retain unique variant; no equivalent operating card selected</t>
        </is>
      </c>
    </row>
    <row r="784">
      <c r="A784" s="2" t="inlineStr">
        <is>
          <t>L087</t>
        </is>
      </c>
      <c r="B784" s="2" t="inlineStr">
        <is>
          <t>Kouatchoua gato</t>
        </is>
      </c>
      <c r="C784" s="2" t="inlineStr">
        <is>
          <t>S045</t>
        </is>
      </c>
      <c r="D784" s="2" t="inlineStr">
        <is>
          <t>'Kouatchoua gato'!C6,D6</t>
        </is>
      </c>
      <c r="E784" s="2" t="inlineStr">
        <is>
          <t>Butter</t>
        </is>
      </c>
      <c r="F784" s="3" t="n">
        <v>1300</v>
      </c>
      <c r="G784" s="2" t="inlineStr">
        <is>
          <t>1300</t>
        </is>
      </c>
      <c r="H784" s="2" t="inlineStr">
        <is>
          <t>Retain unique variant; no equivalent operating card selected</t>
        </is>
      </c>
    </row>
    <row r="785">
      <c r="A785" s="2" t="inlineStr">
        <is>
          <t>L087</t>
        </is>
      </c>
      <c r="B785" s="2" t="inlineStr">
        <is>
          <t>Kouatchoua gato</t>
        </is>
      </c>
      <c r="C785" s="2" t="inlineStr">
        <is>
          <t>S045</t>
        </is>
      </c>
      <c r="D785" s="2" t="inlineStr">
        <is>
          <t>'Kouatchoua gato'!C7,D7</t>
        </is>
      </c>
      <c r="E785" s="2" t="inlineStr">
        <is>
          <t>sugar</t>
        </is>
      </c>
      <c r="F785" s="3" t="n">
        <v>1700</v>
      </c>
      <c r="G785" s="2" t="inlineStr">
        <is>
          <t>1700</t>
        </is>
      </c>
      <c r="H785" s="2" t="inlineStr">
        <is>
          <t>Retain unique variant; no equivalent operating card selected</t>
        </is>
      </c>
    </row>
    <row r="786">
      <c r="A786" s="2" t="inlineStr">
        <is>
          <t>L087</t>
        </is>
      </c>
      <c r="B786" s="2" t="inlineStr">
        <is>
          <t>Kouatchoua gato</t>
        </is>
      </c>
      <c r="C786" s="2" t="inlineStr">
        <is>
          <t>S045</t>
        </is>
      </c>
      <c r="D786" s="2" t="inlineStr">
        <is>
          <t>'Kouatchoua gato'!C8,D8</t>
        </is>
      </c>
      <c r="E786" s="2" t="inlineStr">
        <is>
          <t>Conc Milk</t>
        </is>
      </c>
      <c r="F786" s="3" t="n">
        <v>800</v>
      </c>
      <c r="G786" s="2" t="inlineStr">
        <is>
          <t>800</t>
        </is>
      </c>
      <c r="H786" s="2" t="inlineStr">
        <is>
          <t>Retain unique variant; no equivalent operating card selected</t>
        </is>
      </c>
    </row>
    <row r="787">
      <c r="A787" s="2" t="inlineStr">
        <is>
          <t>L087</t>
        </is>
      </c>
      <c r="B787" s="2" t="inlineStr">
        <is>
          <t>Kouatchoua gato</t>
        </is>
      </c>
      <c r="C787" s="2" t="inlineStr">
        <is>
          <t>S045</t>
        </is>
      </c>
      <c r="D787" s="2" t="inlineStr">
        <is>
          <t>'Kouatchoua gato'!C9,D9</t>
        </is>
      </c>
      <c r="E787" s="2" t="inlineStr">
        <is>
          <t>egg</t>
        </is>
      </c>
      <c r="F787" s="3" t="n">
        <v>750</v>
      </c>
      <c r="G787" s="2" t="inlineStr">
        <is>
          <t>750</t>
        </is>
      </c>
      <c r="H787" s="2" t="inlineStr">
        <is>
          <t>Retain unique variant; no equivalent operating card selected</t>
        </is>
      </c>
    </row>
    <row r="788">
      <c r="A788" s="2" t="inlineStr">
        <is>
          <t>L087</t>
        </is>
      </c>
      <c r="B788" s="2" t="inlineStr">
        <is>
          <t>Kouatchoua gato</t>
        </is>
      </c>
      <c r="C788" s="2" t="inlineStr">
        <is>
          <t>S045</t>
        </is>
      </c>
      <c r="D788" s="2" t="inlineStr">
        <is>
          <t>'Kouatchoua gato'!C10,D10</t>
        </is>
      </c>
      <c r="E788" s="2" t="inlineStr">
        <is>
          <t>salt</t>
        </is>
      </c>
      <c r="F788" s="3" t="n">
        <v>270</v>
      </c>
      <c r="G788" s="2" t="inlineStr">
        <is>
          <t>270</t>
        </is>
      </c>
      <c r="H788" s="2" t="inlineStr">
        <is>
          <t>Retain unique variant; no equivalent operating card selected</t>
        </is>
      </c>
    </row>
    <row r="789">
      <c r="A789" s="2" t="inlineStr">
        <is>
          <t>L087</t>
        </is>
      </c>
      <c r="B789" s="2" t="inlineStr">
        <is>
          <t>Kouatchoua gato</t>
        </is>
      </c>
      <c r="C789" s="2" t="inlineStr">
        <is>
          <t>S045</t>
        </is>
      </c>
      <c r="D789" s="2" t="inlineStr">
        <is>
          <t>'Kouatchoua gato'!C11,D11</t>
        </is>
      </c>
      <c r="E789" s="2" t="inlineStr">
        <is>
          <t>improver</t>
        </is>
      </c>
      <c r="F789" s="3" t="n">
        <v>150</v>
      </c>
      <c r="G789" s="2" t="inlineStr">
        <is>
          <t>150</t>
        </is>
      </c>
      <c r="H789" s="2" t="inlineStr">
        <is>
          <t>Retain unique variant; no equivalent operating card selected</t>
        </is>
      </c>
    </row>
    <row r="790">
      <c r="A790" s="2" t="inlineStr">
        <is>
          <t>L087</t>
        </is>
      </c>
      <c r="B790" s="2" t="inlineStr">
        <is>
          <t>Kouatchoua gato</t>
        </is>
      </c>
      <c r="C790" s="2" t="inlineStr">
        <is>
          <t>S045</t>
        </is>
      </c>
      <c r="D790" s="2" t="inlineStr">
        <is>
          <t>'Kouatchoua gato'!C12,D12</t>
        </is>
      </c>
      <c r="E790" s="2" t="inlineStr">
        <is>
          <t>yeast</t>
        </is>
      </c>
      <c r="F790" s="3" t="n">
        <v>170</v>
      </c>
      <c r="G790" s="2" t="inlineStr">
        <is>
          <t>170</t>
        </is>
      </c>
      <c r="H790" s="2" t="inlineStr">
        <is>
          <t>Retain unique variant; no equivalent operating card selected</t>
        </is>
      </c>
    </row>
    <row r="791">
      <c r="A791" s="2" t="inlineStr">
        <is>
          <t>L087</t>
        </is>
      </c>
      <c r="B791" s="2" t="inlineStr">
        <is>
          <t>Kouatchoua gato</t>
        </is>
      </c>
      <c r="C791" s="2" t="inlineStr">
        <is>
          <t>S045</t>
        </is>
      </c>
      <c r="D791" s="2" t="inlineStr">
        <is>
          <t>'Kouatchoua gato'!C13,D13</t>
        </is>
      </c>
      <c r="E791" s="2" t="inlineStr">
        <is>
          <t>water</t>
        </is>
      </c>
      <c r="F791" s="3" t="n">
        <v>9000</v>
      </c>
      <c r="G791" s="2" t="inlineStr">
        <is>
          <t>9000</t>
        </is>
      </c>
      <c r="H791" s="2" t="inlineStr">
        <is>
          <t>Retain unique variant; no equivalent operating card selected</t>
        </is>
      </c>
    </row>
    <row r="792">
      <c r="A792" s="2" t="inlineStr">
        <is>
          <t>L087</t>
        </is>
      </c>
      <c r="B792" s="2" t="inlineStr">
        <is>
          <t>Kouatchoua gato</t>
        </is>
      </c>
      <c r="C792" s="2" t="inlineStr">
        <is>
          <t>S045</t>
        </is>
      </c>
      <c r="D792" s="2" t="inlineStr">
        <is>
          <t>'Kouatchoua gato'!C14,D14</t>
        </is>
      </c>
      <c r="E792" s="2" t="inlineStr">
        <is>
          <t>baking powder</t>
        </is>
      </c>
      <c r="F792" s="3" t="n">
        <v>190</v>
      </c>
      <c r="G792" s="2" t="inlineStr">
        <is>
          <t>190</t>
        </is>
      </c>
      <c r="H792" s="2" t="inlineStr">
        <is>
          <t>Retain unique variant; no equivalent operating card selected</t>
        </is>
      </c>
    </row>
    <row r="793">
      <c r="A793" s="2" t="inlineStr">
        <is>
          <t>L087</t>
        </is>
      </c>
      <c r="B793" s="2" t="inlineStr">
        <is>
          <t>Kouatchoua gato</t>
        </is>
      </c>
      <c r="C793" s="2" t="inlineStr">
        <is>
          <t>S045</t>
        </is>
      </c>
      <c r="D793" s="2" t="inlineStr">
        <is>
          <t>'Kouatchoua gato'!C15,D15</t>
        </is>
      </c>
      <c r="E793" s="2" t="inlineStr">
        <is>
          <t>frying oil</t>
        </is>
      </c>
      <c r="F793" s="3" t="n">
        <v>8000</v>
      </c>
      <c r="G793" s="2" t="inlineStr">
        <is>
          <t>8000</t>
        </is>
      </c>
      <c r="H793" s="2" t="inlineStr">
        <is>
          <t>Retain unique variant; no equivalent operating card selected</t>
        </is>
      </c>
    </row>
    <row r="794">
      <c r="A794" s="2" t="inlineStr">
        <is>
          <t>L088</t>
        </is>
      </c>
      <c r="B794" s="2" t="inlineStr">
        <is>
          <t>Kouatchoua gato</t>
        </is>
      </c>
      <c r="C794" s="2" t="inlineStr">
        <is>
          <t>S045</t>
        </is>
      </c>
      <c r="D794" s="2" t="inlineStr">
        <is>
          <t>'Kouatchoua gato'!C5,J5</t>
        </is>
      </c>
      <c r="E794" s="2" t="inlineStr">
        <is>
          <t>flour</t>
        </is>
      </c>
      <c r="F794" s="3" t="n">
        <v>20000</v>
      </c>
      <c r="G794" s="2" t="inlineStr">
        <is>
          <t>20000</t>
        </is>
      </c>
      <c r="H794" s="2" t="inlineStr">
        <is>
          <t>Retain unique variant; no equivalent operating card selected</t>
        </is>
      </c>
    </row>
    <row r="795">
      <c r="A795" s="2" t="inlineStr">
        <is>
          <t>L088</t>
        </is>
      </c>
      <c r="B795" s="2" t="inlineStr">
        <is>
          <t>Kouatchoua gato</t>
        </is>
      </c>
      <c r="C795" s="2" t="inlineStr">
        <is>
          <t>S045</t>
        </is>
      </c>
      <c r="D795" s="2" t="inlineStr">
        <is>
          <t>'Kouatchoua gato'!C6,J6</t>
        </is>
      </c>
      <c r="E795" s="2" t="inlineStr">
        <is>
          <t>Butter</t>
        </is>
      </c>
      <c r="F795" s="3" t="n">
        <v>560</v>
      </c>
      <c r="G795" s="2" t="inlineStr">
        <is>
          <t>560</t>
        </is>
      </c>
      <c r="H795" s="2" t="inlineStr">
        <is>
          <t>Retain unique variant; no equivalent operating card selected</t>
        </is>
      </c>
    </row>
    <row r="796">
      <c r="A796" s="2" t="inlineStr">
        <is>
          <t>L088</t>
        </is>
      </c>
      <c r="B796" s="2" t="inlineStr">
        <is>
          <t>Kouatchoua gato</t>
        </is>
      </c>
      <c r="C796" s="2" t="inlineStr">
        <is>
          <t>S045</t>
        </is>
      </c>
      <c r="D796" s="2" t="inlineStr">
        <is>
          <t>'Kouatchoua gato'!C7,J7</t>
        </is>
      </c>
      <c r="E796" s="2" t="inlineStr">
        <is>
          <t>sugar</t>
        </is>
      </c>
      <c r="F796" s="3" t="n">
        <v>800</v>
      </c>
      <c r="G796" s="2" t="inlineStr">
        <is>
          <t>800</t>
        </is>
      </c>
      <c r="H796" s="2" t="inlineStr">
        <is>
          <t>Retain unique variant; no equivalent operating card selected</t>
        </is>
      </c>
    </row>
    <row r="797">
      <c r="A797" s="2" t="inlineStr">
        <is>
          <t>L088</t>
        </is>
      </c>
      <c r="B797" s="2" t="inlineStr">
        <is>
          <t>Kouatchoua gato</t>
        </is>
      </c>
      <c r="C797" s="2" t="inlineStr">
        <is>
          <t>S045</t>
        </is>
      </c>
      <c r="D797" s="2" t="inlineStr">
        <is>
          <t>'Kouatchoua gato'!C8,J8</t>
        </is>
      </c>
      <c r="E797" s="2" t="inlineStr">
        <is>
          <t>Conc Milk</t>
        </is>
      </c>
      <c r="F797" s="3" t="n">
        <v>500</v>
      </c>
      <c r="G797" s="2" t="inlineStr">
        <is>
          <t>500</t>
        </is>
      </c>
      <c r="H797" s="2" t="inlineStr">
        <is>
          <t>Retain unique variant; no equivalent operating card selected</t>
        </is>
      </c>
    </row>
    <row r="798">
      <c r="A798" s="2" t="inlineStr">
        <is>
          <t>L088</t>
        </is>
      </c>
      <c r="B798" s="2" t="inlineStr">
        <is>
          <t>Kouatchoua gato</t>
        </is>
      </c>
      <c r="C798" s="2" t="inlineStr">
        <is>
          <t>S045</t>
        </is>
      </c>
      <c r="D798" s="2" t="inlineStr">
        <is>
          <t>'Kouatchoua gato'!C9,J9</t>
        </is>
      </c>
      <c r="E798" s="2" t="inlineStr">
        <is>
          <t>egg</t>
        </is>
      </c>
      <c r="F798" s="3" t="n">
        <v>144</v>
      </c>
      <c r="G798" s="2" t="inlineStr">
        <is>
          <t>144</t>
        </is>
      </c>
      <c r="H798" s="2" t="inlineStr">
        <is>
          <t>Retain unique variant; no equivalent operating card selected</t>
        </is>
      </c>
    </row>
    <row r="799">
      <c r="A799" s="2" t="inlineStr">
        <is>
          <t>L088</t>
        </is>
      </c>
      <c r="B799" s="2" t="inlineStr">
        <is>
          <t>Kouatchoua gato</t>
        </is>
      </c>
      <c r="C799" s="2" t="inlineStr">
        <is>
          <t>S045</t>
        </is>
      </c>
      <c r="D799" s="2" t="inlineStr">
        <is>
          <t>'Kouatchoua gato'!C10,J10</t>
        </is>
      </c>
      <c r="E799" s="2" t="inlineStr">
        <is>
          <t>salt</t>
        </is>
      </c>
      <c r="F799" s="3" t="n">
        <v>166</v>
      </c>
      <c r="G799" s="2" t="inlineStr">
        <is>
          <t>166</t>
        </is>
      </c>
      <c r="H799" s="2" t="inlineStr">
        <is>
          <t>Retain unique variant; no equivalent operating card selected</t>
        </is>
      </c>
    </row>
    <row r="800">
      <c r="A800" s="2" t="inlineStr">
        <is>
          <t>L088</t>
        </is>
      </c>
      <c r="B800" s="2" t="inlineStr">
        <is>
          <t>Kouatchoua gato</t>
        </is>
      </c>
      <c r="C800" s="2" t="inlineStr">
        <is>
          <t>S045</t>
        </is>
      </c>
      <c r="D800" s="2" t="inlineStr">
        <is>
          <t>'Kouatchoua gato'!C11,J11</t>
        </is>
      </c>
      <c r="E800" s="2" t="inlineStr">
        <is>
          <t>improver</t>
        </is>
      </c>
      <c r="F800" s="3" t="n">
        <v>150</v>
      </c>
      <c r="G800" s="2" t="inlineStr">
        <is>
          <t>=D11 [cached: 150]</t>
        </is>
      </c>
      <c r="H800" s="2" t="inlineStr">
        <is>
          <t>Retain unique variant; no equivalent operating card selected</t>
        </is>
      </c>
    </row>
    <row r="801">
      <c r="A801" s="2" t="inlineStr">
        <is>
          <t>L088</t>
        </is>
      </c>
      <c r="B801" s="2" t="inlineStr">
        <is>
          <t>Kouatchoua gato</t>
        </is>
      </c>
      <c r="C801" s="2" t="inlineStr">
        <is>
          <t>S045</t>
        </is>
      </c>
      <c r="D801" s="2" t="inlineStr">
        <is>
          <t>'Kouatchoua gato'!C12,J12</t>
        </is>
      </c>
      <c r="E801" s="2" t="inlineStr">
        <is>
          <t>yeast</t>
        </is>
      </c>
      <c r="F801" s="3" t="n">
        <v>70</v>
      </c>
      <c r="G801" s="2" t="inlineStr">
        <is>
          <t>70</t>
        </is>
      </c>
      <c r="H801" s="2" t="inlineStr">
        <is>
          <t>Retain unique variant; no equivalent operating card selected</t>
        </is>
      </c>
    </row>
    <row r="802">
      <c r="A802" s="2" t="inlineStr">
        <is>
          <t>L088</t>
        </is>
      </c>
      <c r="B802" s="2" t="inlineStr">
        <is>
          <t>Kouatchoua gato</t>
        </is>
      </c>
      <c r="C802" s="2" t="inlineStr">
        <is>
          <t>S045</t>
        </is>
      </c>
      <c r="D802" s="2" t="inlineStr">
        <is>
          <t>'Kouatchoua gato'!C13,J13</t>
        </is>
      </c>
      <c r="E802" s="2" t="inlineStr">
        <is>
          <t>water</t>
        </is>
      </c>
      <c r="F802" s="3" t="n">
        <v>7000</v>
      </c>
      <c r="G802" s="2" t="inlineStr">
        <is>
          <t>7000</t>
        </is>
      </c>
      <c r="H802" s="2" t="inlineStr">
        <is>
          <t>Retain unique variant; no equivalent operating card selected</t>
        </is>
      </c>
    </row>
    <row r="803">
      <c r="A803" s="2" t="inlineStr">
        <is>
          <t>L088</t>
        </is>
      </c>
      <c r="B803" s="2" t="inlineStr">
        <is>
          <t>Kouatchoua gato</t>
        </is>
      </c>
      <c r="C803" s="2" t="inlineStr">
        <is>
          <t>S045</t>
        </is>
      </c>
      <c r="D803" s="2" t="inlineStr">
        <is>
          <t>'Kouatchoua gato'!C14,J14</t>
        </is>
      </c>
      <c r="E803" s="2" t="inlineStr">
        <is>
          <t>baking powder</t>
        </is>
      </c>
      <c r="F803" s="3" t="n">
        <v>20</v>
      </c>
      <c r="G803" s="2" t="inlineStr">
        <is>
          <t>20</t>
        </is>
      </c>
      <c r="H803" s="2" t="inlineStr">
        <is>
          <t>Retain unique variant; no equivalent operating card selected</t>
        </is>
      </c>
    </row>
    <row r="804">
      <c r="A804" s="2" t="inlineStr">
        <is>
          <t>L088</t>
        </is>
      </c>
      <c r="B804" s="2" t="inlineStr">
        <is>
          <t>Kouatchoua gato</t>
        </is>
      </c>
      <c r="C804" s="2" t="inlineStr">
        <is>
          <t>S045</t>
        </is>
      </c>
      <c r="D804" s="2" t="inlineStr">
        <is>
          <t>'Kouatchoua gato'!C15,J15</t>
        </is>
      </c>
      <c r="E804" s="2" t="inlineStr">
        <is>
          <t>frying oil</t>
        </is>
      </c>
      <c r="F804" s="3" t="n">
        <v>8000</v>
      </c>
      <c r="G804" s="2" t="inlineStr">
        <is>
          <t>=D15 [cached: 8000]</t>
        </is>
      </c>
      <c r="H804" s="2" t="inlineStr">
        <is>
          <t>Retain unique variant; no equivalent operating card selected</t>
        </is>
      </c>
    </row>
    <row r="805">
      <c r="A805" s="2" t="inlineStr">
        <is>
          <t>L089</t>
        </is>
      </c>
      <c r="B805" s="2" t="inlineStr">
        <is>
          <t>Pain au lait</t>
        </is>
      </c>
      <c r="C805" s="2" t="inlineStr">
        <is>
          <t>S045</t>
        </is>
      </c>
      <c r="D805" s="2" t="inlineStr">
        <is>
          <t>'Pain au lait'!C5,D5</t>
        </is>
      </c>
      <c r="E805" s="2" t="inlineStr">
        <is>
          <t>flour</t>
        </is>
      </c>
      <c r="F805" s="3" t="n">
        <v>12000</v>
      </c>
      <c r="G805" s="2" t="inlineStr">
        <is>
          <t>12000</t>
        </is>
      </c>
      <c r="H805" s="2" t="inlineStr">
        <is>
          <t>S-B07 / M1-B04</t>
        </is>
      </c>
    </row>
    <row r="806">
      <c r="A806" s="2" t="inlineStr">
        <is>
          <t>L089</t>
        </is>
      </c>
      <c r="B806" s="2" t="inlineStr">
        <is>
          <t>Pain au lait</t>
        </is>
      </c>
      <c r="C806" s="2" t="inlineStr">
        <is>
          <t>S045</t>
        </is>
      </c>
      <c r="D806" s="2" t="inlineStr">
        <is>
          <t>'Pain au lait'!C6,D6</t>
        </is>
      </c>
      <c r="E806" s="2" t="inlineStr">
        <is>
          <t>Butter</t>
        </is>
      </c>
      <c r="F806" s="3" t="n">
        <v>1000</v>
      </c>
      <c r="G806" s="2" t="inlineStr">
        <is>
          <t>1000</t>
        </is>
      </c>
      <c r="H806" s="2" t="inlineStr">
        <is>
          <t>S-B07 / M1-B04</t>
        </is>
      </c>
    </row>
    <row r="807">
      <c r="A807" s="2" t="inlineStr">
        <is>
          <t>L089</t>
        </is>
      </c>
      <c r="B807" s="2" t="inlineStr">
        <is>
          <t>Pain au lait</t>
        </is>
      </c>
      <c r="C807" s="2" t="inlineStr">
        <is>
          <t>S045</t>
        </is>
      </c>
      <c r="D807" s="2" t="inlineStr">
        <is>
          <t>'Pain au lait'!C7,D7</t>
        </is>
      </c>
      <c r="E807" s="2" t="inlineStr">
        <is>
          <t>sugar</t>
        </is>
      </c>
      <c r="F807" s="3" t="n">
        <v>1100</v>
      </c>
      <c r="G807" s="2" t="inlineStr">
        <is>
          <t>1100</t>
        </is>
      </c>
      <c r="H807" s="2" t="inlineStr">
        <is>
          <t>S-B07 / M1-B04</t>
        </is>
      </c>
    </row>
    <row r="808">
      <c r="A808" s="2" t="inlineStr">
        <is>
          <t>L089</t>
        </is>
      </c>
      <c r="B808" s="2" t="inlineStr">
        <is>
          <t>Pain au lait</t>
        </is>
      </c>
      <c r="C808" s="2" t="inlineStr">
        <is>
          <t>S045</t>
        </is>
      </c>
      <c r="D808" s="2" t="inlineStr">
        <is>
          <t>'Pain au lait'!C8,D8</t>
        </is>
      </c>
      <c r="E808" s="2" t="inlineStr">
        <is>
          <t>Milk</t>
        </is>
      </c>
      <c r="F808" s="3" t="n">
        <v>950</v>
      </c>
      <c r="G808" s="2" t="inlineStr">
        <is>
          <t>950</t>
        </is>
      </c>
      <c r="H808" s="2" t="inlineStr">
        <is>
          <t>S-B07 / M1-B04</t>
        </is>
      </c>
    </row>
    <row r="809">
      <c r="A809" s="2" t="inlineStr">
        <is>
          <t>L089</t>
        </is>
      </c>
      <c r="B809" s="2" t="inlineStr">
        <is>
          <t>Pain au lait</t>
        </is>
      </c>
      <c r="C809" s="2" t="inlineStr">
        <is>
          <t>S045</t>
        </is>
      </c>
      <c r="D809" s="2" t="inlineStr">
        <is>
          <t>'Pain au lait'!C9,D9</t>
        </is>
      </c>
      <c r="E809" s="2" t="inlineStr">
        <is>
          <t>egg</t>
        </is>
      </c>
      <c r="F809" s="3" t="n">
        <v>300</v>
      </c>
      <c r="G809" s="2" t="inlineStr">
        <is>
          <t>300</t>
        </is>
      </c>
      <c r="H809" s="2" t="inlineStr">
        <is>
          <t>S-B07 / M1-B04</t>
        </is>
      </c>
    </row>
    <row r="810">
      <c r="A810" s="2" t="inlineStr">
        <is>
          <t>L089</t>
        </is>
      </c>
      <c r="B810" s="2" t="inlineStr">
        <is>
          <t>Pain au lait</t>
        </is>
      </c>
      <c r="C810" s="2" t="inlineStr">
        <is>
          <t>S045</t>
        </is>
      </c>
      <c r="D810" s="2" t="inlineStr">
        <is>
          <t>'Pain au lait'!C10,D10</t>
        </is>
      </c>
      <c r="E810" s="2" t="inlineStr">
        <is>
          <t>salt</t>
        </is>
      </c>
      <c r="F810" s="3" t="n">
        <v>85</v>
      </c>
      <c r="G810" s="2" t="inlineStr">
        <is>
          <t>85</t>
        </is>
      </c>
      <c r="H810" s="2" t="inlineStr">
        <is>
          <t>S-B07 / M1-B04</t>
        </is>
      </c>
    </row>
    <row r="811">
      <c r="A811" s="2" t="inlineStr">
        <is>
          <t>L089</t>
        </is>
      </c>
      <c r="B811" s="2" t="inlineStr">
        <is>
          <t>Pain au lait</t>
        </is>
      </c>
      <c r="C811" s="2" t="inlineStr">
        <is>
          <t>S045</t>
        </is>
      </c>
      <c r="D811" s="2" t="inlineStr">
        <is>
          <t>'Pain au lait'!C11,D11</t>
        </is>
      </c>
      <c r="E811" s="2" t="inlineStr">
        <is>
          <t>improver</t>
        </is>
      </c>
      <c r="F811" s="3" t="n">
        <v>100</v>
      </c>
      <c r="G811" s="2" t="inlineStr">
        <is>
          <t>100</t>
        </is>
      </c>
      <c r="H811" s="2" t="inlineStr">
        <is>
          <t>S-B07 / M1-B04</t>
        </is>
      </c>
    </row>
    <row r="812">
      <c r="A812" s="2" t="inlineStr">
        <is>
          <t>L089</t>
        </is>
      </c>
      <c r="B812" s="2" t="inlineStr">
        <is>
          <t>Pain au lait</t>
        </is>
      </c>
      <c r="C812" s="2" t="inlineStr">
        <is>
          <t>S045</t>
        </is>
      </c>
      <c r="D812" s="2" t="inlineStr">
        <is>
          <t>'Pain au lait'!C12,D12</t>
        </is>
      </c>
      <c r="E812" s="2" t="inlineStr">
        <is>
          <t>yeast</t>
        </is>
      </c>
      <c r="F812" s="3" t="n">
        <v>80</v>
      </c>
      <c r="G812" s="2" t="inlineStr">
        <is>
          <t>80</t>
        </is>
      </c>
      <c r="H812" s="2" t="inlineStr">
        <is>
          <t>S-B07 / M1-B04</t>
        </is>
      </c>
    </row>
    <row r="813">
      <c r="A813" s="2" t="inlineStr">
        <is>
          <t>L089</t>
        </is>
      </c>
      <c r="B813" s="2" t="inlineStr">
        <is>
          <t>Pain au lait</t>
        </is>
      </c>
      <c r="C813" s="2" t="inlineStr">
        <is>
          <t>S045</t>
        </is>
      </c>
      <c r="D813" s="2" t="inlineStr">
        <is>
          <t>'Pain au lait'!C13,D13</t>
        </is>
      </c>
      <c r="E813" s="2" t="inlineStr">
        <is>
          <t>water</t>
        </is>
      </c>
      <c r="F813" s="3" t="n">
        <v>4500</v>
      </c>
      <c r="G813" s="2" t="inlineStr">
        <is>
          <t>4500</t>
        </is>
      </c>
      <c r="H813" s="2" t="inlineStr">
        <is>
          <t>S-B07 / M1-B04</t>
        </is>
      </c>
    </row>
    <row r="814">
      <c r="A814" s="2" t="inlineStr">
        <is>
          <t>L089</t>
        </is>
      </c>
      <c r="B814" s="2" t="inlineStr">
        <is>
          <t>Pain au lait</t>
        </is>
      </c>
      <c r="C814" s="2" t="inlineStr">
        <is>
          <t>S045</t>
        </is>
      </c>
      <c r="D814" s="2" t="inlineStr">
        <is>
          <t>'Pain au lait'!C14,D14</t>
        </is>
      </c>
      <c r="E814" s="2" t="inlineStr">
        <is>
          <t>Oil</t>
        </is>
      </c>
      <c r="F814" s="3" t="n">
        <v>300</v>
      </c>
      <c r="G814" s="2" t="inlineStr">
        <is>
          <t>300</t>
        </is>
      </c>
      <c r="H814" s="2" t="inlineStr">
        <is>
          <t>S-B07 / M1-B04</t>
        </is>
      </c>
    </row>
    <row r="815">
      <c r="A815" s="2" t="inlineStr">
        <is>
          <t>L089</t>
        </is>
      </c>
      <c r="B815" s="2" t="inlineStr">
        <is>
          <t>Pain au lait</t>
        </is>
      </c>
      <c r="C815" s="2" t="inlineStr">
        <is>
          <t>S045</t>
        </is>
      </c>
      <c r="D815" s="2" t="inlineStr">
        <is>
          <t>'Pain au lait'!C15,D15</t>
        </is>
      </c>
      <c r="E815" s="2" t="inlineStr">
        <is>
          <t>EDC</t>
        </is>
      </c>
      <c r="F815" s="3" t="n">
        <v>25</v>
      </c>
      <c r="G815" s="2" t="inlineStr">
        <is>
          <t>25</t>
        </is>
      </c>
      <c r="H815" s="2" t="inlineStr">
        <is>
          <t>S-B07 / M1-B04</t>
        </is>
      </c>
    </row>
    <row r="816">
      <c r="A816" s="2" t="inlineStr">
        <is>
          <t>L090</t>
        </is>
      </c>
      <c r="B816" s="2" t="inlineStr">
        <is>
          <t>Pain au lait</t>
        </is>
      </c>
      <c r="C816" s="2" t="inlineStr">
        <is>
          <t>S045</t>
        </is>
      </c>
      <c r="D816" s="2" t="inlineStr">
        <is>
          <t>'Pain au lait'!C5,L5</t>
        </is>
      </c>
      <c r="E816" s="2" t="inlineStr">
        <is>
          <t>flour</t>
        </is>
      </c>
      <c r="F816" s="3" t="n">
        <v>7000</v>
      </c>
      <c r="G816" s="2" t="inlineStr">
        <is>
          <t>7000</t>
        </is>
      </c>
      <c r="H816" s="2" t="inlineStr">
        <is>
          <t>S-B07 / M1-B04</t>
        </is>
      </c>
    </row>
    <row r="817">
      <c r="A817" s="2" t="inlineStr">
        <is>
          <t>L090</t>
        </is>
      </c>
      <c r="B817" s="2" t="inlineStr">
        <is>
          <t>Pain au lait</t>
        </is>
      </c>
      <c r="C817" s="2" t="inlineStr">
        <is>
          <t>S045</t>
        </is>
      </c>
      <c r="D817" s="2" t="inlineStr">
        <is>
          <t>'Pain au lait'!C6,L6</t>
        </is>
      </c>
      <c r="E817" s="2" t="inlineStr">
        <is>
          <t>Butter</t>
        </is>
      </c>
      <c r="F817" s="3" t="n">
        <v>600</v>
      </c>
      <c r="G817" s="2" t="inlineStr">
        <is>
          <t>600</t>
        </is>
      </c>
      <c r="H817" s="2" t="inlineStr">
        <is>
          <t>S-B07 / M1-B04</t>
        </is>
      </c>
    </row>
    <row r="818">
      <c r="A818" s="2" t="inlineStr">
        <is>
          <t>L090</t>
        </is>
      </c>
      <c r="B818" s="2" t="inlineStr">
        <is>
          <t>Pain au lait</t>
        </is>
      </c>
      <c r="C818" s="2" t="inlineStr">
        <is>
          <t>S045</t>
        </is>
      </c>
      <c r="D818" s="2" t="inlineStr">
        <is>
          <t>'Pain au lait'!C7,L7</t>
        </is>
      </c>
      <c r="E818" s="2" t="inlineStr">
        <is>
          <t>sugar</t>
        </is>
      </c>
      <c r="F818" s="3" t="n">
        <v>600</v>
      </c>
      <c r="G818" s="2" t="inlineStr">
        <is>
          <t>600</t>
        </is>
      </c>
      <c r="H818" s="2" t="inlineStr">
        <is>
          <t>S-B07 / M1-B04</t>
        </is>
      </c>
    </row>
    <row r="819">
      <c r="A819" s="2" t="inlineStr">
        <is>
          <t>L090</t>
        </is>
      </c>
      <c r="B819" s="2" t="inlineStr">
        <is>
          <t>Pain au lait</t>
        </is>
      </c>
      <c r="C819" s="2" t="inlineStr">
        <is>
          <t>S045</t>
        </is>
      </c>
      <c r="D819" s="2" t="inlineStr">
        <is>
          <t>'Pain au lait'!C8,L8</t>
        </is>
      </c>
      <c r="E819" s="2" t="inlineStr">
        <is>
          <t>Milk</t>
        </is>
      </c>
      <c r="F819" s="3" t="n">
        <v>475</v>
      </c>
      <c r="G819" s="2" t="inlineStr">
        <is>
          <t>=D8/2 [cached: 475]</t>
        </is>
      </c>
      <c r="H819" s="2" t="inlineStr">
        <is>
          <t>S-B07 / M1-B04</t>
        </is>
      </c>
    </row>
    <row r="820">
      <c r="A820" s="2" t="inlineStr">
        <is>
          <t>L090</t>
        </is>
      </c>
      <c r="B820" s="2" t="inlineStr">
        <is>
          <t>Pain au lait</t>
        </is>
      </c>
      <c r="C820" s="2" t="inlineStr">
        <is>
          <t>S045</t>
        </is>
      </c>
      <c r="D820" s="2" t="inlineStr">
        <is>
          <t>'Pain au lait'!C9,L9</t>
        </is>
      </c>
      <c r="E820" s="2" t="inlineStr">
        <is>
          <t>egg</t>
        </is>
      </c>
      <c r="F820" s="3" t="n">
        <v>150</v>
      </c>
      <c r="G820" s="2" t="inlineStr">
        <is>
          <t>=D9/2 [cached: 150]</t>
        </is>
      </c>
      <c r="H820" s="2" t="inlineStr">
        <is>
          <t>S-B07 / M1-B04</t>
        </is>
      </c>
    </row>
    <row r="821">
      <c r="A821" s="2" t="inlineStr">
        <is>
          <t>L090</t>
        </is>
      </c>
      <c r="B821" s="2" t="inlineStr">
        <is>
          <t>Pain au lait</t>
        </is>
      </c>
      <c r="C821" s="2" t="inlineStr">
        <is>
          <t>S045</t>
        </is>
      </c>
      <c r="D821" s="2" t="inlineStr">
        <is>
          <t>'Pain au lait'!C10,L10</t>
        </is>
      </c>
      <c r="E821" s="2" t="inlineStr">
        <is>
          <t>salt</t>
        </is>
      </c>
      <c r="F821" s="3" t="n">
        <v>50</v>
      </c>
      <c r="G821" s="2" t="inlineStr">
        <is>
          <t>50</t>
        </is>
      </c>
      <c r="H821" s="2" t="inlineStr">
        <is>
          <t>S-B07 / M1-B04</t>
        </is>
      </c>
    </row>
    <row r="822">
      <c r="A822" s="2" t="inlineStr">
        <is>
          <t>L090</t>
        </is>
      </c>
      <c r="B822" s="2" t="inlineStr">
        <is>
          <t>Pain au lait</t>
        </is>
      </c>
      <c r="C822" s="2" t="inlineStr">
        <is>
          <t>S045</t>
        </is>
      </c>
      <c r="D822" s="2" t="inlineStr">
        <is>
          <t>'Pain au lait'!C11,L11</t>
        </is>
      </c>
      <c r="E822" s="2" t="inlineStr">
        <is>
          <t>improver</t>
        </is>
      </c>
      <c r="F822" s="3" t="n">
        <v>100</v>
      </c>
      <c r="G822" s="2" t="inlineStr">
        <is>
          <t>100</t>
        </is>
      </c>
      <c r="H822" s="2" t="inlineStr">
        <is>
          <t>S-B07 / M1-B04</t>
        </is>
      </c>
    </row>
    <row r="823">
      <c r="A823" s="2" t="inlineStr">
        <is>
          <t>L090</t>
        </is>
      </c>
      <c r="B823" s="2" t="inlineStr">
        <is>
          <t>Pain au lait</t>
        </is>
      </c>
      <c r="C823" s="2" t="inlineStr">
        <is>
          <t>S045</t>
        </is>
      </c>
      <c r="D823" s="2" t="inlineStr">
        <is>
          <t>'Pain au lait'!C12,L12</t>
        </is>
      </c>
      <c r="E823" s="2" t="inlineStr">
        <is>
          <t>yeast</t>
        </is>
      </c>
      <c r="F823" s="3" t="n">
        <v>50</v>
      </c>
      <c r="G823" s="2" t="inlineStr">
        <is>
          <t>50</t>
        </is>
      </c>
      <c r="H823" s="2" t="inlineStr">
        <is>
          <t>S-B07 / M1-B04</t>
        </is>
      </c>
    </row>
    <row r="824">
      <c r="A824" s="2" t="inlineStr">
        <is>
          <t>L090</t>
        </is>
      </c>
      <c r="B824" s="2" t="inlineStr">
        <is>
          <t>Pain au lait</t>
        </is>
      </c>
      <c r="C824" s="2" t="inlineStr">
        <is>
          <t>S045</t>
        </is>
      </c>
      <c r="D824" s="2" t="inlineStr">
        <is>
          <t>'Pain au lait'!C13,L13</t>
        </is>
      </c>
      <c r="E824" s="2" t="inlineStr">
        <is>
          <t>water</t>
        </is>
      </c>
      <c r="F824" s="3" t="n">
        <v>1100</v>
      </c>
      <c r="G824" s="2" t="inlineStr">
        <is>
          <t>1100</t>
        </is>
      </c>
      <c r="H824" s="2" t="inlineStr">
        <is>
          <t>S-B07 / M1-B04</t>
        </is>
      </c>
    </row>
    <row r="825">
      <c r="A825" s="2" t="inlineStr">
        <is>
          <t>L090</t>
        </is>
      </c>
      <c r="B825" s="2" t="inlineStr">
        <is>
          <t>Pain au lait</t>
        </is>
      </c>
      <c r="C825" s="2" t="inlineStr">
        <is>
          <t>S045</t>
        </is>
      </c>
      <c r="D825" s="2" t="inlineStr">
        <is>
          <t>'Pain au lait'!C14,L14</t>
        </is>
      </c>
      <c r="E825" s="2" t="inlineStr">
        <is>
          <t>Oil</t>
        </is>
      </c>
      <c r="F825" s="3" t="n">
        <v>150</v>
      </c>
      <c r="G825" s="2" t="inlineStr">
        <is>
          <t>=D14/2 [cached: 150]</t>
        </is>
      </c>
      <c r="H825" s="2" t="inlineStr">
        <is>
          <t>S-B07 / M1-B04</t>
        </is>
      </c>
    </row>
    <row r="826">
      <c r="A826" s="2" t="inlineStr">
        <is>
          <t>L090</t>
        </is>
      </c>
      <c r="B826" s="2" t="inlineStr">
        <is>
          <t>Pain au lait</t>
        </is>
      </c>
      <c r="C826" s="2" t="inlineStr">
        <is>
          <t>S045</t>
        </is>
      </c>
      <c r="D826" s="2" t="inlineStr">
        <is>
          <t>'Pain au lait'!C15,L15</t>
        </is>
      </c>
      <c r="E826" s="2" t="inlineStr">
        <is>
          <t>EDC</t>
        </is>
      </c>
      <c r="F826" s="3" t="n">
        <v>12.5</v>
      </c>
      <c r="G826" s="2" t="inlineStr">
        <is>
          <t>=D15/2 [cached: 12.5]</t>
        </is>
      </c>
      <c r="H826" s="2" t="inlineStr">
        <is>
          <t>S-B07 / M1-B04</t>
        </is>
      </c>
    </row>
    <row r="827">
      <c r="A827" s="2" t="inlineStr">
        <is>
          <t>L091</t>
        </is>
      </c>
      <c r="B827" s="2" t="inlineStr">
        <is>
          <t>YUMMY BREAD</t>
        </is>
      </c>
      <c r="C827" s="2" t="inlineStr">
        <is>
          <t>S045</t>
        </is>
      </c>
      <c r="D827" s="2" t="inlineStr">
        <is>
          <t>'YUMMY BREAD'!C5,D5</t>
        </is>
      </c>
      <c r="E827" s="2" t="inlineStr">
        <is>
          <t>flour</t>
        </is>
      </c>
      <c r="F827" s="3" t="n">
        <v>15000</v>
      </c>
      <c r="G827" s="2" t="inlineStr">
        <is>
          <t>15000</t>
        </is>
      </c>
      <c r="H827" s="2" t="inlineStr">
        <is>
          <t>M1-B01–B13</t>
        </is>
      </c>
    </row>
    <row r="828">
      <c r="A828" s="2" t="inlineStr">
        <is>
          <t>L091</t>
        </is>
      </c>
      <c r="B828" s="2" t="inlineStr">
        <is>
          <t>YUMMY BREAD</t>
        </is>
      </c>
      <c r="C828" s="2" t="inlineStr">
        <is>
          <t>S045</t>
        </is>
      </c>
      <c r="D828" s="2" t="inlineStr">
        <is>
          <t>'YUMMY BREAD'!C6,D6</t>
        </is>
      </c>
      <c r="E828" s="2" t="inlineStr">
        <is>
          <t>Butter</t>
        </is>
      </c>
      <c r="F828" s="3" t="n">
        <v>1500</v>
      </c>
      <c r="G828" s="2" t="inlineStr">
        <is>
          <t>1500</t>
        </is>
      </c>
      <c r="H828" s="2" t="inlineStr">
        <is>
          <t>M1-B01–B13</t>
        </is>
      </c>
    </row>
    <row r="829">
      <c r="A829" s="2" t="inlineStr">
        <is>
          <t>L091</t>
        </is>
      </c>
      <c r="B829" s="2" t="inlineStr">
        <is>
          <t>YUMMY BREAD</t>
        </is>
      </c>
      <c r="C829" s="2" t="inlineStr">
        <is>
          <t>S045</t>
        </is>
      </c>
      <c r="D829" s="2" t="inlineStr">
        <is>
          <t>'YUMMY BREAD'!C7,D7</t>
        </is>
      </c>
      <c r="E829" s="2" t="inlineStr">
        <is>
          <t>sugar</t>
        </is>
      </c>
      <c r="F829" s="3" t="n">
        <v>1500</v>
      </c>
      <c r="G829" s="2" t="inlineStr">
        <is>
          <t>1500</t>
        </is>
      </c>
      <c r="H829" s="2" t="inlineStr">
        <is>
          <t>M1-B01–B13</t>
        </is>
      </c>
    </row>
    <row r="830">
      <c r="A830" s="2" t="inlineStr">
        <is>
          <t>L091</t>
        </is>
      </c>
      <c r="B830" s="2" t="inlineStr">
        <is>
          <t>YUMMY BREAD</t>
        </is>
      </c>
      <c r="C830" s="2" t="inlineStr">
        <is>
          <t>S045</t>
        </is>
      </c>
      <c r="D830" s="2" t="inlineStr">
        <is>
          <t>'YUMMY BREAD'!C8,D8</t>
        </is>
      </c>
      <c r="E830" s="2" t="inlineStr">
        <is>
          <t>Milk</t>
        </is>
      </c>
      <c r="F830" s="3" t="n">
        <v>1000</v>
      </c>
      <c r="G830" s="2" t="inlineStr">
        <is>
          <t>1000</t>
        </is>
      </c>
      <c r="H830" s="2" t="inlineStr">
        <is>
          <t>M1-B01–B13</t>
        </is>
      </c>
    </row>
    <row r="831">
      <c r="A831" s="2" t="inlineStr">
        <is>
          <t>L091</t>
        </is>
      </c>
      <c r="B831" s="2" t="inlineStr">
        <is>
          <t>YUMMY BREAD</t>
        </is>
      </c>
      <c r="C831" s="2" t="inlineStr">
        <is>
          <t>S045</t>
        </is>
      </c>
      <c r="D831" s="2" t="inlineStr">
        <is>
          <t>'YUMMY BREAD'!C9,D9</t>
        </is>
      </c>
      <c r="E831" s="2" t="inlineStr">
        <is>
          <t>egg</t>
        </is>
      </c>
      <c r="F831" s="3" t="n">
        <v>750</v>
      </c>
      <c r="G831" s="2" t="inlineStr">
        <is>
          <t>750</t>
        </is>
      </c>
      <c r="H831" s="2" t="inlineStr">
        <is>
          <t>M1-B01–B13</t>
        </is>
      </c>
    </row>
    <row r="832">
      <c r="A832" s="2" t="inlineStr">
        <is>
          <t>L091</t>
        </is>
      </c>
      <c r="B832" s="2" t="inlineStr">
        <is>
          <t>YUMMY BREAD</t>
        </is>
      </c>
      <c r="C832" s="2" t="inlineStr">
        <is>
          <t>S045</t>
        </is>
      </c>
      <c r="D832" s="2" t="inlineStr">
        <is>
          <t>'YUMMY BREAD'!C10,D10</t>
        </is>
      </c>
      <c r="E832" s="2" t="inlineStr">
        <is>
          <t>salt</t>
        </is>
      </c>
      <c r="F832" s="3" t="n">
        <v>170</v>
      </c>
      <c r="G832" s="2" t="inlineStr">
        <is>
          <t>170</t>
        </is>
      </c>
      <c r="H832" s="2" t="inlineStr">
        <is>
          <t>M1-B01–B13</t>
        </is>
      </c>
    </row>
    <row r="833">
      <c r="A833" s="2" t="inlineStr">
        <is>
          <t>L091</t>
        </is>
      </c>
      <c r="B833" s="2" t="inlineStr">
        <is>
          <t>YUMMY BREAD</t>
        </is>
      </c>
      <c r="C833" s="2" t="inlineStr">
        <is>
          <t>S045</t>
        </is>
      </c>
      <c r="D833" s="2" t="inlineStr">
        <is>
          <t>'YUMMY BREAD'!C11,D11</t>
        </is>
      </c>
      <c r="E833" s="2" t="inlineStr">
        <is>
          <t>improver</t>
        </is>
      </c>
      <c r="F833" s="3" t="n">
        <v>150</v>
      </c>
      <c r="G833" s="2" t="inlineStr">
        <is>
          <t>150</t>
        </is>
      </c>
      <c r="H833" s="2" t="inlineStr">
        <is>
          <t>M1-B01–B13</t>
        </is>
      </c>
    </row>
    <row r="834">
      <c r="A834" s="2" t="inlineStr">
        <is>
          <t>L091</t>
        </is>
      </c>
      <c r="B834" s="2" t="inlineStr">
        <is>
          <t>YUMMY BREAD</t>
        </is>
      </c>
      <c r="C834" s="2" t="inlineStr">
        <is>
          <t>S045</t>
        </is>
      </c>
      <c r="D834" s="2" t="inlineStr">
        <is>
          <t>'YUMMY BREAD'!C12,D12</t>
        </is>
      </c>
      <c r="E834" s="2" t="inlineStr">
        <is>
          <t>yeast</t>
        </is>
      </c>
      <c r="F834" s="3" t="n">
        <v>180</v>
      </c>
      <c r="G834" s="2" t="inlineStr">
        <is>
          <t>180</t>
        </is>
      </c>
      <c r="H834" s="2" t="inlineStr">
        <is>
          <t>M1-B01–B13</t>
        </is>
      </c>
    </row>
    <row r="835">
      <c r="A835" s="2" t="inlineStr">
        <is>
          <t>L091</t>
        </is>
      </c>
      <c r="B835" s="2" t="inlineStr">
        <is>
          <t>YUMMY BREAD</t>
        </is>
      </c>
      <c r="C835" s="2" t="inlineStr">
        <is>
          <t>S045</t>
        </is>
      </c>
      <c r="D835" s="2" t="inlineStr">
        <is>
          <t>'YUMMY BREAD'!C13,D13</t>
        </is>
      </c>
      <c r="E835" s="2" t="inlineStr">
        <is>
          <t>water</t>
        </is>
      </c>
      <c r="F835" s="3" t="n">
        <v>4000</v>
      </c>
      <c r="G835" s="2" t="inlineStr">
        <is>
          <t>4000</t>
        </is>
      </c>
      <c r="H835" s="2" t="inlineStr">
        <is>
          <t>M1-B01–B13</t>
        </is>
      </c>
    </row>
    <row r="836">
      <c r="A836" s="2" t="inlineStr">
        <is>
          <t>L091</t>
        </is>
      </c>
      <c r="B836" s="2" t="inlineStr">
        <is>
          <t>YUMMY BREAD</t>
        </is>
      </c>
      <c r="C836" s="2" t="inlineStr">
        <is>
          <t>S045</t>
        </is>
      </c>
      <c r="D836" s="2" t="inlineStr">
        <is>
          <t>'YUMMY BREAD'!C14,D14</t>
        </is>
      </c>
      <c r="E836" s="2" t="inlineStr">
        <is>
          <t>Oil</t>
        </is>
      </c>
      <c r="F836" s="3" t="n">
        <v>400</v>
      </c>
      <c r="G836" s="2" t="inlineStr">
        <is>
          <t>400</t>
        </is>
      </c>
      <c r="H836" s="2" t="inlineStr">
        <is>
          <t>M1-B01–B13</t>
        </is>
      </c>
    </row>
    <row r="837">
      <c r="A837" s="2" t="inlineStr">
        <is>
          <t>L091</t>
        </is>
      </c>
      <c r="B837" s="2" t="inlineStr">
        <is>
          <t>YUMMY BREAD</t>
        </is>
      </c>
      <c r="C837" s="2" t="inlineStr">
        <is>
          <t>S045</t>
        </is>
      </c>
      <c r="D837" s="2" t="inlineStr">
        <is>
          <t>'YUMMY BREAD'!C15,D15</t>
        </is>
      </c>
      <c r="E837" s="2" t="inlineStr">
        <is>
          <t>EDC</t>
        </is>
      </c>
      <c r="F837" s="3" t="n">
        <v>50</v>
      </c>
      <c r="G837" s="2" t="inlineStr">
        <is>
          <t>50</t>
        </is>
      </c>
      <c r="H837" s="2" t="inlineStr">
        <is>
          <t>M1-B01–B13</t>
        </is>
      </c>
    </row>
    <row r="838">
      <c r="A838" s="2" t="inlineStr">
        <is>
          <t>L092</t>
        </is>
      </c>
      <c r="B838" s="2" t="inlineStr">
        <is>
          <t>YUMMY BREAD</t>
        </is>
      </c>
      <c r="C838" s="2" t="inlineStr">
        <is>
          <t>S045</t>
        </is>
      </c>
      <c r="D838" s="2" t="inlineStr">
        <is>
          <t>'YUMMY BREAD'!C5,F5</t>
        </is>
      </c>
      <c r="E838" s="2" t="inlineStr">
        <is>
          <t>flour</t>
        </is>
      </c>
      <c r="F838" s="3" t="n">
        <v>12000</v>
      </c>
      <c r="G838" s="2" t="inlineStr">
        <is>
          <t>12000</t>
        </is>
      </c>
      <c r="H838" s="2" t="inlineStr">
        <is>
          <t>M1-B01–B13</t>
        </is>
      </c>
    </row>
    <row r="839">
      <c r="A839" s="2" t="inlineStr">
        <is>
          <t>L092</t>
        </is>
      </c>
      <c r="B839" s="2" t="inlineStr">
        <is>
          <t>YUMMY BREAD</t>
        </is>
      </c>
      <c r="C839" s="2" t="inlineStr">
        <is>
          <t>S045</t>
        </is>
      </c>
      <c r="D839" s="2" t="inlineStr">
        <is>
          <t>'YUMMY BREAD'!C6,F6</t>
        </is>
      </c>
      <c r="E839" s="2" t="inlineStr">
        <is>
          <t>Butter</t>
        </is>
      </c>
      <c r="F839" s="3" t="n">
        <v>1000</v>
      </c>
      <c r="G839" s="2" t="inlineStr">
        <is>
          <t>1000</t>
        </is>
      </c>
      <c r="H839" s="2" t="inlineStr">
        <is>
          <t>M1-B01–B13</t>
        </is>
      </c>
    </row>
    <row r="840">
      <c r="A840" s="2" t="inlineStr">
        <is>
          <t>L092</t>
        </is>
      </c>
      <c r="B840" s="2" t="inlineStr">
        <is>
          <t>YUMMY BREAD</t>
        </is>
      </c>
      <c r="C840" s="2" t="inlineStr">
        <is>
          <t>S045</t>
        </is>
      </c>
      <c r="D840" s="2" t="inlineStr">
        <is>
          <t>'YUMMY BREAD'!C7,F7</t>
        </is>
      </c>
      <c r="E840" s="2" t="inlineStr">
        <is>
          <t>sugar</t>
        </is>
      </c>
      <c r="F840" s="3" t="n">
        <v>1000</v>
      </c>
      <c r="G840" s="2" t="inlineStr">
        <is>
          <t>1000</t>
        </is>
      </c>
      <c r="H840" s="2" t="inlineStr">
        <is>
          <t>M1-B01–B13</t>
        </is>
      </c>
    </row>
    <row r="841">
      <c r="A841" s="2" t="inlineStr">
        <is>
          <t>L092</t>
        </is>
      </c>
      <c r="B841" s="2" t="inlineStr">
        <is>
          <t>YUMMY BREAD</t>
        </is>
      </c>
      <c r="C841" s="2" t="inlineStr">
        <is>
          <t>S045</t>
        </is>
      </c>
      <c r="D841" s="2" t="inlineStr">
        <is>
          <t>'YUMMY BREAD'!C8,F8</t>
        </is>
      </c>
      <c r="E841" s="2" t="inlineStr">
        <is>
          <t>Milk</t>
        </is>
      </c>
      <c r="F841" s="3" t="n">
        <v>1000</v>
      </c>
      <c r="G841" s="2" t="inlineStr">
        <is>
          <t>1000</t>
        </is>
      </c>
      <c r="H841" s="2" t="inlineStr">
        <is>
          <t>M1-B01–B13</t>
        </is>
      </c>
    </row>
    <row r="842">
      <c r="A842" s="2" t="inlineStr">
        <is>
          <t>L092</t>
        </is>
      </c>
      <c r="B842" s="2" t="inlineStr">
        <is>
          <t>YUMMY BREAD</t>
        </is>
      </c>
      <c r="C842" s="2" t="inlineStr">
        <is>
          <t>S045</t>
        </is>
      </c>
      <c r="D842" s="2" t="inlineStr">
        <is>
          <t>'YUMMY BREAD'!C9,F9</t>
        </is>
      </c>
      <c r="E842" s="2" t="inlineStr">
        <is>
          <t>egg</t>
        </is>
      </c>
      <c r="F842" s="3" t="n">
        <v>750</v>
      </c>
      <c r="G842" s="2" t="inlineStr">
        <is>
          <t>750</t>
        </is>
      </c>
      <c r="H842" s="2" t="inlineStr">
        <is>
          <t>M1-B01–B13</t>
        </is>
      </c>
    </row>
    <row r="843">
      <c r="A843" s="2" t="inlineStr">
        <is>
          <t>L092</t>
        </is>
      </c>
      <c r="B843" s="2" t="inlineStr">
        <is>
          <t>YUMMY BREAD</t>
        </is>
      </c>
      <c r="C843" s="2" t="inlineStr">
        <is>
          <t>S045</t>
        </is>
      </c>
      <c r="D843" s="2" t="inlineStr">
        <is>
          <t>'YUMMY BREAD'!C10,F10</t>
        </is>
      </c>
      <c r="E843" s="2" t="inlineStr">
        <is>
          <t>salt</t>
        </is>
      </c>
      <c r="F843" s="3" t="n">
        <v>110</v>
      </c>
      <c r="G843" s="2" t="inlineStr">
        <is>
          <t>110</t>
        </is>
      </c>
      <c r="H843" s="2" t="inlineStr">
        <is>
          <t>M1-B01–B13</t>
        </is>
      </c>
    </row>
    <row r="844">
      <c r="A844" s="2" t="inlineStr">
        <is>
          <t>L092</t>
        </is>
      </c>
      <c r="B844" s="2" t="inlineStr">
        <is>
          <t>YUMMY BREAD</t>
        </is>
      </c>
      <c r="C844" s="2" t="inlineStr">
        <is>
          <t>S045</t>
        </is>
      </c>
      <c r="D844" s="2" t="inlineStr">
        <is>
          <t>'YUMMY BREAD'!C11,F11</t>
        </is>
      </c>
      <c r="E844" s="2" t="inlineStr">
        <is>
          <t>improver</t>
        </is>
      </c>
      <c r="F844" s="3" t="n">
        <v>100</v>
      </c>
      <c r="G844" s="2" t="inlineStr">
        <is>
          <t>100</t>
        </is>
      </c>
      <c r="H844" s="2" t="inlineStr">
        <is>
          <t>M1-B01–B13</t>
        </is>
      </c>
    </row>
    <row r="845">
      <c r="A845" s="2" t="inlineStr">
        <is>
          <t>L092</t>
        </is>
      </c>
      <c r="B845" s="2" t="inlineStr">
        <is>
          <t>YUMMY BREAD</t>
        </is>
      </c>
      <c r="C845" s="2" t="inlineStr">
        <is>
          <t>S045</t>
        </is>
      </c>
      <c r="D845" s="2" t="inlineStr">
        <is>
          <t>'YUMMY BREAD'!C12,F12</t>
        </is>
      </c>
      <c r="E845" s="2" t="inlineStr">
        <is>
          <t>yeast</t>
        </is>
      </c>
      <c r="F845" s="3" t="n">
        <v>120</v>
      </c>
      <c r="G845" s="2" t="inlineStr">
        <is>
          <t>120</t>
        </is>
      </c>
      <c r="H845" s="2" t="inlineStr">
        <is>
          <t>M1-B01–B13</t>
        </is>
      </c>
    </row>
    <row r="846">
      <c r="A846" s="2" t="inlineStr">
        <is>
          <t>L092</t>
        </is>
      </c>
      <c r="B846" s="2" t="inlineStr">
        <is>
          <t>YUMMY BREAD</t>
        </is>
      </c>
      <c r="C846" s="2" t="inlineStr">
        <is>
          <t>S045</t>
        </is>
      </c>
      <c r="D846" s="2" t="inlineStr">
        <is>
          <t>'YUMMY BREAD'!C13,F13</t>
        </is>
      </c>
      <c r="E846" s="2" t="inlineStr">
        <is>
          <t>water</t>
        </is>
      </c>
      <c r="F846" s="3" t="n">
        <v>3000</v>
      </c>
      <c r="G846" s="2" t="inlineStr">
        <is>
          <t>3000</t>
        </is>
      </c>
      <c r="H846" s="2" t="inlineStr">
        <is>
          <t>M1-B01–B13</t>
        </is>
      </c>
    </row>
    <row r="847">
      <c r="A847" s="2" t="inlineStr">
        <is>
          <t>L092</t>
        </is>
      </c>
      <c r="B847" s="2" t="inlineStr">
        <is>
          <t>YUMMY BREAD</t>
        </is>
      </c>
      <c r="C847" s="2" t="inlineStr">
        <is>
          <t>S045</t>
        </is>
      </c>
      <c r="D847" s="2" t="inlineStr">
        <is>
          <t>'YUMMY BREAD'!C14,F14</t>
        </is>
      </c>
      <c r="E847" s="2" t="inlineStr">
        <is>
          <t>Oil</t>
        </is>
      </c>
      <c r="F847" s="3" t="n">
        <v>220</v>
      </c>
      <c r="G847" s="2" t="inlineStr">
        <is>
          <t>220</t>
        </is>
      </c>
      <c r="H847" s="2" t="inlineStr">
        <is>
          <t>M1-B01–B13</t>
        </is>
      </c>
    </row>
    <row r="848">
      <c r="A848" s="2" t="inlineStr">
        <is>
          <t>L092</t>
        </is>
      </c>
      <c r="B848" s="2" t="inlineStr">
        <is>
          <t>YUMMY BREAD</t>
        </is>
      </c>
      <c r="C848" s="2" t="inlineStr">
        <is>
          <t>S045</t>
        </is>
      </c>
      <c r="D848" s="2" t="inlineStr">
        <is>
          <t>'YUMMY BREAD'!C15,F15</t>
        </is>
      </c>
      <c r="E848" s="2" t="inlineStr">
        <is>
          <t>EDC</t>
        </is>
      </c>
      <c r="F848" s="3" t="n">
        <v>25</v>
      </c>
      <c r="G848" s="2" t="inlineStr">
        <is>
          <t>25</t>
        </is>
      </c>
      <c r="H848" s="2" t="inlineStr">
        <is>
          <t>M1-B01–B13</t>
        </is>
      </c>
    </row>
    <row r="849">
      <c r="A849" s="2" t="inlineStr">
        <is>
          <t>L093</t>
        </is>
      </c>
      <c r="B849" s="2" t="inlineStr">
        <is>
          <t>doughnuts</t>
        </is>
      </c>
      <c r="C849" s="2" t="inlineStr">
        <is>
          <t>S045</t>
        </is>
      </c>
      <c r="D849" s="2" t="inlineStr">
        <is>
          <t>'doughnuts'!C5,D5</t>
        </is>
      </c>
      <c r="E849" s="2" t="inlineStr">
        <is>
          <t>flour</t>
        </is>
      </c>
      <c r="F849" s="3" t="n">
        <v>15000</v>
      </c>
      <c r="G849" s="2" t="inlineStr">
        <is>
          <t>15000</t>
        </is>
      </c>
      <c r="H849" s="2" t="inlineStr">
        <is>
          <t>T01 for cake / O-P04 for yeast</t>
        </is>
      </c>
    </row>
    <row r="850">
      <c r="A850" s="2" t="inlineStr">
        <is>
          <t>L093</t>
        </is>
      </c>
      <c r="B850" s="2" t="inlineStr">
        <is>
          <t>doughnuts</t>
        </is>
      </c>
      <c r="C850" s="2" t="inlineStr">
        <is>
          <t>S045</t>
        </is>
      </c>
      <c r="D850" s="2" t="inlineStr">
        <is>
          <t>'doughnuts'!C6,D6</t>
        </is>
      </c>
      <c r="E850" s="2" t="inlineStr">
        <is>
          <t>baking powder</t>
        </is>
      </c>
      <c r="F850" s="3" t="n">
        <v>260</v>
      </c>
      <c r="G850" s="2" t="inlineStr">
        <is>
          <t>260</t>
        </is>
      </c>
      <c r="H850" s="2" t="inlineStr">
        <is>
          <t>T01 for cake / O-P04 for yeast</t>
        </is>
      </c>
    </row>
    <row r="851">
      <c r="A851" s="2" t="inlineStr">
        <is>
          <t>L093</t>
        </is>
      </c>
      <c r="B851" s="2" t="inlineStr">
        <is>
          <t>doughnuts</t>
        </is>
      </c>
      <c r="C851" s="2" t="inlineStr">
        <is>
          <t>S045</t>
        </is>
      </c>
      <c r="D851" s="2" t="inlineStr">
        <is>
          <t>'doughnuts'!C7,D7</t>
        </is>
      </c>
      <c r="E851" s="2" t="inlineStr">
        <is>
          <t>milk</t>
        </is>
      </c>
      <c r="F851" s="3" t="n">
        <v>1000</v>
      </c>
      <c r="G851" s="2" t="inlineStr">
        <is>
          <t>1000</t>
        </is>
      </c>
      <c r="H851" s="2" t="inlineStr">
        <is>
          <t>T01 for cake / O-P04 for yeast</t>
        </is>
      </c>
    </row>
    <row r="852">
      <c r="A852" s="2" t="inlineStr">
        <is>
          <t>L093</t>
        </is>
      </c>
      <c r="B852" s="2" t="inlineStr">
        <is>
          <t>doughnuts</t>
        </is>
      </c>
      <c r="C852" s="2" t="inlineStr">
        <is>
          <t>S045</t>
        </is>
      </c>
      <c r="D852" s="2" t="inlineStr">
        <is>
          <t>'doughnuts'!C8,D8</t>
        </is>
      </c>
      <c r="E852" s="2" t="inlineStr">
        <is>
          <t>sugar</t>
        </is>
      </c>
      <c r="F852" s="3" t="n">
        <v>1500</v>
      </c>
      <c r="G852" s="2" t="inlineStr">
        <is>
          <t>1500</t>
        </is>
      </c>
      <c r="H852" s="2" t="inlineStr">
        <is>
          <t>T01 for cake / O-P04 for yeast</t>
        </is>
      </c>
    </row>
    <row r="853">
      <c r="A853" s="2" t="inlineStr">
        <is>
          <t>L093</t>
        </is>
      </c>
      <c r="B853" s="2" t="inlineStr">
        <is>
          <t>doughnuts</t>
        </is>
      </c>
      <c r="C853" s="2" t="inlineStr">
        <is>
          <t>S045</t>
        </is>
      </c>
      <c r="D853" s="2" t="inlineStr">
        <is>
          <t>'doughnuts'!C9,D9</t>
        </is>
      </c>
      <c r="E853" s="2" t="inlineStr">
        <is>
          <t>oil</t>
        </is>
      </c>
      <c r="F853" s="3" t="n">
        <v>1000</v>
      </c>
      <c r="G853" s="2" t="inlineStr">
        <is>
          <t>1000</t>
        </is>
      </c>
      <c r="H853" s="2" t="inlineStr">
        <is>
          <t>T01 for cake / O-P04 for yeast</t>
        </is>
      </c>
    </row>
    <row r="854">
      <c r="A854" s="2" t="inlineStr">
        <is>
          <t>L093</t>
        </is>
      </c>
      <c r="B854" s="2" t="inlineStr">
        <is>
          <t>doughnuts</t>
        </is>
      </c>
      <c r="C854" s="2" t="inlineStr">
        <is>
          <t>S045</t>
        </is>
      </c>
      <c r="D854" s="2" t="inlineStr">
        <is>
          <t>'doughnuts'!C10,D10</t>
        </is>
      </c>
      <c r="E854" s="2" t="inlineStr">
        <is>
          <t>salt</t>
        </is>
      </c>
      <c r="F854" s="3" t="n">
        <v>170</v>
      </c>
      <c r="G854" s="2" t="inlineStr">
        <is>
          <t>170</t>
        </is>
      </c>
      <c r="H854" s="2" t="inlineStr">
        <is>
          <t>T01 for cake / O-P04 for yeast</t>
        </is>
      </c>
    </row>
    <row r="855">
      <c r="A855" s="2" t="inlineStr">
        <is>
          <t>L093</t>
        </is>
      </c>
      <c r="B855" s="2" t="inlineStr">
        <is>
          <t>doughnuts</t>
        </is>
      </c>
      <c r="C855" s="2" t="inlineStr">
        <is>
          <t>S045</t>
        </is>
      </c>
      <c r="D855" s="2" t="inlineStr">
        <is>
          <t>'doughnuts'!C11,D11</t>
        </is>
      </c>
      <c r="E855" s="2" t="inlineStr">
        <is>
          <t>Improver</t>
        </is>
      </c>
      <c r="F855" s="3" t="n">
        <v>120</v>
      </c>
      <c r="G855" s="2" t="inlineStr">
        <is>
          <t>120</t>
        </is>
      </c>
      <c r="H855" s="2" t="inlineStr">
        <is>
          <t>T01 for cake / O-P04 for yeast</t>
        </is>
      </c>
    </row>
    <row r="856">
      <c r="A856" s="2" t="inlineStr">
        <is>
          <t>L093</t>
        </is>
      </c>
      <c r="B856" s="2" t="inlineStr">
        <is>
          <t>doughnuts</t>
        </is>
      </c>
      <c r="C856" s="2" t="inlineStr">
        <is>
          <t>S045</t>
        </is>
      </c>
      <c r="D856" s="2" t="inlineStr">
        <is>
          <t>'doughnuts'!C12,D12</t>
        </is>
      </c>
      <c r="E856" s="2" t="inlineStr">
        <is>
          <t>eggs</t>
        </is>
      </c>
      <c r="F856" s="3" t="n">
        <v>1500</v>
      </c>
      <c r="G856" s="2" t="inlineStr">
        <is>
          <t>1500</t>
        </is>
      </c>
      <c r="H856" s="2" t="inlineStr">
        <is>
          <t>T01 for cake / O-P04 for yeast</t>
        </is>
      </c>
    </row>
    <row r="857">
      <c r="A857" s="2" t="inlineStr">
        <is>
          <t>L093</t>
        </is>
      </c>
      <c r="B857" s="2" t="inlineStr">
        <is>
          <t>doughnuts</t>
        </is>
      </c>
      <c r="C857" s="2" t="inlineStr">
        <is>
          <t>S045</t>
        </is>
      </c>
      <c r="D857" s="2" t="inlineStr">
        <is>
          <t>'doughnuts'!C13,D13</t>
        </is>
      </c>
      <c r="E857" s="2" t="inlineStr">
        <is>
          <t>water</t>
        </is>
      </c>
      <c r="F857" s="3" t="n">
        <v>10500</v>
      </c>
      <c r="G857" s="2" t="inlineStr">
        <is>
          <t>10500</t>
        </is>
      </c>
      <c r="H857" s="2" t="inlineStr">
        <is>
          <t>T01 for cake / O-P04 for yeast</t>
        </is>
      </c>
    </row>
    <row r="858">
      <c r="A858" s="2" t="inlineStr">
        <is>
          <t>L093</t>
        </is>
      </c>
      <c r="B858" s="2" t="inlineStr">
        <is>
          <t>doughnuts</t>
        </is>
      </c>
      <c r="C858" s="2" t="inlineStr">
        <is>
          <t>S045</t>
        </is>
      </c>
      <c r="D858" s="2" t="inlineStr">
        <is>
          <t>'doughnuts'!C14,D14</t>
        </is>
      </c>
      <c r="E858" s="2" t="inlineStr">
        <is>
          <t>oil</t>
        </is>
      </c>
      <c r="F858" s="3" t="n">
        <v>7000</v>
      </c>
      <c r="G858" s="2" t="inlineStr">
        <is>
          <t>7000</t>
        </is>
      </c>
      <c r="H858" s="2" t="inlineStr">
        <is>
          <t>T01 for cake / O-P04 for yeast</t>
        </is>
      </c>
    </row>
    <row r="859">
      <c r="A859" s="2" t="inlineStr">
        <is>
          <t>L094</t>
        </is>
      </c>
      <c r="B859" s="2" t="inlineStr">
        <is>
          <t>doughnuts</t>
        </is>
      </c>
      <c r="C859" s="2" t="inlineStr">
        <is>
          <t>S045</t>
        </is>
      </c>
      <c r="D859" s="2" t="inlineStr">
        <is>
          <t>'doughnuts'!C5,L5</t>
        </is>
      </c>
      <c r="E859" s="2" t="inlineStr">
        <is>
          <t>flour</t>
        </is>
      </c>
      <c r="F859" s="3" t="n">
        <v>4999.99995</v>
      </c>
      <c r="G859" s="2" t="inlineStr">
        <is>
          <t>=F5/10 [cached: 4999.99995]</t>
        </is>
      </c>
      <c r="H859" s="2" t="inlineStr">
        <is>
          <t>T01 for cake / O-P04 for yeast</t>
        </is>
      </c>
    </row>
    <row r="860">
      <c r="A860" s="2" t="inlineStr">
        <is>
          <t>L094</t>
        </is>
      </c>
      <c r="B860" s="2" t="inlineStr">
        <is>
          <t>doughnuts</t>
        </is>
      </c>
      <c r="C860" s="2" t="inlineStr">
        <is>
          <t>S045</t>
        </is>
      </c>
      <c r="D860" s="2" t="inlineStr">
        <is>
          <t>'doughnuts'!C6,L6</t>
        </is>
      </c>
      <c r="E860" s="2" t="inlineStr">
        <is>
          <t>baking powder</t>
        </is>
      </c>
      <c r="F860" s="3" t="n">
        <v>86.6666658</v>
      </c>
      <c r="G860" s="2" t="inlineStr">
        <is>
          <t>=F6/10 [cached: 86.6666658]</t>
        </is>
      </c>
      <c r="H860" s="2" t="inlineStr">
        <is>
          <t>T01 for cake / O-P04 for yeast</t>
        </is>
      </c>
    </row>
    <row r="861">
      <c r="A861" s="2" t="inlineStr">
        <is>
          <t>L094</t>
        </is>
      </c>
      <c r="B861" s="2" t="inlineStr">
        <is>
          <t>doughnuts</t>
        </is>
      </c>
      <c r="C861" s="2" t="inlineStr">
        <is>
          <t>S045</t>
        </is>
      </c>
      <c r="D861" s="2" t="inlineStr">
        <is>
          <t>'doughnuts'!C7,L7</t>
        </is>
      </c>
      <c r="E861" s="2" t="inlineStr">
        <is>
          <t>milk</t>
        </is>
      </c>
      <c r="F861" s="3" t="n">
        <v>333.33333</v>
      </c>
      <c r="G861" s="2" t="inlineStr">
        <is>
          <t>=F7/10 [cached: 333.33333]</t>
        </is>
      </c>
      <c r="H861" s="2" t="inlineStr">
        <is>
          <t>T01 for cake / O-P04 for yeast</t>
        </is>
      </c>
    </row>
    <row r="862">
      <c r="A862" s="2" t="inlineStr">
        <is>
          <t>L094</t>
        </is>
      </c>
      <c r="B862" s="2" t="inlineStr">
        <is>
          <t>doughnuts</t>
        </is>
      </c>
      <c r="C862" s="2" t="inlineStr">
        <is>
          <t>S045</t>
        </is>
      </c>
      <c r="D862" s="2" t="inlineStr">
        <is>
          <t>'doughnuts'!C9,L9</t>
        </is>
      </c>
      <c r="E862" s="2" t="inlineStr">
        <is>
          <t>oil</t>
        </is>
      </c>
      <c r="F862" s="3" t="n">
        <v>333.33333</v>
      </c>
      <c r="G862" s="2" t="inlineStr">
        <is>
          <t>=F9/10 [cached: 333.33333]</t>
        </is>
      </c>
      <c r="H862" s="2" t="inlineStr">
        <is>
          <t>T01 for cake / O-P04 for yeast</t>
        </is>
      </c>
    </row>
    <row r="863">
      <c r="A863" s="2" t="inlineStr">
        <is>
          <t>L094</t>
        </is>
      </c>
      <c r="B863" s="2" t="inlineStr">
        <is>
          <t>doughnuts</t>
        </is>
      </c>
      <c r="C863" s="2" t="inlineStr">
        <is>
          <t>S045</t>
        </is>
      </c>
      <c r="D863" s="2" t="inlineStr">
        <is>
          <t>'doughnuts'!C10,L10</t>
        </is>
      </c>
      <c r="E863" s="2" t="inlineStr">
        <is>
          <t>salt</t>
        </is>
      </c>
      <c r="F863" s="3" t="n">
        <v>56.6666661</v>
      </c>
      <c r="G863" s="2" t="inlineStr">
        <is>
          <t>=F10/10 [cached: 56.6666661]</t>
        </is>
      </c>
      <c r="H863" s="2" t="inlineStr">
        <is>
          <t>T01 for cake / O-P04 for yeast</t>
        </is>
      </c>
    </row>
    <row r="864">
      <c r="A864" s="2" t="inlineStr">
        <is>
          <t>L094</t>
        </is>
      </c>
      <c r="B864" s="2" t="inlineStr">
        <is>
          <t>doughnuts</t>
        </is>
      </c>
      <c r="C864" s="2" t="inlineStr">
        <is>
          <t>S045</t>
        </is>
      </c>
      <c r="D864" s="2" t="inlineStr">
        <is>
          <t>'doughnuts'!C11,L11</t>
        </is>
      </c>
      <c r="E864" s="2" t="inlineStr">
        <is>
          <t>Improver</t>
        </is>
      </c>
      <c r="F864" s="3" t="n">
        <v>39.9999996</v>
      </c>
      <c r="G864" s="2" t="inlineStr">
        <is>
          <t>=F11/10 [cached: 39.9999996]</t>
        </is>
      </c>
      <c r="H864" s="2" t="inlineStr">
        <is>
          <t>T01 for cake / O-P04 for yeast</t>
        </is>
      </c>
    </row>
    <row r="865">
      <c r="A865" s="2" t="inlineStr">
        <is>
          <t>L094</t>
        </is>
      </c>
      <c r="B865" s="2" t="inlineStr">
        <is>
          <t>doughnuts</t>
        </is>
      </c>
      <c r="C865" s="2" t="inlineStr">
        <is>
          <t>S045</t>
        </is>
      </c>
      <c r="D865" s="2" t="inlineStr">
        <is>
          <t>'doughnuts'!C12,L12</t>
        </is>
      </c>
      <c r="E865" s="2" t="inlineStr">
        <is>
          <t>eggs</t>
        </is>
      </c>
      <c r="F865" s="3" t="n">
        <v>2000</v>
      </c>
      <c r="G865" s="2" t="inlineStr">
        <is>
          <t>=' COST rRAW MATERIAL'!C13 [cached: 2000]</t>
        </is>
      </c>
      <c r="H865" s="2" t="inlineStr">
        <is>
          <t>T01 for cake / O-P04 for yeast</t>
        </is>
      </c>
    </row>
    <row r="866">
      <c r="A866" s="2" t="inlineStr">
        <is>
          <t>L095</t>
        </is>
      </c>
      <c r="B866" s="2" t="inlineStr">
        <is>
          <t>Best Chinchin</t>
        </is>
      </c>
      <c r="C866" s="2" t="inlineStr">
        <is>
          <t>S046</t>
        </is>
      </c>
      <c r="D866" s="2" t="inlineStr">
        <is>
          <t>'Best Chinchin'!C5,D5</t>
        </is>
      </c>
      <c r="E866" s="2" t="inlineStr">
        <is>
          <t>flour</t>
        </is>
      </c>
      <c r="F866" s="3" t="n">
        <v>25000</v>
      </c>
      <c r="G866" s="2" t="inlineStr">
        <is>
          <t>25000</t>
        </is>
      </c>
      <c r="H866" s="2" t="inlineStr">
        <is>
          <t>H10</t>
        </is>
      </c>
    </row>
    <row r="867">
      <c r="A867" s="2" t="inlineStr">
        <is>
          <t>L095</t>
        </is>
      </c>
      <c r="B867" s="2" t="inlineStr">
        <is>
          <t>Best Chinchin</t>
        </is>
      </c>
      <c r="C867" s="2" t="inlineStr">
        <is>
          <t>S046</t>
        </is>
      </c>
      <c r="D867" s="2" t="inlineStr">
        <is>
          <t>'Best Chinchin'!C6,D6</t>
        </is>
      </c>
      <c r="E867" s="2" t="inlineStr">
        <is>
          <t>baking powder</t>
        </is>
      </c>
      <c r="F867" s="3" t="n">
        <v>500</v>
      </c>
      <c r="G867" s="2" t="inlineStr">
        <is>
          <t>500</t>
        </is>
      </c>
      <c r="H867" s="2" t="inlineStr">
        <is>
          <t>H10</t>
        </is>
      </c>
    </row>
    <row r="868">
      <c r="A868" s="2" t="inlineStr">
        <is>
          <t>L095</t>
        </is>
      </c>
      <c r="B868" s="2" t="inlineStr">
        <is>
          <t>Best Chinchin</t>
        </is>
      </c>
      <c r="C868" s="2" t="inlineStr">
        <is>
          <t>S046</t>
        </is>
      </c>
      <c r="D868" s="2" t="inlineStr">
        <is>
          <t>'Best Chinchin'!C7,D7</t>
        </is>
      </c>
      <c r="E868" s="2" t="inlineStr">
        <is>
          <t>nut meg</t>
        </is>
      </c>
      <c r="F868" s="3" t="n">
        <v>50</v>
      </c>
      <c r="G868" s="2" t="inlineStr">
        <is>
          <t>50</t>
        </is>
      </c>
      <c r="H868" s="2" t="inlineStr">
        <is>
          <t>H10</t>
        </is>
      </c>
    </row>
    <row r="869">
      <c r="A869" s="2" t="inlineStr">
        <is>
          <t>L095</t>
        </is>
      </c>
      <c r="B869" s="2" t="inlineStr">
        <is>
          <t>Best Chinchin</t>
        </is>
      </c>
      <c r="C869" s="2" t="inlineStr">
        <is>
          <t>S046</t>
        </is>
      </c>
      <c r="D869" s="2" t="inlineStr">
        <is>
          <t>'Best Chinchin'!C8,D8</t>
        </is>
      </c>
      <c r="E869" s="2" t="inlineStr">
        <is>
          <t>sugar</t>
        </is>
      </c>
      <c r="F869" s="3" t="n">
        <v>4500</v>
      </c>
      <c r="G869" s="2" t="inlineStr">
        <is>
          <t>4500</t>
        </is>
      </c>
      <c r="H869" s="2" t="inlineStr">
        <is>
          <t>H10</t>
        </is>
      </c>
    </row>
    <row r="870">
      <c r="A870" s="2" t="inlineStr">
        <is>
          <t>L095</t>
        </is>
      </c>
      <c r="B870" s="2" t="inlineStr">
        <is>
          <t>Best Chinchin</t>
        </is>
      </c>
      <c r="C870" s="2" t="inlineStr">
        <is>
          <t>S046</t>
        </is>
      </c>
      <c r="D870" s="2" t="inlineStr">
        <is>
          <t>'Best Chinchin'!C9,D9</t>
        </is>
      </c>
      <c r="E870" s="2" t="inlineStr">
        <is>
          <t>Butter</t>
        </is>
      </c>
      <c r="F870" s="3" t="n">
        <v>4500</v>
      </c>
      <c r="G870" s="2" t="inlineStr">
        <is>
          <t>4500</t>
        </is>
      </c>
      <c r="H870" s="2" t="inlineStr">
        <is>
          <t>H10</t>
        </is>
      </c>
    </row>
    <row r="871">
      <c r="A871" s="2" t="inlineStr">
        <is>
          <t>L095</t>
        </is>
      </c>
      <c r="B871" s="2" t="inlineStr">
        <is>
          <t>Best Chinchin</t>
        </is>
      </c>
      <c r="C871" s="2" t="inlineStr">
        <is>
          <t>S046</t>
        </is>
      </c>
      <c r="D871" s="2" t="inlineStr">
        <is>
          <t>'Best Chinchin'!C10,D10</t>
        </is>
      </c>
      <c r="E871" s="2" t="inlineStr">
        <is>
          <t>egg</t>
        </is>
      </c>
      <c r="F871" s="3" t="n">
        <v>8500</v>
      </c>
      <c r="G871" s="2" t="inlineStr">
        <is>
          <t>8500</t>
        </is>
      </c>
      <c r="H871" s="2" t="inlineStr">
        <is>
          <t>H10</t>
        </is>
      </c>
    </row>
    <row r="872">
      <c r="A872" s="2" t="inlineStr">
        <is>
          <t>L095</t>
        </is>
      </c>
      <c r="B872" s="2" t="inlineStr">
        <is>
          <t>Best Chinchin</t>
        </is>
      </c>
      <c r="C872" s="2" t="inlineStr">
        <is>
          <t>S046</t>
        </is>
      </c>
      <c r="D872" s="2" t="inlineStr">
        <is>
          <t>'Best Chinchin'!C11,D11</t>
        </is>
      </c>
      <c r="E872" s="2" t="inlineStr">
        <is>
          <t>salt</t>
        </is>
      </c>
      <c r="F872" s="3" t="n">
        <v>150</v>
      </c>
      <c r="G872" s="2" t="inlineStr">
        <is>
          <t>150</t>
        </is>
      </c>
      <c r="H872" s="2" t="inlineStr">
        <is>
          <t>H10</t>
        </is>
      </c>
    </row>
    <row r="873">
      <c r="A873" s="2" t="inlineStr">
        <is>
          <t>L095</t>
        </is>
      </c>
      <c r="B873" s="2" t="inlineStr">
        <is>
          <t>Best Chinchin</t>
        </is>
      </c>
      <c r="C873" s="2" t="inlineStr">
        <is>
          <t>S046</t>
        </is>
      </c>
      <c r="D873" s="2" t="inlineStr">
        <is>
          <t>'Best Chinchin'!C12,D12</t>
        </is>
      </c>
      <c r="E873" s="2" t="inlineStr">
        <is>
          <t>Improver</t>
        </is>
      </c>
      <c r="F873" s="3" t="n">
        <v>200</v>
      </c>
      <c r="G873" s="2" t="inlineStr">
        <is>
          <t>200</t>
        </is>
      </c>
      <c r="H873" s="2" t="inlineStr">
        <is>
          <t>H10</t>
        </is>
      </c>
    </row>
    <row r="874">
      <c r="A874" s="2" t="inlineStr">
        <is>
          <t>L095</t>
        </is>
      </c>
      <c r="B874" s="2" t="inlineStr">
        <is>
          <t>Best Chinchin</t>
        </is>
      </c>
      <c r="C874" s="2" t="inlineStr">
        <is>
          <t>S046</t>
        </is>
      </c>
      <c r="D874" s="2" t="inlineStr">
        <is>
          <t>'Best Chinchin'!C13,D13</t>
        </is>
      </c>
      <c r="E874" s="2" t="inlineStr">
        <is>
          <t>oil</t>
        </is>
      </c>
      <c r="F874" s="3" t="n">
        <v>400</v>
      </c>
      <c r="G874" s="2" t="inlineStr">
        <is>
          <t>400</t>
        </is>
      </c>
      <c r="H874" s="2" t="inlineStr">
        <is>
          <t>H10</t>
        </is>
      </c>
    </row>
    <row r="875">
      <c r="A875" s="2" t="inlineStr">
        <is>
          <t>L096</t>
        </is>
      </c>
      <c r="B875" s="2" t="inlineStr">
        <is>
          <t>Brioche New Look</t>
        </is>
      </c>
      <c r="C875" s="2" t="inlineStr">
        <is>
          <t>S046</t>
        </is>
      </c>
      <c r="D875" s="2" t="inlineStr">
        <is>
          <t>'Brioche New Look'!C5,D5</t>
        </is>
      </c>
      <c r="E875" s="2" t="inlineStr">
        <is>
          <t>flour</t>
        </is>
      </c>
      <c r="F875" s="3" t="n">
        <v>12000</v>
      </c>
      <c r="G875" s="2" t="inlineStr">
        <is>
          <t>12000</t>
        </is>
      </c>
      <c r="H875" s="2" t="inlineStr">
        <is>
          <t>S-B06; richer true-butter variant</t>
        </is>
      </c>
    </row>
    <row r="876">
      <c r="A876" s="2" t="inlineStr">
        <is>
          <t>L096</t>
        </is>
      </c>
      <c r="B876" s="2" t="inlineStr">
        <is>
          <t>Brioche New Look</t>
        </is>
      </c>
      <c r="C876" s="2" t="inlineStr">
        <is>
          <t>S046</t>
        </is>
      </c>
      <c r="D876" s="2" t="inlineStr">
        <is>
          <t>'Brioche New Look'!C6,D6</t>
        </is>
      </c>
      <c r="E876" s="2" t="inlineStr">
        <is>
          <t>Butter</t>
        </is>
      </c>
      <c r="F876" s="3" t="n">
        <v>3000</v>
      </c>
      <c r="G876" s="2" t="inlineStr">
        <is>
          <t>3000</t>
        </is>
      </c>
      <c r="H876" s="2" t="inlineStr">
        <is>
          <t>S-B06; richer true-butter variant</t>
        </is>
      </c>
    </row>
    <row r="877">
      <c r="A877" s="2" t="inlineStr">
        <is>
          <t>L096</t>
        </is>
      </c>
      <c r="B877" s="2" t="inlineStr">
        <is>
          <t>Brioche New Look</t>
        </is>
      </c>
      <c r="C877" s="2" t="inlineStr">
        <is>
          <t>S046</t>
        </is>
      </c>
      <c r="D877" s="2" t="inlineStr">
        <is>
          <t>'Brioche New Look'!C7,D7</t>
        </is>
      </c>
      <c r="E877" s="2" t="inlineStr">
        <is>
          <t>sugar</t>
        </is>
      </c>
      <c r="F877" s="3" t="n">
        <v>1500</v>
      </c>
      <c r="G877" s="2" t="inlineStr">
        <is>
          <t>1500</t>
        </is>
      </c>
      <c r="H877" s="2" t="inlineStr">
        <is>
          <t>S-B06; richer true-butter variant</t>
        </is>
      </c>
    </row>
    <row r="878">
      <c r="A878" s="2" t="inlineStr">
        <is>
          <t>L096</t>
        </is>
      </c>
      <c r="B878" s="2" t="inlineStr">
        <is>
          <t>Brioche New Look</t>
        </is>
      </c>
      <c r="C878" s="2" t="inlineStr">
        <is>
          <t>S046</t>
        </is>
      </c>
      <c r="D878" s="2" t="inlineStr">
        <is>
          <t>'Brioche New Look'!C8,D8</t>
        </is>
      </c>
      <c r="E878" s="2" t="inlineStr">
        <is>
          <t>Milk</t>
        </is>
      </c>
      <c r="F878" s="3" t="n">
        <v>1000</v>
      </c>
      <c r="G878" s="2" t="inlineStr">
        <is>
          <t>1000</t>
        </is>
      </c>
      <c r="H878" s="2" t="inlineStr">
        <is>
          <t>S-B06; richer true-butter variant</t>
        </is>
      </c>
    </row>
    <row r="879">
      <c r="A879" s="2" t="inlineStr">
        <is>
          <t>L096</t>
        </is>
      </c>
      <c r="B879" s="2" t="inlineStr">
        <is>
          <t>Brioche New Look</t>
        </is>
      </c>
      <c r="C879" s="2" t="inlineStr">
        <is>
          <t>S046</t>
        </is>
      </c>
      <c r="D879" s="2" t="inlineStr">
        <is>
          <t>'Brioche New Look'!C9,D9</t>
        </is>
      </c>
      <c r="E879" s="2" t="inlineStr">
        <is>
          <t>egg</t>
        </is>
      </c>
      <c r="F879" s="3" t="n">
        <v>600</v>
      </c>
      <c r="G879" s="2" t="inlineStr">
        <is>
          <t>600</t>
        </is>
      </c>
      <c r="H879" s="2" t="inlineStr">
        <is>
          <t>S-B06; richer true-butter variant</t>
        </is>
      </c>
    </row>
    <row r="880">
      <c r="A880" s="2" t="inlineStr">
        <is>
          <t>L096</t>
        </is>
      </c>
      <c r="B880" s="2" t="inlineStr">
        <is>
          <t>Brioche New Look</t>
        </is>
      </c>
      <c r="C880" s="2" t="inlineStr">
        <is>
          <t>S046</t>
        </is>
      </c>
      <c r="D880" s="2" t="inlineStr">
        <is>
          <t>'Brioche New Look'!C10,D10</t>
        </is>
      </c>
      <c r="E880" s="2" t="inlineStr">
        <is>
          <t>salt</t>
        </is>
      </c>
      <c r="F880" s="3" t="n">
        <v>120</v>
      </c>
      <c r="G880" s="2" t="inlineStr">
        <is>
          <t>120</t>
        </is>
      </c>
      <c r="H880" s="2" t="inlineStr">
        <is>
          <t>S-B06; richer true-butter variant</t>
        </is>
      </c>
    </row>
    <row r="881">
      <c r="A881" s="2" t="inlineStr">
        <is>
          <t>L096</t>
        </is>
      </c>
      <c r="B881" s="2" t="inlineStr">
        <is>
          <t>Brioche New Look</t>
        </is>
      </c>
      <c r="C881" s="2" t="inlineStr">
        <is>
          <t>S046</t>
        </is>
      </c>
      <c r="D881" s="2" t="inlineStr">
        <is>
          <t>'Brioche New Look'!C11,D11</t>
        </is>
      </c>
      <c r="E881" s="2" t="inlineStr">
        <is>
          <t>improver</t>
        </is>
      </c>
      <c r="F881" s="3" t="n">
        <v>120</v>
      </c>
      <c r="G881" s="2" t="inlineStr">
        <is>
          <t>120</t>
        </is>
      </c>
      <c r="H881" s="2" t="inlineStr">
        <is>
          <t>S-B06; richer true-butter variant</t>
        </is>
      </c>
    </row>
    <row r="882">
      <c r="A882" s="2" t="inlineStr">
        <is>
          <t>L096</t>
        </is>
      </c>
      <c r="B882" s="2" t="inlineStr">
        <is>
          <t>Brioche New Look</t>
        </is>
      </c>
      <c r="C882" s="2" t="inlineStr">
        <is>
          <t>S046</t>
        </is>
      </c>
      <c r="D882" s="2" t="inlineStr">
        <is>
          <t>'Brioche New Look'!C12,D12</t>
        </is>
      </c>
      <c r="E882" s="2" t="inlineStr">
        <is>
          <t>yeast</t>
        </is>
      </c>
      <c r="F882" s="3" t="n">
        <v>160</v>
      </c>
      <c r="G882" s="2" t="inlineStr">
        <is>
          <t>160</t>
        </is>
      </c>
      <c r="H882" s="2" t="inlineStr">
        <is>
          <t>S-B06; richer true-butter variant</t>
        </is>
      </c>
    </row>
    <row r="883">
      <c r="A883" s="2" t="inlineStr">
        <is>
          <t>L096</t>
        </is>
      </c>
      <c r="B883" s="2" t="inlineStr">
        <is>
          <t>Brioche New Look</t>
        </is>
      </c>
      <c r="C883" s="2" t="inlineStr">
        <is>
          <t>S046</t>
        </is>
      </c>
      <c r="D883" s="2" t="inlineStr">
        <is>
          <t>'Brioche New Look'!C13,D13</t>
        </is>
      </c>
      <c r="E883" s="2" t="inlineStr">
        <is>
          <t>water</t>
        </is>
      </c>
      <c r="F883" s="3" t="n">
        <v>3300</v>
      </c>
      <c r="G883" s="2" t="inlineStr">
        <is>
          <t>3300</t>
        </is>
      </c>
      <c r="H883" s="2" t="inlineStr">
        <is>
          <t>S-B06; richer true-butter variant</t>
        </is>
      </c>
    </row>
    <row r="884">
      <c r="A884" s="2" t="inlineStr">
        <is>
          <t>L096</t>
        </is>
      </c>
      <c r="B884" s="2" t="inlineStr">
        <is>
          <t>Brioche New Look</t>
        </is>
      </c>
      <c r="C884" s="2" t="inlineStr">
        <is>
          <t>S046</t>
        </is>
      </c>
      <c r="D884" s="2" t="inlineStr">
        <is>
          <t>'Brioche New Look'!C14,D14</t>
        </is>
      </c>
      <c r="E884" s="2" t="inlineStr">
        <is>
          <t>Oil</t>
        </is>
      </c>
      <c r="F884" s="3" t="n">
        <v>600</v>
      </c>
      <c r="G884" s="2" t="inlineStr">
        <is>
          <t>600</t>
        </is>
      </c>
      <c r="H884" s="2" t="inlineStr">
        <is>
          <t>S-B06; richer true-butter variant</t>
        </is>
      </c>
    </row>
    <row r="885">
      <c r="A885" s="2" t="inlineStr">
        <is>
          <t>L096</t>
        </is>
      </c>
      <c r="B885" s="2" t="inlineStr">
        <is>
          <t>Brioche New Look</t>
        </is>
      </c>
      <c r="C885" s="2" t="inlineStr">
        <is>
          <t>S046</t>
        </is>
      </c>
      <c r="D885" s="2" t="inlineStr">
        <is>
          <t>'Brioche New Look'!C15,D15</t>
        </is>
      </c>
      <c r="E885" s="2" t="inlineStr">
        <is>
          <t>Milk tantalizer</t>
        </is>
      </c>
      <c r="F885" s="3" t="n">
        <v>20</v>
      </c>
      <c r="G885" s="2" t="inlineStr">
        <is>
          <t>20</t>
        </is>
      </c>
      <c r="H885" s="2" t="inlineStr">
        <is>
          <t>S-B06; richer true-butter variant</t>
        </is>
      </c>
    </row>
    <row r="886">
      <c r="A886" s="2" t="inlineStr">
        <is>
          <t>L096</t>
        </is>
      </c>
      <c r="B886" s="2" t="inlineStr">
        <is>
          <t>Brioche New Look</t>
        </is>
      </c>
      <c r="C886" s="2" t="inlineStr">
        <is>
          <t>S046</t>
        </is>
      </c>
      <c r="D886" s="2" t="inlineStr">
        <is>
          <t>'Brioche New Look'!C16,D16</t>
        </is>
      </c>
      <c r="E886" s="2" t="inlineStr">
        <is>
          <t>EDC</t>
        </is>
      </c>
      <c r="F886" s="3" t="n">
        <v>50</v>
      </c>
      <c r="G886" s="2" t="inlineStr">
        <is>
          <t>50</t>
        </is>
      </c>
      <c r="H886" s="2" t="inlineStr">
        <is>
          <t>S-B06; richer true-butter variant</t>
        </is>
      </c>
    </row>
    <row r="887">
      <c r="A887" s="2" t="inlineStr">
        <is>
          <t>L097</t>
        </is>
      </c>
      <c r="B887" s="2" t="inlineStr">
        <is>
          <t>Brioche New Look</t>
        </is>
      </c>
      <c r="C887" s="2" t="inlineStr">
        <is>
          <t>S046</t>
        </is>
      </c>
      <c r="D887" s="2" t="inlineStr">
        <is>
          <t>'Brioche New Look'!C5,F5</t>
        </is>
      </c>
      <c r="E887" s="2" t="inlineStr">
        <is>
          <t>flour</t>
        </is>
      </c>
      <c r="F887" s="3" t="n">
        <v>9000</v>
      </c>
      <c r="G887" s="2" t="inlineStr">
        <is>
          <t>9000</t>
        </is>
      </c>
      <c r="H887" s="2" t="inlineStr">
        <is>
          <t>S-B06; richer true-butter variant</t>
        </is>
      </c>
    </row>
    <row r="888">
      <c r="A888" s="2" t="inlineStr">
        <is>
          <t>L097</t>
        </is>
      </c>
      <c r="B888" s="2" t="inlineStr">
        <is>
          <t>Brioche New Look</t>
        </is>
      </c>
      <c r="C888" s="2" t="inlineStr">
        <is>
          <t>S046</t>
        </is>
      </c>
      <c r="D888" s="2" t="inlineStr">
        <is>
          <t>'Brioche New Look'!C6,F6</t>
        </is>
      </c>
      <c r="E888" s="2" t="inlineStr">
        <is>
          <t>Butter</t>
        </is>
      </c>
      <c r="F888" s="3" t="n">
        <v>1000</v>
      </c>
      <c r="G888" s="2" t="inlineStr">
        <is>
          <t>1000</t>
        </is>
      </c>
      <c r="H888" s="2" t="inlineStr">
        <is>
          <t>S-B06; richer true-butter variant</t>
        </is>
      </c>
    </row>
    <row r="889">
      <c r="A889" s="2" t="inlineStr">
        <is>
          <t>L097</t>
        </is>
      </c>
      <c r="B889" s="2" t="inlineStr">
        <is>
          <t>Brioche New Look</t>
        </is>
      </c>
      <c r="C889" s="2" t="inlineStr">
        <is>
          <t>S046</t>
        </is>
      </c>
      <c r="D889" s="2" t="inlineStr">
        <is>
          <t>'Brioche New Look'!C7,F7</t>
        </is>
      </c>
      <c r="E889" s="2" t="inlineStr">
        <is>
          <t>sugar</t>
        </is>
      </c>
      <c r="F889" s="3" t="n">
        <v>900</v>
      </c>
      <c r="G889" s="2" t="inlineStr">
        <is>
          <t>900</t>
        </is>
      </c>
      <c r="H889" s="2" t="inlineStr">
        <is>
          <t>S-B06; richer true-butter variant</t>
        </is>
      </c>
    </row>
    <row r="890">
      <c r="A890" s="2" t="inlineStr">
        <is>
          <t>L097</t>
        </is>
      </c>
      <c r="B890" s="2" t="inlineStr">
        <is>
          <t>Brioche New Look</t>
        </is>
      </c>
      <c r="C890" s="2" t="inlineStr">
        <is>
          <t>S046</t>
        </is>
      </c>
      <c r="D890" s="2" t="inlineStr">
        <is>
          <t>'Brioche New Look'!C8,F8</t>
        </is>
      </c>
      <c r="E890" s="2" t="inlineStr">
        <is>
          <t>Milk</t>
        </is>
      </c>
      <c r="F890" s="3" t="n">
        <v>750</v>
      </c>
      <c r="G890" s="2" t="inlineStr">
        <is>
          <t>750</t>
        </is>
      </c>
      <c r="H890" s="2" t="inlineStr">
        <is>
          <t>S-B06; richer true-butter variant</t>
        </is>
      </c>
    </row>
    <row r="891">
      <c r="A891" s="2" t="inlineStr">
        <is>
          <t>L097</t>
        </is>
      </c>
      <c r="B891" s="2" t="inlineStr">
        <is>
          <t>Brioche New Look</t>
        </is>
      </c>
      <c r="C891" s="2" t="inlineStr">
        <is>
          <t>S046</t>
        </is>
      </c>
      <c r="D891" s="2" t="inlineStr">
        <is>
          <t>'Brioche New Look'!C9,F9</t>
        </is>
      </c>
      <c r="E891" s="2" t="inlineStr">
        <is>
          <t>egg</t>
        </is>
      </c>
      <c r="F891" s="3" t="n">
        <v>500</v>
      </c>
      <c r="G891" s="2" t="inlineStr">
        <is>
          <t>500</t>
        </is>
      </c>
      <c r="H891" s="2" t="inlineStr">
        <is>
          <t>S-B06; richer true-butter variant</t>
        </is>
      </c>
    </row>
    <row r="892">
      <c r="A892" s="2" t="inlineStr">
        <is>
          <t>L097</t>
        </is>
      </c>
      <c r="B892" s="2" t="inlineStr">
        <is>
          <t>Brioche New Look</t>
        </is>
      </c>
      <c r="C892" s="2" t="inlineStr">
        <is>
          <t>S046</t>
        </is>
      </c>
      <c r="D892" s="2" t="inlineStr">
        <is>
          <t>'Brioche New Look'!C10,F10</t>
        </is>
      </c>
      <c r="E892" s="2" t="inlineStr">
        <is>
          <t>salt</t>
        </is>
      </c>
      <c r="F892" s="3" t="n">
        <v>100</v>
      </c>
      <c r="G892" s="2" t="inlineStr">
        <is>
          <t>100</t>
        </is>
      </c>
      <c r="H892" s="2" t="inlineStr">
        <is>
          <t>S-B06; richer true-butter variant</t>
        </is>
      </c>
    </row>
    <row r="893">
      <c r="A893" s="2" t="inlineStr">
        <is>
          <t>L097</t>
        </is>
      </c>
      <c r="B893" s="2" t="inlineStr">
        <is>
          <t>Brioche New Look</t>
        </is>
      </c>
      <c r="C893" s="2" t="inlineStr">
        <is>
          <t>S046</t>
        </is>
      </c>
      <c r="D893" s="2" t="inlineStr">
        <is>
          <t>'Brioche New Look'!C11,F11</t>
        </is>
      </c>
      <c r="E893" s="2" t="inlineStr">
        <is>
          <t>improver</t>
        </is>
      </c>
      <c r="F893" s="3" t="n">
        <v>100</v>
      </c>
      <c r="G893" s="2" t="inlineStr">
        <is>
          <t>100</t>
        </is>
      </c>
      <c r="H893" s="2" t="inlineStr">
        <is>
          <t>S-B06; richer true-butter variant</t>
        </is>
      </c>
    </row>
    <row r="894">
      <c r="A894" s="2" t="inlineStr">
        <is>
          <t>L097</t>
        </is>
      </c>
      <c r="B894" s="2" t="inlineStr">
        <is>
          <t>Brioche New Look</t>
        </is>
      </c>
      <c r="C894" s="2" t="inlineStr">
        <is>
          <t>S046</t>
        </is>
      </c>
      <c r="D894" s="2" t="inlineStr">
        <is>
          <t>'Brioche New Look'!C12,F12</t>
        </is>
      </c>
      <c r="E894" s="2" t="inlineStr">
        <is>
          <t>yeast</t>
        </is>
      </c>
      <c r="F894" s="3" t="n">
        <v>140</v>
      </c>
      <c r="G894" s="2" t="inlineStr">
        <is>
          <t>140</t>
        </is>
      </c>
      <c r="H894" s="2" t="inlineStr">
        <is>
          <t>S-B06; richer true-butter variant</t>
        </is>
      </c>
    </row>
    <row r="895">
      <c r="A895" s="2" t="inlineStr">
        <is>
          <t>L097</t>
        </is>
      </c>
      <c r="B895" s="2" t="inlineStr">
        <is>
          <t>Brioche New Look</t>
        </is>
      </c>
      <c r="C895" s="2" t="inlineStr">
        <is>
          <t>S046</t>
        </is>
      </c>
      <c r="D895" s="2" t="inlineStr">
        <is>
          <t>'Brioche New Look'!C13,F13</t>
        </is>
      </c>
      <c r="E895" s="2" t="inlineStr">
        <is>
          <t>water</t>
        </is>
      </c>
      <c r="F895" s="3" t="n">
        <v>2500</v>
      </c>
      <c r="G895" s="2" t="inlineStr">
        <is>
          <t>2500</t>
        </is>
      </c>
      <c r="H895" s="2" t="inlineStr">
        <is>
          <t>S-B06; richer true-butter variant</t>
        </is>
      </c>
    </row>
    <row r="896">
      <c r="A896" s="2" t="inlineStr">
        <is>
          <t>L097</t>
        </is>
      </c>
      <c r="B896" s="2" t="inlineStr">
        <is>
          <t>Brioche New Look</t>
        </is>
      </c>
      <c r="C896" s="2" t="inlineStr">
        <is>
          <t>S046</t>
        </is>
      </c>
      <c r="D896" s="2" t="inlineStr">
        <is>
          <t>'Brioche New Look'!C14,F14</t>
        </is>
      </c>
      <c r="E896" s="2" t="inlineStr">
        <is>
          <t>Oil</t>
        </is>
      </c>
      <c r="F896" s="3" t="n">
        <v>220</v>
      </c>
      <c r="G896" s="2" t="inlineStr">
        <is>
          <t>220</t>
        </is>
      </c>
      <c r="H896" s="2" t="inlineStr">
        <is>
          <t>S-B06; richer true-butter variant</t>
        </is>
      </c>
    </row>
    <row r="897">
      <c r="A897" s="2" t="inlineStr">
        <is>
          <t>L097</t>
        </is>
      </c>
      <c r="B897" s="2" t="inlineStr">
        <is>
          <t>Brioche New Look</t>
        </is>
      </c>
      <c r="C897" s="2" t="inlineStr">
        <is>
          <t>S046</t>
        </is>
      </c>
      <c r="D897" s="2" t="inlineStr">
        <is>
          <t>'Brioche New Look'!C15,F15</t>
        </is>
      </c>
      <c r="E897" s="2" t="inlineStr">
        <is>
          <t>Milk tantalizer</t>
        </is>
      </c>
      <c r="F897" s="3" t="n">
        <v>5</v>
      </c>
      <c r="G897" s="2" t="inlineStr">
        <is>
          <t>5</t>
        </is>
      </c>
      <c r="H897" s="2" t="inlineStr">
        <is>
          <t>S-B06; richer true-butter variant</t>
        </is>
      </c>
    </row>
    <row r="898">
      <c r="A898" s="2" t="inlineStr">
        <is>
          <t>L097</t>
        </is>
      </c>
      <c r="B898" s="2" t="inlineStr">
        <is>
          <t>Brioche New Look</t>
        </is>
      </c>
      <c r="C898" s="2" t="inlineStr">
        <is>
          <t>S046</t>
        </is>
      </c>
      <c r="D898" s="2" t="inlineStr">
        <is>
          <t>'Brioche New Look'!C16,F16</t>
        </is>
      </c>
      <c r="E898" s="2" t="inlineStr">
        <is>
          <t>EDC</t>
        </is>
      </c>
      <c r="F898" s="3" t="n">
        <v>25</v>
      </c>
      <c r="G898" s="2" t="inlineStr">
        <is>
          <t>25</t>
        </is>
      </c>
      <c r="H898" s="2" t="inlineStr">
        <is>
          <t>S-B06; richer true-butter variant</t>
        </is>
      </c>
    </row>
    <row r="899">
      <c r="A899" s="2" t="inlineStr">
        <is>
          <t>L098</t>
        </is>
      </c>
      <c r="B899" s="2" t="inlineStr">
        <is>
          <t>Brioche New Look</t>
        </is>
      </c>
      <c r="C899" s="2" t="inlineStr">
        <is>
          <t>S046</t>
        </is>
      </c>
      <c r="D899" s="2" t="inlineStr">
        <is>
          <t>'Brioche New Look'!C5,L5</t>
        </is>
      </c>
      <c r="E899" s="2" t="inlineStr">
        <is>
          <t>flour</t>
        </is>
      </c>
      <c r="F899" s="3" t="n">
        <v>8500</v>
      </c>
      <c r="G899" s="2" t="inlineStr">
        <is>
          <t>8500</t>
        </is>
      </c>
      <c r="H899" s="2" t="inlineStr">
        <is>
          <t>S-B06; richer true-butter variant</t>
        </is>
      </c>
    </row>
    <row r="900">
      <c r="A900" s="2" t="inlineStr">
        <is>
          <t>L098</t>
        </is>
      </c>
      <c r="B900" s="2" t="inlineStr">
        <is>
          <t>Brioche New Look</t>
        </is>
      </c>
      <c r="C900" s="2" t="inlineStr">
        <is>
          <t>S046</t>
        </is>
      </c>
      <c r="D900" s="2" t="inlineStr">
        <is>
          <t>'Brioche New Look'!C6,L6</t>
        </is>
      </c>
      <c r="E900" s="2" t="inlineStr">
        <is>
          <t>Butter</t>
        </is>
      </c>
      <c r="F900" s="3" t="n">
        <v>700</v>
      </c>
      <c r="G900" s="2" t="inlineStr">
        <is>
          <t>700</t>
        </is>
      </c>
      <c r="H900" s="2" t="inlineStr">
        <is>
          <t>S-B06; richer true-butter variant</t>
        </is>
      </c>
    </row>
    <row r="901">
      <c r="A901" s="2" t="inlineStr">
        <is>
          <t>L098</t>
        </is>
      </c>
      <c r="B901" s="2" t="inlineStr">
        <is>
          <t>Brioche New Look</t>
        </is>
      </c>
      <c r="C901" s="2" t="inlineStr">
        <is>
          <t>S046</t>
        </is>
      </c>
      <c r="D901" s="2" t="inlineStr">
        <is>
          <t>'Brioche New Look'!C7,L7</t>
        </is>
      </c>
      <c r="E901" s="2" t="inlineStr">
        <is>
          <t>sugar</t>
        </is>
      </c>
      <c r="F901" s="3" t="n">
        <v>800</v>
      </c>
      <c r="G901" s="2" t="inlineStr">
        <is>
          <t>800</t>
        </is>
      </c>
      <c r="H901" s="2" t="inlineStr">
        <is>
          <t>S-B06; richer true-butter variant</t>
        </is>
      </c>
    </row>
    <row r="902">
      <c r="A902" s="2" t="inlineStr">
        <is>
          <t>L098</t>
        </is>
      </c>
      <c r="B902" s="2" t="inlineStr">
        <is>
          <t>Brioche New Look</t>
        </is>
      </c>
      <c r="C902" s="2" t="inlineStr">
        <is>
          <t>S046</t>
        </is>
      </c>
      <c r="D902" s="2" t="inlineStr">
        <is>
          <t>'Brioche New Look'!C8,L8</t>
        </is>
      </c>
      <c r="E902" s="2" t="inlineStr">
        <is>
          <t>Milk</t>
        </is>
      </c>
      <c r="F902" s="3" t="n">
        <v>750</v>
      </c>
      <c r="G902" s="2" t="inlineStr">
        <is>
          <t>750</t>
        </is>
      </c>
      <c r="H902" s="2" t="inlineStr">
        <is>
          <t>S-B06; richer true-butter variant</t>
        </is>
      </c>
    </row>
    <row r="903">
      <c r="A903" s="2" t="inlineStr">
        <is>
          <t>L098</t>
        </is>
      </c>
      <c r="B903" s="2" t="inlineStr">
        <is>
          <t>Brioche New Look</t>
        </is>
      </c>
      <c r="C903" s="2" t="inlineStr">
        <is>
          <t>S046</t>
        </is>
      </c>
      <c r="D903" s="2" t="inlineStr">
        <is>
          <t>'Brioche New Look'!C9,L9</t>
        </is>
      </c>
      <c r="E903" s="2" t="inlineStr">
        <is>
          <t>egg</t>
        </is>
      </c>
      <c r="F903" s="3" t="n">
        <v>400</v>
      </c>
      <c r="G903" s="2" t="inlineStr">
        <is>
          <t>400</t>
        </is>
      </c>
      <c r="H903" s="2" t="inlineStr">
        <is>
          <t>S-B06; richer true-butter variant</t>
        </is>
      </c>
    </row>
    <row r="904">
      <c r="A904" s="2" t="inlineStr">
        <is>
          <t>L098</t>
        </is>
      </c>
      <c r="B904" s="2" t="inlineStr">
        <is>
          <t>Brioche New Look</t>
        </is>
      </c>
      <c r="C904" s="2" t="inlineStr">
        <is>
          <t>S046</t>
        </is>
      </c>
      <c r="D904" s="2" t="inlineStr">
        <is>
          <t>'Brioche New Look'!C10,L10</t>
        </is>
      </c>
      <c r="E904" s="2" t="inlineStr">
        <is>
          <t>salt</t>
        </is>
      </c>
      <c r="F904" s="3" t="n">
        <v>60</v>
      </c>
      <c r="G904" s="2" t="inlineStr">
        <is>
          <t>60</t>
        </is>
      </c>
      <c r="H904" s="2" t="inlineStr">
        <is>
          <t>S-B06; richer true-butter variant</t>
        </is>
      </c>
    </row>
    <row r="905">
      <c r="A905" s="2" t="inlineStr">
        <is>
          <t>L098</t>
        </is>
      </c>
      <c r="B905" s="2" t="inlineStr">
        <is>
          <t>Brioche New Look</t>
        </is>
      </c>
      <c r="C905" s="2" t="inlineStr">
        <is>
          <t>S046</t>
        </is>
      </c>
      <c r="D905" s="2" t="inlineStr">
        <is>
          <t>'Brioche New Look'!C11,L11</t>
        </is>
      </c>
      <c r="E905" s="2" t="inlineStr">
        <is>
          <t>improver</t>
        </is>
      </c>
      <c r="F905" s="3" t="n">
        <v>100</v>
      </c>
      <c r="G905" s="2" t="inlineStr">
        <is>
          <t>100</t>
        </is>
      </c>
      <c r="H905" s="2" t="inlineStr">
        <is>
          <t>S-B06; richer true-butter variant</t>
        </is>
      </c>
    </row>
    <row r="906">
      <c r="A906" s="2" t="inlineStr">
        <is>
          <t>L098</t>
        </is>
      </c>
      <c r="B906" s="2" t="inlineStr">
        <is>
          <t>Brioche New Look</t>
        </is>
      </c>
      <c r="C906" s="2" t="inlineStr">
        <is>
          <t>S046</t>
        </is>
      </c>
      <c r="D906" s="2" t="inlineStr">
        <is>
          <t>'Brioche New Look'!C12,L12</t>
        </is>
      </c>
      <c r="E906" s="2" t="inlineStr">
        <is>
          <t>yeast</t>
        </is>
      </c>
      <c r="F906" s="3" t="n">
        <v>90</v>
      </c>
      <c r="G906" s="2" t="inlineStr">
        <is>
          <t>90</t>
        </is>
      </c>
      <c r="H906" s="2" t="inlineStr">
        <is>
          <t>S-B06; richer true-butter variant</t>
        </is>
      </c>
    </row>
    <row r="907">
      <c r="A907" s="2" t="inlineStr">
        <is>
          <t>L098</t>
        </is>
      </c>
      <c r="B907" s="2" t="inlineStr">
        <is>
          <t>Brioche New Look</t>
        </is>
      </c>
      <c r="C907" s="2" t="inlineStr">
        <is>
          <t>S046</t>
        </is>
      </c>
      <c r="D907" s="2" t="inlineStr">
        <is>
          <t>'Brioche New Look'!C13,L13</t>
        </is>
      </c>
      <c r="E907" s="2" t="inlineStr">
        <is>
          <t>water</t>
        </is>
      </c>
      <c r="F907" s="3" t="n">
        <v>1900</v>
      </c>
      <c r="G907" s="2" t="inlineStr">
        <is>
          <t>1900</t>
        </is>
      </c>
      <c r="H907" s="2" t="inlineStr">
        <is>
          <t>S-B06; richer true-butter variant</t>
        </is>
      </c>
    </row>
    <row r="908">
      <c r="A908" s="2" t="inlineStr">
        <is>
          <t>L098</t>
        </is>
      </c>
      <c r="B908" s="2" t="inlineStr">
        <is>
          <t>Brioche New Look</t>
        </is>
      </c>
      <c r="C908" s="2" t="inlineStr">
        <is>
          <t>S046</t>
        </is>
      </c>
      <c r="D908" s="2" t="inlineStr">
        <is>
          <t>'Brioche New Look'!C14,L14</t>
        </is>
      </c>
      <c r="E908" s="2" t="inlineStr">
        <is>
          <t>Oil</t>
        </is>
      </c>
      <c r="F908" s="3" t="n">
        <v>200</v>
      </c>
      <c r="G908" s="2" t="inlineStr">
        <is>
          <t>200</t>
        </is>
      </c>
      <c r="H908" s="2" t="inlineStr">
        <is>
          <t>S-B06; richer true-butter variant</t>
        </is>
      </c>
    </row>
    <row r="909">
      <c r="A909" s="2" t="inlineStr">
        <is>
          <t>L098</t>
        </is>
      </c>
      <c r="B909" s="2" t="inlineStr">
        <is>
          <t>Brioche New Look</t>
        </is>
      </c>
      <c r="C909" s="2" t="inlineStr">
        <is>
          <t>S046</t>
        </is>
      </c>
      <c r="D909" s="2" t="inlineStr">
        <is>
          <t>'Brioche New Look'!C15,L15</t>
        </is>
      </c>
      <c r="E909" s="2" t="inlineStr">
        <is>
          <t>Milk tantalizer</t>
        </is>
      </c>
      <c r="F909" s="3" t="n">
        <v>2.5</v>
      </c>
      <c r="G909" s="2" t="inlineStr">
        <is>
          <t>=F15/2 [cached: 2.5]</t>
        </is>
      </c>
      <c r="H909" s="2" t="inlineStr">
        <is>
          <t>S-B06; richer true-butter variant</t>
        </is>
      </c>
    </row>
    <row r="910">
      <c r="A910" s="2" t="inlineStr">
        <is>
          <t>L098</t>
        </is>
      </c>
      <c r="B910" s="2" t="inlineStr">
        <is>
          <t>Brioche New Look</t>
        </is>
      </c>
      <c r="C910" s="2" t="inlineStr">
        <is>
          <t>S046</t>
        </is>
      </c>
      <c r="D910" s="2" t="inlineStr">
        <is>
          <t>'Brioche New Look'!C16,L16</t>
        </is>
      </c>
      <c r="E910" s="2" t="inlineStr">
        <is>
          <t>EDC</t>
        </is>
      </c>
      <c r="F910" s="3" t="n">
        <v>12.5</v>
      </c>
      <c r="G910" s="2" t="inlineStr">
        <is>
          <t>=F16/2 [cached: 12.5]</t>
        </is>
      </c>
      <c r="H910" s="2" t="inlineStr">
        <is>
          <t>S-B06; richer true-butter variant</t>
        </is>
      </c>
    </row>
    <row r="911">
      <c r="A911" s="2" t="inlineStr">
        <is>
          <t>L099</t>
        </is>
      </c>
      <c r="B911" s="2" t="inlineStr">
        <is>
          <t>Cake Prof</t>
        </is>
      </c>
      <c r="C911" s="2" t="inlineStr">
        <is>
          <t>S046</t>
        </is>
      </c>
      <c r="D911" s="2" t="inlineStr">
        <is>
          <t>'Cake Prof'!C5,D5</t>
        </is>
      </c>
      <c r="E911" s="2" t="inlineStr">
        <is>
          <t>flour</t>
        </is>
      </c>
      <c r="F911" s="3" t="n">
        <v>2700</v>
      </c>
      <c r="G911" s="2" t="inlineStr">
        <is>
          <t>2700</t>
        </is>
      </c>
      <c r="H911" s="2" t="inlineStr">
        <is>
          <t>H08 / H09; exact style differs</t>
        </is>
      </c>
    </row>
    <row r="912">
      <c r="A912" s="2" t="inlineStr">
        <is>
          <t>L099</t>
        </is>
      </c>
      <c r="B912" s="2" t="inlineStr">
        <is>
          <t>Cake Prof</t>
        </is>
      </c>
      <c r="C912" s="2" t="inlineStr">
        <is>
          <t>S046</t>
        </is>
      </c>
      <c r="D912" s="2" t="inlineStr">
        <is>
          <t>'Cake Prof'!C6,D6</t>
        </is>
      </c>
      <c r="E912" s="2" t="inlineStr">
        <is>
          <t>baking powder</t>
        </is>
      </c>
      <c r="F912" s="3" t="n">
        <v>80</v>
      </c>
      <c r="G912" s="2" t="inlineStr">
        <is>
          <t>80</t>
        </is>
      </c>
      <c r="H912" s="2" t="inlineStr">
        <is>
          <t>H08 / H09; exact style differs</t>
        </is>
      </c>
    </row>
    <row r="913">
      <c r="A913" s="2" t="inlineStr">
        <is>
          <t>L099</t>
        </is>
      </c>
      <c r="B913" s="2" t="inlineStr">
        <is>
          <t>Cake Prof</t>
        </is>
      </c>
      <c r="C913" s="2" t="inlineStr">
        <is>
          <t>S046</t>
        </is>
      </c>
      <c r="D913" s="2" t="inlineStr">
        <is>
          <t>'Cake Prof'!C7,D7</t>
        </is>
      </c>
      <c r="E913" s="2" t="inlineStr">
        <is>
          <t>salt</t>
        </is>
      </c>
      <c r="F913" s="3" t="n">
        <v>30</v>
      </c>
      <c r="G913" s="2" t="inlineStr">
        <is>
          <t>30</t>
        </is>
      </c>
      <c r="H913" s="2" t="inlineStr">
        <is>
          <t>H08 / H09; exact style differs</t>
        </is>
      </c>
    </row>
    <row r="914">
      <c r="A914" s="2" t="inlineStr">
        <is>
          <t>L099</t>
        </is>
      </c>
      <c r="B914" s="2" t="inlineStr">
        <is>
          <t>Cake Prof</t>
        </is>
      </c>
      <c r="C914" s="2" t="inlineStr">
        <is>
          <t>S046</t>
        </is>
      </c>
      <c r="D914" s="2" t="inlineStr">
        <is>
          <t>'Cake Prof'!C8,D8</t>
        </is>
      </c>
      <c r="E914" s="2" t="inlineStr">
        <is>
          <t>Egg</t>
        </is>
      </c>
      <c r="F914" s="3" t="n">
        <v>1800</v>
      </c>
      <c r="G914" s="2" t="inlineStr">
        <is>
          <t>1800</t>
        </is>
      </c>
      <c r="H914" s="2" t="inlineStr">
        <is>
          <t>H08 / H09; exact style differs</t>
        </is>
      </c>
    </row>
    <row r="915">
      <c r="A915" s="2" t="inlineStr">
        <is>
          <t>L099</t>
        </is>
      </c>
      <c r="B915" s="2" t="inlineStr">
        <is>
          <t>Cake Prof</t>
        </is>
      </c>
      <c r="C915" s="2" t="inlineStr">
        <is>
          <t>S046</t>
        </is>
      </c>
      <c r="D915" s="2" t="inlineStr">
        <is>
          <t>'Cake Prof'!C9,D9</t>
        </is>
      </c>
      <c r="E915" s="2" t="inlineStr">
        <is>
          <t>Butter</t>
        </is>
      </c>
      <c r="F915" s="3" t="n">
        <v>1500</v>
      </c>
      <c r="G915" s="2" t="inlineStr">
        <is>
          <t>1500</t>
        </is>
      </c>
      <c r="H915" s="2" t="inlineStr">
        <is>
          <t>H08 / H09; exact style differs</t>
        </is>
      </c>
    </row>
    <row r="916">
      <c r="A916" s="2" t="inlineStr">
        <is>
          <t>L099</t>
        </is>
      </c>
      <c r="B916" s="2" t="inlineStr">
        <is>
          <t>Cake Prof</t>
        </is>
      </c>
      <c r="C916" s="2" t="inlineStr">
        <is>
          <t>S046</t>
        </is>
      </c>
      <c r="D916" s="2" t="inlineStr">
        <is>
          <t>'Cake Prof'!C10,D10</t>
        </is>
      </c>
      <c r="E916" s="2" t="inlineStr">
        <is>
          <t>sugar</t>
        </is>
      </c>
      <c r="F916" s="3" t="n">
        <v>900</v>
      </c>
      <c r="G916" s="2" t="inlineStr">
        <is>
          <t>900</t>
        </is>
      </c>
      <c r="H916" s="2" t="inlineStr">
        <is>
          <t>H08 / H09; exact style differs</t>
        </is>
      </c>
    </row>
    <row r="917">
      <c r="A917" s="2" t="inlineStr">
        <is>
          <t>L100</t>
        </is>
      </c>
      <c r="B917" s="2" t="inlineStr">
        <is>
          <t>Delice</t>
        </is>
      </c>
      <c r="C917" s="2" t="inlineStr">
        <is>
          <t>S046</t>
        </is>
      </c>
      <c r="D917" s="2" t="inlineStr">
        <is>
          <t>'Delice'!C5,D5</t>
        </is>
      </c>
      <c r="E917" s="2" t="inlineStr">
        <is>
          <t>flour</t>
        </is>
      </c>
      <c r="F917" s="3" t="n">
        <v>12000</v>
      </c>
      <c r="G917" s="2" t="inlineStr">
        <is>
          <t>12000</t>
        </is>
      </c>
      <c r="H917" s="2" t="inlineStr">
        <is>
          <t>Retain unique variant; no equivalent operating card selected</t>
        </is>
      </c>
    </row>
    <row r="918">
      <c r="A918" s="2" t="inlineStr">
        <is>
          <t>L100</t>
        </is>
      </c>
      <c r="B918" s="2" t="inlineStr">
        <is>
          <t>Delice</t>
        </is>
      </c>
      <c r="C918" s="2" t="inlineStr">
        <is>
          <t>S046</t>
        </is>
      </c>
      <c r="D918" s="2" t="inlineStr">
        <is>
          <t>'Delice'!C6,D6</t>
        </is>
      </c>
      <c r="E918" s="2" t="inlineStr">
        <is>
          <t>Butter</t>
        </is>
      </c>
      <c r="F918" s="3" t="n">
        <v>1200</v>
      </c>
      <c r="G918" s="2" t="inlineStr">
        <is>
          <t>1200</t>
        </is>
      </c>
      <c r="H918" s="2" t="inlineStr">
        <is>
          <t>Retain unique variant; no equivalent operating card selected</t>
        </is>
      </c>
    </row>
    <row r="919">
      <c r="A919" s="2" t="inlineStr">
        <is>
          <t>L100</t>
        </is>
      </c>
      <c r="B919" s="2" t="inlineStr">
        <is>
          <t>Delice</t>
        </is>
      </c>
      <c r="C919" s="2" t="inlineStr">
        <is>
          <t>S046</t>
        </is>
      </c>
      <c r="D919" s="2" t="inlineStr">
        <is>
          <t>'Delice'!C7,D7</t>
        </is>
      </c>
      <c r="E919" s="2" t="inlineStr">
        <is>
          <t>sugar</t>
        </is>
      </c>
      <c r="F919" s="3" t="n">
        <v>1500</v>
      </c>
      <c r="G919" s="2" t="inlineStr">
        <is>
          <t>1500</t>
        </is>
      </c>
      <c r="H919" s="2" t="inlineStr">
        <is>
          <t>Retain unique variant; no equivalent operating card selected</t>
        </is>
      </c>
    </row>
    <row r="920">
      <c r="A920" s="2" t="inlineStr">
        <is>
          <t>L100</t>
        </is>
      </c>
      <c r="B920" s="2" t="inlineStr">
        <is>
          <t>Delice</t>
        </is>
      </c>
      <c r="C920" s="2" t="inlineStr">
        <is>
          <t>S046</t>
        </is>
      </c>
      <c r="D920" s="2" t="inlineStr">
        <is>
          <t>'Delice'!C8,D8</t>
        </is>
      </c>
      <c r="E920" s="2" t="inlineStr">
        <is>
          <t>Milk</t>
        </is>
      </c>
      <c r="F920" s="3" t="n">
        <v>1000</v>
      </c>
      <c r="G920" s="2" t="inlineStr">
        <is>
          <t>1000</t>
        </is>
      </c>
      <c r="H920" s="2" t="inlineStr">
        <is>
          <t>Retain unique variant; no equivalent operating card selected</t>
        </is>
      </c>
    </row>
    <row r="921">
      <c r="A921" s="2" t="inlineStr">
        <is>
          <t>L100</t>
        </is>
      </c>
      <c r="B921" s="2" t="inlineStr">
        <is>
          <t>Delice</t>
        </is>
      </c>
      <c r="C921" s="2" t="inlineStr">
        <is>
          <t>S046</t>
        </is>
      </c>
      <c r="D921" s="2" t="inlineStr">
        <is>
          <t>'Delice'!C9,D9</t>
        </is>
      </c>
      <c r="E921" s="2" t="inlineStr">
        <is>
          <t>egg</t>
        </is>
      </c>
      <c r="F921" s="3" t="n">
        <v>1000</v>
      </c>
      <c r="G921" s="2" t="inlineStr">
        <is>
          <t>1000</t>
        </is>
      </c>
      <c r="H921" s="2" t="inlineStr">
        <is>
          <t>Retain unique variant; no equivalent operating card selected</t>
        </is>
      </c>
    </row>
    <row r="922">
      <c r="A922" s="2" t="inlineStr">
        <is>
          <t>L100</t>
        </is>
      </c>
      <c r="B922" s="2" t="inlineStr">
        <is>
          <t>Delice</t>
        </is>
      </c>
      <c r="C922" s="2" t="inlineStr">
        <is>
          <t>S046</t>
        </is>
      </c>
      <c r="D922" s="2" t="inlineStr">
        <is>
          <t>'Delice'!C10,D10</t>
        </is>
      </c>
      <c r="E922" s="2" t="inlineStr">
        <is>
          <t>salt</t>
        </is>
      </c>
      <c r="F922" s="3" t="n">
        <v>150</v>
      </c>
      <c r="G922" s="2" t="inlineStr">
        <is>
          <t>150</t>
        </is>
      </c>
      <c r="H922" s="2" t="inlineStr">
        <is>
          <t>Retain unique variant; no equivalent operating card selected</t>
        </is>
      </c>
    </row>
    <row r="923">
      <c r="A923" s="2" t="inlineStr">
        <is>
          <t>L100</t>
        </is>
      </c>
      <c r="B923" s="2" t="inlineStr">
        <is>
          <t>Delice</t>
        </is>
      </c>
      <c r="C923" s="2" t="inlineStr">
        <is>
          <t>S046</t>
        </is>
      </c>
      <c r="D923" s="2" t="inlineStr">
        <is>
          <t>'Delice'!C11,D11</t>
        </is>
      </c>
      <c r="E923" s="2" t="inlineStr">
        <is>
          <t>improver</t>
        </is>
      </c>
      <c r="F923" s="3" t="n">
        <v>120</v>
      </c>
      <c r="G923" s="2" t="inlineStr">
        <is>
          <t>120</t>
        </is>
      </c>
      <c r="H923" s="2" t="inlineStr">
        <is>
          <t>Retain unique variant; no equivalent operating card selected</t>
        </is>
      </c>
    </row>
    <row r="924">
      <c r="A924" s="2" t="inlineStr">
        <is>
          <t>L100</t>
        </is>
      </c>
      <c r="B924" s="2" t="inlineStr">
        <is>
          <t>Delice</t>
        </is>
      </c>
      <c r="C924" s="2" t="inlineStr">
        <is>
          <t>S046</t>
        </is>
      </c>
      <c r="D924" s="2" t="inlineStr">
        <is>
          <t>'Delice'!C12,D12</t>
        </is>
      </c>
      <c r="E924" s="2" t="inlineStr">
        <is>
          <t>yeast</t>
        </is>
      </c>
      <c r="F924" s="3" t="n">
        <v>180</v>
      </c>
      <c r="G924" s="2" t="inlineStr">
        <is>
          <t>180</t>
        </is>
      </c>
      <c r="H924" s="2" t="inlineStr">
        <is>
          <t>Retain unique variant; no equivalent operating card selected</t>
        </is>
      </c>
    </row>
    <row r="925">
      <c r="A925" s="2" t="inlineStr">
        <is>
          <t>L100</t>
        </is>
      </c>
      <c r="B925" s="2" t="inlineStr">
        <is>
          <t>Delice</t>
        </is>
      </c>
      <c r="C925" s="2" t="inlineStr">
        <is>
          <t>S046</t>
        </is>
      </c>
      <c r="D925" s="2" t="inlineStr">
        <is>
          <t>'Delice'!C13,D13</t>
        </is>
      </c>
      <c r="E925" s="2" t="inlineStr">
        <is>
          <t>water</t>
        </is>
      </c>
      <c r="F925" s="3" t="n">
        <v>3500</v>
      </c>
      <c r="G925" s="2" t="inlineStr">
        <is>
          <t>3500</t>
        </is>
      </c>
      <c r="H925" s="2" t="inlineStr">
        <is>
          <t>Retain unique variant; no equivalent operating card selected</t>
        </is>
      </c>
    </row>
    <row r="926">
      <c r="A926" s="2" t="inlineStr">
        <is>
          <t>L100</t>
        </is>
      </c>
      <c r="B926" s="2" t="inlineStr">
        <is>
          <t>Delice</t>
        </is>
      </c>
      <c r="C926" s="2" t="inlineStr">
        <is>
          <t>S046</t>
        </is>
      </c>
      <c r="D926" s="2" t="inlineStr">
        <is>
          <t>'Delice'!C14,D14</t>
        </is>
      </c>
      <c r="E926" s="2" t="inlineStr">
        <is>
          <t>Milk tantalizer</t>
        </is>
      </c>
      <c r="F926" s="3" t="n">
        <v>8</v>
      </c>
      <c r="G926" s="2" t="inlineStr">
        <is>
          <t>8</t>
        </is>
      </c>
      <c r="H926" s="2" t="inlineStr">
        <is>
          <t>Retain unique variant; no equivalent operating card selected</t>
        </is>
      </c>
    </row>
    <row r="927">
      <c r="A927" s="2" t="inlineStr">
        <is>
          <t>L100</t>
        </is>
      </c>
      <c r="B927" s="2" t="inlineStr">
        <is>
          <t>Delice</t>
        </is>
      </c>
      <c r="C927" s="2" t="inlineStr">
        <is>
          <t>S046</t>
        </is>
      </c>
      <c r="D927" s="2" t="inlineStr">
        <is>
          <t>'Delice'!C15,D15</t>
        </is>
      </c>
      <c r="E927" s="2" t="inlineStr">
        <is>
          <t>Chocolate</t>
        </is>
      </c>
      <c r="F927" s="3" t="n">
        <v>500</v>
      </c>
      <c r="G927" s="2" t="inlineStr">
        <is>
          <t>500</t>
        </is>
      </c>
      <c r="H927" s="2" t="inlineStr">
        <is>
          <t>Retain unique variant; no equivalent operating card selected</t>
        </is>
      </c>
    </row>
    <row r="928">
      <c r="A928" s="2" t="inlineStr">
        <is>
          <t>L100</t>
        </is>
      </c>
      <c r="B928" s="2" t="inlineStr">
        <is>
          <t>Delice</t>
        </is>
      </c>
      <c r="C928" s="2" t="inlineStr">
        <is>
          <t>S046</t>
        </is>
      </c>
      <c r="D928" s="2" t="inlineStr">
        <is>
          <t>'Delice'!C16,D16</t>
        </is>
      </c>
      <c r="E928" s="2" t="inlineStr">
        <is>
          <t>EDC</t>
        </is>
      </c>
      <c r="F928" s="3" t="n">
        <v>25</v>
      </c>
      <c r="G928" s="2" t="inlineStr">
        <is>
          <t>25</t>
        </is>
      </c>
      <c r="H928" s="2" t="inlineStr">
        <is>
          <t>Retain unique variant; no equivalent operating card selected</t>
        </is>
      </c>
    </row>
    <row r="929">
      <c r="A929" s="2" t="inlineStr">
        <is>
          <t>L100</t>
        </is>
      </c>
      <c r="B929" s="2" t="inlineStr">
        <is>
          <t>Delice</t>
        </is>
      </c>
      <c r="C929" s="2" t="inlineStr">
        <is>
          <t>S046</t>
        </is>
      </c>
      <c r="D929" s="2" t="inlineStr">
        <is>
          <t>'Delice'!C17,D17</t>
        </is>
      </c>
      <c r="E929" s="2" t="inlineStr">
        <is>
          <t>Nutmeg</t>
        </is>
      </c>
      <c r="F929" s="3" t="n">
        <v>15</v>
      </c>
      <c r="G929" s="2" t="inlineStr">
        <is>
          <t>15</t>
        </is>
      </c>
      <c r="H929" s="2" t="inlineStr">
        <is>
          <t>Retain unique variant; no equivalent operating card selected</t>
        </is>
      </c>
    </row>
    <row r="930">
      <c r="A930" s="2" t="inlineStr">
        <is>
          <t>L101</t>
        </is>
      </c>
      <c r="B930" s="2" t="inlineStr">
        <is>
          <t>GENOISE</t>
        </is>
      </c>
      <c r="C930" s="2" t="inlineStr">
        <is>
          <t>S046</t>
        </is>
      </c>
      <c r="D930" s="2" t="inlineStr">
        <is>
          <t>'GENOISE'!C5,D5</t>
        </is>
      </c>
      <c r="E930" s="2" t="inlineStr">
        <is>
          <t>flour</t>
        </is>
      </c>
      <c r="F930" s="3" t="n">
        <v>1000</v>
      </c>
      <c r="G930" s="2" t="inlineStr">
        <is>
          <t>1000</t>
        </is>
      </c>
      <c r="H930" s="2" t="inlineStr">
        <is>
          <t>H09</t>
        </is>
      </c>
    </row>
    <row r="931">
      <c r="A931" s="2" t="inlineStr">
        <is>
          <t>L101</t>
        </is>
      </c>
      <c r="B931" s="2" t="inlineStr">
        <is>
          <t>GENOISE</t>
        </is>
      </c>
      <c r="C931" s="2" t="inlineStr">
        <is>
          <t>S046</t>
        </is>
      </c>
      <c r="D931" s="2" t="inlineStr">
        <is>
          <t>'GENOISE'!C6,D6</t>
        </is>
      </c>
      <c r="E931" s="2" t="inlineStr">
        <is>
          <t>Nut Meg</t>
        </is>
      </c>
      <c r="F931" s="3" t="n">
        <v>45</v>
      </c>
      <c r="G931" s="2" t="inlineStr">
        <is>
          <t>45</t>
        </is>
      </c>
      <c r="H931" s="2" t="inlineStr">
        <is>
          <t>H09</t>
        </is>
      </c>
    </row>
    <row r="932">
      <c r="A932" s="2" t="inlineStr">
        <is>
          <t>L101</t>
        </is>
      </c>
      <c r="B932" s="2" t="inlineStr">
        <is>
          <t>GENOISE</t>
        </is>
      </c>
      <c r="C932" s="2" t="inlineStr">
        <is>
          <t>S046</t>
        </is>
      </c>
      <c r="D932" s="2" t="inlineStr">
        <is>
          <t>'GENOISE'!C7,D7</t>
        </is>
      </c>
      <c r="E932" s="2" t="inlineStr">
        <is>
          <t>Egg</t>
        </is>
      </c>
      <c r="F932" s="3" t="n">
        <v>1700</v>
      </c>
      <c r="G932" s="2" t="inlineStr">
        <is>
          <t>1700</t>
        </is>
      </c>
      <c r="H932" s="2" t="inlineStr">
        <is>
          <t>H09</t>
        </is>
      </c>
    </row>
    <row r="933">
      <c r="A933" s="2" t="inlineStr">
        <is>
          <t>L101</t>
        </is>
      </c>
      <c r="B933" s="2" t="inlineStr">
        <is>
          <t>GENOISE</t>
        </is>
      </c>
      <c r="C933" s="2" t="inlineStr">
        <is>
          <t>S046</t>
        </is>
      </c>
      <c r="D933" s="2" t="inlineStr">
        <is>
          <t>'GENOISE'!C8,D8</t>
        </is>
      </c>
      <c r="E933" s="2" t="inlineStr">
        <is>
          <t>sugar</t>
        </is>
      </c>
      <c r="F933" s="3" t="n">
        <v>1000</v>
      </c>
      <c r="G933" s="2" t="inlineStr">
        <is>
          <t>1000</t>
        </is>
      </c>
      <c r="H933" s="2" t="inlineStr">
        <is>
          <t>H09</t>
        </is>
      </c>
    </row>
    <row r="934">
      <c r="A934" s="2" t="inlineStr">
        <is>
          <t>L102</t>
        </is>
      </c>
      <c r="B934" s="2" t="inlineStr">
        <is>
          <t>Galette</t>
        </is>
      </c>
      <c r="C934" s="2" t="inlineStr">
        <is>
          <t>S046</t>
        </is>
      </c>
      <c r="D934" s="2" t="inlineStr">
        <is>
          <t>'Galette'!C5,D5</t>
        </is>
      </c>
      <c r="E934" s="2" t="inlineStr">
        <is>
          <t>flour</t>
        </is>
      </c>
      <c r="F934" s="3" t="n">
        <v>12000</v>
      </c>
      <c r="G934" s="2" t="inlineStr">
        <is>
          <t>12000</t>
        </is>
      </c>
      <c r="H934" s="2" t="inlineStr">
        <is>
          <t>H14</t>
        </is>
      </c>
    </row>
    <row r="935">
      <c r="A935" s="2" t="inlineStr">
        <is>
          <t>L102</t>
        </is>
      </c>
      <c r="B935" s="2" t="inlineStr">
        <is>
          <t>Galette</t>
        </is>
      </c>
      <c r="C935" s="2" t="inlineStr">
        <is>
          <t>S046</t>
        </is>
      </c>
      <c r="D935" s="2" t="inlineStr">
        <is>
          <t>'Galette'!C6,D6</t>
        </is>
      </c>
      <c r="E935" s="2" t="inlineStr">
        <is>
          <t>Butter</t>
        </is>
      </c>
      <c r="F935" s="3" t="n">
        <v>1200</v>
      </c>
      <c r="G935" s="2" t="inlineStr">
        <is>
          <t>1200</t>
        </is>
      </c>
      <c r="H935" s="2" t="inlineStr">
        <is>
          <t>H14</t>
        </is>
      </c>
    </row>
    <row r="936">
      <c r="A936" s="2" t="inlineStr">
        <is>
          <t>L102</t>
        </is>
      </c>
      <c r="B936" s="2" t="inlineStr">
        <is>
          <t>Galette</t>
        </is>
      </c>
      <c r="C936" s="2" t="inlineStr">
        <is>
          <t>S046</t>
        </is>
      </c>
      <c r="D936" s="2" t="inlineStr">
        <is>
          <t>'Galette'!C7,D7</t>
        </is>
      </c>
      <c r="E936" s="2" t="inlineStr">
        <is>
          <t>sugar</t>
        </is>
      </c>
      <c r="F936" s="3" t="n">
        <v>1500</v>
      </c>
      <c r="G936" s="2" t="inlineStr">
        <is>
          <t>1500</t>
        </is>
      </c>
      <c r="H936" s="2" t="inlineStr">
        <is>
          <t>H14</t>
        </is>
      </c>
    </row>
    <row r="937">
      <c r="A937" s="2" t="inlineStr">
        <is>
          <t>L102</t>
        </is>
      </c>
      <c r="B937" s="2" t="inlineStr">
        <is>
          <t>Galette</t>
        </is>
      </c>
      <c r="C937" s="2" t="inlineStr">
        <is>
          <t>S046</t>
        </is>
      </c>
      <c r="D937" s="2" t="inlineStr">
        <is>
          <t>'Galette'!C8,D8</t>
        </is>
      </c>
      <c r="E937" s="2" t="inlineStr">
        <is>
          <t>Milk</t>
        </is>
      </c>
      <c r="F937" s="3" t="n">
        <v>1000</v>
      </c>
      <c r="G937" s="2" t="inlineStr">
        <is>
          <t>1000</t>
        </is>
      </c>
      <c r="H937" s="2" t="inlineStr">
        <is>
          <t>H14</t>
        </is>
      </c>
    </row>
    <row r="938">
      <c r="A938" s="2" t="inlineStr">
        <is>
          <t>L102</t>
        </is>
      </c>
      <c r="B938" s="2" t="inlineStr">
        <is>
          <t>Galette</t>
        </is>
      </c>
      <c r="C938" s="2" t="inlineStr">
        <is>
          <t>S046</t>
        </is>
      </c>
      <c r="D938" s="2" t="inlineStr">
        <is>
          <t>'Galette'!C9,D9</t>
        </is>
      </c>
      <c r="E938" s="2" t="inlineStr">
        <is>
          <t>egg</t>
        </is>
      </c>
      <c r="F938" s="3" t="n">
        <v>1000</v>
      </c>
      <c r="G938" s="2" t="inlineStr">
        <is>
          <t>1000</t>
        </is>
      </c>
      <c r="H938" s="2" t="inlineStr">
        <is>
          <t>H14</t>
        </is>
      </c>
    </row>
    <row r="939">
      <c r="A939" s="2" t="inlineStr">
        <is>
          <t>L102</t>
        </is>
      </c>
      <c r="B939" s="2" t="inlineStr">
        <is>
          <t>Galette</t>
        </is>
      </c>
      <c r="C939" s="2" t="inlineStr">
        <is>
          <t>S046</t>
        </is>
      </c>
      <c r="D939" s="2" t="inlineStr">
        <is>
          <t>'Galette'!C10,D10</t>
        </is>
      </c>
      <c r="E939" s="2" t="inlineStr">
        <is>
          <t>salt</t>
        </is>
      </c>
      <c r="F939" s="3" t="n">
        <v>150</v>
      </c>
      <c r="G939" s="2" t="inlineStr">
        <is>
          <t>150</t>
        </is>
      </c>
      <c r="H939" s="2" t="inlineStr">
        <is>
          <t>H14</t>
        </is>
      </c>
    </row>
    <row r="940">
      <c r="A940" s="2" t="inlineStr">
        <is>
          <t>L102</t>
        </is>
      </c>
      <c r="B940" s="2" t="inlineStr">
        <is>
          <t>Galette</t>
        </is>
      </c>
      <c r="C940" s="2" t="inlineStr">
        <is>
          <t>S046</t>
        </is>
      </c>
      <c r="D940" s="2" t="inlineStr">
        <is>
          <t>'Galette'!C11,D11</t>
        </is>
      </c>
      <c r="E940" s="2" t="inlineStr">
        <is>
          <t>improver</t>
        </is>
      </c>
      <c r="F940" s="3" t="n">
        <v>120</v>
      </c>
      <c r="G940" s="2" t="inlineStr">
        <is>
          <t>120</t>
        </is>
      </c>
      <c r="H940" s="2" t="inlineStr">
        <is>
          <t>H14</t>
        </is>
      </c>
    </row>
    <row r="941">
      <c r="A941" s="2" t="inlineStr">
        <is>
          <t>L102</t>
        </is>
      </c>
      <c r="B941" s="2" t="inlineStr">
        <is>
          <t>Galette</t>
        </is>
      </c>
      <c r="C941" s="2" t="inlineStr">
        <is>
          <t>S046</t>
        </is>
      </c>
      <c r="D941" s="2" t="inlineStr">
        <is>
          <t>'Galette'!C12,D12</t>
        </is>
      </c>
      <c r="E941" s="2" t="inlineStr">
        <is>
          <t>yeast</t>
        </is>
      </c>
      <c r="F941" s="3" t="n">
        <v>180</v>
      </c>
      <c r="G941" s="2" t="inlineStr">
        <is>
          <t>180</t>
        </is>
      </c>
      <c r="H941" s="2" t="inlineStr">
        <is>
          <t>H14</t>
        </is>
      </c>
    </row>
    <row r="942">
      <c r="A942" s="2" t="inlineStr">
        <is>
          <t>L102</t>
        </is>
      </c>
      <c r="B942" s="2" t="inlineStr">
        <is>
          <t>Galette</t>
        </is>
      </c>
      <c r="C942" s="2" t="inlineStr">
        <is>
          <t>S046</t>
        </is>
      </c>
      <c r="D942" s="2" t="inlineStr">
        <is>
          <t>'Galette'!C13,D13</t>
        </is>
      </c>
      <c r="E942" s="2" t="inlineStr">
        <is>
          <t>water</t>
        </is>
      </c>
      <c r="F942" s="3" t="n">
        <v>3500</v>
      </c>
      <c r="G942" s="2" t="inlineStr">
        <is>
          <t>3500</t>
        </is>
      </c>
      <c r="H942" s="2" t="inlineStr">
        <is>
          <t>H14</t>
        </is>
      </c>
    </row>
    <row r="943">
      <c r="A943" s="2" t="inlineStr">
        <is>
          <t>L102</t>
        </is>
      </c>
      <c r="B943" s="2" t="inlineStr">
        <is>
          <t>Galette</t>
        </is>
      </c>
      <c r="C943" s="2" t="inlineStr">
        <is>
          <t>S046</t>
        </is>
      </c>
      <c r="D943" s="2" t="inlineStr">
        <is>
          <t>'Galette'!C14,D14</t>
        </is>
      </c>
      <c r="E943" s="2" t="inlineStr">
        <is>
          <t>baking powder</t>
        </is>
      </c>
      <c r="F943" s="3" t="n">
        <v>120</v>
      </c>
      <c r="G943" s="2" t="inlineStr">
        <is>
          <t>120</t>
        </is>
      </c>
      <c r="H943" s="2" t="inlineStr">
        <is>
          <t>H14</t>
        </is>
      </c>
    </row>
    <row r="944">
      <c r="A944" s="2" t="inlineStr">
        <is>
          <t>L102</t>
        </is>
      </c>
      <c r="B944" s="2" t="inlineStr">
        <is>
          <t>Galette</t>
        </is>
      </c>
      <c r="C944" s="2" t="inlineStr">
        <is>
          <t>S046</t>
        </is>
      </c>
      <c r="D944" s="2" t="inlineStr">
        <is>
          <t>'Galette'!C15,D15</t>
        </is>
      </c>
      <c r="E944" s="2" t="inlineStr">
        <is>
          <t>Chocolate</t>
        </is>
      </c>
      <c r="F944" s="3" t="n">
        <v>600</v>
      </c>
      <c r="G944" s="2" t="inlineStr">
        <is>
          <t>600</t>
        </is>
      </c>
      <c r="H944" s="2" t="inlineStr">
        <is>
          <t>H14</t>
        </is>
      </c>
    </row>
    <row r="945">
      <c r="A945" s="2" t="inlineStr">
        <is>
          <t>L102</t>
        </is>
      </c>
      <c r="B945" s="2" t="inlineStr">
        <is>
          <t>Galette</t>
        </is>
      </c>
      <c r="C945" s="2" t="inlineStr">
        <is>
          <t>S046</t>
        </is>
      </c>
      <c r="D945" s="2" t="inlineStr">
        <is>
          <t>'Galette'!C16,D16</t>
        </is>
      </c>
      <c r="E945" s="2" t="inlineStr">
        <is>
          <t>EDC</t>
        </is>
      </c>
      <c r="F945" s="3" t="n">
        <v>25</v>
      </c>
      <c r="G945" s="2" t="inlineStr">
        <is>
          <t>25</t>
        </is>
      </c>
      <c r="H945" s="2" t="inlineStr">
        <is>
          <t>H14</t>
        </is>
      </c>
    </row>
    <row r="946">
      <c r="A946" s="2" t="inlineStr">
        <is>
          <t>L103</t>
        </is>
      </c>
      <c r="B946" s="2" t="inlineStr">
        <is>
          <t>Galette</t>
        </is>
      </c>
      <c r="C946" s="2" t="inlineStr">
        <is>
          <t>S046</t>
        </is>
      </c>
      <c r="D946" s="2" t="inlineStr">
        <is>
          <t>'Galette'!C5,F5</t>
        </is>
      </c>
      <c r="E946" s="2" t="inlineStr">
        <is>
          <t>flour</t>
        </is>
      </c>
      <c r="F946" s="3" t="n">
        <v>50020</v>
      </c>
      <c r="G946" s="2" t="inlineStr">
        <is>
          <t>=H5*6.1 [cached: 50020]</t>
        </is>
      </c>
      <c r="H946" s="2" t="inlineStr">
        <is>
          <t>H14</t>
        </is>
      </c>
    </row>
    <row r="947">
      <c r="A947" s="2" t="inlineStr">
        <is>
          <t>L103</t>
        </is>
      </c>
      <c r="B947" s="2" t="inlineStr">
        <is>
          <t>Galette</t>
        </is>
      </c>
      <c r="C947" s="2" t="inlineStr">
        <is>
          <t>S046</t>
        </is>
      </c>
      <c r="D947" s="2" t="inlineStr">
        <is>
          <t>'Galette'!C6,F6</t>
        </is>
      </c>
      <c r="E947" s="2" t="inlineStr">
        <is>
          <t>Butter</t>
        </is>
      </c>
      <c r="F947" s="3" t="n">
        <v>4880</v>
      </c>
      <c r="G947" s="2" t="inlineStr">
        <is>
          <t>=H6*6.1 [cached: 4880]</t>
        </is>
      </c>
      <c r="H947" s="2" t="inlineStr">
        <is>
          <t>H14</t>
        </is>
      </c>
    </row>
    <row r="948">
      <c r="A948" s="2" t="inlineStr">
        <is>
          <t>L103</t>
        </is>
      </c>
      <c r="B948" s="2" t="inlineStr">
        <is>
          <t>Galette</t>
        </is>
      </c>
      <c r="C948" s="2" t="inlineStr">
        <is>
          <t>S046</t>
        </is>
      </c>
      <c r="D948" s="2" t="inlineStr">
        <is>
          <t>'Galette'!C7,F7</t>
        </is>
      </c>
      <c r="E948" s="2" t="inlineStr">
        <is>
          <t>sugar</t>
        </is>
      </c>
      <c r="F948" s="3" t="n">
        <v>4880</v>
      </c>
      <c r="G948" s="2" t="inlineStr">
        <is>
          <t>=H7*6.1 [cached: 4880]</t>
        </is>
      </c>
      <c r="H948" s="2" t="inlineStr">
        <is>
          <t>H14</t>
        </is>
      </c>
    </row>
    <row r="949">
      <c r="A949" s="2" t="inlineStr">
        <is>
          <t>L103</t>
        </is>
      </c>
      <c r="B949" s="2" t="inlineStr">
        <is>
          <t>Galette</t>
        </is>
      </c>
      <c r="C949" s="2" t="inlineStr">
        <is>
          <t>S046</t>
        </is>
      </c>
      <c r="D949" s="2" t="inlineStr">
        <is>
          <t>'Galette'!C8,F8</t>
        </is>
      </c>
      <c r="E949" s="2" t="inlineStr">
        <is>
          <t>Milk</t>
        </is>
      </c>
      <c r="F949" s="3" t="n">
        <v>6100</v>
      </c>
      <c r="G949" s="2" t="inlineStr">
        <is>
          <t>=H8*6.1 [cached: 6100]</t>
        </is>
      </c>
      <c r="H949" s="2" t="inlineStr">
        <is>
          <t>H14</t>
        </is>
      </c>
    </row>
    <row r="950">
      <c r="A950" s="2" t="inlineStr">
        <is>
          <t>L103</t>
        </is>
      </c>
      <c r="B950" s="2" t="inlineStr">
        <is>
          <t>Galette</t>
        </is>
      </c>
      <c r="C950" s="2" t="inlineStr">
        <is>
          <t>S046</t>
        </is>
      </c>
      <c r="D950" s="2" t="inlineStr">
        <is>
          <t>'Galette'!C9,F9</t>
        </is>
      </c>
      <c r="E950" s="2" t="inlineStr">
        <is>
          <t>egg</t>
        </is>
      </c>
      <c r="F950" s="3" t="n">
        <v>3660</v>
      </c>
      <c r="G950" s="2" t="inlineStr">
        <is>
          <t>=H9*6.1 [cached: 3660]</t>
        </is>
      </c>
      <c r="H950" s="2" t="inlineStr">
        <is>
          <t>H14</t>
        </is>
      </c>
    </row>
    <row r="951">
      <c r="A951" s="2" t="inlineStr">
        <is>
          <t>L103</t>
        </is>
      </c>
      <c r="B951" s="2" t="inlineStr">
        <is>
          <t>Galette</t>
        </is>
      </c>
      <c r="C951" s="2" t="inlineStr">
        <is>
          <t>S046</t>
        </is>
      </c>
      <c r="D951" s="2" t="inlineStr">
        <is>
          <t>'Galette'!C10,F10</t>
        </is>
      </c>
      <c r="E951" s="2" t="inlineStr">
        <is>
          <t>salt</t>
        </is>
      </c>
      <c r="F951" s="3" t="n">
        <v>610</v>
      </c>
      <c r="G951" s="2" t="inlineStr">
        <is>
          <t>=H10*6.1 [cached: 610]</t>
        </is>
      </c>
      <c r="H951" s="2" t="inlineStr">
        <is>
          <t>H14</t>
        </is>
      </c>
    </row>
    <row r="952">
      <c r="A952" s="2" t="inlineStr">
        <is>
          <t>L103</t>
        </is>
      </c>
      <c r="B952" s="2" t="inlineStr">
        <is>
          <t>Galette</t>
        </is>
      </c>
      <c r="C952" s="2" t="inlineStr">
        <is>
          <t>S046</t>
        </is>
      </c>
      <c r="D952" s="2" t="inlineStr">
        <is>
          <t>'Galette'!C11,F11</t>
        </is>
      </c>
      <c r="E952" s="2" t="inlineStr">
        <is>
          <t>improver</t>
        </is>
      </c>
      <c r="F952" s="3" t="n">
        <v>610</v>
      </c>
      <c r="G952" s="2" t="inlineStr">
        <is>
          <t>=H11*6.1 [cached: 610]</t>
        </is>
      </c>
      <c r="H952" s="2" t="inlineStr">
        <is>
          <t>H14</t>
        </is>
      </c>
    </row>
    <row r="953">
      <c r="A953" s="2" t="inlineStr">
        <is>
          <t>L103</t>
        </is>
      </c>
      <c r="B953" s="2" t="inlineStr">
        <is>
          <t>Galette</t>
        </is>
      </c>
      <c r="C953" s="2" t="inlineStr">
        <is>
          <t>S046</t>
        </is>
      </c>
      <c r="D953" s="2" t="inlineStr">
        <is>
          <t>'Galette'!C12,F12</t>
        </is>
      </c>
      <c r="E953" s="2" t="inlineStr">
        <is>
          <t>yeast</t>
        </is>
      </c>
      <c r="F953" s="3" t="n">
        <v>549</v>
      </c>
      <c r="G953" s="2" t="inlineStr">
        <is>
          <t>=H12*6.1 [cached: 549]</t>
        </is>
      </c>
      <c r="H953" s="2" t="inlineStr">
        <is>
          <t>H14</t>
        </is>
      </c>
    </row>
    <row r="954">
      <c r="A954" s="2" t="inlineStr">
        <is>
          <t>L103</t>
        </is>
      </c>
      <c r="B954" s="2" t="inlineStr">
        <is>
          <t>Galette</t>
        </is>
      </c>
      <c r="C954" s="2" t="inlineStr">
        <is>
          <t>S046</t>
        </is>
      </c>
      <c r="D954" s="2" t="inlineStr">
        <is>
          <t>'Galette'!C13,F13</t>
        </is>
      </c>
      <c r="E954" s="2" t="inlineStr">
        <is>
          <t>water</t>
        </is>
      </c>
      <c r="F954" s="3" t="n">
        <v>15250</v>
      </c>
      <c r="G954" s="2" t="inlineStr">
        <is>
          <t>=H13*6.1 [cached: 15250]</t>
        </is>
      </c>
      <c r="H954" s="2" t="inlineStr">
        <is>
          <t>H14</t>
        </is>
      </c>
    </row>
    <row r="955">
      <c r="A955" s="2" t="inlineStr">
        <is>
          <t>L103</t>
        </is>
      </c>
      <c r="B955" s="2" t="inlineStr">
        <is>
          <t>Galette</t>
        </is>
      </c>
      <c r="C955" s="2" t="inlineStr">
        <is>
          <t>S046</t>
        </is>
      </c>
      <c r="D955" s="2" t="inlineStr">
        <is>
          <t>'Galette'!C14,F14</t>
        </is>
      </c>
      <c r="E955" s="2" t="inlineStr">
        <is>
          <t>baking powder</t>
        </is>
      </c>
      <c r="F955" s="3" t="n">
        <v>549</v>
      </c>
      <c r="G955" s="2" t="inlineStr">
        <is>
          <t>=H14*6.1 [cached: 549]</t>
        </is>
      </c>
      <c r="H955" s="2" t="inlineStr">
        <is>
          <t>H14</t>
        </is>
      </c>
    </row>
    <row r="956">
      <c r="A956" s="2" t="inlineStr">
        <is>
          <t>L103</t>
        </is>
      </c>
      <c r="B956" s="2" t="inlineStr">
        <is>
          <t>Galette</t>
        </is>
      </c>
      <c r="C956" s="2" t="inlineStr">
        <is>
          <t>S046</t>
        </is>
      </c>
      <c r="D956" s="2" t="inlineStr">
        <is>
          <t>'Galette'!C15,F15</t>
        </is>
      </c>
      <c r="E956" s="2" t="inlineStr">
        <is>
          <t>Chocolate</t>
        </is>
      </c>
      <c r="F956" s="3" t="n">
        <v>4270</v>
      </c>
      <c r="G956" s="2" t="inlineStr">
        <is>
          <t>=H15*6.1 [cached: 4270]</t>
        </is>
      </c>
      <c r="H956" s="2" t="inlineStr">
        <is>
          <t>H14</t>
        </is>
      </c>
    </row>
    <row r="957">
      <c r="A957" s="2" t="inlineStr">
        <is>
          <t>L103</t>
        </is>
      </c>
      <c r="B957" s="2" t="inlineStr">
        <is>
          <t>Galette</t>
        </is>
      </c>
      <c r="C957" s="2" t="inlineStr">
        <is>
          <t>S046</t>
        </is>
      </c>
      <c r="D957" s="2" t="inlineStr">
        <is>
          <t>'Galette'!C16,F16</t>
        </is>
      </c>
      <c r="E957" s="2" t="inlineStr">
        <is>
          <t>EDC</t>
        </is>
      </c>
      <c r="F957" s="3" t="n">
        <v>183</v>
      </c>
      <c r="G957" s="2" t="inlineStr">
        <is>
          <t>=H16*6.1 [cached: 183]</t>
        </is>
      </c>
      <c r="H957" s="2" t="inlineStr">
        <is>
          <t>H14</t>
        </is>
      </c>
    </row>
    <row r="958">
      <c r="A958" s="2" t="inlineStr">
        <is>
          <t>L104</t>
        </is>
      </c>
      <c r="B958" s="2" t="inlineStr">
        <is>
          <t>Kouatchoua gato</t>
        </is>
      </c>
      <c r="C958" s="2" t="inlineStr">
        <is>
          <t>S046</t>
        </is>
      </c>
      <c r="D958" s="2" t="inlineStr">
        <is>
          <t>'Kouatchoua gato'!C5,D5</t>
        </is>
      </c>
      <c r="E958" s="2" t="inlineStr">
        <is>
          <t>flour</t>
        </is>
      </c>
      <c r="F958" s="3" t="n">
        <v>25000</v>
      </c>
      <c r="G958" s="2" t="inlineStr">
        <is>
          <t>25000</t>
        </is>
      </c>
      <c r="H958" s="2" t="inlineStr">
        <is>
          <t>Retain unique variant; no equivalent operating card selected</t>
        </is>
      </c>
    </row>
    <row r="959">
      <c r="A959" s="2" t="inlineStr">
        <is>
          <t>L104</t>
        </is>
      </c>
      <c r="B959" s="2" t="inlineStr">
        <is>
          <t>Kouatchoua gato</t>
        </is>
      </c>
      <c r="C959" s="2" t="inlineStr">
        <is>
          <t>S046</t>
        </is>
      </c>
      <c r="D959" s="2" t="inlineStr">
        <is>
          <t>'Kouatchoua gato'!C6,D6</t>
        </is>
      </c>
      <c r="E959" s="2" t="inlineStr">
        <is>
          <t>Butter</t>
        </is>
      </c>
      <c r="F959" s="3" t="n">
        <v>1300</v>
      </c>
      <c r="G959" s="2" t="inlineStr">
        <is>
          <t>1300</t>
        </is>
      </c>
      <c r="H959" s="2" t="inlineStr">
        <is>
          <t>Retain unique variant; no equivalent operating card selected</t>
        </is>
      </c>
    </row>
    <row r="960">
      <c r="A960" s="2" t="inlineStr">
        <is>
          <t>L104</t>
        </is>
      </c>
      <c r="B960" s="2" t="inlineStr">
        <is>
          <t>Kouatchoua gato</t>
        </is>
      </c>
      <c r="C960" s="2" t="inlineStr">
        <is>
          <t>S046</t>
        </is>
      </c>
      <c r="D960" s="2" t="inlineStr">
        <is>
          <t>'Kouatchoua gato'!C7,D7</t>
        </is>
      </c>
      <c r="E960" s="2" t="inlineStr">
        <is>
          <t>sugar</t>
        </is>
      </c>
      <c r="F960" s="3" t="n">
        <v>1700</v>
      </c>
      <c r="G960" s="2" t="inlineStr">
        <is>
          <t>1700</t>
        </is>
      </c>
      <c r="H960" s="2" t="inlineStr">
        <is>
          <t>Retain unique variant; no equivalent operating card selected</t>
        </is>
      </c>
    </row>
    <row r="961">
      <c r="A961" s="2" t="inlineStr">
        <is>
          <t>L104</t>
        </is>
      </c>
      <c r="B961" s="2" t="inlineStr">
        <is>
          <t>Kouatchoua gato</t>
        </is>
      </c>
      <c r="C961" s="2" t="inlineStr">
        <is>
          <t>S046</t>
        </is>
      </c>
      <c r="D961" s="2" t="inlineStr">
        <is>
          <t>'Kouatchoua gato'!C8,D8</t>
        </is>
      </c>
      <c r="E961" s="2" t="inlineStr">
        <is>
          <t>Conc Milk</t>
        </is>
      </c>
      <c r="F961" s="3" t="n">
        <v>800</v>
      </c>
      <c r="G961" s="2" t="inlineStr">
        <is>
          <t>800</t>
        </is>
      </c>
      <c r="H961" s="2" t="inlineStr">
        <is>
          <t>Retain unique variant; no equivalent operating card selected</t>
        </is>
      </c>
    </row>
    <row r="962">
      <c r="A962" s="2" t="inlineStr">
        <is>
          <t>L104</t>
        </is>
      </c>
      <c r="B962" s="2" t="inlineStr">
        <is>
          <t>Kouatchoua gato</t>
        </is>
      </c>
      <c r="C962" s="2" t="inlineStr">
        <is>
          <t>S046</t>
        </is>
      </c>
      <c r="D962" s="2" t="inlineStr">
        <is>
          <t>'Kouatchoua gato'!C9,D9</t>
        </is>
      </c>
      <c r="E962" s="2" t="inlineStr">
        <is>
          <t>egg</t>
        </is>
      </c>
      <c r="F962" s="3" t="n">
        <v>750</v>
      </c>
      <c r="G962" s="2" t="inlineStr">
        <is>
          <t>750</t>
        </is>
      </c>
      <c r="H962" s="2" t="inlineStr">
        <is>
          <t>Retain unique variant; no equivalent operating card selected</t>
        </is>
      </c>
    </row>
    <row r="963">
      <c r="A963" s="2" t="inlineStr">
        <is>
          <t>L104</t>
        </is>
      </c>
      <c r="B963" s="2" t="inlineStr">
        <is>
          <t>Kouatchoua gato</t>
        </is>
      </c>
      <c r="C963" s="2" t="inlineStr">
        <is>
          <t>S046</t>
        </is>
      </c>
      <c r="D963" s="2" t="inlineStr">
        <is>
          <t>'Kouatchoua gato'!C10,D10</t>
        </is>
      </c>
      <c r="E963" s="2" t="inlineStr">
        <is>
          <t>salt</t>
        </is>
      </c>
      <c r="F963" s="3" t="n">
        <v>270</v>
      </c>
      <c r="G963" s="2" t="inlineStr">
        <is>
          <t>270</t>
        </is>
      </c>
      <c r="H963" s="2" t="inlineStr">
        <is>
          <t>Retain unique variant; no equivalent operating card selected</t>
        </is>
      </c>
    </row>
    <row r="964">
      <c r="A964" s="2" t="inlineStr">
        <is>
          <t>L104</t>
        </is>
      </c>
      <c r="B964" s="2" t="inlineStr">
        <is>
          <t>Kouatchoua gato</t>
        </is>
      </c>
      <c r="C964" s="2" t="inlineStr">
        <is>
          <t>S046</t>
        </is>
      </c>
      <c r="D964" s="2" t="inlineStr">
        <is>
          <t>'Kouatchoua gato'!C11,D11</t>
        </is>
      </c>
      <c r="E964" s="2" t="inlineStr">
        <is>
          <t>improver</t>
        </is>
      </c>
      <c r="F964" s="3" t="n">
        <v>150</v>
      </c>
      <c r="G964" s="2" t="inlineStr">
        <is>
          <t>150</t>
        </is>
      </c>
      <c r="H964" s="2" t="inlineStr">
        <is>
          <t>Retain unique variant; no equivalent operating card selected</t>
        </is>
      </c>
    </row>
    <row r="965">
      <c r="A965" s="2" t="inlineStr">
        <is>
          <t>L104</t>
        </is>
      </c>
      <c r="B965" s="2" t="inlineStr">
        <is>
          <t>Kouatchoua gato</t>
        </is>
      </c>
      <c r="C965" s="2" t="inlineStr">
        <is>
          <t>S046</t>
        </is>
      </c>
      <c r="D965" s="2" t="inlineStr">
        <is>
          <t>'Kouatchoua gato'!C12,D12</t>
        </is>
      </c>
      <c r="E965" s="2" t="inlineStr">
        <is>
          <t>yeast</t>
        </is>
      </c>
      <c r="F965" s="3" t="n">
        <v>160</v>
      </c>
      <c r="G965" s="2" t="inlineStr">
        <is>
          <t>160</t>
        </is>
      </c>
      <c r="H965" s="2" t="inlineStr">
        <is>
          <t>Retain unique variant; no equivalent operating card selected</t>
        </is>
      </c>
    </row>
    <row r="966">
      <c r="A966" s="2" t="inlineStr">
        <is>
          <t>L104</t>
        </is>
      </c>
      <c r="B966" s="2" t="inlineStr">
        <is>
          <t>Kouatchoua gato</t>
        </is>
      </c>
      <c r="C966" s="2" t="inlineStr">
        <is>
          <t>S046</t>
        </is>
      </c>
      <c r="D966" s="2" t="inlineStr">
        <is>
          <t>'Kouatchoua gato'!C13,D13</t>
        </is>
      </c>
      <c r="E966" s="2" t="inlineStr">
        <is>
          <t>water</t>
        </is>
      </c>
      <c r="F966" s="3" t="n">
        <v>9500</v>
      </c>
      <c r="G966" s="2" t="inlineStr">
        <is>
          <t>9500</t>
        </is>
      </c>
      <c r="H966" s="2" t="inlineStr">
        <is>
          <t>Retain unique variant; no equivalent operating card selected</t>
        </is>
      </c>
    </row>
    <row r="967">
      <c r="A967" s="2" t="inlineStr">
        <is>
          <t>L104</t>
        </is>
      </c>
      <c r="B967" s="2" t="inlineStr">
        <is>
          <t>Kouatchoua gato</t>
        </is>
      </c>
      <c r="C967" s="2" t="inlineStr">
        <is>
          <t>S046</t>
        </is>
      </c>
      <c r="D967" s="2" t="inlineStr">
        <is>
          <t>'Kouatchoua gato'!C14,D14</t>
        </is>
      </c>
      <c r="E967" s="2" t="inlineStr">
        <is>
          <t>baking powder</t>
        </is>
      </c>
      <c r="F967" s="3" t="n">
        <v>150</v>
      </c>
      <c r="G967" s="2" t="inlineStr">
        <is>
          <t>150</t>
        </is>
      </c>
      <c r="H967" s="2" t="inlineStr">
        <is>
          <t>Retain unique variant; no equivalent operating card selected</t>
        </is>
      </c>
    </row>
    <row r="968">
      <c r="A968" s="2" t="inlineStr">
        <is>
          <t>L104</t>
        </is>
      </c>
      <c r="B968" s="2" t="inlineStr">
        <is>
          <t>Kouatchoua gato</t>
        </is>
      </c>
      <c r="C968" s="2" t="inlineStr">
        <is>
          <t>S046</t>
        </is>
      </c>
      <c r="D968" s="2" t="inlineStr">
        <is>
          <t>'Kouatchoua gato'!C15,D15</t>
        </is>
      </c>
      <c r="E968" s="2" t="inlineStr">
        <is>
          <t>frying oil</t>
        </is>
      </c>
      <c r="F968" s="3" t="n">
        <v>8000</v>
      </c>
      <c r="G968" s="2" t="inlineStr">
        <is>
          <t>8000</t>
        </is>
      </c>
      <c r="H968" s="2" t="inlineStr">
        <is>
          <t>Retain unique variant; no equivalent operating card selected</t>
        </is>
      </c>
    </row>
    <row r="969">
      <c r="A969" s="2" t="inlineStr">
        <is>
          <t>L105</t>
        </is>
      </c>
      <c r="B969" s="2" t="inlineStr">
        <is>
          <t>Pain au lait</t>
        </is>
      </c>
      <c r="C969" s="2" t="inlineStr">
        <is>
          <t>S046</t>
        </is>
      </c>
      <c r="D969" s="2" t="inlineStr">
        <is>
          <t>'Pain au lait'!C5,D5</t>
        </is>
      </c>
      <c r="E969" s="2" t="inlineStr">
        <is>
          <t>flour</t>
        </is>
      </c>
      <c r="F969" s="3" t="n">
        <v>12000</v>
      </c>
      <c r="G969" s="2" t="inlineStr">
        <is>
          <t>12000</t>
        </is>
      </c>
      <c r="H969" s="2" t="inlineStr">
        <is>
          <t>S-B07 / M1-B04</t>
        </is>
      </c>
    </row>
    <row r="970">
      <c r="A970" s="2" t="inlineStr">
        <is>
          <t>L105</t>
        </is>
      </c>
      <c r="B970" s="2" t="inlineStr">
        <is>
          <t>Pain au lait</t>
        </is>
      </c>
      <c r="C970" s="2" t="inlineStr">
        <is>
          <t>S046</t>
        </is>
      </c>
      <c r="D970" s="2" t="inlineStr">
        <is>
          <t>'Pain au lait'!C6,D6</t>
        </is>
      </c>
      <c r="E970" s="2" t="inlineStr">
        <is>
          <t>Butter</t>
        </is>
      </c>
      <c r="F970" s="3" t="n">
        <v>1000</v>
      </c>
      <c r="G970" s="2" t="inlineStr">
        <is>
          <t>1000</t>
        </is>
      </c>
      <c r="H970" s="2" t="inlineStr">
        <is>
          <t>S-B07 / M1-B04</t>
        </is>
      </c>
    </row>
    <row r="971">
      <c r="A971" s="2" t="inlineStr">
        <is>
          <t>L105</t>
        </is>
      </c>
      <c r="B971" s="2" t="inlineStr">
        <is>
          <t>Pain au lait</t>
        </is>
      </c>
      <c r="C971" s="2" t="inlineStr">
        <is>
          <t>S046</t>
        </is>
      </c>
      <c r="D971" s="2" t="inlineStr">
        <is>
          <t>'Pain au lait'!C7,D7</t>
        </is>
      </c>
      <c r="E971" s="2" t="inlineStr">
        <is>
          <t>sugar</t>
        </is>
      </c>
      <c r="F971" s="3" t="n">
        <v>1100</v>
      </c>
      <c r="G971" s="2" t="inlineStr">
        <is>
          <t>1100</t>
        </is>
      </c>
      <c r="H971" s="2" t="inlineStr">
        <is>
          <t>S-B07 / M1-B04</t>
        </is>
      </c>
    </row>
    <row r="972">
      <c r="A972" s="2" t="inlineStr">
        <is>
          <t>L105</t>
        </is>
      </c>
      <c r="B972" s="2" t="inlineStr">
        <is>
          <t>Pain au lait</t>
        </is>
      </c>
      <c r="C972" s="2" t="inlineStr">
        <is>
          <t>S046</t>
        </is>
      </c>
      <c r="D972" s="2" t="inlineStr">
        <is>
          <t>'Pain au lait'!C8,D8</t>
        </is>
      </c>
      <c r="E972" s="2" t="inlineStr">
        <is>
          <t>Milk</t>
        </is>
      </c>
      <c r="F972" s="3" t="n">
        <v>950</v>
      </c>
      <c r="G972" s="2" t="inlineStr">
        <is>
          <t>950</t>
        </is>
      </c>
      <c r="H972" s="2" t="inlineStr">
        <is>
          <t>S-B07 / M1-B04</t>
        </is>
      </c>
    </row>
    <row r="973">
      <c r="A973" s="2" t="inlineStr">
        <is>
          <t>L105</t>
        </is>
      </c>
      <c r="B973" s="2" t="inlineStr">
        <is>
          <t>Pain au lait</t>
        </is>
      </c>
      <c r="C973" s="2" t="inlineStr">
        <is>
          <t>S046</t>
        </is>
      </c>
      <c r="D973" s="2" t="inlineStr">
        <is>
          <t>'Pain au lait'!C9,D9</t>
        </is>
      </c>
      <c r="E973" s="2" t="inlineStr">
        <is>
          <t>egg</t>
        </is>
      </c>
      <c r="F973" s="3" t="n">
        <v>750</v>
      </c>
      <c r="G973" s="2" t="inlineStr">
        <is>
          <t>750</t>
        </is>
      </c>
      <c r="H973" s="2" t="inlineStr">
        <is>
          <t>S-B07 / M1-B04</t>
        </is>
      </c>
    </row>
    <row r="974">
      <c r="A974" s="2" t="inlineStr">
        <is>
          <t>L105</t>
        </is>
      </c>
      <c r="B974" s="2" t="inlineStr">
        <is>
          <t>Pain au lait</t>
        </is>
      </c>
      <c r="C974" s="2" t="inlineStr">
        <is>
          <t>S046</t>
        </is>
      </c>
      <c r="D974" s="2" t="inlineStr">
        <is>
          <t>'Pain au lait'!C10,D10</t>
        </is>
      </c>
      <c r="E974" s="2" t="inlineStr">
        <is>
          <t>salt</t>
        </is>
      </c>
      <c r="F974" s="3" t="n">
        <v>130</v>
      </c>
      <c r="G974" s="2" t="inlineStr">
        <is>
          <t>130</t>
        </is>
      </c>
      <c r="H974" s="2" t="inlineStr">
        <is>
          <t>S-B07 / M1-B04</t>
        </is>
      </c>
    </row>
    <row r="975">
      <c r="A975" s="2" t="inlineStr">
        <is>
          <t>L105</t>
        </is>
      </c>
      <c r="B975" s="2" t="inlineStr">
        <is>
          <t>Pain au lait</t>
        </is>
      </c>
      <c r="C975" s="2" t="inlineStr">
        <is>
          <t>S046</t>
        </is>
      </c>
      <c r="D975" s="2" t="inlineStr">
        <is>
          <t>'Pain au lait'!C11,D11</t>
        </is>
      </c>
      <c r="E975" s="2" t="inlineStr">
        <is>
          <t>improver</t>
        </is>
      </c>
      <c r="F975" s="3" t="n">
        <v>100</v>
      </c>
      <c r="G975" s="2" t="inlineStr">
        <is>
          <t>100</t>
        </is>
      </c>
      <c r="H975" s="2" t="inlineStr">
        <is>
          <t>S-B07 / M1-B04</t>
        </is>
      </c>
    </row>
    <row r="976">
      <c r="A976" s="2" t="inlineStr">
        <is>
          <t>L105</t>
        </is>
      </c>
      <c r="B976" s="2" t="inlineStr">
        <is>
          <t>Pain au lait</t>
        </is>
      </c>
      <c r="C976" s="2" t="inlineStr">
        <is>
          <t>S046</t>
        </is>
      </c>
      <c r="D976" s="2" t="inlineStr">
        <is>
          <t>'Pain au lait'!C12,D12</t>
        </is>
      </c>
      <c r="E976" s="2" t="inlineStr">
        <is>
          <t>yeast</t>
        </is>
      </c>
      <c r="F976" s="3" t="n">
        <v>160</v>
      </c>
      <c r="G976" s="2" t="inlineStr">
        <is>
          <t>160</t>
        </is>
      </c>
      <c r="H976" s="2" t="inlineStr">
        <is>
          <t>S-B07 / M1-B04</t>
        </is>
      </c>
    </row>
    <row r="977">
      <c r="A977" s="2" t="inlineStr">
        <is>
          <t>L105</t>
        </is>
      </c>
      <c r="B977" s="2" t="inlineStr">
        <is>
          <t>Pain au lait</t>
        </is>
      </c>
      <c r="C977" s="2" t="inlineStr">
        <is>
          <t>S046</t>
        </is>
      </c>
      <c r="D977" s="2" t="inlineStr">
        <is>
          <t>'Pain au lait'!C13,D13</t>
        </is>
      </c>
      <c r="E977" s="2" t="inlineStr">
        <is>
          <t>water</t>
        </is>
      </c>
      <c r="F977" s="3" t="n">
        <v>5000</v>
      </c>
      <c r="G977" s="2" t="inlineStr">
        <is>
          <t>5000</t>
        </is>
      </c>
      <c r="H977" s="2" t="inlineStr">
        <is>
          <t>S-B07 / M1-B04</t>
        </is>
      </c>
    </row>
    <row r="978">
      <c r="A978" s="2" t="inlineStr">
        <is>
          <t>L105</t>
        </is>
      </c>
      <c r="B978" s="2" t="inlineStr">
        <is>
          <t>Pain au lait</t>
        </is>
      </c>
      <c r="C978" s="2" t="inlineStr">
        <is>
          <t>S046</t>
        </is>
      </c>
      <c r="D978" s="2" t="inlineStr">
        <is>
          <t>'Pain au lait'!C14,D14</t>
        </is>
      </c>
      <c r="E978" s="2" t="inlineStr">
        <is>
          <t>Oil</t>
        </is>
      </c>
      <c r="F978" s="3" t="n">
        <v>300</v>
      </c>
      <c r="G978" s="2" t="inlineStr">
        <is>
          <t>300</t>
        </is>
      </c>
      <c r="H978" s="2" t="inlineStr">
        <is>
          <t>S-B07 / M1-B04</t>
        </is>
      </c>
    </row>
    <row r="979">
      <c r="A979" s="2" t="inlineStr">
        <is>
          <t>L105</t>
        </is>
      </c>
      <c r="B979" s="2" t="inlineStr">
        <is>
          <t>Pain au lait</t>
        </is>
      </c>
      <c r="C979" s="2" t="inlineStr">
        <is>
          <t>S046</t>
        </is>
      </c>
      <c r="D979" s="2" t="inlineStr">
        <is>
          <t>'Pain au lait'!C15,D15</t>
        </is>
      </c>
      <c r="E979" s="2" t="inlineStr">
        <is>
          <t>Milk tantalizer</t>
        </is>
      </c>
      <c r="F979" s="3" t="n">
        <v>5</v>
      </c>
      <c r="G979" s="2" t="inlineStr">
        <is>
          <t>5</t>
        </is>
      </c>
      <c r="H979" s="2" t="inlineStr">
        <is>
          <t>S-B07 / M1-B04</t>
        </is>
      </c>
    </row>
    <row r="980">
      <c r="A980" s="2" t="inlineStr">
        <is>
          <t>L105</t>
        </is>
      </c>
      <c r="B980" s="2" t="inlineStr">
        <is>
          <t>Pain au lait</t>
        </is>
      </c>
      <c r="C980" s="2" t="inlineStr">
        <is>
          <t>S046</t>
        </is>
      </c>
      <c r="D980" s="2" t="inlineStr">
        <is>
          <t>'Pain au lait'!C16,D16</t>
        </is>
      </c>
      <c r="E980" s="2" t="inlineStr">
        <is>
          <t>EDC</t>
        </is>
      </c>
      <c r="F980" s="3" t="n">
        <v>25</v>
      </c>
      <c r="G980" s="2" t="inlineStr">
        <is>
          <t>25</t>
        </is>
      </c>
      <c r="H980" s="2" t="inlineStr">
        <is>
          <t>S-B07 / M1-B04</t>
        </is>
      </c>
    </row>
    <row r="981">
      <c r="A981" s="2" t="inlineStr">
        <is>
          <t>L105</t>
        </is>
      </c>
      <c r="B981" s="2" t="inlineStr">
        <is>
          <t>Pain au lait</t>
        </is>
      </c>
      <c r="C981" s="2" t="inlineStr">
        <is>
          <t>S046</t>
        </is>
      </c>
      <c r="D981" s="2" t="inlineStr">
        <is>
          <t>'Pain au lait'!C17,D17</t>
        </is>
      </c>
      <c r="E981" s="2" t="inlineStr">
        <is>
          <t>Nutmeg</t>
        </is>
      </c>
      <c r="F981" s="3" t="n">
        <v>12</v>
      </c>
      <c r="G981" s="2" t="inlineStr">
        <is>
          <t>12</t>
        </is>
      </c>
      <c r="H981" s="2" t="inlineStr">
        <is>
          <t>S-B07 / M1-B04</t>
        </is>
      </c>
    </row>
    <row r="982">
      <c r="A982" s="2" t="inlineStr">
        <is>
          <t>L106</t>
        </is>
      </c>
      <c r="B982" s="2" t="inlineStr">
        <is>
          <t>Pain au lait</t>
        </is>
      </c>
      <c r="C982" s="2" t="inlineStr">
        <is>
          <t>S046</t>
        </is>
      </c>
      <c r="D982" s="2" t="inlineStr">
        <is>
          <t>'Pain au lait'!C5,L5</t>
        </is>
      </c>
      <c r="E982" s="2" t="inlineStr">
        <is>
          <t>flour</t>
        </is>
      </c>
      <c r="F982" s="3" t="n">
        <v>7000</v>
      </c>
      <c r="G982" s="2" t="inlineStr">
        <is>
          <t>7000</t>
        </is>
      </c>
      <c r="H982" s="2" t="inlineStr">
        <is>
          <t>S-B07 / M1-B04</t>
        </is>
      </c>
    </row>
    <row r="983">
      <c r="A983" s="2" t="inlineStr">
        <is>
          <t>L106</t>
        </is>
      </c>
      <c r="B983" s="2" t="inlineStr">
        <is>
          <t>Pain au lait</t>
        </is>
      </c>
      <c r="C983" s="2" t="inlineStr">
        <is>
          <t>S046</t>
        </is>
      </c>
      <c r="D983" s="2" t="inlineStr">
        <is>
          <t>'Pain au lait'!C6,L6</t>
        </is>
      </c>
      <c r="E983" s="2" t="inlineStr">
        <is>
          <t>Butter</t>
        </is>
      </c>
      <c r="F983" s="3" t="n">
        <v>600</v>
      </c>
      <c r="G983" s="2" t="inlineStr">
        <is>
          <t>600</t>
        </is>
      </c>
      <c r="H983" s="2" t="inlineStr">
        <is>
          <t>S-B07 / M1-B04</t>
        </is>
      </c>
    </row>
    <row r="984">
      <c r="A984" s="2" t="inlineStr">
        <is>
          <t>L106</t>
        </is>
      </c>
      <c r="B984" s="2" t="inlineStr">
        <is>
          <t>Pain au lait</t>
        </is>
      </c>
      <c r="C984" s="2" t="inlineStr">
        <is>
          <t>S046</t>
        </is>
      </c>
      <c r="D984" s="2" t="inlineStr">
        <is>
          <t>'Pain au lait'!C7,L7</t>
        </is>
      </c>
      <c r="E984" s="2" t="inlineStr">
        <is>
          <t>sugar</t>
        </is>
      </c>
      <c r="F984" s="3" t="n">
        <v>600</v>
      </c>
      <c r="G984" s="2" t="inlineStr">
        <is>
          <t>600</t>
        </is>
      </c>
      <c r="H984" s="2" t="inlineStr">
        <is>
          <t>S-B07 / M1-B04</t>
        </is>
      </c>
    </row>
    <row r="985">
      <c r="A985" s="2" t="inlineStr">
        <is>
          <t>L106</t>
        </is>
      </c>
      <c r="B985" s="2" t="inlineStr">
        <is>
          <t>Pain au lait</t>
        </is>
      </c>
      <c r="C985" s="2" t="inlineStr">
        <is>
          <t>S046</t>
        </is>
      </c>
      <c r="D985" s="2" t="inlineStr">
        <is>
          <t>'Pain au lait'!C8,L8</t>
        </is>
      </c>
      <c r="E985" s="2" t="inlineStr">
        <is>
          <t>Milk</t>
        </is>
      </c>
      <c r="F985" s="3" t="n">
        <v>475</v>
      </c>
      <c r="G985" s="2" t="inlineStr">
        <is>
          <t>=D8/2 [cached: 475]</t>
        </is>
      </c>
      <c r="H985" s="2" t="inlineStr">
        <is>
          <t>S-B07 / M1-B04</t>
        </is>
      </c>
    </row>
    <row r="986">
      <c r="A986" s="2" t="inlineStr">
        <is>
          <t>L106</t>
        </is>
      </c>
      <c r="B986" s="2" t="inlineStr">
        <is>
          <t>Pain au lait</t>
        </is>
      </c>
      <c r="C986" s="2" t="inlineStr">
        <is>
          <t>S046</t>
        </is>
      </c>
      <c r="D986" s="2" t="inlineStr">
        <is>
          <t>'Pain au lait'!C9,L9</t>
        </is>
      </c>
      <c r="E986" s="2" t="inlineStr">
        <is>
          <t>egg</t>
        </is>
      </c>
      <c r="F986" s="3" t="n">
        <v>375</v>
      </c>
      <c r="G986" s="2" t="inlineStr">
        <is>
          <t>=D9/2 [cached: 375]</t>
        </is>
      </c>
      <c r="H986" s="2" t="inlineStr">
        <is>
          <t>S-B07 / M1-B04</t>
        </is>
      </c>
    </row>
    <row r="987">
      <c r="A987" s="2" t="inlineStr">
        <is>
          <t>L106</t>
        </is>
      </c>
      <c r="B987" s="2" t="inlineStr">
        <is>
          <t>Pain au lait</t>
        </is>
      </c>
      <c r="C987" s="2" t="inlineStr">
        <is>
          <t>S046</t>
        </is>
      </c>
      <c r="D987" s="2" t="inlineStr">
        <is>
          <t>'Pain au lait'!C10,L10</t>
        </is>
      </c>
      <c r="E987" s="2" t="inlineStr">
        <is>
          <t>salt</t>
        </is>
      </c>
      <c r="F987" s="3" t="n">
        <v>50</v>
      </c>
      <c r="G987" s="2" t="inlineStr">
        <is>
          <t>50</t>
        </is>
      </c>
      <c r="H987" s="2" t="inlineStr">
        <is>
          <t>S-B07 / M1-B04</t>
        </is>
      </c>
    </row>
    <row r="988">
      <c r="A988" s="2" t="inlineStr">
        <is>
          <t>L106</t>
        </is>
      </c>
      <c r="B988" s="2" t="inlineStr">
        <is>
          <t>Pain au lait</t>
        </is>
      </c>
      <c r="C988" s="2" t="inlineStr">
        <is>
          <t>S046</t>
        </is>
      </c>
      <c r="D988" s="2" t="inlineStr">
        <is>
          <t>'Pain au lait'!C11,L11</t>
        </is>
      </c>
      <c r="E988" s="2" t="inlineStr">
        <is>
          <t>improver</t>
        </is>
      </c>
      <c r="F988" s="3" t="n">
        <v>100</v>
      </c>
      <c r="G988" s="2" t="inlineStr">
        <is>
          <t>100</t>
        </is>
      </c>
      <c r="H988" s="2" t="inlineStr">
        <is>
          <t>S-B07 / M1-B04</t>
        </is>
      </c>
    </row>
    <row r="989">
      <c r="A989" s="2" t="inlineStr">
        <is>
          <t>L106</t>
        </is>
      </c>
      <c r="B989" s="2" t="inlineStr">
        <is>
          <t>Pain au lait</t>
        </is>
      </c>
      <c r="C989" s="2" t="inlineStr">
        <is>
          <t>S046</t>
        </is>
      </c>
      <c r="D989" s="2" t="inlineStr">
        <is>
          <t>'Pain au lait'!C12,L12</t>
        </is>
      </c>
      <c r="E989" s="2" t="inlineStr">
        <is>
          <t>yeast</t>
        </is>
      </c>
      <c r="F989" s="3" t="n">
        <v>50</v>
      </c>
      <c r="G989" s="2" t="inlineStr">
        <is>
          <t>50</t>
        </is>
      </c>
      <c r="H989" s="2" t="inlineStr">
        <is>
          <t>S-B07 / M1-B04</t>
        </is>
      </c>
    </row>
    <row r="990">
      <c r="A990" s="2" t="inlineStr">
        <is>
          <t>L106</t>
        </is>
      </c>
      <c r="B990" s="2" t="inlineStr">
        <is>
          <t>Pain au lait</t>
        </is>
      </c>
      <c r="C990" s="2" t="inlineStr">
        <is>
          <t>S046</t>
        </is>
      </c>
      <c r="D990" s="2" t="inlineStr">
        <is>
          <t>'Pain au lait'!C13,L13</t>
        </is>
      </c>
      <c r="E990" s="2" t="inlineStr">
        <is>
          <t>water</t>
        </is>
      </c>
      <c r="F990" s="3" t="n">
        <v>1100</v>
      </c>
      <c r="G990" s="2" t="inlineStr">
        <is>
          <t>1100</t>
        </is>
      </c>
      <c r="H990" s="2" t="inlineStr">
        <is>
          <t>S-B07 / M1-B04</t>
        </is>
      </c>
    </row>
    <row r="991">
      <c r="A991" s="2" t="inlineStr">
        <is>
          <t>L106</t>
        </is>
      </c>
      <c r="B991" s="2" t="inlineStr">
        <is>
          <t>Pain au lait</t>
        </is>
      </c>
      <c r="C991" s="2" t="inlineStr">
        <is>
          <t>S046</t>
        </is>
      </c>
      <c r="D991" s="2" t="inlineStr">
        <is>
          <t>'Pain au lait'!C14,L14</t>
        </is>
      </c>
      <c r="E991" s="2" t="inlineStr">
        <is>
          <t>Oil</t>
        </is>
      </c>
      <c r="F991" s="3" t="n">
        <v>150</v>
      </c>
      <c r="G991" s="2" t="inlineStr">
        <is>
          <t>=D14/2 [cached: 150]</t>
        </is>
      </c>
      <c r="H991" s="2" t="inlineStr">
        <is>
          <t>S-B07 / M1-B04</t>
        </is>
      </c>
    </row>
    <row r="992">
      <c r="A992" s="2" t="inlineStr">
        <is>
          <t>L106</t>
        </is>
      </c>
      <c r="B992" s="2" t="inlineStr">
        <is>
          <t>Pain au lait</t>
        </is>
      </c>
      <c r="C992" s="2" t="inlineStr">
        <is>
          <t>S046</t>
        </is>
      </c>
      <c r="D992" s="2" t="inlineStr">
        <is>
          <t>'Pain au lait'!C15,L15</t>
        </is>
      </c>
      <c r="E992" s="2" t="inlineStr">
        <is>
          <t>Milk tantalizer</t>
        </is>
      </c>
      <c r="F992" s="3" t="n">
        <v>2.5</v>
      </c>
      <c r="G992" s="2" t="inlineStr">
        <is>
          <t>=D15/2 [cached: 2.5]</t>
        </is>
      </c>
      <c r="H992" s="2" t="inlineStr">
        <is>
          <t>S-B07 / M1-B04</t>
        </is>
      </c>
    </row>
    <row r="993">
      <c r="A993" s="2" t="inlineStr">
        <is>
          <t>L106</t>
        </is>
      </c>
      <c r="B993" s="2" t="inlineStr">
        <is>
          <t>Pain au lait</t>
        </is>
      </c>
      <c r="C993" s="2" t="inlineStr">
        <is>
          <t>S046</t>
        </is>
      </c>
      <c r="D993" s="2" t="inlineStr">
        <is>
          <t>'Pain au lait'!C16,L16</t>
        </is>
      </c>
      <c r="E993" s="2" t="inlineStr">
        <is>
          <t>EDC</t>
        </is>
      </c>
      <c r="F993" s="3" t="n">
        <v>12.5</v>
      </c>
      <c r="G993" s="2" t="inlineStr">
        <is>
          <t>=D16/2 [cached: 12.5]</t>
        </is>
      </c>
      <c r="H993" s="2" t="inlineStr">
        <is>
          <t>S-B07 / M1-B04</t>
        </is>
      </c>
    </row>
    <row r="994">
      <c r="A994" s="2" t="inlineStr">
        <is>
          <t>L106</t>
        </is>
      </c>
      <c r="B994" s="2" t="inlineStr">
        <is>
          <t>Pain au lait</t>
        </is>
      </c>
      <c r="C994" s="2" t="inlineStr">
        <is>
          <t>S046</t>
        </is>
      </c>
      <c r="D994" s="2" t="inlineStr">
        <is>
          <t>'Pain au lait'!C17,L17</t>
        </is>
      </c>
      <c r="E994" s="2" t="inlineStr">
        <is>
          <t>Nutmeg</t>
        </is>
      </c>
      <c r="F994" s="3" t="n">
        <v>6</v>
      </c>
      <c r="G994" s="2" t="inlineStr">
        <is>
          <t>=D17/2 [cached: 6]</t>
        </is>
      </c>
      <c r="H994" s="2" t="inlineStr">
        <is>
          <t>S-B07 / M1-B04</t>
        </is>
      </c>
    </row>
    <row r="995">
      <c r="A995" s="2" t="inlineStr">
        <is>
          <t>L107</t>
        </is>
      </c>
      <c r="B995" s="2" t="inlineStr">
        <is>
          <t>Sugar Balls</t>
        </is>
      </c>
      <c r="C995" s="2" t="inlineStr">
        <is>
          <t>S046</t>
        </is>
      </c>
      <c r="D995" s="2" t="inlineStr">
        <is>
          <t>'Sugar Balls'!C5,D5</t>
        </is>
      </c>
      <c r="E995" s="2" t="inlineStr">
        <is>
          <t>flour</t>
        </is>
      </c>
      <c r="F995" s="3" t="n">
        <v>10000</v>
      </c>
      <c r="G995" s="2" t="inlineStr">
        <is>
          <t>10000</t>
        </is>
      </c>
      <c r="H995" s="2" t="inlineStr">
        <is>
          <t>Retain unique variant; no equivalent operating card selected</t>
        </is>
      </c>
    </row>
    <row r="996">
      <c r="A996" s="2" t="inlineStr">
        <is>
          <t>L107</t>
        </is>
      </c>
      <c r="B996" s="2" t="inlineStr">
        <is>
          <t>Sugar Balls</t>
        </is>
      </c>
      <c r="C996" s="2" t="inlineStr">
        <is>
          <t>S046</t>
        </is>
      </c>
      <c r="D996" s="2" t="inlineStr">
        <is>
          <t>'Sugar Balls'!C6,D6</t>
        </is>
      </c>
      <c r="E996" s="2" t="inlineStr">
        <is>
          <t>baking powder</t>
        </is>
      </c>
      <c r="F996" s="3" t="n">
        <v>120</v>
      </c>
      <c r="G996" s="2" t="inlineStr">
        <is>
          <t>120</t>
        </is>
      </c>
      <c r="H996" s="2" t="inlineStr">
        <is>
          <t>Retain unique variant; no equivalent operating card selected</t>
        </is>
      </c>
    </row>
    <row r="997">
      <c r="A997" s="2" t="inlineStr">
        <is>
          <t>L107</t>
        </is>
      </c>
      <c r="B997" s="2" t="inlineStr">
        <is>
          <t>Sugar Balls</t>
        </is>
      </c>
      <c r="C997" s="2" t="inlineStr">
        <is>
          <t>S046</t>
        </is>
      </c>
      <c r="D997" s="2" t="inlineStr">
        <is>
          <t>'Sugar Balls'!C7,D7</t>
        </is>
      </c>
      <c r="E997" s="2" t="inlineStr">
        <is>
          <t>sugar</t>
        </is>
      </c>
      <c r="F997" s="3" t="n">
        <v>1000</v>
      </c>
      <c r="G997" s="2" t="inlineStr">
        <is>
          <t>1000</t>
        </is>
      </c>
      <c r="H997" s="2" t="inlineStr">
        <is>
          <t>Retain unique variant; no equivalent operating card selected</t>
        </is>
      </c>
    </row>
    <row r="998">
      <c r="A998" s="2" t="inlineStr">
        <is>
          <t>L107</t>
        </is>
      </c>
      <c r="B998" s="2" t="inlineStr">
        <is>
          <t>Sugar Balls</t>
        </is>
      </c>
      <c r="C998" s="2" t="inlineStr">
        <is>
          <t>S046</t>
        </is>
      </c>
      <c r="D998" s="2" t="inlineStr">
        <is>
          <t>'Sugar Balls'!C8,D8</t>
        </is>
      </c>
      <c r="E998" s="2" t="inlineStr">
        <is>
          <t>Butter</t>
        </is>
      </c>
      <c r="F998" s="3" t="n">
        <v>1000</v>
      </c>
      <c r="G998" s="2" t="inlineStr">
        <is>
          <t>1000</t>
        </is>
      </c>
      <c r="H998" s="2" t="inlineStr">
        <is>
          <t>Retain unique variant; no equivalent operating card selected</t>
        </is>
      </c>
    </row>
    <row r="999">
      <c r="A999" s="2" t="inlineStr">
        <is>
          <t>L107</t>
        </is>
      </c>
      <c r="B999" s="2" t="inlineStr">
        <is>
          <t>Sugar Balls</t>
        </is>
      </c>
      <c r="C999" s="2" t="inlineStr">
        <is>
          <t>S046</t>
        </is>
      </c>
      <c r="D999" s="2" t="inlineStr">
        <is>
          <t>'Sugar Balls'!C9,D9</t>
        </is>
      </c>
      <c r="E999" s="2" t="inlineStr">
        <is>
          <t>salt</t>
        </is>
      </c>
      <c r="F999" s="3" t="n">
        <v>100</v>
      </c>
      <c r="G999" s="2" t="inlineStr">
        <is>
          <t>100</t>
        </is>
      </c>
      <c r="H999" s="2" t="inlineStr">
        <is>
          <t>Retain unique variant; no equivalent operating card selected</t>
        </is>
      </c>
    </row>
    <row r="1000">
      <c r="A1000" s="2" t="inlineStr">
        <is>
          <t>L107</t>
        </is>
      </c>
      <c r="B1000" s="2" t="inlineStr">
        <is>
          <t>Sugar Balls</t>
        </is>
      </c>
      <c r="C1000" s="2" t="inlineStr">
        <is>
          <t>S046</t>
        </is>
      </c>
      <c r="D1000" s="2" t="inlineStr">
        <is>
          <t>'Sugar Balls'!C10,D10</t>
        </is>
      </c>
      <c r="E1000" s="2" t="inlineStr">
        <is>
          <t>Cold Water</t>
        </is>
      </c>
      <c r="F1000" s="3" t="n">
        <v>2500</v>
      </c>
      <c r="G1000" s="2" t="inlineStr">
        <is>
          <t>2500</t>
        </is>
      </c>
      <c r="H1000" s="2" t="inlineStr">
        <is>
          <t>Retain unique variant; no equivalent operating card selected</t>
        </is>
      </c>
    </row>
    <row r="1001">
      <c r="A1001" s="2" t="inlineStr">
        <is>
          <t>L107</t>
        </is>
      </c>
      <c r="B1001" s="2" t="inlineStr">
        <is>
          <t>Sugar Balls</t>
        </is>
      </c>
      <c r="C1001" s="2" t="inlineStr">
        <is>
          <t>S046</t>
        </is>
      </c>
      <c r="D1001" s="2" t="inlineStr">
        <is>
          <t>'Sugar Balls'!C11,D11</t>
        </is>
      </c>
      <c r="E1001" s="2" t="inlineStr">
        <is>
          <t>Improver</t>
        </is>
      </c>
      <c r="F1001" s="3" t="n">
        <v>100</v>
      </c>
      <c r="G1001" s="2" t="inlineStr">
        <is>
          <t>100</t>
        </is>
      </c>
      <c r="H1001" s="2" t="inlineStr">
        <is>
          <t>Retain unique variant; no equivalent operating card selected</t>
        </is>
      </c>
    </row>
    <row r="1002">
      <c r="A1002" s="2" t="inlineStr">
        <is>
          <t>L107</t>
        </is>
      </c>
      <c r="B1002" s="2" t="inlineStr">
        <is>
          <t>Sugar Balls</t>
        </is>
      </c>
      <c r="C1002" s="2" t="inlineStr">
        <is>
          <t>S046</t>
        </is>
      </c>
      <c r="D1002" s="2" t="inlineStr">
        <is>
          <t>'Sugar Balls'!C12,D12</t>
        </is>
      </c>
      <c r="E1002" s="2" t="inlineStr">
        <is>
          <t>yeast</t>
        </is>
      </c>
      <c r="F1002" s="3" t="n">
        <v>140</v>
      </c>
      <c r="G1002" s="2" t="inlineStr">
        <is>
          <t>140</t>
        </is>
      </c>
      <c r="H1002" s="2" t="inlineStr">
        <is>
          <t>Retain unique variant; no equivalent operating card selected</t>
        </is>
      </c>
    </row>
    <row r="1003">
      <c r="A1003" s="2" t="inlineStr">
        <is>
          <t>L108</t>
        </is>
      </c>
      <c r="B1003" s="2" t="inlineStr">
        <is>
          <t>Sugar Balls</t>
        </is>
      </c>
      <c r="C1003" s="2" t="inlineStr">
        <is>
          <t>S046</t>
        </is>
      </c>
      <c r="D1003" s="2" t="inlineStr">
        <is>
          <t>'Sugar Balls'!C5,H5</t>
        </is>
      </c>
      <c r="E1003" s="2" t="inlineStr">
        <is>
          <t>flour</t>
        </is>
      </c>
      <c r="F1003" s="3" t="n">
        <v>50000</v>
      </c>
      <c r="G1003" s="2" t="inlineStr">
        <is>
          <t>=D5*5 [cached: 50000]</t>
        </is>
      </c>
      <c r="H1003" s="2" t="inlineStr">
        <is>
          <t>Retain unique variant; no equivalent operating card selected</t>
        </is>
      </c>
    </row>
    <row r="1004">
      <c r="A1004" s="2" t="inlineStr">
        <is>
          <t>L108</t>
        </is>
      </c>
      <c r="B1004" s="2" t="inlineStr">
        <is>
          <t>Sugar Balls</t>
        </is>
      </c>
      <c r="C1004" s="2" t="inlineStr">
        <is>
          <t>S046</t>
        </is>
      </c>
      <c r="D1004" s="2" t="inlineStr">
        <is>
          <t>'Sugar Balls'!C6,H6</t>
        </is>
      </c>
      <c r="E1004" s="2" t="inlineStr">
        <is>
          <t>baking powder</t>
        </is>
      </c>
      <c r="F1004" s="3" t="n">
        <v>600</v>
      </c>
      <c r="G1004" s="2" t="inlineStr">
        <is>
          <t>=D6*5 [cached: 600]</t>
        </is>
      </c>
      <c r="H1004" s="2" t="inlineStr">
        <is>
          <t>Retain unique variant; no equivalent operating card selected</t>
        </is>
      </c>
    </row>
    <row r="1005">
      <c r="A1005" s="2" t="inlineStr">
        <is>
          <t>L108</t>
        </is>
      </c>
      <c r="B1005" s="2" t="inlineStr">
        <is>
          <t>Sugar Balls</t>
        </is>
      </c>
      <c r="C1005" s="2" t="inlineStr">
        <is>
          <t>S046</t>
        </is>
      </c>
      <c r="D1005" s="2" t="inlineStr">
        <is>
          <t>'Sugar Balls'!C7,H7</t>
        </is>
      </c>
      <c r="E1005" s="2" t="inlineStr">
        <is>
          <t>sugar</t>
        </is>
      </c>
      <c r="F1005" s="3" t="n">
        <v>5000</v>
      </c>
      <c r="G1005" s="2" t="inlineStr">
        <is>
          <t>=D7*5 [cached: 5000]</t>
        </is>
      </c>
      <c r="H1005" s="2" t="inlineStr">
        <is>
          <t>Retain unique variant; no equivalent operating card selected</t>
        </is>
      </c>
    </row>
    <row r="1006">
      <c r="A1006" s="2" t="inlineStr">
        <is>
          <t>L108</t>
        </is>
      </c>
      <c r="B1006" s="2" t="inlineStr">
        <is>
          <t>Sugar Balls</t>
        </is>
      </c>
      <c r="C1006" s="2" t="inlineStr">
        <is>
          <t>S046</t>
        </is>
      </c>
      <c r="D1006" s="2" t="inlineStr">
        <is>
          <t>'Sugar Balls'!C8,H8</t>
        </is>
      </c>
      <c r="E1006" s="2" t="inlineStr">
        <is>
          <t>Butter</t>
        </is>
      </c>
      <c r="F1006" s="3" t="n">
        <v>5000</v>
      </c>
      <c r="G1006" s="2" t="inlineStr">
        <is>
          <t>=D8*5 [cached: 5000]</t>
        </is>
      </c>
      <c r="H1006" s="2" t="inlineStr">
        <is>
          <t>Retain unique variant; no equivalent operating card selected</t>
        </is>
      </c>
    </row>
    <row r="1007">
      <c r="A1007" s="2" t="inlineStr">
        <is>
          <t>L108</t>
        </is>
      </c>
      <c r="B1007" s="2" t="inlineStr">
        <is>
          <t>Sugar Balls</t>
        </is>
      </c>
      <c r="C1007" s="2" t="inlineStr">
        <is>
          <t>S046</t>
        </is>
      </c>
      <c r="D1007" s="2" t="inlineStr">
        <is>
          <t>'Sugar Balls'!C9,H9</t>
        </is>
      </c>
      <c r="E1007" s="2" t="inlineStr">
        <is>
          <t>salt</t>
        </is>
      </c>
      <c r="F1007" s="3" t="n">
        <v>500</v>
      </c>
      <c r="G1007" s="2" t="inlineStr">
        <is>
          <t>=D9*5 [cached: 500]</t>
        </is>
      </c>
      <c r="H1007" s="2" t="inlineStr">
        <is>
          <t>Retain unique variant; no equivalent operating card selected</t>
        </is>
      </c>
    </row>
    <row r="1008">
      <c r="A1008" s="2" t="inlineStr">
        <is>
          <t>L108</t>
        </is>
      </c>
      <c r="B1008" s="2" t="inlineStr">
        <is>
          <t>Sugar Balls</t>
        </is>
      </c>
      <c r="C1008" s="2" t="inlineStr">
        <is>
          <t>S046</t>
        </is>
      </c>
      <c r="D1008" s="2" t="inlineStr">
        <is>
          <t>'Sugar Balls'!C10,H10</t>
        </is>
      </c>
      <c r="E1008" s="2" t="inlineStr">
        <is>
          <t>Cold Water</t>
        </is>
      </c>
      <c r="F1008" s="3" t="n">
        <v>12500</v>
      </c>
      <c r="G1008" s="2" t="inlineStr">
        <is>
          <t>=D10*5 [cached: 12500]</t>
        </is>
      </c>
      <c r="H1008" s="2" t="inlineStr">
        <is>
          <t>Retain unique variant; no equivalent operating card selected</t>
        </is>
      </c>
    </row>
    <row r="1009">
      <c r="A1009" s="2" t="inlineStr">
        <is>
          <t>L108</t>
        </is>
      </c>
      <c r="B1009" s="2" t="inlineStr">
        <is>
          <t>Sugar Balls</t>
        </is>
      </c>
      <c r="C1009" s="2" t="inlineStr">
        <is>
          <t>S046</t>
        </is>
      </c>
      <c r="D1009" s="2" t="inlineStr">
        <is>
          <t>'Sugar Balls'!C11,H11</t>
        </is>
      </c>
      <c r="E1009" s="2" t="inlineStr">
        <is>
          <t>Improver</t>
        </is>
      </c>
      <c r="F1009" s="3" t="n">
        <v>500</v>
      </c>
      <c r="G1009" s="2" t="inlineStr">
        <is>
          <t>=D11*5 [cached: 500]</t>
        </is>
      </c>
      <c r="H1009" s="2" t="inlineStr">
        <is>
          <t>Retain unique variant; no equivalent operating card selected</t>
        </is>
      </c>
    </row>
    <row r="1010">
      <c r="A1010" s="2" t="inlineStr">
        <is>
          <t>L108</t>
        </is>
      </c>
      <c r="B1010" s="2" t="inlineStr">
        <is>
          <t>Sugar Balls</t>
        </is>
      </c>
      <c r="C1010" s="2" t="inlineStr">
        <is>
          <t>S046</t>
        </is>
      </c>
      <c r="D1010" s="2" t="inlineStr">
        <is>
          <t>'Sugar Balls'!C12,H12</t>
        </is>
      </c>
      <c r="E1010" s="2" t="inlineStr">
        <is>
          <t>yeast</t>
        </is>
      </c>
      <c r="F1010" s="3" t="n">
        <v>233.8</v>
      </c>
      <c r="G1010" s="2" t="inlineStr">
        <is>
          <t>=D12*1.67 [cached: 233.8]</t>
        </is>
      </c>
      <c r="H1010" s="2" t="inlineStr">
        <is>
          <t>Retain unique variant; no equivalent operating card selected</t>
        </is>
      </c>
    </row>
    <row r="1011">
      <c r="A1011" s="2" t="inlineStr">
        <is>
          <t>L109</t>
        </is>
      </c>
      <c r="B1011" s="2" t="inlineStr">
        <is>
          <t>YUMMY BREAD</t>
        </is>
      </c>
      <c r="C1011" s="2" t="inlineStr">
        <is>
          <t>S046</t>
        </is>
      </c>
      <c r="D1011" s="2" t="inlineStr">
        <is>
          <t>'YUMMY BREAD'!C5,D5</t>
        </is>
      </c>
      <c r="E1011" s="2" t="inlineStr">
        <is>
          <t>flour</t>
        </is>
      </c>
      <c r="F1011" s="3" t="n">
        <v>15000</v>
      </c>
      <c r="G1011" s="2" t="inlineStr">
        <is>
          <t>15000</t>
        </is>
      </c>
      <c r="H1011" s="2" t="inlineStr">
        <is>
          <t>M1-B01–B13</t>
        </is>
      </c>
    </row>
    <row r="1012">
      <c r="A1012" s="2" t="inlineStr">
        <is>
          <t>L109</t>
        </is>
      </c>
      <c r="B1012" s="2" t="inlineStr">
        <is>
          <t>YUMMY BREAD</t>
        </is>
      </c>
      <c r="C1012" s="2" t="inlineStr">
        <is>
          <t>S046</t>
        </is>
      </c>
      <c r="D1012" s="2" t="inlineStr">
        <is>
          <t>'YUMMY BREAD'!C6,D6</t>
        </is>
      </c>
      <c r="E1012" s="2" t="inlineStr">
        <is>
          <t>Butter</t>
        </is>
      </c>
      <c r="F1012" s="3" t="n">
        <v>1500</v>
      </c>
      <c r="G1012" s="2" t="inlineStr">
        <is>
          <t>1500</t>
        </is>
      </c>
      <c r="H1012" s="2" t="inlineStr">
        <is>
          <t>M1-B01–B13</t>
        </is>
      </c>
    </row>
    <row r="1013">
      <c r="A1013" s="2" t="inlineStr">
        <is>
          <t>L109</t>
        </is>
      </c>
      <c r="B1013" s="2" t="inlineStr">
        <is>
          <t>YUMMY BREAD</t>
        </is>
      </c>
      <c r="C1013" s="2" t="inlineStr">
        <is>
          <t>S046</t>
        </is>
      </c>
      <c r="D1013" s="2" t="inlineStr">
        <is>
          <t>'YUMMY BREAD'!C7,D7</t>
        </is>
      </c>
      <c r="E1013" s="2" t="inlineStr">
        <is>
          <t>sugar</t>
        </is>
      </c>
      <c r="F1013" s="3" t="n">
        <v>1500</v>
      </c>
      <c r="G1013" s="2" t="inlineStr">
        <is>
          <t>1500</t>
        </is>
      </c>
      <c r="H1013" s="2" t="inlineStr">
        <is>
          <t>M1-B01–B13</t>
        </is>
      </c>
    </row>
    <row r="1014">
      <c r="A1014" s="2" t="inlineStr">
        <is>
          <t>L109</t>
        </is>
      </c>
      <c r="B1014" s="2" t="inlineStr">
        <is>
          <t>YUMMY BREAD</t>
        </is>
      </c>
      <c r="C1014" s="2" t="inlineStr">
        <is>
          <t>S046</t>
        </is>
      </c>
      <c r="D1014" s="2" t="inlineStr">
        <is>
          <t>'YUMMY BREAD'!C8,D8</t>
        </is>
      </c>
      <c r="E1014" s="2" t="inlineStr">
        <is>
          <t>Milk</t>
        </is>
      </c>
      <c r="F1014" s="3" t="n">
        <v>800</v>
      </c>
      <c r="G1014" s="2" t="inlineStr">
        <is>
          <t>800</t>
        </is>
      </c>
      <c r="H1014" s="2" t="inlineStr">
        <is>
          <t>M1-B01–B13</t>
        </is>
      </c>
    </row>
    <row r="1015">
      <c r="A1015" s="2" t="inlineStr">
        <is>
          <t>L109</t>
        </is>
      </c>
      <c r="B1015" s="2" t="inlineStr">
        <is>
          <t>YUMMY BREAD</t>
        </is>
      </c>
      <c r="C1015" s="2" t="inlineStr">
        <is>
          <t>S046</t>
        </is>
      </c>
      <c r="D1015" s="2" t="inlineStr">
        <is>
          <t>'YUMMY BREAD'!C9,D9</t>
        </is>
      </c>
      <c r="E1015" s="2" t="inlineStr">
        <is>
          <t>egg</t>
        </is>
      </c>
      <c r="F1015" s="3" t="n">
        <v>750</v>
      </c>
      <c r="G1015" s="2" t="inlineStr">
        <is>
          <t>750</t>
        </is>
      </c>
      <c r="H1015" s="2" t="inlineStr">
        <is>
          <t>M1-B01–B13</t>
        </is>
      </c>
    </row>
    <row r="1016">
      <c r="A1016" s="2" t="inlineStr">
        <is>
          <t>L109</t>
        </is>
      </c>
      <c r="B1016" s="2" t="inlineStr">
        <is>
          <t>YUMMY BREAD</t>
        </is>
      </c>
      <c r="C1016" s="2" t="inlineStr">
        <is>
          <t>S046</t>
        </is>
      </c>
      <c r="D1016" s="2" t="inlineStr">
        <is>
          <t>'YUMMY BREAD'!C10,D10</t>
        </is>
      </c>
      <c r="E1016" s="2" t="inlineStr">
        <is>
          <t>salt</t>
        </is>
      </c>
      <c r="F1016" s="3" t="n">
        <v>120</v>
      </c>
      <c r="G1016" s="2" t="inlineStr">
        <is>
          <t>120</t>
        </is>
      </c>
      <c r="H1016" s="2" t="inlineStr">
        <is>
          <t>M1-B01–B13</t>
        </is>
      </c>
    </row>
    <row r="1017">
      <c r="A1017" s="2" t="inlineStr">
        <is>
          <t>L109</t>
        </is>
      </c>
      <c r="B1017" s="2" t="inlineStr">
        <is>
          <t>YUMMY BREAD</t>
        </is>
      </c>
      <c r="C1017" s="2" t="inlineStr">
        <is>
          <t>S046</t>
        </is>
      </c>
      <c r="D1017" s="2" t="inlineStr">
        <is>
          <t>'YUMMY BREAD'!C11,D11</t>
        </is>
      </c>
      <c r="E1017" s="2" t="inlineStr">
        <is>
          <t>improver</t>
        </is>
      </c>
      <c r="F1017" s="3" t="n">
        <v>120</v>
      </c>
      <c r="G1017" s="2" t="inlineStr">
        <is>
          <t>120</t>
        </is>
      </c>
      <c r="H1017" s="2" t="inlineStr">
        <is>
          <t>M1-B01–B13</t>
        </is>
      </c>
    </row>
    <row r="1018">
      <c r="A1018" s="2" t="inlineStr">
        <is>
          <t>L109</t>
        </is>
      </c>
      <c r="B1018" s="2" t="inlineStr">
        <is>
          <t>YUMMY BREAD</t>
        </is>
      </c>
      <c r="C1018" s="2" t="inlineStr">
        <is>
          <t>S046</t>
        </is>
      </c>
      <c r="D1018" s="2" t="inlineStr">
        <is>
          <t>'YUMMY BREAD'!C12,D12</t>
        </is>
      </c>
      <c r="E1018" s="2" t="inlineStr">
        <is>
          <t>yeast</t>
        </is>
      </c>
      <c r="F1018" s="3" t="n">
        <v>160</v>
      </c>
      <c r="G1018" s="2" t="inlineStr">
        <is>
          <t>160</t>
        </is>
      </c>
      <c r="H1018" s="2" t="inlineStr">
        <is>
          <t>M1-B01–B13</t>
        </is>
      </c>
    </row>
    <row r="1019">
      <c r="A1019" s="2" t="inlineStr">
        <is>
          <t>L109</t>
        </is>
      </c>
      <c r="B1019" s="2" t="inlineStr">
        <is>
          <t>YUMMY BREAD</t>
        </is>
      </c>
      <c r="C1019" s="2" t="inlineStr">
        <is>
          <t>S046</t>
        </is>
      </c>
      <c r="D1019" s="2" t="inlineStr">
        <is>
          <t>'YUMMY BREAD'!C13,D13</t>
        </is>
      </c>
      <c r="E1019" s="2" t="inlineStr">
        <is>
          <t>water</t>
        </is>
      </c>
      <c r="F1019" s="3" t="n">
        <v>3600</v>
      </c>
      <c r="G1019" s="2" t="inlineStr">
        <is>
          <t>3600</t>
        </is>
      </c>
      <c r="H1019" s="2" t="inlineStr">
        <is>
          <t>M1-B01–B13</t>
        </is>
      </c>
    </row>
    <row r="1020">
      <c r="A1020" s="2" t="inlineStr">
        <is>
          <t>L109</t>
        </is>
      </c>
      <c r="B1020" s="2" t="inlineStr">
        <is>
          <t>YUMMY BREAD</t>
        </is>
      </c>
      <c r="C1020" s="2" t="inlineStr">
        <is>
          <t>S046</t>
        </is>
      </c>
      <c r="D1020" s="2" t="inlineStr">
        <is>
          <t>'YUMMY BREAD'!C14,D14</t>
        </is>
      </c>
      <c r="E1020" s="2" t="inlineStr">
        <is>
          <t>Oil</t>
        </is>
      </c>
      <c r="F1020" s="3" t="n">
        <v>300</v>
      </c>
      <c r="G1020" s="2" t="inlineStr">
        <is>
          <t>300</t>
        </is>
      </c>
      <c r="H1020" s="2" t="inlineStr">
        <is>
          <t>M1-B01–B13</t>
        </is>
      </c>
    </row>
    <row r="1021">
      <c r="A1021" s="2" t="inlineStr">
        <is>
          <t>L109</t>
        </is>
      </c>
      <c r="B1021" s="2" t="inlineStr">
        <is>
          <t>YUMMY BREAD</t>
        </is>
      </c>
      <c r="C1021" s="2" t="inlineStr">
        <is>
          <t>S046</t>
        </is>
      </c>
      <c r="D1021" s="2" t="inlineStr">
        <is>
          <t>'YUMMY BREAD'!C15,D15</t>
        </is>
      </c>
      <c r="E1021" s="2" t="inlineStr">
        <is>
          <t>EDC</t>
        </is>
      </c>
      <c r="F1021" s="3" t="n">
        <v>50</v>
      </c>
      <c r="G1021" s="2" t="inlineStr">
        <is>
          <t>50</t>
        </is>
      </c>
      <c r="H1021" s="2" t="inlineStr">
        <is>
          <t>M1-B01–B13</t>
        </is>
      </c>
    </row>
    <row r="1022">
      <c r="A1022" s="2" t="inlineStr">
        <is>
          <t>L110</t>
        </is>
      </c>
      <c r="B1022" s="2" t="inlineStr">
        <is>
          <t>YUMMY YOGHOURT (YUYO)</t>
        </is>
      </c>
      <c r="C1022" s="2" t="inlineStr">
        <is>
          <t>S046</t>
        </is>
      </c>
      <c r="D1022" s="2" t="inlineStr">
        <is>
          <t>'YUMMY YOGHOURT (YUYO)'!C5,D5</t>
        </is>
      </c>
      <c r="E1022" s="2" t="inlineStr">
        <is>
          <t>Milk</t>
        </is>
      </c>
      <c r="F1022" s="3" t="n">
        <v>1500</v>
      </c>
      <c r="G1022" s="2" t="inlineStr">
        <is>
          <t>1500</t>
        </is>
      </c>
      <c r="H1022" s="2" t="inlineStr">
        <is>
          <t>S-Y01–S-Y03</t>
        </is>
      </c>
    </row>
    <row r="1023">
      <c r="A1023" s="2" t="inlineStr">
        <is>
          <t>L110</t>
        </is>
      </c>
      <c r="B1023" s="2" t="inlineStr">
        <is>
          <t>YUMMY YOGHOURT (YUYO)</t>
        </is>
      </c>
      <c r="C1023" s="2" t="inlineStr">
        <is>
          <t>S046</t>
        </is>
      </c>
      <c r="D1023" s="2" t="inlineStr">
        <is>
          <t>'YUMMY YOGHOURT (YUYO)'!C6,D6</t>
        </is>
      </c>
      <c r="E1023" s="2" t="inlineStr">
        <is>
          <t>sugar</t>
        </is>
      </c>
      <c r="F1023" s="3" t="n">
        <v>900</v>
      </c>
      <c r="G1023" s="2" t="inlineStr">
        <is>
          <t>900</t>
        </is>
      </c>
      <c r="H1023" s="2" t="inlineStr">
        <is>
          <t>S-Y01–S-Y03</t>
        </is>
      </c>
    </row>
    <row r="1024">
      <c r="A1024" s="2" t="inlineStr">
        <is>
          <t>L110</t>
        </is>
      </c>
      <c r="B1024" s="2" t="inlineStr">
        <is>
          <t>YUMMY YOGHOURT (YUYO)</t>
        </is>
      </c>
      <c r="C1024" s="2" t="inlineStr">
        <is>
          <t>S046</t>
        </is>
      </c>
      <c r="D1024" s="2" t="inlineStr">
        <is>
          <t>'YUMMY YOGHOURT (YUYO)'!C7,D7</t>
        </is>
      </c>
      <c r="E1024" s="2" t="inlineStr">
        <is>
          <t>Cold Water</t>
        </is>
      </c>
      <c r="F1024" s="3" t="n">
        <v>8000</v>
      </c>
      <c r="G1024" s="2" t="inlineStr">
        <is>
          <t>8000</t>
        </is>
      </c>
      <c r="H1024" s="2" t="inlineStr">
        <is>
          <t>S-Y01–S-Y03</t>
        </is>
      </c>
    </row>
    <row r="1025">
      <c r="A1025" s="2" t="inlineStr">
        <is>
          <t>L110</t>
        </is>
      </c>
      <c r="B1025" s="2" t="inlineStr">
        <is>
          <t>YUMMY YOGHOURT (YUYO)</t>
        </is>
      </c>
      <c r="C1025" s="2" t="inlineStr">
        <is>
          <t>S046</t>
        </is>
      </c>
      <c r="D1025" s="2" t="inlineStr">
        <is>
          <t>'YUMMY YOGHOURT (YUYO)'!C8,D8</t>
        </is>
      </c>
      <c r="E1025" s="2" t="inlineStr">
        <is>
          <t>stock yoghort</t>
        </is>
      </c>
      <c r="F1025" s="3" t="n">
        <v>600</v>
      </c>
      <c r="G1025" s="2" t="inlineStr">
        <is>
          <t>600</t>
        </is>
      </c>
      <c r="H1025" s="2" t="inlineStr">
        <is>
          <t>S-Y01–S-Y03</t>
        </is>
      </c>
    </row>
    <row r="1026">
      <c r="A1026" s="2" t="inlineStr">
        <is>
          <t>L110</t>
        </is>
      </c>
      <c r="B1026" s="2" t="inlineStr">
        <is>
          <t>YUMMY YOGHOURT (YUYO)</t>
        </is>
      </c>
      <c r="C1026" s="2" t="inlineStr">
        <is>
          <t>S046</t>
        </is>
      </c>
      <c r="D1026" s="2" t="inlineStr">
        <is>
          <t>'YUMMY YOGHOURT (YUYO)'!C9,D9</t>
        </is>
      </c>
      <c r="E1026" s="2" t="inlineStr">
        <is>
          <t>vanilla</t>
        </is>
      </c>
      <c r="F1026" s="3" t="n">
        <v>20</v>
      </c>
      <c r="G1026" s="2" t="inlineStr">
        <is>
          <t>20</t>
        </is>
      </c>
      <c r="H1026" s="2" t="inlineStr">
        <is>
          <t>S-Y01–S-Y03</t>
        </is>
      </c>
    </row>
    <row r="1027">
      <c r="A1027" s="2" t="inlineStr">
        <is>
          <t>L111</t>
        </is>
      </c>
      <c r="B1027" s="2" t="inlineStr">
        <is>
          <t>YUMMY YOGHOURT (YUYO)</t>
        </is>
      </c>
      <c r="C1027" s="2" t="inlineStr">
        <is>
          <t>S046</t>
        </is>
      </c>
      <c r="D1027" s="2" t="inlineStr">
        <is>
          <t>'YUMMY YOGHOURT (YUYO)'!C5,H5</t>
        </is>
      </c>
      <c r="E1027" s="2" t="inlineStr">
        <is>
          <t>Milk</t>
        </is>
      </c>
      <c r="F1027" s="3" t="n">
        <v>7500</v>
      </c>
      <c r="G1027" s="2" t="inlineStr">
        <is>
          <t>=D5*5 [cached: 7500]</t>
        </is>
      </c>
      <c r="H1027" s="2" t="inlineStr">
        <is>
          <t>S-Y01–S-Y03</t>
        </is>
      </c>
    </row>
    <row r="1028">
      <c r="A1028" s="2" t="inlineStr">
        <is>
          <t>L111</t>
        </is>
      </c>
      <c r="B1028" s="2" t="inlineStr">
        <is>
          <t>YUMMY YOGHOURT (YUYO)</t>
        </is>
      </c>
      <c r="C1028" s="2" t="inlineStr">
        <is>
          <t>S046</t>
        </is>
      </c>
      <c r="D1028" s="2" t="inlineStr">
        <is>
          <t>'YUMMY YOGHOURT (YUYO)'!C6,H6</t>
        </is>
      </c>
      <c r="E1028" s="2" t="inlineStr">
        <is>
          <t>sugar</t>
        </is>
      </c>
      <c r="F1028" s="3" t="n">
        <v>4500</v>
      </c>
      <c r="G1028" s="2" t="inlineStr">
        <is>
          <t>=D6*5 [cached: 4500]</t>
        </is>
      </c>
      <c r="H1028" s="2" t="inlineStr">
        <is>
          <t>S-Y01–S-Y03</t>
        </is>
      </c>
    </row>
    <row r="1029">
      <c r="A1029" s="2" t="inlineStr">
        <is>
          <t>L111</t>
        </is>
      </c>
      <c r="B1029" s="2" t="inlineStr">
        <is>
          <t>YUMMY YOGHOURT (YUYO)</t>
        </is>
      </c>
      <c r="C1029" s="2" t="inlineStr">
        <is>
          <t>S046</t>
        </is>
      </c>
      <c r="D1029" s="2" t="inlineStr">
        <is>
          <t>'YUMMY YOGHOURT (YUYO)'!C7,H7</t>
        </is>
      </c>
      <c r="E1029" s="2" t="inlineStr">
        <is>
          <t>Cold Water</t>
        </is>
      </c>
      <c r="F1029" s="3" t="n">
        <v>40000</v>
      </c>
      <c r="G1029" s="2" t="inlineStr">
        <is>
          <t>=D7*5 [cached: 40000]</t>
        </is>
      </c>
      <c r="H1029" s="2" t="inlineStr">
        <is>
          <t>S-Y01–S-Y03</t>
        </is>
      </c>
    </row>
    <row r="1030">
      <c r="A1030" s="2" t="inlineStr">
        <is>
          <t>L111</t>
        </is>
      </c>
      <c r="B1030" s="2" t="inlineStr">
        <is>
          <t>YUMMY YOGHOURT (YUYO)</t>
        </is>
      </c>
      <c r="C1030" s="2" t="inlineStr">
        <is>
          <t>S046</t>
        </is>
      </c>
      <c r="D1030" s="2" t="inlineStr">
        <is>
          <t>'YUMMY YOGHOURT (YUYO)'!C9,H9</t>
        </is>
      </c>
      <c r="E1030" s="2" t="inlineStr">
        <is>
          <t>vanilla</t>
        </is>
      </c>
      <c r="F1030" s="3" t="n">
        <v>33.4</v>
      </c>
      <c r="G1030" s="2" t="inlineStr">
        <is>
          <t>=D9*1.67 [cached: 33.4]</t>
        </is>
      </c>
      <c r="H1030" s="2" t="inlineStr">
        <is>
          <t>S-Y01–S-Y03</t>
        </is>
      </c>
    </row>
    <row r="1031">
      <c r="A1031" s="2" t="inlineStr">
        <is>
          <t>L112</t>
        </is>
      </c>
      <c r="B1031" s="2" t="inlineStr">
        <is>
          <t>YUMMY YOGHOURT (YUYO)</t>
        </is>
      </c>
      <c r="C1031" s="2" t="inlineStr">
        <is>
          <t>S046</t>
        </is>
      </c>
      <c r="D1031" s="2" t="inlineStr">
        <is>
          <t>'YUMMY YOGHOURT (YUYO)'!C5,L5</t>
        </is>
      </c>
      <c r="E1031" s="2" t="inlineStr">
        <is>
          <t>Milk</t>
        </is>
      </c>
      <c r="F1031" s="3" t="n">
        <v>2500.0000005</v>
      </c>
      <c r="G1031" s="2" t="inlineStr">
        <is>
          <t>=F5/10 [cached: 2500.0000005]</t>
        </is>
      </c>
      <c r="H1031" s="2" t="inlineStr">
        <is>
          <t>S-Y01–S-Y03</t>
        </is>
      </c>
    </row>
    <row r="1032">
      <c r="A1032" s="2" t="inlineStr">
        <is>
          <t>L112</t>
        </is>
      </c>
      <c r="B1032" s="2" t="inlineStr">
        <is>
          <t>YUMMY YOGHOURT (YUYO)</t>
        </is>
      </c>
      <c r="C1032" s="2" t="inlineStr">
        <is>
          <t>S046</t>
        </is>
      </c>
      <c r="D1032" s="2" t="inlineStr">
        <is>
          <t>'YUMMY YOGHOURT (YUYO)'!C6,L6</t>
        </is>
      </c>
      <c r="E1032" s="2" t="inlineStr">
        <is>
          <t>sugar</t>
        </is>
      </c>
      <c r="F1032" s="3" t="n">
        <v>1500.0000003</v>
      </c>
      <c r="G1032" s="2" t="inlineStr">
        <is>
          <t>=F6/10 [cached: 1500.0000003]</t>
        </is>
      </c>
      <c r="H1032" s="2" t="inlineStr">
        <is>
          <t>S-Y01–S-Y03</t>
        </is>
      </c>
    </row>
    <row r="1033">
      <c r="A1033" s="2" t="inlineStr">
        <is>
          <t>L112</t>
        </is>
      </c>
      <c r="B1033" s="2" t="inlineStr">
        <is>
          <t>YUMMY YOGHOURT (YUYO)</t>
        </is>
      </c>
      <c r="C1033" s="2" t="inlineStr">
        <is>
          <t>S046</t>
        </is>
      </c>
      <c r="D1033" s="2" t="inlineStr">
        <is>
          <t>'YUMMY YOGHOURT (YUYO)'!C7,L7</t>
        </is>
      </c>
      <c r="E1033" s="2" t="inlineStr">
        <is>
          <t>Cold Water</t>
        </is>
      </c>
      <c r="F1033" s="3" t="n">
        <v>13333.333336</v>
      </c>
      <c r="G1033" s="2" t="inlineStr">
        <is>
          <t>=F7/10 [cached: 13333.333336]</t>
        </is>
      </c>
      <c r="H1033" s="2" t="inlineStr">
        <is>
          <t>S-Y01–S-Y03</t>
        </is>
      </c>
    </row>
    <row r="1034">
      <c r="A1034" s="2" t="inlineStr">
        <is>
          <t>L112</t>
        </is>
      </c>
      <c r="B1034" s="2" t="inlineStr">
        <is>
          <t>YUMMY YOGHOURT (YUYO)</t>
        </is>
      </c>
      <c r="C1034" s="2" t="inlineStr">
        <is>
          <t>S046</t>
        </is>
      </c>
      <c r="D1034" s="2" t="inlineStr">
        <is>
          <t>'YUMMY YOGHOURT (YUYO)'!C9,L9</t>
        </is>
      </c>
      <c r="E1034" s="2" t="inlineStr">
        <is>
          <t>vanilla</t>
        </is>
      </c>
      <c r="F1034" s="3" t="n">
        <v>33.33333334</v>
      </c>
      <c r="G1034" s="2" t="inlineStr">
        <is>
          <t>=F9/10 [cached: 33.33333334]</t>
        </is>
      </c>
      <c r="H1034" s="2" t="inlineStr">
        <is>
          <t>S-Y01–S-Y03</t>
        </is>
      </c>
    </row>
    <row r="1035">
      <c r="A1035" s="2" t="inlineStr">
        <is>
          <t>L113</t>
        </is>
      </c>
      <c r="B1035" s="2" t="inlineStr">
        <is>
          <t>brioche</t>
        </is>
      </c>
      <c r="C1035" s="2" t="inlineStr">
        <is>
          <t>S046</t>
        </is>
      </c>
      <c r="D1035" s="2" t="inlineStr">
        <is>
          <t>'brioche'!C5,D5</t>
        </is>
      </c>
      <c r="E1035" s="2" t="inlineStr">
        <is>
          <t>flour</t>
        </is>
      </c>
      <c r="F1035" s="3" t="n">
        <v>10000</v>
      </c>
      <c r="G1035" s="2" t="inlineStr">
        <is>
          <t>10000</t>
        </is>
      </c>
      <c r="H1035" s="2" t="inlineStr">
        <is>
          <t>S-B06; richer true-butter variant</t>
        </is>
      </c>
    </row>
    <row r="1036">
      <c r="A1036" s="2" t="inlineStr">
        <is>
          <t>L113</t>
        </is>
      </c>
      <c r="B1036" s="2" t="inlineStr">
        <is>
          <t>brioche</t>
        </is>
      </c>
      <c r="C1036" s="2" t="inlineStr">
        <is>
          <t>S046</t>
        </is>
      </c>
      <c r="D1036" s="2" t="inlineStr">
        <is>
          <t>'brioche'!C6,D6</t>
        </is>
      </c>
      <c r="E1036" s="2" t="inlineStr">
        <is>
          <t>Butter</t>
        </is>
      </c>
      <c r="F1036" s="3" t="n">
        <v>2500</v>
      </c>
      <c r="G1036" s="2" t="inlineStr">
        <is>
          <t>2500</t>
        </is>
      </c>
      <c r="H1036" s="2" t="inlineStr">
        <is>
          <t>S-B06; richer true-butter variant</t>
        </is>
      </c>
    </row>
    <row r="1037">
      <c r="A1037" s="2" t="inlineStr">
        <is>
          <t>L113</t>
        </is>
      </c>
      <c r="B1037" s="2" t="inlineStr">
        <is>
          <t>brioche</t>
        </is>
      </c>
      <c r="C1037" s="2" t="inlineStr">
        <is>
          <t>S046</t>
        </is>
      </c>
      <c r="D1037" s="2" t="inlineStr">
        <is>
          <t>'brioche'!C7,D7</t>
        </is>
      </c>
      <c r="E1037" s="2" t="inlineStr">
        <is>
          <t>sugar</t>
        </is>
      </c>
      <c r="F1037" s="3" t="n">
        <v>1500</v>
      </c>
      <c r="G1037" s="2" t="inlineStr">
        <is>
          <t>1500</t>
        </is>
      </c>
      <c r="H1037" s="2" t="inlineStr">
        <is>
          <t>S-B06; richer true-butter variant</t>
        </is>
      </c>
    </row>
    <row r="1038">
      <c r="A1038" s="2" t="inlineStr">
        <is>
          <t>L113</t>
        </is>
      </c>
      <c r="B1038" s="2" t="inlineStr">
        <is>
          <t>brioche</t>
        </is>
      </c>
      <c r="C1038" s="2" t="inlineStr">
        <is>
          <t>S046</t>
        </is>
      </c>
      <c r="D1038" s="2" t="inlineStr">
        <is>
          <t>'brioche'!C8,D8</t>
        </is>
      </c>
      <c r="E1038" s="2" t="inlineStr">
        <is>
          <t>Milk</t>
        </is>
      </c>
      <c r="F1038" s="3" t="n">
        <v>1000</v>
      </c>
      <c r="G1038" s="2" t="inlineStr">
        <is>
          <t>1000</t>
        </is>
      </c>
      <c r="H1038" s="2" t="inlineStr">
        <is>
          <t>S-B06; richer true-butter variant</t>
        </is>
      </c>
    </row>
    <row r="1039">
      <c r="A1039" s="2" t="inlineStr">
        <is>
          <t>L113</t>
        </is>
      </c>
      <c r="B1039" s="2" t="inlineStr">
        <is>
          <t>brioche</t>
        </is>
      </c>
      <c r="C1039" s="2" t="inlineStr">
        <is>
          <t>S046</t>
        </is>
      </c>
      <c r="D1039" s="2" t="inlineStr">
        <is>
          <t>'brioche'!C9,D9</t>
        </is>
      </c>
      <c r="E1039" s="2" t="inlineStr">
        <is>
          <t>egg</t>
        </is>
      </c>
      <c r="F1039" s="3" t="n">
        <v>600</v>
      </c>
      <c r="G1039" s="2" t="inlineStr">
        <is>
          <t>600</t>
        </is>
      </c>
      <c r="H1039" s="2" t="inlineStr">
        <is>
          <t>S-B06; richer true-butter variant</t>
        </is>
      </c>
    </row>
    <row r="1040">
      <c r="A1040" s="2" t="inlineStr">
        <is>
          <t>L113</t>
        </is>
      </c>
      <c r="B1040" s="2" t="inlineStr">
        <is>
          <t>brioche</t>
        </is>
      </c>
      <c r="C1040" s="2" t="inlineStr">
        <is>
          <t>S046</t>
        </is>
      </c>
      <c r="D1040" s="2" t="inlineStr">
        <is>
          <t>'brioche'!C10,D10</t>
        </is>
      </c>
      <c r="E1040" s="2" t="inlineStr">
        <is>
          <t>salt</t>
        </is>
      </c>
      <c r="F1040" s="3" t="n">
        <v>120</v>
      </c>
      <c r="G1040" s="2" t="inlineStr">
        <is>
          <t>120</t>
        </is>
      </c>
      <c r="H1040" s="2" t="inlineStr">
        <is>
          <t>S-B06; richer true-butter variant</t>
        </is>
      </c>
    </row>
    <row r="1041">
      <c r="A1041" s="2" t="inlineStr">
        <is>
          <t>L113</t>
        </is>
      </c>
      <c r="B1041" s="2" t="inlineStr">
        <is>
          <t>brioche</t>
        </is>
      </c>
      <c r="C1041" s="2" t="inlineStr">
        <is>
          <t>S046</t>
        </is>
      </c>
      <c r="D1041" s="2" t="inlineStr">
        <is>
          <t>'brioche'!C11,D11</t>
        </is>
      </c>
      <c r="E1041" s="2" t="inlineStr">
        <is>
          <t>improver</t>
        </is>
      </c>
      <c r="F1041" s="3" t="n">
        <v>100</v>
      </c>
      <c r="G1041" s="2" t="inlineStr">
        <is>
          <t>100</t>
        </is>
      </c>
      <c r="H1041" s="2" t="inlineStr">
        <is>
          <t>S-B06; richer true-butter variant</t>
        </is>
      </c>
    </row>
    <row r="1042">
      <c r="A1042" s="2" t="inlineStr">
        <is>
          <t>L113</t>
        </is>
      </c>
      <c r="B1042" s="2" t="inlineStr">
        <is>
          <t>brioche</t>
        </is>
      </c>
      <c r="C1042" s="2" t="inlineStr">
        <is>
          <t>S046</t>
        </is>
      </c>
      <c r="D1042" s="2" t="inlineStr">
        <is>
          <t>'brioche'!C12,D12</t>
        </is>
      </c>
      <c r="E1042" s="2" t="inlineStr">
        <is>
          <t>yeast</t>
        </is>
      </c>
      <c r="F1042" s="3" t="n">
        <v>150</v>
      </c>
      <c r="G1042" s="2" t="inlineStr">
        <is>
          <t>150</t>
        </is>
      </c>
      <c r="H1042" s="2" t="inlineStr">
        <is>
          <t>S-B06; richer true-butter variant</t>
        </is>
      </c>
    </row>
    <row r="1043">
      <c r="A1043" s="2" t="inlineStr">
        <is>
          <t>L113</t>
        </is>
      </c>
      <c r="B1043" s="2" t="inlineStr">
        <is>
          <t>brioche</t>
        </is>
      </c>
      <c r="C1043" s="2" t="inlineStr">
        <is>
          <t>S046</t>
        </is>
      </c>
      <c r="D1043" s="2" t="inlineStr">
        <is>
          <t>'brioche'!C13,D13</t>
        </is>
      </c>
      <c r="E1043" s="2" t="inlineStr">
        <is>
          <t>water</t>
        </is>
      </c>
      <c r="F1043" s="3" t="n">
        <v>2000</v>
      </c>
      <c r="G1043" s="2" t="inlineStr">
        <is>
          <t>2000</t>
        </is>
      </c>
      <c r="H1043" s="2" t="inlineStr">
        <is>
          <t>S-B06; richer true-butter variant</t>
        </is>
      </c>
    </row>
    <row r="1044">
      <c r="A1044" s="2" t="inlineStr">
        <is>
          <t>L113</t>
        </is>
      </c>
      <c r="B1044" s="2" t="inlineStr">
        <is>
          <t>brioche</t>
        </is>
      </c>
      <c r="C1044" s="2" t="inlineStr">
        <is>
          <t>S046</t>
        </is>
      </c>
      <c r="D1044" s="2" t="inlineStr">
        <is>
          <t>'brioche'!C14,D14</t>
        </is>
      </c>
      <c r="E1044" s="2" t="inlineStr">
        <is>
          <t>oil</t>
        </is>
      </c>
      <c r="F1044" s="3" t="n">
        <v>500</v>
      </c>
      <c r="G1044" s="2" t="inlineStr">
        <is>
          <t>500</t>
        </is>
      </c>
      <c r="H1044" s="2" t="inlineStr">
        <is>
          <t>S-B06; richer true-butter variant</t>
        </is>
      </c>
    </row>
    <row r="1045">
      <c r="A1045" s="2" t="inlineStr">
        <is>
          <t>L113</t>
        </is>
      </c>
      <c r="B1045" s="2" t="inlineStr">
        <is>
          <t>brioche</t>
        </is>
      </c>
      <c r="C1045" s="2" t="inlineStr">
        <is>
          <t>S046</t>
        </is>
      </c>
      <c r="D1045" s="2" t="inlineStr">
        <is>
          <t>'brioche'!C15,D15</t>
        </is>
      </c>
      <c r="E1045" s="2" t="inlineStr">
        <is>
          <t>Milk tantalizer</t>
        </is>
      </c>
      <c r="F1045" s="3" t="n">
        <v>15</v>
      </c>
      <c r="G1045" s="2" t="inlineStr">
        <is>
          <t>15</t>
        </is>
      </c>
      <c r="H1045" s="2" t="inlineStr">
        <is>
          <t>S-B06; richer true-butter variant</t>
        </is>
      </c>
    </row>
    <row r="1046">
      <c r="A1046" s="2" t="inlineStr">
        <is>
          <t>L113</t>
        </is>
      </c>
      <c r="B1046" s="2" t="inlineStr">
        <is>
          <t>brioche</t>
        </is>
      </c>
      <c r="C1046" s="2" t="inlineStr">
        <is>
          <t>S046</t>
        </is>
      </c>
      <c r="D1046" s="2" t="inlineStr">
        <is>
          <t>'brioche'!C16,D16</t>
        </is>
      </c>
      <c r="E1046" s="2" t="inlineStr">
        <is>
          <t>EDC</t>
        </is>
      </c>
      <c r="F1046" s="3" t="n">
        <v>25</v>
      </c>
      <c r="G1046" s="2" t="inlineStr">
        <is>
          <t>25</t>
        </is>
      </c>
      <c r="H1046" s="2" t="inlineStr">
        <is>
          <t>S-B06; richer true-butter variant</t>
        </is>
      </c>
    </row>
    <row r="1047">
      <c r="A1047" s="2" t="inlineStr">
        <is>
          <t>L114</t>
        </is>
      </c>
      <c r="B1047" s="2" t="inlineStr">
        <is>
          <t>doughnuts</t>
        </is>
      </c>
      <c r="C1047" s="2" t="inlineStr">
        <is>
          <t>S046</t>
        </is>
      </c>
      <c r="D1047" s="2" t="inlineStr">
        <is>
          <t>'doughnuts'!C5,D5</t>
        </is>
      </c>
      <c r="E1047" s="2" t="inlineStr">
        <is>
          <t>flour</t>
        </is>
      </c>
      <c r="F1047" s="3" t="n">
        <v>13000</v>
      </c>
      <c r="G1047" s="2" t="inlineStr">
        <is>
          <t>13000</t>
        </is>
      </c>
      <c r="H1047" s="2" t="inlineStr">
        <is>
          <t>T01 for cake / O-P04 for yeast</t>
        </is>
      </c>
    </row>
    <row r="1048">
      <c r="A1048" s="2" t="inlineStr">
        <is>
          <t>L114</t>
        </is>
      </c>
      <c r="B1048" s="2" t="inlineStr">
        <is>
          <t>doughnuts</t>
        </is>
      </c>
      <c r="C1048" s="2" t="inlineStr">
        <is>
          <t>S046</t>
        </is>
      </c>
      <c r="D1048" s="2" t="inlineStr">
        <is>
          <t>'doughnuts'!C6,D6</t>
        </is>
      </c>
      <c r="E1048" s="2" t="inlineStr">
        <is>
          <t>baking powder</t>
        </is>
      </c>
      <c r="F1048" s="3" t="n">
        <v>120</v>
      </c>
      <c r="G1048" s="2" t="inlineStr">
        <is>
          <t>120</t>
        </is>
      </c>
      <c r="H1048" s="2" t="inlineStr">
        <is>
          <t>T01 for cake / O-P04 for yeast</t>
        </is>
      </c>
    </row>
    <row r="1049">
      <c r="A1049" s="2" t="inlineStr">
        <is>
          <t>L114</t>
        </is>
      </c>
      <c r="B1049" s="2" t="inlineStr">
        <is>
          <t>doughnuts</t>
        </is>
      </c>
      <c r="C1049" s="2" t="inlineStr">
        <is>
          <t>S046</t>
        </is>
      </c>
      <c r="D1049" s="2" t="inlineStr">
        <is>
          <t>'doughnuts'!C7,D7</t>
        </is>
      </c>
      <c r="E1049" s="2" t="inlineStr">
        <is>
          <t>milk</t>
        </is>
      </c>
      <c r="F1049" s="3" t="n">
        <v>1000</v>
      </c>
      <c r="G1049" s="2" t="inlineStr">
        <is>
          <t>1000</t>
        </is>
      </c>
      <c r="H1049" s="2" t="inlineStr">
        <is>
          <t>T01 for cake / O-P04 for yeast</t>
        </is>
      </c>
    </row>
    <row r="1050">
      <c r="A1050" s="2" t="inlineStr">
        <is>
          <t>L114</t>
        </is>
      </c>
      <c r="B1050" s="2" t="inlineStr">
        <is>
          <t>doughnuts</t>
        </is>
      </c>
      <c r="C1050" s="2" t="inlineStr">
        <is>
          <t>S046</t>
        </is>
      </c>
      <c r="D1050" s="2" t="inlineStr">
        <is>
          <t>'doughnuts'!C8,D8</t>
        </is>
      </c>
      <c r="E1050" s="2" t="inlineStr">
        <is>
          <t>oil</t>
        </is>
      </c>
      <c r="F1050" s="3" t="n">
        <v>850</v>
      </c>
      <c r="G1050" s="2" t="inlineStr">
        <is>
          <t>850</t>
        </is>
      </c>
      <c r="H1050" s="2" t="inlineStr">
        <is>
          <t>T01 for cake / O-P04 for yeast</t>
        </is>
      </c>
    </row>
    <row r="1051">
      <c r="A1051" s="2" t="inlineStr">
        <is>
          <t>L114</t>
        </is>
      </c>
      <c r="B1051" s="2" t="inlineStr">
        <is>
          <t>doughnuts</t>
        </is>
      </c>
      <c r="C1051" s="2" t="inlineStr">
        <is>
          <t>S046</t>
        </is>
      </c>
      <c r="D1051" s="2" t="inlineStr">
        <is>
          <t>'doughnuts'!C9,D9</t>
        </is>
      </c>
      <c r="E1051" s="2" t="inlineStr">
        <is>
          <t>salt</t>
        </is>
      </c>
      <c r="F1051" s="3" t="n">
        <v>130</v>
      </c>
      <c r="G1051" s="2" t="inlineStr">
        <is>
          <t>130</t>
        </is>
      </c>
      <c r="H1051" s="2" t="inlineStr">
        <is>
          <t>T01 for cake / O-P04 for yeast</t>
        </is>
      </c>
    </row>
    <row r="1052">
      <c r="A1052" s="2" t="inlineStr">
        <is>
          <t>L114</t>
        </is>
      </c>
      <c r="B1052" s="2" t="inlineStr">
        <is>
          <t>doughnuts</t>
        </is>
      </c>
      <c r="C1052" s="2" t="inlineStr">
        <is>
          <t>S046</t>
        </is>
      </c>
      <c r="D1052" s="2" t="inlineStr">
        <is>
          <t>'doughnuts'!C10,D10</t>
        </is>
      </c>
      <c r="E1052" s="2" t="inlineStr">
        <is>
          <t>Improver</t>
        </is>
      </c>
      <c r="F1052" s="3" t="n">
        <v>120</v>
      </c>
      <c r="G1052" s="2" t="inlineStr">
        <is>
          <t>120</t>
        </is>
      </c>
      <c r="H1052" s="2" t="inlineStr">
        <is>
          <t>T01 for cake / O-P04 for yeast</t>
        </is>
      </c>
    </row>
    <row r="1053">
      <c r="A1053" s="2" t="inlineStr">
        <is>
          <t>L114</t>
        </is>
      </c>
      <c r="B1053" s="2" t="inlineStr">
        <is>
          <t>doughnuts</t>
        </is>
      </c>
      <c r="C1053" s="2" t="inlineStr">
        <is>
          <t>S046</t>
        </is>
      </c>
      <c r="D1053" s="2" t="inlineStr">
        <is>
          <t>'doughnuts'!C11,D11</t>
        </is>
      </c>
      <c r="E1053" s="2" t="inlineStr">
        <is>
          <t>water</t>
        </is>
      </c>
      <c r="F1053" s="3" t="n">
        <v>8000</v>
      </c>
      <c r="G1053" s="2" t="inlineStr">
        <is>
          <t>8000</t>
        </is>
      </c>
      <c r="H1053" s="2" t="inlineStr">
        <is>
          <t>T01 for cake / O-P04 for yeast</t>
        </is>
      </c>
    </row>
    <row r="1054">
      <c r="A1054" s="2" t="inlineStr">
        <is>
          <t>L114</t>
        </is>
      </c>
      <c r="B1054" s="2" t="inlineStr">
        <is>
          <t>doughnuts</t>
        </is>
      </c>
      <c r="C1054" s="2" t="inlineStr">
        <is>
          <t>S046</t>
        </is>
      </c>
      <c r="D1054" s="2" t="inlineStr">
        <is>
          <t>'doughnuts'!C12,D12</t>
        </is>
      </c>
      <c r="E1054" s="2" t="inlineStr">
        <is>
          <t>eggs</t>
        </is>
      </c>
      <c r="F1054" s="3" t="n">
        <v>1500</v>
      </c>
      <c r="G1054" s="2" t="inlineStr">
        <is>
          <t>1500</t>
        </is>
      </c>
      <c r="H1054" s="2" t="inlineStr">
        <is>
          <t>T01 for cake / O-P04 for yeast</t>
        </is>
      </c>
    </row>
    <row r="1055">
      <c r="A1055" s="2" t="inlineStr">
        <is>
          <t>L114</t>
        </is>
      </c>
      <c r="B1055" s="2" t="inlineStr">
        <is>
          <t>doughnuts</t>
        </is>
      </c>
      <c r="C1055" s="2" t="inlineStr">
        <is>
          <t>S046</t>
        </is>
      </c>
      <c r="D1055" s="2" t="inlineStr">
        <is>
          <t>'doughnuts'!C13,D13</t>
        </is>
      </c>
      <c r="E1055" s="2" t="inlineStr">
        <is>
          <t>oil</t>
        </is>
      </c>
      <c r="F1055" s="3" t="n">
        <v>8000</v>
      </c>
      <c r="G1055" s="2" t="inlineStr">
        <is>
          <t>8000</t>
        </is>
      </c>
      <c r="H1055" s="2" t="inlineStr">
        <is>
          <t>T01 for cake / O-P04 for yeast</t>
        </is>
      </c>
    </row>
    <row r="1056">
      <c r="A1056" s="2" t="inlineStr">
        <is>
          <t>L115</t>
        </is>
      </c>
      <c r="B1056" s="2" t="inlineStr">
        <is>
          <t>doughnuts</t>
        </is>
      </c>
      <c r="C1056" s="2" t="inlineStr">
        <is>
          <t>S046</t>
        </is>
      </c>
      <c r="D1056" s="2" t="inlineStr">
        <is>
          <t>'doughnuts'!C5,L5</t>
        </is>
      </c>
      <c r="E1056" s="2" t="inlineStr">
        <is>
          <t>flour</t>
        </is>
      </c>
      <c r="F1056" s="3" t="n">
        <v>4999.9989</v>
      </c>
      <c r="G1056" s="2" t="inlineStr">
        <is>
          <t>=F5/10 [cached: 4999.9989]</t>
        </is>
      </c>
      <c r="H1056" s="2" t="inlineStr">
        <is>
          <t>T01 for cake / O-P04 for yeast</t>
        </is>
      </c>
    </row>
    <row r="1057">
      <c r="A1057" s="2" t="inlineStr">
        <is>
          <t>L115</t>
        </is>
      </c>
      <c r="B1057" s="2" t="inlineStr">
        <is>
          <t>doughnuts</t>
        </is>
      </c>
      <c r="C1057" s="2" t="inlineStr">
        <is>
          <t>S046</t>
        </is>
      </c>
      <c r="D1057" s="2" t="inlineStr">
        <is>
          <t>'doughnuts'!C6,L6</t>
        </is>
      </c>
      <c r="E1057" s="2" t="inlineStr">
        <is>
          <t>baking powder</t>
        </is>
      </c>
      <c r="F1057" s="3" t="n">
        <v>46.153836</v>
      </c>
      <c r="G1057" s="2" t="inlineStr">
        <is>
          <t>=F6/10 [cached: 46.153836]</t>
        </is>
      </c>
      <c r="H1057" s="2" t="inlineStr">
        <is>
          <t>T01 for cake / O-P04 for yeast</t>
        </is>
      </c>
    </row>
    <row r="1058">
      <c r="A1058" s="2" t="inlineStr">
        <is>
          <t>L115</t>
        </is>
      </c>
      <c r="B1058" s="2" t="inlineStr">
        <is>
          <t>doughnuts</t>
        </is>
      </c>
      <c r="C1058" s="2" t="inlineStr">
        <is>
          <t>S046</t>
        </is>
      </c>
      <c r="D1058" s="2" t="inlineStr">
        <is>
          <t>'doughnuts'!C7,L7</t>
        </is>
      </c>
      <c r="E1058" s="2" t="inlineStr">
        <is>
          <t>milk</t>
        </is>
      </c>
      <c r="F1058" s="3" t="n">
        <v>384.6153</v>
      </c>
      <c r="G1058" s="2" t="inlineStr">
        <is>
          <t>=F7/10 [cached: 384.6153]</t>
        </is>
      </c>
      <c r="H1058" s="2" t="inlineStr">
        <is>
          <t>T01 for cake / O-P04 for yeast</t>
        </is>
      </c>
    </row>
    <row r="1059">
      <c r="A1059" s="2" t="inlineStr">
        <is>
          <t>L115</t>
        </is>
      </c>
      <c r="B1059" s="2" t="inlineStr">
        <is>
          <t>doughnuts</t>
        </is>
      </c>
      <c r="C1059" s="2" t="inlineStr">
        <is>
          <t>S046</t>
        </is>
      </c>
      <c r="D1059" s="2" t="inlineStr">
        <is>
          <t>'doughnuts'!C8,L8</t>
        </is>
      </c>
      <c r="E1059" s="2" t="inlineStr">
        <is>
          <t>oil</t>
        </is>
      </c>
      <c r="F1059" s="3" t="n">
        <v>326.923005</v>
      </c>
      <c r="G1059" s="2" t="inlineStr">
        <is>
          <t>=F8/10 [cached: 326.923005]</t>
        </is>
      </c>
      <c r="H1059" s="2" t="inlineStr">
        <is>
          <t>T01 for cake / O-P04 for yeast</t>
        </is>
      </c>
    </row>
    <row r="1060">
      <c r="A1060" s="2" t="inlineStr">
        <is>
          <t>L115</t>
        </is>
      </c>
      <c r="B1060" s="2" t="inlineStr">
        <is>
          <t>doughnuts</t>
        </is>
      </c>
      <c r="C1060" s="2" t="inlineStr">
        <is>
          <t>S046</t>
        </is>
      </c>
      <c r="D1060" s="2" t="inlineStr">
        <is>
          <t>'doughnuts'!C9,L9</t>
        </is>
      </c>
      <c r="E1060" s="2" t="inlineStr">
        <is>
          <t>salt</t>
        </is>
      </c>
      <c r="F1060" s="3" t="n">
        <v>49.999989</v>
      </c>
      <c r="G1060" s="2" t="inlineStr">
        <is>
          <t>=F9/10 [cached: 49.999989]</t>
        </is>
      </c>
      <c r="H1060" s="2" t="inlineStr">
        <is>
          <t>T01 for cake / O-P04 for yeast</t>
        </is>
      </c>
    </row>
    <row r="1061">
      <c r="A1061" s="2" t="inlineStr">
        <is>
          <t>L115</t>
        </is>
      </c>
      <c r="B1061" s="2" t="inlineStr">
        <is>
          <t>doughnuts</t>
        </is>
      </c>
      <c r="C1061" s="2" t="inlineStr">
        <is>
          <t>S046</t>
        </is>
      </c>
      <c r="D1061" s="2" t="inlineStr">
        <is>
          <t>'doughnuts'!C10,L10</t>
        </is>
      </c>
      <c r="E1061" s="2" t="inlineStr">
        <is>
          <t>Improver</t>
        </is>
      </c>
      <c r="F1061" s="3" t="n">
        <v>46.153836</v>
      </c>
      <c r="G1061" s="2" t="inlineStr">
        <is>
          <t>=F10/10 [cached: 46.153836]</t>
        </is>
      </c>
      <c r="H1061" s="2" t="inlineStr">
        <is>
          <t>T01 for cake / O-P04 for yeast</t>
        </is>
      </c>
    </row>
    <row r="1062">
      <c r="A1062" s="2" t="inlineStr">
        <is>
          <t>L115</t>
        </is>
      </c>
      <c r="B1062" s="2" t="inlineStr">
        <is>
          <t>doughnuts</t>
        </is>
      </c>
      <c r="C1062" s="2" t="inlineStr">
        <is>
          <t>S046</t>
        </is>
      </c>
      <c r="D1062" s="2" t="inlineStr">
        <is>
          <t>'doughnuts'!C11,L11</t>
        </is>
      </c>
      <c r="E1062" s="2" t="inlineStr">
        <is>
          <t>water</t>
        </is>
      </c>
      <c r="F1062" s="3" t="n">
        <v>1000</v>
      </c>
      <c r="G1062" s="2" t="inlineStr">
        <is>
          <t>1000</t>
        </is>
      </c>
      <c r="H1062" s="2" t="inlineStr">
        <is>
          <t>T01 for cake / O-P04 for yeast</t>
        </is>
      </c>
    </row>
    <row r="1063">
      <c r="A1063" s="2" t="inlineStr">
        <is>
          <t>L115</t>
        </is>
      </c>
      <c r="B1063" s="2" t="inlineStr">
        <is>
          <t>doughnuts</t>
        </is>
      </c>
      <c r="C1063" s="2" t="inlineStr">
        <is>
          <t>S046</t>
        </is>
      </c>
      <c r="D1063" s="2" t="inlineStr">
        <is>
          <t>'doughnuts'!C12,L12</t>
        </is>
      </c>
      <c r="E1063" s="2" t="inlineStr">
        <is>
          <t>eggs</t>
        </is>
      </c>
      <c r="F1063" s="3" t="n">
        <v>2000</v>
      </c>
      <c r="G1063" s="2" t="inlineStr">
        <is>
          <t>=' COST rRAW MATERIAL'!C13 [cached: 2000]</t>
        </is>
      </c>
      <c r="H1063" s="2" t="inlineStr">
        <is>
          <t>T01 for cake / O-P04 for yeast</t>
        </is>
      </c>
    </row>
    <row r="1064">
      <c r="A1064" s="2" t="inlineStr">
        <is>
          <t>L116</t>
        </is>
      </c>
      <c r="B1064" s="2" t="inlineStr">
        <is>
          <t>Sugar Balls</t>
        </is>
      </c>
      <c r="C1064" s="2" t="inlineStr">
        <is>
          <t>S047</t>
        </is>
      </c>
      <c r="D1064" s="2" t="inlineStr">
        <is>
          <t>'Sugar Balls'!C5,D5</t>
        </is>
      </c>
      <c r="E1064" s="2" t="inlineStr">
        <is>
          <t>flour</t>
        </is>
      </c>
      <c r="F1064" s="3" t="n">
        <v>5000</v>
      </c>
      <c r="G1064" s="2" t="inlineStr">
        <is>
          <t>5000</t>
        </is>
      </c>
      <c r="H1064" s="2" t="inlineStr">
        <is>
          <t>Retain unique variant; no equivalent operating card selected</t>
        </is>
      </c>
    </row>
    <row r="1065">
      <c r="A1065" s="2" t="inlineStr">
        <is>
          <t>L116</t>
        </is>
      </c>
      <c r="B1065" s="2" t="inlineStr">
        <is>
          <t>Sugar Balls</t>
        </is>
      </c>
      <c r="C1065" s="2" t="inlineStr">
        <is>
          <t>S047</t>
        </is>
      </c>
      <c r="D1065" s="2" t="inlineStr">
        <is>
          <t>'Sugar Balls'!C6,D6</t>
        </is>
      </c>
      <c r="E1065" s="2" t="inlineStr">
        <is>
          <t>baking powder</t>
        </is>
      </c>
      <c r="F1065" s="3" t="n">
        <v>80</v>
      </c>
      <c r="G1065" s="2" t="inlineStr">
        <is>
          <t>80</t>
        </is>
      </c>
      <c r="H1065" s="2" t="inlineStr">
        <is>
          <t>Retain unique variant; no equivalent operating card selected</t>
        </is>
      </c>
    </row>
    <row r="1066">
      <c r="A1066" s="2" t="inlineStr">
        <is>
          <t>L116</t>
        </is>
      </c>
      <c r="B1066" s="2" t="inlineStr">
        <is>
          <t>Sugar Balls</t>
        </is>
      </c>
      <c r="C1066" s="2" t="inlineStr">
        <is>
          <t>S047</t>
        </is>
      </c>
      <c r="D1066" s="2" t="inlineStr">
        <is>
          <t>'Sugar Balls'!C7,D7</t>
        </is>
      </c>
      <c r="E1066" s="2" t="inlineStr">
        <is>
          <t>sugar</t>
        </is>
      </c>
      <c r="F1066" s="3" t="n">
        <v>600</v>
      </c>
      <c r="G1066" s="2" t="inlineStr">
        <is>
          <t>600</t>
        </is>
      </c>
      <c r="H1066" s="2" t="inlineStr">
        <is>
          <t>Retain unique variant; no equivalent operating card selected</t>
        </is>
      </c>
    </row>
    <row r="1067">
      <c r="A1067" s="2" t="inlineStr">
        <is>
          <t>L116</t>
        </is>
      </c>
      <c r="B1067" s="2" t="inlineStr">
        <is>
          <t>Sugar Balls</t>
        </is>
      </c>
      <c r="C1067" s="2" t="inlineStr">
        <is>
          <t>S047</t>
        </is>
      </c>
      <c r="D1067" s="2" t="inlineStr">
        <is>
          <t>'Sugar Balls'!C8,D8</t>
        </is>
      </c>
      <c r="E1067" s="2" t="inlineStr">
        <is>
          <t>Butter</t>
        </is>
      </c>
      <c r="F1067" s="3" t="n">
        <v>600</v>
      </c>
      <c r="G1067" s="2" t="inlineStr">
        <is>
          <t>600</t>
        </is>
      </c>
      <c r="H1067" s="2" t="inlineStr">
        <is>
          <t>Retain unique variant; no equivalent operating card selected</t>
        </is>
      </c>
    </row>
    <row r="1068">
      <c r="A1068" s="2" t="inlineStr">
        <is>
          <t>L116</t>
        </is>
      </c>
      <c r="B1068" s="2" t="inlineStr">
        <is>
          <t>Sugar Balls</t>
        </is>
      </c>
      <c r="C1068" s="2" t="inlineStr">
        <is>
          <t>S047</t>
        </is>
      </c>
      <c r="D1068" s="2" t="inlineStr">
        <is>
          <t>'Sugar Balls'!C9,D9</t>
        </is>
      </c>
      <c r="E1068" s="2" t="inlineStr">
        <is>
          <t>salt</t>
        </is>
      </c>
      <c r="F1068" s="3" t="n">
        <v>100</v>
      </c>
      <c r="G1068" s="2" t="inlineStr">
        <is>
          <t>100</t>
        </is>
      </c>
      <c r="H1068" s="2" t="inlineStr">
        <is>
          <t>Retain unique variant; no equivalent operating card selected</t>
        </is>
      </c>
    </row>
    <row r="1069">
      <c r="A1069" s="2" t="inlineStr">
        <is>
          <t>L116</t>
        </is>
      </c>
      <c r="B1069" s="2" t="inlineStr">
        <is>
          <t>Sugar Balls</t>
        </is>
      </c>
      <c r="C1069" s="2" t="inlineStr">
        <is>
          <t>S047</t>
        </is>
      </c>
      <c r="D1069" s="2" t="inlineStr">
        <is>
          <t>'Sugar Balls'!C10,D10</t>
        </is>
      </c>
      <c r="E1069" s="2" t="inlineStr">
        <is>
          <t>Cold Water</t>
        </is>
      </c>
      <c r="F1069" s="3" t="n">
        <v>2500</v>
      </c>
      <c r="G1069" s="2" t="inlineStr">
        <is>
          <t>2500</t>
        </is>
      </c>
      <c r="H1069" s="2" t="inlineStr">
        <is>
          <t>Retain unique variant; no equivalent operating card selected</t>
        </is>
      </c>
    </row>
    <row r="1070">
      <c r="A1070" s="2" t="inlineStr">
        <is>
          <t>L116</t>
        </is>
      </c>
      <c r="B1070" s="2" t="inlineStr">
        <is>
          <t>Sugar Balls</t>
        </is>
      </c>
      <c r="C1070" s="2" t="inlineStr">
        <is>
          <t>S047</t>
        </is>
      </c>
      <c r="D1070" s="2" t="inlineStr">
        <is>
          <t>'Sugar Balls'!C11,D11</t>
        </is>
      </c>
      <c r="E1070" s="2" t="inlineStr">
        <is>
          <t>Improver</t>
        </is>
      </c>
      <c r="F1070" s="3" t="n">
        <v>100</v>
      </c>
      <c r="G1070" s="2" t="inlineStr">
        <is>
          <t>100</t>
        </is>
      </c>
      <c r="H1070" s="2" t="inlineStr">
        <is>
          <t>Retain unique variant; no equivalent operating card selected</t>
        </is>
      </c>
    </row>
    <row r="1071">
      <c r="A1071" s="2" t="inlineStr">
        <is>
          <t>L116</t>
        </is>
      </c>
      <c r="B1071" s="2" t="inlineStr">
        <is>
          <t>Sugar Balls</t>
        </is>
      </c>
      <c r="C1071" s="2" t="inlineStr">
        <is>
          <t>S047</t>
        </is>
      </c>
      <c r="D1071" s="2" t="inlineStr">
        <is>
          <t>'Sugar Balls'!C12,D12</t>
        </is>
      </c>
      <c r="E1071" s="2" t="inlineStr">
        <is>
          <t>yeast</t>
        </is>
      </c>
      <c r="F1071" s="3" t="n">
        <v>140</v>
      </c>
      <c r="G1071" s="2" t="inlineStr">
        <is>
          <t>140</t>
        </is>
      </c>
      <c r="H1071" s="2" t="inlineStr">
        <is>
          <t>Retain unique variant; no equivalent operating card selected</t>
        </is>
      </c>
    </row>
    <row r="1072">
      <c r="A1072" s="2" t="inlineStr">
        <is>
          <t>L117</t>
        </is>
      </c>
      <c r="B1072" s="2" t="inlineStr">
        <is>
          <t>Sugar Balls</t>
        </is>
      </c>
      <c r="C1072" s="2" t="inlineStr">
        <is>
          <t>S047</t>
        </is>
      </c>
      <c r="D1072" s="2" t="inlineStr">
        <is>
          <t>'Sugar Balls'!C5,H5</t>
        </is>
      </c>
      <c r="E1072" s="2" t="inlineStr">
        <is>
          <t>flour</t>
        </is>
      </c>
      <c r="F1072" s="3" t="n">
        <v>25000</v>
      </c>
      <c r="G1072" s="2" t="inlineStr">
        <is>
          <t>=D5*5 [cached: 25000]</t>
        </is>
      </c>
      <c r="H1072" s="2" t="inlineStr">
        <is>
          <t>Retain unique variant; no equivalent operating card selected</t>
        </is>
      </c>
    </row>
    <row r="1073">
      <c r="A1073" s="2" t="inlineStr">
        <is>
          <t>L117</t>
        </is>
      </c>
      <c r="B1073" s="2" t="inlineStr">
        <is>
          <t>Sugar Balls</t>
        </is>
      </c>
      <c r="C1073" s="2" t="inlineStr">
        <is>
          <t>S047</t>
        </is>
      </c>
      <c r="D1073" s="2" t="inlineStr">
        <is>
          <t>'Sugar Balls'!C6,H6</t>
        </is>
      </c>
      <c r="E1073" s="2" t="inlineStr">
        <is>
          <t>baking powder</t>
        </is>
      </c>
      <c r="F1073" s="3" t="n">
        <v>400</v>
      </c>
      <c r="G1073" s="2" t="inlineStr">
        <is>
          <t>=D6*5 [cached: 400]</t>
        </is>
      </c>
      <c r="H1073" s="2" t="inlineStr">
        <is>
          <t>Retain unique variant; no equivalent operating card selected</t>
        </is>
      </c>
    </row>
    <row r="1074">
      <c r="A1074" s="2" t="inlineStr">
        <is>
          <t>L117</t>
        </is>
      </c>
      <c r="B1074" s="2" t="inlineStr">
        <is>
          <t>Sugar Balls</t>
        </is>
      </c>
      <c r="C1074" s="2" t="inlineStr">
        <is>
          <t>S047</t>
        </is>
      </c>
      <c r="D1074" s="2" t="inlineStr">
        <is>
          <t>'Sugar Balls'!C7,H7</t>
        </is>
      </c>
      <c r="E1074" s="2" t="inlineStr">
        <is>
          <t>sugar</t>
        </is>
      </c>
      <c r="F1074" s="3" t="n">
        <v>3000</v>
      </c>
      <c r="G1074" s="2" t="inlineStr">
        <is>
          <t>=D7*5 [cached: 3000]</t>
        </is>
      </c>
      <c r="H1074" s="2" t="inlineStr">
        <is>
          <t>Retain unique variant; no equivalent operating card selected</t>
        </is>
      </c>
    </row>
    <row r="1075">
      <c r="A1075" s="2" t="inlineStr">
        <is>
          <t>L117</t>
        </is>
      </c>
      <c r="B1075" s="2" t="inlineStr">
        <is>
          <t>Sugar Balls</t>
        </is>
      </c>
      <c r="C1075" s="2" t="inlineStr">
        <is>
          <t>S047</t>
        </is>
      </c>
      <c r="D1075" s="2" t="inlineStr">
        <is>
          <t>'Sugar Balls'!C8,H8</t>
        </is>
      </c>
      <c r="E1075" s="2" t="inlineStr">
        <is>
          <t>Butter</t>
        </is>
      </c>
      <c r="F1075" s="3" t="n">
        <v>3000</v>
      </c>
      <c r="G1075" s="2" t="inlineStr">
        <is>
          <t>=D8*5 [cached: 3000]</t>
        </is>
      </c>
      <c r="H1075" s="2" t="inlineStr">
        <is>
          <t>Retain unique variant; no equivalent operating card selected</t>
        </is>
      </c>
    </row>
    <row r="1076">
      <c r="A1076" s="2" t="inlineStr">
        <is>
          <t>L117</t>
        </is>
      </c>
      <c r="B1076" s="2" t="inlineStr">
        <is>
          <t>Sugar Balls</t>
        </is>
      </c>
      <c r="C1076" s="2" t="inlineStr">
        <is>
          <t>S047</t>
        </is>
      </c>
      <c r="D1076" s="2" t="inlineStr">
        <is>
          <t>'Sugar Balls'!C9,H9</t>
        </is>
      </c>
      <c r="E1076" s="2" t="inlineStr">
        <is>
          <t>salt</t>
        </is>
      </c>
      <c r="F1076" s="3" t="n">
        <v>500</v>
      </c>
      <c r="G1076" s="2" t="inlineStr">
        <is>
          <t>=D9*5 [cached: 500]</t>
        </is>
      </c>
      <c r="H1076" s="2" t="inlineStr">
        <is>
          <t>Retain unique variant; no equivalent operating card selected</t>
        </is>
      </c>
    </row>
    <row r="1077">
      <c r="A1077" s="2" t="inlineStr">
        <is>
          <t>L117</t>
        </is>
      </c>
      <c r="B1077" s="2" t="inlineStr">
        <is>
          <t>Sugar Balls</t>
        </is>
      </c>
      <c r="C1077" s="2" t="inlineStr">
        <is>
          <t>S047</t>
        </is>
      </c>
      <c r="D1077" s="2" t="inlineStr">
        <is>
          <t>'Sugar Balls'!C10,H10</t>
        </is>
      </c>
      <c r="E1077" s="2" t="inlineStr">
        <is>
          <t>Cold Water</t>
        </is>
      </c>
      <c r="F1077" s="3" t="n">
        <v>12500</v>
      </c>
      <c r="G1077" s="2" t="inlineStr">
        <is>
          <t>=D10*5 [cached: 12500]</t>
        </is>
      </c>
      <c r="H1077" s="2" t="inlineStr">
        <is>
          <t>Retain unique variant; no equivalent operating card selected</t>
        </is>
      </c>
    </row>
    <row r="1078">
      <c r="A1078" s="2" t="inlineStr">
        <is>
          <t>L117</t>
        </is>
      </c>
      <c r="B1078" s="2" t="inlineStr">
        <is>
          <t>Sugar Balls</t>
        </is>
      </c>
      <c r="C1078" s="2" t="inlineStr">
        <is>
          <t>S047</t>
        </is>
      </c>
      <c r="D1078" s="2" t="inlineStr">
        <is>
          <t>'Sugar Balls'!C11,H11</t>
        </is>
      </c>
      <c r="E1078" s="2" t="inlineStr">
        <is>
          <t>Improver</t>
        </is>
      </c>
      <c r="F1078" s="3" t="n">
        <v>500</v>
      </c>
      <c r="G1078" s="2" t="inlineStr">
        <is>
          <t>=D11*5 [cached: 500]</t>
        </is>
      </c>
      <c r="H1078" s="2" t="inlineStr">
        <is>
          <t>Retain unique variant; no equivalent operating card selected</t>
        </is>
      </c>
    </row>
    <row r="1079">
      <c r="A1079" s="2" t="inlineStr">
        <is>
          <t>L117</t>
        </is>
      </c>
      <c r="B1079" s="2" t="inlineStr">
        <is>
          <t>Sugar Balls</t>
        </is>
      </c>
      <c r="C1079" s="2" t="inlineStr">
        <is>
          <t>S047</t>
        </is>
      </c>
      <c r="D1079" s="2" t="inlineStr">
        <is>
          <t>'Sugar Balls'!C12,H12</t>
        </is>
      </c>
      <c r="E1079" s="2" t="inlineStr">
        <is>
          <t>yeast</t>
        </is>
      </c>
      <c r="F1079" s="3" t="n">
        <v>233.8</v>
      </c>
      <c r="G1079" s="2" t="inlineStr">
        <is>
          <t>=D12*1.67 [cached: 233.8]</t>
        </is>
      </c>
      <c r="H1079" s="2" t="inlineStr">
        <is>
          <t>Retain unique variant; no equivalent operating card selected</t>
        </is>
      </c>
    </row>
    <row r="1080">
      <c r="A1080" s="2" t="inlineStr">
        <is>
          <t>L118</t>
        </is>
      </c>
      <c r="B1080" s="2" t="inlineStr">
        <is>
          <t>Baguette now</t>
        </is>
      </c>
      <c r="C1080" s="2" t="inlineStr">
        <is>
          <t>S048</t>
        </is>
      </c>
      <c r="D1080" s="2" t="inlineStr">
        <is>
          <t>'Baguette now'!C5,D5</t>
        </is>
      </c>
      <c r="E1080" s="2" t="inlineStr">
        <is>
          <t>flour</t>
        </is>
      </c>
      <c r="F1080" s="3" t="n">
        <v>6000</v>
      </c>
      <c r="G1080" s="2" t="inlineStr">
        <is>
          <t>6000</t>
        </is>
      </c>
      <c r="H1080" s="2" t="inlineStr">
        <is>
          <t>M1-B12 / M1-B13 / S-B01</t>
        </is>
      </c>
    </row>
    <row r="1081">
      <c r="A1081" s="2" t="inlineStr">
        <is>
          <t>L118</t>
        </is>
      </c>
      <c r="B1081" s="2" t="inlineStr">
        <is>
          <t>Baguette now</t>
        </is>
      </c>
      <c r="C1081" s="2" t="inlineStr">
        <is>
          <t>S048</t>
        </is>
      </c>
      <c r="D1081" s="2" t="inlineStr">
        <is>
          <t>'Baguette now'!C6,D6</t>
        </is>
      </c>
      <c r="E1081" s="2" t="inlineStr">
        <is>
          <t>yeast</t>
        </is>
      </c>
      <c r="F1081" s="3" t="n">
        <v>10</v>
      </c>
      <c r="G1081" s="2" t="inlineStr">
        <is>
          <t>10</t>
        </is>
      </c>
      <c r="H1081" s="2" t="inlineStr">
        <is>
          <t>M1-B12 / M1-B13 / S-B01</t>
        </is>
      </c>
    </row>
    <row r="1082">
      <c r="A1082" s="2" t="inlineStr">
        <is>
          <t>L118</t>
        </is>
      </c>
      <c r="B1082" s="2" t="inlineStr">
        <is>
          <t>Baguette now</t>
        </is>
      </c>
      <c r="C1082" s="2" t="inlineStr">
        <is>
          <t>S048</t>
        </is>
      </c>
      <c r="D1082" s="2" t="inlineStr">
        <is>
          <t>'Baguette now'!C7,D7</t>
        </is>
      </c>
      <c r="E1082" s="2" t="inlineStr">
        <is>
          <t>salt</t>
        </is>
      </c>
      <c r="F1082" s="3" t="n">
        <v>80</v>
      </c>
      <c r="G1082" s="2" t="inlineStr">
        <is>
          <t>80</t>
        </is>
      </c>
      <c r="H1082" s="2" t="inlineStr">
        <is>
          <t>M1-B12 / M1-B13 / S-B01</t>
        </is>
      </c>
    </row>
    <row r="1083">
      <c r="A1083" s="2" t="inlineStr">
        <is>
          <t>L118</t>
        </is>
      </c>
      <c r="B1083" s="2" t="inlineStr">
        <is>
          <t>Baguette now</t>
        </is>
      </c>
      <c r="C1083" s="2" t="inlineStr">
        <is>
          <t>S048</t>
        </is>
      </c>
      <c r="D1083" s="2" t="inlineStr">
        <is>
          <t>'Baguette now'!C8,D8</t>
        </is>
      </c>
      <c r="E1083" s="2" t="inlineStr">
        <is>
          <t>water</t>
        </is>
      </c>
      <c r="F1083" s="3" t="n">
        <v>2800</v>
      </c>
      <c r="G1083" s="2" t="inlineStr">
        <is>
          <t>2800</t>
        </is>
      </c>
      <c r="H1083" s="2" t="inlineStr">
        <is>
          <t>M1-B12 / M1-B13 / S-B01</t>
        </is>
      </c>
    </row>
    <row r="1084">
      <c r="A1084" s="2" t="inlineStr">
        <is>
          <t>L118</t>
        </is>
      </c>
      <c r="B1084" s="2" t="inlineStr">
        <is>
          <t>Baguette now</t>
        </is>
      </c>
      <c r="C1084" s="2" t="inlineStr">
        <is>
          <t>S048</t>
        </is>
      </c>
      <c r="D1084" s="2" t="inlineStr">
        <is>
          <t>'Baguette now'!C9,D9</t>
        </is>
      </c>
      <c r="E1084" s="2" t="inlineStr">
        <is>
          <t>butter</t>
        </is>
      </c>
      <c r="F1084" s="3" t="n">
        <v>200</v>
      </c>
      <c r="G1084" s="2" t="inlineStr">
        <is>
          <t>200</t>
        </is>
      </c>
      <c r="H1084" s="2" t="inlineStr">
        <is>
          <t>M1-B12 / M1-B13 / S-B01</t>
        </is>
      </c>
    </row>
    <row r="1085">
      <c r="A1085" s="2" t="inlineStr">
        <is>
          <t>L118</t>
        </is>
      </c>
      <c r="B1085" s="2" t="inlineStr">
        <is>
          <t>Baguette now</t>
        </is>
      </c>
      <c r="C1085" s="2" t="inlineStr">
        <is>
          <t>S048</t>
        </is>
      </c>
      <c r="D1085" s="2" t="inlineStr">
        <is>
          <t>'Baguette now'!C10,D10</t>
        </is>
      </c>
      <c r="E1085" s="2" t="inlineStr">
        <is>
          <t>improver</t>
        </is>
      </c>
      <c r="F1085" s="3" t="n">
        <v>100</v>
      </c>
      <c r="G1085" s="2" t="inlineStr">
        <is>
          <t>100</t>
        </is>
      </c>
      <c r="H1085" s="2" t="inlineStr">
        <is>
          <t>M1-B12 / M1-B13 / S-B01</t>
        </is>
      </c>
    </row>
    <row r="1086">
      <c r="A1086" s="2" t="inlineStr">
        <is>
          <t>L119</t>
        </is>
      </c>
      <c r="B1086" s="2" t="inlineStr">
        <is>
          <t>Best Chinchin</t>
        </is>
      </c>
      <c r="C1086" s="2" t="inlineStr">
        <is>
          <t>S048</t>
        </is>
      </c>
      <c r="D1086" s="2" t="inlineStr">
        <is>
          <t>'Best Chinchin'!C5,D5</t>
        </is>
      </c>
      <c r="E1086" s="2" t="inlineStr">
        <is>
          <t>flour</t>
        </is>
      </c>
      <c r="F1086" s="3" t="n">
        <v>25000</v>
      </c>
      <c r="G1086" s="2" t="inlineStr">
        <is>
          <t>25000</t>
        </is>
      </c>
      <c r="H1086" s="2" t="inlineStr">
        <is>
          <t>H10</t>
        </is>
      </c>
    </row>
    <row r="1087">
      <c r="A1087" s="2" t="inlineStr">
        <is>
          <t>L119</t>
        </is>
      </c>
      <c r="B1087" s="2" t="inlineStr">
        <is>
          <t>Best Chinchin</t>
        </is>
      </c>
      <c r="C1087" s="2" t="inlineStr">
        <is>
          <t>S048</t>
        </is>
      </c>
      <c r="D1087" s="2" t="inlineStr">
        <is>
          <t>'Best Chinchin'!C6,D6</t>
        </is>
      </c>
      <c r="E1087" s="2" t="inlineStr">
        <is>
          <t>baking powder</t>
        </is>
      </c>
      <c r="F1087" s="3" t="n">
        <v>500</v>
      </c>
      <c r="G1087" s="2" t="inlineStr">
        <is>
          <t>500</t>
        </is>
      </c>
      <c r="H1087" s="2" t="inlineStr">
        <is>
          <t>H10</t>
        </is>
      </c>
    </row>
    <row r="1088">
      <c r="A1088" s="2" t="inlineStr">
        <is>
          <t>L119</t>
        </is>
      </c>
      <c r="B1088" s="2" t="inlineStr">
        <is>
          <t>Best Chinchin</t>
        </is>
      </c>
      <c r="C1088" s="2" t="inlineStr">
        <is>
          <t>S048</t>
        </is>
      </c>
      <c r="D1088" s="2" t="inlineStr">
        <is>
          <t>'Best Chinchin'!C7,D7</t>
        </is>
      </c>
      <c r="E1088" s="2" t="inlineStr">
        <is>
          <t>sugar</t>
        </is>
      </c>
      <c r="F1088" s="3" t="n">
        <v>4500</v>
      </c>
      <c r="G1088" s="2" t="inlineStr">
        <is>
          <t>4500</t>
        </is>
      </c>
      <c r="H1088" s="2" t="inlineStr">
        <is>
          <t>H10</t>
        </is>
      </c>
    </row>
    <row r="1089">
      <c r="A1089" s="2" t="inlineStr">
        <is>
          <t>L119</t>
        </is>
      </c>
      <c r="B1089" s="2" t="inlineStr">
        <is>
          <t>Best Chinchin</t>
        </is>
      </c>
      <c r="C1089" s="2" t="inlineStr">
        <is>
          <t>S048</t>
        </is>
      </c>
      <c r="D1089" s="2" t="inlineStr">
        <is>
          <t>'Best Chinchin'!C8,D8</t>
        </is>
      </c>
      <c r="E1089" s="2" t="inlineStr">
        <is>
          <t>Butter</t>
        </is>
      </c>
      <c r="F1089" s="3" t="n">
        <v>4500</v>
      </c>
      <c r="G1089" s="2" t="inlineStr">
        <is>
          <t>4500</t>
        </is>
      </c>
      <c r="H1089" s="2" t="inlineStr">
        <is>
          <t>H10</t>
        </is>
      </c>
    </row>
    <row r="1090">
      <c r="A1090" s="2" t="inlineStr">
        <is>
          <t>L119</t>
        </is>
      </c>
      <c r="B1090" s="2" t="inlineStr">
        <is>
          <t>Best Chinchin</t>
        </is>
      </c>
      <c r="C1090" s="2" t="inlineStr">
        <is>
          <t>S048</t>
        </is>
      </c>
      <c r="D1090" s="2" t="inlineStr">
        <is>
          <t>'Best Chinchin'!C9,D9</t>
        </is>
      </c>
      <c r="E1090" s="2" t="inlineStr">
        <is>
          <t>egg</t>
        </is>
      </c>
      <c r="F1090" s="3" t="n">
        <v>9000</v>
      </c>
      <c r="G1090" s="2" t="inlineStr">
        <is>
          <t>9000</t>
        </is>
      </c>
      <c r="H1090" s="2" t="inlineStr">
        <is>
          <t>H10</t>
        </is>
      </c>
    </row>
    <row r="1091">
      <c r="A1091" s="2" t="inlineStr">
        <is>
          <t>L119</t>
        </is>
      </c>
      <c r="B1091" s="2" t="inlineStr">
        <is>
          <t>Best Chinchin</t>
        </is>
      </c>
      <c r="C1091" s="2" t="inlineStr">
        <is>
          <t>S048</t>
        </is>
      </c>
      <c r="D1091" s="2" t="inlineStr">
        <is>
          <t>'Best Chinchin'!C10,D10</t>
        </is>
      </c>
      <c r="E1091" s="2" t="inlineStr">
        <is>
          <t>salt</t>
        </is>
      </c>
      <c r="F1091" s="3" t="n">
        <v>150</v>
      </c>
      <c r="G1091" s="2" t="inlineStr">
        <is>
          <t>150</t>
        </is>
      </c>
      <c r="H1091" s="2" t="inlineStr">
        <is>
          <t>H10</t>
        </is>
      </c>
    </row>
    <row r="1092">
      <c r="A1092" s="2" t="inlineStr">
        <is>
          <t>L119</t>
        </is>
      </c>
      <c r="B1092" s="2" t="inlineStr">
        <is>
          <t>Best Chinchin</t>
        </is>
      </c>
      <c r="C1092" s="2" t="inlineStr">
        <is>
          <t>S048</t>
        </is>
      </c>
      <c r="D1092" s="2" t="inlineStr">
        <is>
          <t>'Best Chinchin'!C11,D11</t>
        </is>
      </c>
      <c r="E1092" s="2" t="inlineStr">
        <is>
          <t>Improver</t>
        </is>
      </c>
      <c r="F1092" s="3" t="n">
        <v>200</v>
      </c>
      <c r="G1092" s="2" t="inlineStr">
        <is>
          <t>200</t>
        </is>
      </c>
      <c r="H1092" s="2" t="inlineStr">
        <is>
          <t>H10</t>
        </is>
      </c>
    </row>
    <row r="1093">
      <c r="A1093" s="2" t="inlineStr">
        <is>
          <t>L119</t>
        </is>
      </c>
      <c r="B1093" s="2" t="inlineStr">
        <is>
          <t>Best Chinchin</t>
        </is>
      </c>
      <c r="C1093" s="2" t="inlineStr">
        <is>
          <t>S048</t>
        </is>
      </c>
      <c r="D1093" s="2" t="inlineStr">
        <is>
          <t>'Best Chinchin'!C12,D12</t>
        </is>
      </c>
      <c r="E1093" s="2" t="inlineStr">
        <is>
          <t>oil</t>
        </is>
      </c>
      <c r="F1093" s="3" t="n">
        <v>400</v>
      </c>
      <c r="G1093" s="2" t="inlineStr">
        <is>
          <t>400</t>
        </is>
      </c>
      <c r="H1093" s="2" t="inlineStr">
        <is>
          <t>H10</t>
        </is>
      </c>
    </row>
    <row r="1094">
      <c r="A1094" s="2" t="inlineStr">
        <is>
          <t>L120</t>
        </is>
      </c>
      <c r="B1094" s="2" t="inlineStr">
        <is>
          <t>Cake Prof</t>
        </is>
      </c>
      <c r="C1094" s="2" t="inlineStr">
        <is>
          <t>S048</t>
        </is>
      </c>
      <c r="D1094" s="2" t="inlineStr">
        <is>
          <t>'Cake Prof'!C5,D5</t>
        </is>
      </c>
      <c r="E1094" s="2" t="inlineStr">
        <is>
          <t>flour</t>
        </is>
      </c>
      <c r="F1094" s="3" t="n">
        <v>3000</v>
      </c>
      <c r="G1094" s="2" t="inlineStr">
        <is>
          <t>3000</t>
        </is>
      </c>
      <c r="H1094" s="2" t="inlineStr">
        <is>
          <t>H08 / H09; exact style differs</t>
        </is>
      </c>
    </row>
    <row r="1095">
      <c r="A1095" s="2" t="inlineStr">
        <is>
          <t>L120</t>
        </is>
      </c>
      <c r="B1095" s="2" t="inlineStr">
        <is>
          <t>Cake Prof</t>
        </is>
      </c>
      <c r="C1095" s="2" t="inlineStr">
        <is>
          <t>S048</t>
        </is>
      </c>
      <c r="D1095" s="2" t="inlineStr">
        <is>
          <t>'Cake Prof'!C6,D6</t>
        </is>
      </c>
      <c r="E1095" s="2" t="inlineStr">
        <is>
          <t>baking powder</t>
        </is>
      </c>
      <c r="F1095" s="3" t="n">
        <v>100</v>
      </c>
      <c r="G1095" s="2" t="inlineStr">
        <is>
          <t>100</t>
        </is>
      </c>
      <c r="H1095" s="2" t="inlineStr">
        <is>
          <t>H08 / H09; exact style differs</t>
        </is>
      </c>
    </row>
    <row r="1096">
      <c r="A1096" s="2" t="inlineStr">
        <is>
          <t>L120</t>
        </is>
      </c>
      <c r="B1096" s="2" t="inlineStr">
        <is>
          <t>Cake Prof</t>
        </is>
      </c>
      <c r="C1096" s="2" t="inlineStr">
        <is>
          <t>S048</t>
        </is>
      </c>
      <c r="D1096" s="2" t="inlineStr">
        <is>
          <t>'Cake Prof'!C7,D7</t>
        </is>
      </c>
      <c r="E1096" s="2" t="inlineStr">
        <is>
          <t>salt</t>
        </is>
      </c>
      <c r="F1096" s="3" t="n">
        <v>10</v>
      </c>
      <c r="G1096" s="2" t="inlineStr">
        <is>
          <t>10</t>
        </is>
      </c>
      <c r="H1096" s="2" t="inlineStr">
        <is>
          <t>H08 / H09; exact style differs</t>
        </is>
      </c>
    </row>
    <row r="1097">
      <c r="A1097" s="2" t="inlineStr">
        <is>
          <t>L120</t>
        </is>
      </c>
      <c r="B1097" s="2" t="inlineStr">
        <is>
          <t>Cake Prof</t>
        </is>
      </c>
      <c r="C1097" s="2" t="inlineStr">
        <is>
          <t>S048</t>
        </is>
      </c>
      <c r="D1097" s="2" t="inlineStr">
        <is>
          <t>'Cake Prof'!C8,D8</t>
        </is>
      </c>
      <c r="E1097" s="2" t="inlineStr">
        <is>
          <t>Egg</t>
        </is>
      </c>
      <c r="F1097" s="3" t="n">
        <v>1500</v>
      </c>
      <c r="G1097" s="2" t="inlineStr">
        <is>
          <t>1500</t>
        </is>
      </c>
      <c r="H1097" s="2" t="inlineStr">
        <is>
          <t>H08 / H09; exact style differs</t>
        </is>
      </c>
    </row>
    <row r="1098">
      <c r="A1098" s="2" t="inlineStr">
        <is>
          <t>L120</t>
        </is>
      </c>
      <c r="B1098" s="2" t="inlineStr">
        <is>
          <t>Cake Prof</t>
        </is>
      </c>
      <c r="C1098" s="2" t="inlineStr">
        <is>
          <t>S048</t>
        </is>
      </c>
      <c r="D1098" s="2" t="inlineStr">
        <is>
          <t>'Cake Prof'!C9,D9</t>
        </is>
      </c>
      <c r="E1098" s="2" t="inlineStr">
        <is>
          <t>Butter</t>
        </is>
      </c>
      <c r="F1098" s="3" t="n">
        <v>1500</v>
      </c>
      <c r="G1098" s="2" t="inlineStr">
        <is>
          <t>1500</t>
        </is>
      </c>
      <c r="H1098" s="2" t="inlineStr">
        <is>
          <t>H08 / H09; exact style differs</t>
        </is>
      </c>
    </row>
    <row r="1099">
      <c r="A1099" s="2" t="inlineStr">
        <is>
          <t>L120</t>
        </is>
      </c>
      <c r="B1099" s="2" t="inlineStr">
        <is>
          <t>Cake Prof</t>
        </is>
      </c>
      <c r="C1099" s="2" t="inlineStr">
        <is>
          <t>S048</t>
        </is>
      </c>
      <c r="D1099" s="2" t="inlineStr">
        <is>
          <t>'Cake Prof'!C10,D10</t>
        </is>
      </c>
      <c r="E1099" s="2" t="inlineStr">
        <is>
          <t>sugar</t>
        </is>
      </c>
      <c r="F1099" s="3" t="n">
        <v>1000</v>
      </c>
      <c r="G1099" s="2" t="inlineStr">
        <is>
          <t>1000</t>
        </is>
      </c>
      <c r="H1099" s="2" t="inlineStr">
        <is>
          <t>H08 / H09; exact style differs</t>
        </is>
      </c>
    </row>
    <row r="1100">
      <c r="A1100" s="2" t="inlineStr">
        <is>
          <t>L121</t>
        </is>
      </c>
      <c r="B1100" s="2" t="inlineStr">
        <is>
          <t>Galette</t>
        </is>
      </c>
      <c r="C1100" s="2" t="inlineStr">
        <is>
          <t>S048</t>
        </is>
      </c>
      <c r="D1100" s="2" t="inlineStr">
        <is>
          <t>'Galette'!C5,D5</t>
        </is>
      </c>
      <c r="E1100" s="2" t="inlineStr">
        <is>
          <t>flour</t>
        </is>
      </c>
      <c r="F1100" s="3" t="n">
        <v>12000</v>
      </c>
      <c r="G1100" s="2" t="inlineStr">
        <is>
          <t>12000</t>
        </is>
      </c>
      <c r="H1100" s="2" t="inlineStr">
        <is>
          <t>H14</t>
        </is>
      </c>
    </row>
    <row r="1101">
      <c r="A1101" s="2" t="inlineStr">
        <is>
          <t>L121</t>
        </is>
      </c>
      <c r="B1101" s="2" t="inlineStr">
        <is>
          <t>Galette</t>
        </is>
      </c>
      <c r="C1101" s="2" t="inlineStr">
        <is>
          <t>S048</t>
        </is>
      </c>
      <c r="D1101" s="2" t="inlineStr">
        <is>
          <t>'Galette'!C6,D6</t>
        </is>
      </c>
      <c r="E1101" s="2" t="inlineStr">
        <is>
          <t>Butter</t>
        </is>
      </c>
      <c r="F1101" s="3" t="n">
        <v>1200</v>
      </c>
      <c r="G1101" s="2" t="inlineStr">
        <is>
          <t>1200</t>
        </is>
      </c>
      <c r="H1101" s="2" t="inlineStr">
        <is>
          <t>H14</t>
        </is>
      </c>
    </row>
    <row r="1102">
      <c r="A1102" s="2" t="inlineStr">
        <is>
          <t>L121</t>
        </is>
      </c>
      <c r="B1102" s="2" t="inlineStr">
        <is>
          <t>Galette</t>
        </is>
      </c>
      <c r="C1102" s="2" t="inlineStr">
        <is>
          <t>S048</t>
        </is>
      </c>
      <c r="D1102" s="2" t="inlineStr">
        <is>
          <t>'Galette'!C7,D7</t>
        </is>
      </c>
      <c r="E1102" s="2" t="inlineStr">
        <is>
          <t>sugar</t>
        </is>
      </c>
      <c r="F1102" s="3" t="n">
        <v>1500</v>
      </c>
      <c r="G1102" s="2" t="inlineStr">
        <is>
          <t>1500</t>
        </is>
      </c>
      <c r="H1102" s="2" t="inlineStr">
        <is>
          <t>H14</t>
        </is>
      </c>
    </row>
    <row r="1103">
      <c r="A1103" s="2" t="inlineStr">
        <is>
          <t>L121</t>
        </is>
      </c>
      <c r="B1103" s="2" t="inlineStr">
        <is>
          <t>Galette</t>
        </is>
      </c>
      <c r="C1103" s="2" t="inlineStr">
        <is>
          <t>S048</t>
        </is>
      </c>
      <c r="D1103" s="2" t="inlineStr">
        <is>
          <t>'Galette'!C8,D8</t>
        </is>
      </c>
      <c r="E1103" s="2" t="inlineStr">
        <is>
          <t>Milk</t>
        </is>
      </c>
      <c r="F1103" s="3" t="n">
        <v>1000</v>
      </c>
      <c r="G1103" s="2" t="inlineStr">
        <is>
          <t>1000</t>
        </is>
      </c>
      <c r="H1103" s="2" t="inlineStr">
        <is>
          <t>H14</t>
        </is>
      </c>
    </row>
    <row r="1104">
      <c r="A1104" s="2" t="inlineStr">
        <is>
          <t>L121</t>
        </is>
      </c>
      <c r="B1104" s="2" t="inlineStr">
        <is>
          <t>Galette</t>
        </is>
      </c>
      <c r="C1104" s="2" t="inlineStr">
        <is>
          <t>S048</t>
        </is>
      </c>
      <c r="D1104" s="2" t="inlineStr">
        <is>
          <t>'Galette'!C9,D9</t>
        </is>
      </c>
      <c r="E1104" s="2" t="inlineStr">
        <is>
          <t>egg</t>
        </is>
      </c>
      <c r="F1104" s="3" t="n">
        <v>1000</v>
      </c>
      <c r="G1104" s="2" t="inlineStr">
        <is>
          <t>1000</t>
        </is>
      </c>
      <c r="H1104" s="2" t="inlineStr">
        <is>
          <t>H14</t>
        </is>
      </c>
    </row>
    <row r="1105">
      <c r="A1105" s="2" t="inlineStr">
        <is>
          <t>L121</t>
        </is>
      </c>
      <c r="B1105" s="2" t="inlineStr">
        <is>
          <t>Galette</t>
        </is>
      </c>
      <c r="C1105" s="2" t="inlineStr">
        <is>
          <t>S048</t>
        </is>
      </c>
      <c r="D1105" s="2" t="inlineStr">
        <is>
          <t>'Galette'!C10,D10</t>
        </is>
      </c>
      <c r="E1105" s="2" t="inlineStr">
        <is>
          <t>salt</t>
        </is>
      </c>
      <c r="F1105" s="3" t="n">
        <v>150</v>
      </c>
      <c r="G1105" s="2" t="inlineStr">
        <is>
          <t>150</t>
        </is>
      </c>
      <c r="H1105" s="2" t="inlineStr">
        <is>
          <t>H14</t>
        </is>
      </c>
    </row>
    <row r="1106">
      <c r="A1106" s="2" t="inlineStr">
        <is>
          <t>L121</t>
        </is>
      </c>
      <c r="B1106" s="2" t="inlineStr">
        <is>
          <t>Galette</t>
        </is>
      </c>
      <c r="C1106" s="2" t="inlineStr">
        <is>
          <t>S048</t>
        </is>
      </c>
      <c r="D1106" s="2" t="inlineStr">
        <is>
          <t>'Galette'!C11,D11</t>
        </is>
      </c>
      <c r="E1106" s="2" t="inlineStr">
        <is>
          <t>improver</t>
        </is>
      </c>
      <c r="F1106" s="3" t="n">
        <v>120</v>
      </c>
      <c r="G1106" s="2" t="inlineStr">
        <is>
          <t>120</t>
        </is>
      </c>
      <c r="H1106" s="2" t="inlineStr">
        <is>
          <t>H14</t>
        </is>
      </c>
    </row>
    <row r="1107">
      <c r="A1107" s="2" t="inlineStr">
        <is>
          <t>L121</t>
        </is>
      </c>
      <c r="B1107" s="2" t="inlineStr">
        <is>
          <t>Galette</t>
        </is>
      </c>
      <c r="C1107" s="2" t="inlineStr">
        <is>
          <t>S048</t>
        </is>
      </c>
      <c r="D1107" s="2" t="inlineStr">
        <is>
          <t>'Galette'!C12,D12</t>
        </is>
      </c>
      <c r="E1107" s="2" t="inlineStr">
        <is>
          <t>yeast</t>
        </is>
      </c>
      <c r="F1107" s="3" t="n">
        <v>180</v>
      </c>
      <c r="G1107" s="2" t="inlineStr">
        <is>
          <t>180</t>
        </is>
      </c>
      <c r="H1107" s="2" t="inlineStr">
        <is>
          <t>H14</t>
        </is>
      </c>
    </row>
    <row r="1108">
      <c r="A1108" s="2" t="inlineStr">
        <is>
          <t>L121</t>
        </is>
      </c>
      <c r="B1108" s="2" t="inlineStr">
        <is>
          <t>Galette</t>
        </is>
      </c>
      <c r="C1108" s="2" t="inlineStr">
        <is>
          <t>S048</t>
        </is>
      </c>
      <c r="D1108" s="2" t="inlineStr">
        <is>
          <t>'Galette'!C13,D13</t>
        </is>
      </c>
      <c r="E1108" s="2" t="inlineStr">
        <is>
          <t>water</t>
        </is>
      </c>
      <c r="F1108" s="3" t="n">
        <v>3500</v>
      </c>
      <c r="G1108" s="2" t="inlineStr">
        <is>
          <t>3500</t>
        </is>
      </c>
      <c r="H1108" s="2" t="inlineStr">
        <is>
          <t>H14</t>
        </is>
      </c>
    </row>
    <row r="1109">
      <c r="A1109" s="2" t="inlineStr">
        <is>
          <t>L121</t>
        </is>
      </c>
      <c r="B1109" s="2" t="inlineStr">
        <is>
          <t>Galette</t>
        </is>
      </c>
      <c r="C1109" s="2" t="inlineStr">
        <is>
          <t>S048</t>
        </is>
      </c>
      <c r="D1109" s="2" t="inlineStr">
        <is>
          <t>'Galette'!C14,D14</t>
        </is>
      </c>
      <c r="E1109" s="2" t="inlineStr">
        <is>
          <t>baking powder</t>
        </is>
      </c>
      <c r="F1109" s="3" t="n">
        <v>120</v>
      </c>
      <c r="G1109" s="2" t="inlineStr">
        <is>
          <t>120</t>
        </is>
      </c>
      <c r="H1109" s="2" t="inlineStr">
        <is>
          <t>H14</t>
        </is>
      </c>
    </row>
    <row r="1110">
      <c r="A1110" s="2" t="inlineStr">
        <is>
          <t>L121</t>
        </is>
      </c>
      <c r="B1110" s="2" t="inlineStr">
        <is>
          <t>Galette</t>
        </is>
      </c>
      <c r="C1110" s="2" t="inlineStr">
        <is>
          <t>S048</t>
        </is>
      </c>
      <c r="D1110" s="2" t="inlineStr">
        <is>
          <t>'Galette'!C15,D15</t>
        </is>
      </c>
      <c r="E1110" s="2" t="inlineStr">
        <is>
          <t>Chocolate</t>
        </is>
      </c>
      <c r="F1110" s="3" t="n">
        <v>1500</v>
      </c>
      <c r="G1110" s="2" t="inlineStr">
        <is>
          <t>1500</t>
        </is>
      </c>
      <c r="H1110" s="2" t="inlineStr">
        <is>
          <t>H14</t>
        </is>
      </c>
    </row>
    <row r="1111">
      <c r="A1111" s="2" t="inlineStr">
        <is>
          <t>L121</t>
        </is>
      </c>
      <c r="B1111" s="2" t="inlineStr">
        <is>
          <t>Galette</t>
        </is>
      </c>
      <c r="C1111" s="2" t="inlineStr">
        <is>
          <t>S048</t>
        </is>
      </c>
      <c r="D1111" s="2" t="inlineStr">
        <is>
          <t>'Galette'!C16,D16</t>
        </is>
      </c>
      <c r="E1111" s="2" t="inlineStr">
        <is>
          <t>EDC</t>
        </is>
      </c>
      <c r="F1111" s="3" t="n">
        <v>25</v>
      </c>
      <c r="G1111" s="2" t="inlineStr">
        <is>
          <t>25</t>
        </is>
      </c>
      <c r="H1111" s="2" t="inlineStr">
        <is>
          <t>H14</t>
        </is>
      </c>
    </row>
    <row r="1112">
      <c r="A1112" s="2" t="inlineStr">
        <is>
          <t>L122</t>
        </is>
      </c>
      <c r="B1112" s="2" t="inlineStr">
        <is>
          <t>Galette</t>
        </is>
      </c>
      <c r="C1112" s="2" t="inlineStr">
        <is>
          <t>S048</t>
        </is>
      </c>
      <c r="D1112" s="2" t="inlineStr">
        <is>
          <t>'Galette'!C5,F5</t>
        </is>
      </c>
      <c r="E1112" s="2" t="inlineStr">
        <is>
          <t>flour</t>
        </is>
      </c>
      <c r="F1112" s="3" t="n">
        <v>50000.00004</v>
      </c>
      <c r="G1112" s="2" t="inlineStr">
        <is>
          <t>=H5*5.55555556 [cached: 50000.00004]</t>
        </is>
      </c>
      <c r="H1112" s="2" t="inlineStr">
        <is>
          <t>H14</t>
        </is>
      </c>
    </row>
    <row r="1113">
      <c r="A1113" s="2" t="inlineStr">
        <is>
          <t>L122</t>
        </is>
      </c>
      <c r="B1113" s="2" t="inlineStr">
        <is>
          <t>Galette</t>
        </is>
      </c>
      <c r="C1113" s="2" t="inlineStr">
        <is>
          <t>S048</t>
        </is>
      </c>
      <c r="D1113" s="2" t="inlineStr">
        <is>
          <t>'Galette'!C6,F6</t>
        </is>
      </c>
      <c r="E1113" s="2" t="inlineStr">
        <is>
          <t>Butter</t>
        </is>
      </c>
      <c r="F1113" s="3" t="n">
        <v>5555.55556</v>
      </c>
      <c r="G1113" s="2" t="inlineStr">
        <is>
          <t>=H6*5.55555556 [cached: 5555.55556]</t>
        </is>
      </c>
      <c r="H1113" s="2" t="inlineStr">
        <is>
          <t>H14</t>
        </is>
      </c>
    </row>
    <row r="1114">
      <c r="A1114" s="2" t="inlineStr">
        <is>
          <t>L122</t>
        </is>
      </c>
      <c r="B1114" s="2" t="inlineStr">
        <is>
          <t>Galette</t>
        </is>
      </c>
      <c r="C1114" s="2" t="inlineStr">
        <is>
          <t>S048</t>
        </is>
      </c>
      <c r="D1114" s="2" t="inlineStr">
        <is>
          <t>'Galette'!C7,F7</t>
        </is>
      </c>
      <c r="E1114" s="2" t="inlineStr">
        <is>
          <t>sugar</t>
        </is>
      </c>
      <c r="F1114" s="3" t="n">
        <v>6111.111116</v>
      </c>
      <c r="G1114" s="2" t="inlineStr">
        <is>
          <t>=H7*5.55555556 [cached: 6111.111116]</t>
        </is>
      </c>
      <c r="H1114" s="2" t="inlineStr">
        <is>
          <t>H14</t>
        </is>
      </c>
    </row>
    <row r="1115">
      <c r="A1115" s="2" t="inlineStr">
        <is>
          <t>L122</t>
        </is>
      </c>
      <c r="B1115" s="2" t="inlineStr">
        <is>
          <t>Galette</t>
        </is>
      </c>
      <c r="C1115" s="2" t="inlineStr">
        <is>
          <t>S048</t>
        </is>
      </c>
      <c r="D1115" s="2" t="inlineStr">
        <is>
          <t>'Galette'!C8,F8</t>
        </is>
      </c>
      <c r="E1115" s="2" t="inlineStr">
        <is>
          <t>Milk</t>
        </is>
      </c>
      <c r="F1115" s="3" t="n">
        <v>4444.444448</v>
      </c>
      <c r="G1115" s="2" t="inlineStr">
        <is>
          <t>=H8*5.55555556 [cached: 4444.444448]</t>
        </is>
      </c>
      <c r="H1115" s="2" t="inlineStr">
        <is>
          <t>H14</t>
        </is>
      </c>
    </row>
    <row r="1116">
      <c r="A1116" s="2" t="inlineStr">
        <is>
          <t>L122</t>
        </is>
      </c>
      <c r="B1116" s="2" t="inlineStr">
        <is>
          <t>Galette</t>
        </is>
      </c>
      <c r="C1116" s="2" t="inlineStr">
        <is>
          <t>S048</t>
        </is>
      </c>
      <c r="D1116" s="2" t="inlineStr">
        <is>
          <t>'Galette'!C9,F9</t>
        </is>
      </c>
      <c r="E1116" s="2" t="inlineStr">
        <is>
          <t>egg</t>
        </is>
      </c>
      <c r="F1116" s="3" t="n">
        <v>4166.666670000001</v>
      </c>
      <c r="G1116" s="2" t="inlineStr">
        <is>
          <t>=H9*5.55555556 [cached: 4166.6666700000005]</t>
        </is>
      </c>
      <c r="H1116" s="2" t="inlineStr">
        <is>
          <t>H14</t>
        </is>
      </c>
    </row>
    <row r="1117">
      <c r="A1117" s="2" t="inlineStr">
        <is>
          <t>L122</t>
        </is>
      </c>
      <c r="B1117" s="2" t="inlineStr">
        <is>
          <t>Galette</t>
        </is>
      </c>
      <c r="C1117" s="2" t="inlineStr">
        <is>
          <t>S048</t>
        </is>
      </c>
      <c r="D1117" s="2" t="inlineStr">
        <is>
          <t>'Galette'!C10,F10</t>
        </is>
      </c>
      <c r="E1117" s="2" t="inlineStr">
        <is>
          <t>salt</t>
        </is>
      </c>
      <c r="F1117" s="3" t="n">
        <v>666.6666672</v>
      </c>
      <c r="G1117" s="2" t="inlineStr">
        <is>
          <t>=H10*5.55555556 [cached: 666.6666672]</t>
        </is>
      </c>
      <c r="H1117" s="2" t="inlineStr">
        <is>
          <t>H14</t>
        </is>
      </c>
    </row>
    <row r="1118">
      <c r="A1118" s="2" t="inlineStr">
        <is>
          <t>L122</t>
        </is>
      </c>
      <c r="B1118" s="2" t="inlineStr">
        <is>
          <t>Galette</t>
        </is>
      </c>
      <c r="C1118" s="2" t="inlineStr">
        <is>
          <t>S048</t>
        </is>
      </c>
      <c r="D1118" s="2" t="inlineStr">
        <is>
          <t>'Galette'!C11,F11</t>
        </is>
      </c>
      <c r="E1118" s="2" t="inlineStr">
        <is>
          <t>improver</t>
        </is>
      </c>
      <c r="F1118" s="3" t="n">
        <v>666.6666672</v>
      </c>
      <c r="G1118" s="2" t="inlineStr">
        <is>
          <t>=H11*5.55555556 [cached: 666.6666672]</t>
        </is>
      </c>
      <c r="H1118" s="2" t="inlineStr">
        <is>
          <t>H14</t>
        </is>
      </c>
    </row>
    <row r="1119">
      <c r="A1119" s="2" t="inlineStr">
        <is>
          <t>L122</t>
        </is>
      </c>
      <c r="B1119" s="2" t="inlineStr">
        <is>
          <t>Galette</t>
        </is>
      </c>
      <c r="C1119" s="2" t="inlineStr">
        <is>
          <t>S048</t>
        </is>
      </c>
      <c r="D1119" s="2" t="inlineStr">
        <is>
          <t>'Galette'!C12,F12</t>
        </is>
      </c>
      <c r="E1119" s="2" t="inlineStr">
        <is>
          <t>yeast</t>
        </is>
      </c>
      <c r="F1119" s="3" t="n">
        <v>416.666667</v>
      </c>
      <c r="G1119" s="2" t="inlineStr">
        <is>
          <t>=H12*5.55555556 [cached: 416.666667]</t>
        </is>
      </c>
      <c r="H1119" s="2" t="inlineStr">
        <is>
          <t>H14</t>
        </is>
      </c>
    </row>
    <row r="1120">
      <c r="A1120" s="2" t="inlineStr">
        <is>
          <t>L122</t>
        </is>
      </c>
      <c r="B1120" s="2" t="inlineStr">
        <is>
          <t>Galette</t>
        </is>
      </c>
      <c r="C1120" s="2" t="inlineStr">
        <is>
          <t>S048</t>
        </is>
      </c>
      <c r="D1120" s="2" t="inlineStr">
        <is>
          <t>'Galette'!C13,F13</t>
        </is>
      </c>
      <c r="E1120" s="2" t="inlineStr">
        <is>
          <t>water</t>
        </is>
      </c>
      <c r="F1120" s="3" t="n">
        <v>16666.66668</v>
      </c>
      <c r="G1120" s="2" t="inlineStr">
        <is>
          <t>=H13*5.55555556 [cached: 16666.666680000002]</t>
        </is>
      </c>
      <c r="H1120" s="2" t="inlineStr">
        <is>
          <t>H14</t>
        </is>
      </c>
    </row>
    <row r="1121">
      <c r="A1121" s="2" t="inlineStr">
        <is>
          <t>L122</t>
        </is>
      </c>
      <c r="B1121" s="2" t="inlineStr">
        <is>
          <t>Galette</t>
        </is>
      </c>
      <c r="C1121" s="2" t="inlineStr">
        <is>
          <t>S048</t>
        </is>
      </c>
      <c r="D1121" s="2" t="inlineStr">
        <is>
          <t>'Galette'!C14,F14</t>
        </is>
      </c>
      <c r="E1121" s="2" t="inlineStr">
        <is>
          <t>baking powder</t>
        </is>
      </c>
      <c r="F1121" s="3" t="n">
        <v>611.1111116000001</v>
      </c>
      <c r="G1121" s="2" t="inlineStr">
        <is>
          <t>=H14*5.55555556 [cached: 611.1111116000001]</t>
        </is>
      </c>
      <c r="H1121" s="2" t="inlineStr">
        <is>
          <t>H14</t>
        </is>
      </c>
    </row>
    <row r="1122">
      <c r="A1122" s="2" t="inlineStr">
        <is>
          <t>L122</t>
        </is>
      </c>
      <c r="B1122" s="2" t="inlineStr">
        <is>
          <t>Galette</t>
        </is>
      </c>
      <c r="C1122" s="2" t="inlineStr">
        <is>
          <t>S048</t>
        </is>
      </c>
      <c r="D1122" s="2" t="inlineStr">
        <is>
          <t>'Galette'!C15,F15</t>
        </is>
      </c>
      <c r="E1122" s="2" t="inlineStr">
        <is>
          <t>Chocolate</t>
        </is>
      </c>
      <c r="F1122" s="3" t="n">
        <v>5555.55556</v>
      </c>
      <c r="G1122" s="2" t="inlineStr">
        <is>
          <t>=H15*5.55555556 [cached: 5555.55556]</t>
        </is>
      </c>
      <c r="H1122" s="2" t="inlineStr">
        <is>
          <t>H14</t>
        </is>
      </c>
    </row>
    <row r="1123">
      <c r="A1123" s="2" t="inlineStr">
        <is>
          <t>L122</t>
        </is>
      </c>
      <c r="B1123" s="2" t="inlineStr">
        <is>
          <t>Galette</t>
        </is>
      </c>
      <c r="C1123" s="2" t="inlineStr">
        <is>
          <t>S048</t>
        </is>
      </c>
      <c r="D1123" s="2" t="inlineStr">
        <is>
          <t>'Galette'!C16,F16</t>
        </is>
      </c>
      <c r="E1123" s="2" t="inlineStr">
        <is>
          <t>EDC</t>
        </is>
      </c>
      <c r="F1123" s="3" t="n">
        <v>555.555556</v>
      </c>
      <c r="G1123" s="2" t="inlineStr">
        <is>
          <t>=H16*5.55555556 [cached: 555.555556]</t>
        </is>
      </c>
      <c r="H1123" s="2" t="inlineStr">
        <is>
          <t>H14</t>
        </is>
      </c>
    </row>
    <row r="1124">
      <c r="A1124" s="2" t="inlineStr">
        <is>
          <t>L123</t>
        </is>
      </c>
      <c r="B1124" s="2" t="inlineStr">
        <is>
          <t>Kouatchoua gato</t>
        </is>
      </c>
      <c r="C1124" s="2" t="inlineStr">
        <is>
          <t>S048</t>
        </is>
      </c>
      <c r="D1124" s="2" t="inlineStr">
        <is>
          <t>'Kouatchoua gato'!C5,D5</t>
        </is>
      </c>
      <c r="E1124" s="2" t="inlineStr">
        <is>
          <t>flour</t>
        </is>
      </c>
      <c r="F1124" s="3" t="n">
        <v>25000</v>
      </c>
      <c r="G1124" s="2" t="inlineStr">
        <is>
          <t>25000</t>
        </is>
      </c>
      <c r="H1124" s="2" t="inlineStr">
        <is>
          <t>Retain unique variant; no equivalent operating card selected</t>
        </is>
      </c>
    </row>
    <row r="1125">
      <c r="A1125" s="2" t="inlineStr">
        <is>
          <t>L123</t>
        </is>
      </c>
      <c r="B1125" s="2" t="inlineStr">
        <is>
          <t>Kouatchoua gato</t>
        </is>
      </c>
      <c r="C1125" s="2" t="inlineStr">
        <is>
          <t>S048</t>
        </is>
      </c>
      <c r="D1125" s="2" t="inlineStr">
        <is>
          <t>'Kouatchoua gato'!C6,D6</t>
        </is>
      </c>
      <c r="E1125" s="2" t="inlineStr">
        <is>
          <t>Butter</t>
        </is>
      </c>
      <c r="F1125" s="3" t="n">
        <v>1300</v>
      </c>
      <c r="G1125" s="2" t="inlineStr">
        <is>
          <t>1300</t>
        </is>
      </c>
      <c r="H1125" s="2" t="inlineStr">
        <is>
          <t>Retain unique variant; no equivalent operating card selected</t>
        </is>
      </c>
    </row>
    <row r="1126">
      <c r="A1126" s="2" t="inlineStr">
        <is>
          <t>L123</t>
        </is>
      </c>
      <c r="B1126" s="2" t="inlineStr">
        <is>
          <t>Kouatchoua gato</t>
        </is>
      </c>
      <c r="C1126" s="2" t="inlineStr">
        <is>
          <t>S048</t>
        </is>
      </c>
      <c r="D1126" s="2" t="inlineStr">
        <is>
          <t>'Kouatchoua gato'!C7,D7</t>
        </is>
      </c>
      <c r="E1126" s="2" t="inlineStr">
        <is>
          <t>sugar</t>
        </is>
      </c>
      <c r="F1126" s="3" t="n">
        <v>1700</v>
      </c>
      <c r="G1126" s="2" t="inlineStr">
        <is>
          <t>1700</t>
        </is>
      </c>
      <c r="H1126" s="2" t="inlineStr">
        <is>
          <t>Retain unique variant; no equivalent operating card selected</t>
        </is>
      </c>
    </row>
    <row r="1127">
      <c r="A1127" s="2" t="inlineStr">
        <is>
          <t>L123</t>
        </is>
      </c>
      <c r="B1127" s="2" t="inlineStr">
        <is>
          <t>Kouatchoua gato</t>
        </is>
      </c>
      <c r="C1127" s="2" t="inlineStr">
        <is>
          <t>S048</t>
        </is>
      </c>
      <c r="D1127" s="2" t="inlineStr">
        <is>
          <t>'Kouatchoua gato'!C8,D8</t>
        </is>
      </c>
      <c r="E1127" s="2" t="inlineStr">
        <is>
          <t>Conc Milk</t>
        </is>
      </c>
      <c r="F1127" s="3" t="n">
        <v>800</v>
      </c>
      <c r="G1127" s="2" t="inlineStr">
        <is>
          <t>800</t>
        </is>
      </c>
      <c r="H1127" s="2" t="inlineStr">
        <is>
          <t>Retain unique variant; no equivalent operating card selected</t>
        </is>
      </c>
    </row>
    <row r="1128">
      <c r="A1128" s="2" t="inlineStr">
        <is>
          <t>L123</t>
        </is>
      </c>
      <c r="B1128" s="2" t="inlineStr">
        <is>
          <t>Kouatchoua gato</t>
        </is>
      </c>
      <c r="C1128" s="2" t="inlineStr">
        <is>
          <t>S048</t>
        </is>
      </c>
      <c r="D1128" s="2" t="inlineStr">
        <is>
          <t>'Kouatchoua gato'!C9,D9</t>
        </is>
      </c>
      <c r="E1128" s="2" t="inlineStr">
        <is>
          <t>egg</t>
        </is>
      </c>
      <c r="F1128" s="3" t="n">
        <v>750</v>
      </c>
      <c r="G1128" s="2" t="inlineStr">
        <is>
          <t>750</t>
        </is>
      </c>
      <c r="H1128" s="2" t="inlineStr">
        <is>
          <t>Retain unique variant; no equivalent operating card selected</t>
        </is>
      </c>
    </row>
    <row r="1129">
      <c r="A1129" s="2" t="inlineStr">
        <is>
          <t>L123</t>
        </is>
      </c>
      <c r="B1129" s="2" t="inlineStr">
        <is>
          <t>Kouatchoua gato</t>
        </is>
      </c>
      <c r="C1129" s="2" t="inlineStr">
        <is>
          <t>S048</t>
        </is>
      </c>
      <c r="D1129" s="2" t="inlineStr">
        <is>
          <t>'Kouatchoua gato'!C10,D10</t>
        </is>
      </c>
      <c r="E1129" s="2" t="inlineStr">
        <is>
          <t>salt</t>
        </is>
      </c>
      <c r="F1129" s="3" t="n">
        <v>270</v>
      </c>
      <c r="G1129" s="2" t="inlineStr">
        <is>
          <t>270</t>
        </is>
      </c>
      <c r="H1129" s="2" t="inlineStr">
        <is>
          <t>Retain unique variant; no equivalent operating card selected</t>
        </is>
      </c>
    </row>
    <row r="1130">
      <c r="A1130" s="2" t="inlineStr">
        <is>
          <t>L123</t>
        </is>
      </c>
      <c r="B1130" s="2" t="inlineStr">
        <is>
          <t>Kouatchoua gato</t>
        </is>
      </c>
      <c r="C1130" s="2" t="inlineStr">
        <is>
          <t>S048</t>
        </is>
      </c>
      <c r="D1130" s="2" t="inlineStr">
        <is>
          <t>'Kouatchoua gato'!C11,D11</t>
        </is>
      </c>
      <c r="E1130" s="2" t="inlineStr">
        <is>
          <t>improver</t>
        </is>
      </c>
      <c r="F1130" s="3" t="n">
        <v>150</v>
      </c>
      <c r="G1130" s="2" t="inlineStr">
        <is>
          <t>150</t>
        </is>
      </c>
      <c r="H1130" s="2" t="inlineStr">
        <is>
          <t>Retain unique variant; no equivalent operating card selected</t>
        </is>
      </c>
    </row>
    <row r="1131">
      <c r="A1131" s="2" t="inlineStr">
        <is>
          <t>L123</t>
        </is>
      </c>
      <c r="B1131" s="2" t="inlineStr">
        <is>
          <t>Kouatchoua gato</t>
        </is>
      </c>
      <c r="C1131" s="2" t="inlineStr">
        <is>
          <t>S048</t>
        </is>
      </c>
      <c r="D1131" s="2" t="inlineStr">
        <is>
          <t>'Kouatchoua gato'!C12,D12</t>
        </is>
      </c>
      <c r="E1131" s="2" t="inlineStr">
        <is>
          <t>yeast</t>
        </is>
      </c>
      <c r="F1131" s="3" t="n">
        <v>160</v>
      </c>
      <c r="G1131" s="2" t="inlineStr">
        <is>
          <t>160</t>
        </is>
      </c>
      <c r="H1131" s="2" t="inlineStr">
        <is>
          <t>Retain unique variant; no equivalent operating card selected</t>
        </is>
      </c>
    </row>
    <row r="1132">
      <c r="A1132" s="2" t="inlineStr">
        <is>
          <t>L123</t>
        </is>
      </c>
      <c r="B1132" s="2" t="inlineStr">
        <is>
          <t>Kouatchoua gato</t>
        </is>
      </c>
      <c r="C1132" s="2" t="inlineStr">
        <is>
          <t>S048</t>
        </is>
      </c>
      <c r="D1132" s="2" t="inlineStr">
        <is>
          <t>'Kouatchoua gato'!C13,D13</t>
        </is>
      </c>
      <c r="E1132" s="2" t="inlineStr">
        <is>
          <t>water</t>
        </is>
      </c>
      <c r="F1132" s="3" t="n">
        <v>9000</v>
      </c>
      <c r="G1132" s="2" t="inlineStr">
        <is>
          <t>9000</t>
        </is>
      </c>
      <c r="H1132" s="2" t="inlineStr">
        <is>
          <t>Retain unique variant; no equivalent operating card selected</t>
        </is>
      </c>
    </row>
    <row r="1133">
      <c r="A1133" s="2" t="inlineStr">
        <is>
          <t>L123</t>
        </is>
      </c>
      <c r="B1133" s="2" t="inlineStr">
        <is>
          <t>Kouatchoua gato</t>
        </is>
      </c>
      <c r="C1133" s="2" t="inlineStr">
        <is>
          <t>S048</t>
        </is>
      </c>
      <c r="D1133" s="2" t="inlineStr">
        <is>
          <t>'Kouatchoua gato'!C14,D14</t>
        </is>
      </c>
      <c r="E1133" s="2" t="inlineStr">
        <is>
          <t>baking powder</t>
        </is>
      </c>
      <c r="F1133" s="3" t="n">
        <v>170</v>
      </c>
      <c r="G1133" s="2" t="inlineStr">
        <is>
          <t>170</t>
        </is>
      </c>
      <c r="H1133" s="2" t="inlineStr">
        <is>
          <t>Retain unique variant; no equivalent operating card selected</t>
        </is>
      </c>
    </row>
    <row r="1134">
      <c r="A1134" s="2" t="inlineStr">
        <is>
          <t>L123</t>
        </is>
      </c>
      <c r="B1134" s="2" t="inlineStr">
        <is>
          <t>Kouatchoua gato</t>
        </is>
      </c>
      <c r="C1134" s="2" t="inlineStr">
        <is>
          <t>S048</t>
        </is>
      </c>
      <c r="D1134" s="2" t="inlineStr">
        <is>
          <t>'Kouatchoua gato'!C15,D15</t>
        </is>
      </c>
      <c r="E1134" s="2" t="inlineStr">
        <is>
          <t>frying oil</t>
        </is>
      </c>
      <c r="F1134" s="3" t="n">
        <v>8000</v>
      </c>
      <c r="G1134" s="2" t="inlineStr">
        <is>
          <t>8000</t>
        </is>
      </c>
      <c r="H1134" s="2" t="inlineStr">
        <is>
          <t>Retain unique variant; no equivalent operating card selected</t>
        </is>
      </c>
    </row>
    <row r="1135">
      <c r="A1135" s="2" t="inlineStr">
        <is>
          <t>L124</t>
        </is>
      </c>
      <c r="B1135" s="2" t="inlineStr">
        <is>
          <t>Sugar Balls</t>
        </is>
      </c>
      <c r="C1135" s="2" t="inlineStr">
        <is>
          <t>S048</t>
        </is>
      </c>
      <c r="D1135" s="2" t="inlineStr">
        <is>
          <t>'Sugar Balls'!C5,D5</t>
        </is>
      </c>
      <c r="E1135" s="2" t="inlineStr">
        <is>
          <t>flour</t>
        </is>
      </c>
      <c r="F1135" s="3" t="n">
        <v>9000</v>
      </c>
      <c r="G1135" s="2" t="inlineStr">
        <is>
          <t>9000</t>
        </is>
      </c>
      <c r="H1135" s="2" t="inlineStr">
        <is>
          <t>Retain unique variant; no equivalent operating card selected</t>
        </is>
      </c>
    </row>
    <row r="1136">
      <c r="A1136" s="2" t="inlineStr">
        <is>
          <t>L124</t>
        </is>
      </c>
      <c r="B1136" s="2" t="inlineStr">
        <is>
          <t>Sugar Balls</t>
        </is>
      </c>
      <c r="C1136" s="2" t="inlineStr">
        <is>
          <t>S048</t>
        </is>
      </c>
      <c r="D1136" s="2" t="inlineStr">
        <is>
          <t>'Sugar Balls'!C6,D6</t>
        </is>
      </c>
      <c r="E1136" s="2" t="inlineStr">
        <is>
          <t>baking powder</t>
        </is>
      </c>
      <c r="F1136" s="3" t="n">
        <v>110</v>
      </c>
      <c r="G1136" s="2" t="inlineStr">
        <is>
          <t>110</t>
        </is>
      </c>
      <c r="H1136" s="2" t="inlineStr">
        <is>
          <t>Retain unique variant; no equivalent operating card selected</t>
        </is>
      </c>
    </row>
    <row r="1137">
      <c r="A1137" s="2" t="inlineStr">
        <is>
          <t>L124</t>
        </is>
      </c>
      <c r="B1137" s="2" t="inlineStr">
        <is>
          <t>Sugar Balls</t>
        </is>
      </c>
      <c r="C1137" s="2" t="inlineStr">
        <is>
          <t>S048</t>
        </is>
      </c>
      <c r="D1137" s="2" t="inlineStr">
        <is>
          <t>'Sugar Balls'!C7,D7</t>
        </is>
      </c>
      <c r="E1137" s="2" t="inlineStr">
        <is>
          <t>sugar</t>
        </is>
      </c>
      <c r="F1137" s="3" t="n">
        <v>1100</v>
      </c>
      <c r="G1137" s="2" t="inlineStr">
        <is>
          <t>1100</t>
        </is>
      </c>
      <c r="H1137" s="2" t="inlineStr">
        <is>
          <t>Retain unique variant; no equivalent operating card selected</t>
        </is>
      </c>
    </row>
    <row r="1138">
      <c r="A1138" s="2" t="inlineStr">
        <is>
          <t>L124</t>
        </is>
      </c>
      <c r="B1138" s="2" t="inlineStr">
        <is>
          <t>Sugar Balls</t>
        </is>
      </c>
      <c r="C1138" s="2" t="inlineStr">
        <is>
          <t>S048</t>
        </is>
      </c>
      <c r="D1138" s="2" t="inlineStr">
        <is>
          <t>'Sugar Balls'!C8,D8</t>
        </is>
      </c>
      <c r="E1138" s="2" t="inlineStr">
        <is>
          <t>Butter</t>
        </is>
      </c>
      <c r="F1138" s="3" t="n">
        <v>900</v>
      </c>
      <c r="G1138" s="2" t="inlineStr">
        <is>
          <t>900</t>
        </is>
      </c>
      <c r="H1138" s="2" t="inlineStr">
        <is>
          <t>Retain unique variant; no equivalent operating card selected</t>
        </is>
      </c>
    </row>
    <row r="1139">
      <c r="A1139" s="2" t="inlineStr">
        <is>
          <t>L124</t>
        </is>
      </c>
      <c r="B1139" s="2" t="inlineStr">
        <is>
          <t>Sugar Balls</t>
        </is>
      </c>
      <c r="C1139" s="2" t="inlineStr">
        <is>
          <t>S048</t>
        </is>
      </c>
      <c r="D1139" s="2" t="inlineStr">
        <is>
          <t>'Sugar Balls'!C9,D9</t>
        </is>
      </c>
      <c r="E1139" s="2" t="inlineStr">
        <is>
          <t>salt</t>
        </is>
      </c>
      <c r="F1139" s="3" t="n">
        <v>120</v>
      </c>
      <c r="G1139" s="2" t="inlineStr">
        <is>
          <t>120</t>
        </is>
      </c>
      <c r="H1139" s="2" t="inlineStr">
        <is>
          <t>Retain unique variant; no equivalent operating card selected</t>
        </is>
      </c>
    </row>
    <row r="1140">
      <c r="A1140" s="2" t="inlineStr">
        <is>
          <t>L124</t>
        </is>
      </c>
      <c r="B1140" s="2" t="inlineStr">
        <is>
          <t>Sugar Balls</t>
        </is>
      </c>
      <c r="C1140" s="2" t="inlineStr">
        <is>
          <t>S048</t>
        </is>
      </c>
      <c r="D1140" s="2" t="inlineStr">
        <is>
          <t>'Sugar Balls'!C10,D10</t>
        </is>
      </c>
      <c r="E1140" s="2" t="inlineStr">
        <is>
          <t>Cold Water</t>
        </is>
      </c>
      <c r="F1140" s="3" t="n">
        <v>3400</v>
      </c>
      <c r="G1140" s="2" t="inlineStr">
        <is>
          <t>3400</t>
        </is>
      </c>
      <c r="H1140" s="2" t="inlineStr">
        <is>
          <t>Retain unique variant; no equivalent operating card selected</t>
        </is>
      </c>
    </row>
    <row r="1141">
      <c r="A1141" s="2" t="inlineStr">
        <is>
          <t>L124</t>
        </is>
      </c>
      <c r="B1141" s="2" t="inlineStr">
        <is>
          <t>Sugar Balls</t>
        </is>
      </c>
      <c r="C1141" s="2" t="inlineStr">
        <is>
          <t>S048</t>
        </is>
      </c>
      <c r="D1141" s="2" t="inlineStr">
        <is>
          <t>'Sugar Balls'!C11,D11</t>
        </is>
      </c>
      <c r="E1141" s="2" t="inlineStr">
        <is>
          <t>Improver</t>
        </is>
      </c>
      <c r="F1141" s="3" t="n">
        <v>120</v>
      </c>
      <c r="G1141" s="2" t="inlineStr">
        <is>
          <t>120</t>
        </is>
      </c>
      <c r="H1141" s="2" t="inlineStr">
        <is>
          <t>Retain unique variant; no equivalent operating card selected</t>
        </is>
      </c>
    </row>
    <row r="1142">
      <c r="A1142" s="2" t="inlineStr">
        <is>
          <t>L124</t>
        </is>
      </c>
      <c r="B1142" s="2" t="inlineStr">
        <is>
          <t>Sugar Balls</t>
        </is>
      </c>
      <c r="C1142" s="2" t="inlineStr">
        <is>
          <t>S048</t>
        </is>
      </c>
      <c r="D1142" s="2" t="inlineStr">
        <is>
          <t>'Sugar Balls'!C12,D12</t>
        </is>
      </c>
      <c r="E1142" s="2" t="inlineStr">
        <is>
          <t>yeast</t>
        </is>
      </c>
      <c r="F1142" s="3" t="n">
        <v>165</v>
      </c>
      <c r="G1142" s="2" t="inlineStr">
        <is>
          <t>165</t>
        </is>
      </c>
      <c r="H1142" s="2" t="inlineStr">
        <is>
          <t>Retain unique variant; no equivalent operating card selected</t>
        </is>
      </c>
    </row>
    <row r="1143">
      <c r="A1143" s="2" t="inlineStr">
        <is>
          <t>L125</t>
        </is>
      </c>
      <c r="B1143" s="2" t="inlineStr">
        <is>
          <t>Sugar Balls</t>
        </is>
      </c>
      <c r="C1143" s="2" t="inlineStr">
        <is>
          <t>S048</t>
        </is>
      </c>
      <c r="D1143" s="2" t="inlineStr">
        <is>
          <t>'Sugar Balls'!C5,H5</t>
        </is>
      </c>
      <c r="E1143" s="2" t="inlineStr">
        <is>
          <t>flour</t>
        </is>
      </c>
      <c r="F1143" s="3" t="n">
        <v>45000</v>
      </c>
      <c r="G1143" s="2" t="inlineStr">
        <is>
          <t>=D5*5 [cached: 45000]</t>
        </is>
      </c>
      <c r="H1143" s="2" t="inlineStr">
        <is>
          <t>Retain unique variant; no equivalent operating card selected</t>
        </is>
      </c>
    </row>
    <row r="1144">
      <c r="A1144" s="2" t="inlineStr">
        <is>
          <t>L125</t>
        </is>
      </c>
      <c r="B1144" s="2" t="inlineStr">
        <is>
          <t>Sugar Balls</t>
        </is>
      </c>
      <c r="C1144" s="2" t="inlineStr">
        <is>
          <t>S048</t>
        </is>
      </c>
      <c r="D1144" s="2" t="inlineStr">
        <is>
          <t>'Sugar Balls'!C6,H6</t>
        </is>
      </c>
      <c r="E1144" s="2" t="inlineStr">
        <is>
          <t>baking powder</t>
        </is>
      </c>
      <c r="F1144" s="3" t="n">
        <v>550</v>
      </c>
      <c r="G1144" s="2" t="inlineStr">
        <is>
          <t>=D6*5 [cached: 550]</t>
        </is>
      </c>
      <c r="H1144" s="2" t="inlineStr">
        <is>
          <t>Retain unique variant; no equivalent operating card selected</t>
        </is>
      </c>
    </row>
    <row r="1145">
      <c r="A1145" s="2" t="inlineStr">
        <is>
          <t>L125</t>
        </is>
      </c>
      <c r="B1145" s="2" t="inlineStr">
        <is>
          <t>Sugar Balls</t>
        </is>
      </c>
      <c r="C1145" s="2" t="inlineStr">
        <is>
          <t>S048</t>
        </is>
      </c>
      <c r="D1145" s="2" t="inlineStr">
        <is>
          <t>'Sugar Balls'!C7,H7</t>
        </is>
      </c>
      <c r="E1145" s="2" t="inlineStr">
        <is>
          <t>sugar</t>
        </is>
      </c>
      <c r="F1145" s="3" t="n">
        <v>5500</v>
      </c>
      <c r="G1145" s="2" t="inlineStr">
        <is>
          <t>=D7*5 [cached: 5500]</t>
        </is>
      </c>
      <c r="H1145" s="2" t="inlineStr">
        <is>
          <t>Retain unique variant; no equivalent operating card selected</t>
        </is>
      </c>
    </row>
    <row r="1146">
      <c r="A1146" s="2" t="inlineStr">
        <is>
          <t>L125</t>
        </is>
      </c>
      <c r="B1146" s="2" t="inlineStr">
        <is>
          <t>Sugar Balls</t>
        </is>
      </c>
      <c r="C1146" s="2" t="inlineStr">
        <is>
          <t>S048</t>
        </is>
      </c>
      <c r="D1146" s="2" t="inlineStr">
        <is>
          <t>'Sugar Balls'!C8,H8</t>
        </is>
      </c>
      <c r="E1146" s="2" t="inlineStr">
        <is>
          <t>Butter</t>
        </is>
      </c>
      <c r="F1146" s="3" t="n">
        <v>4500</v>
      </c>
      <c r="G1146" s="2" t="inlineStr">
        <is>
          <t>=D8*5 [cached: 4500]</t>
        </is>
      </c>
      <c r="H1146" s="2" t="inlineStr">
        <is>
          <t>Retain unique variant; no equivalent operating card selected</t>
        </is>
      </c>
    </row>
    <row r="1147">
      <c r="A1147" s="2" t="inlineStr">
        <is>
          <t>L125</t>
        </is>
      </c>
      <c r="B1147" s="2" t="inlineStr">
        <is>
          <t>Sugar Balls</t>
        </is>
      </c>
      <c r="C1147" s="2" t="inlineStr">
        <is>
          <t>S048</t>
        </is>
      </c>
      <c r="D1147" s="2" t="inlineStr">
        <is>
          <t>'Sugar Balls'!C9,H9</t>
        </is>
      </c>
      <c r="E1147" s="2" t="inlineStr">
        <is>
          <t>salt</t>
        </is>
      </c>
      <c r="F1147" s="3" t="n">
        <v>600</v>
      </c>
      <c r="G1147" s="2" t="inlineStr">
        <is>
          <t>=D9*5 [cached: 600]</t>
        </is>
      </c>
      <c r="H1147" s="2" t="inlineStr">
        <is>
          <t>Retain unique variant; no equivalent operating card selected</t>
        </is>
      </c>
    </row>
    <row r="1148">
      <c r="A1148" s="2" t="inlineStr">
        <is>
          <t>L125</t>
        </is>
      </c>
      <c r="B1148" s="2" t="inlineStr">
        <is>
          <t>Sugar Balls</t>
        </is>
      </c>
      <c r="C1148" s="2" t="inlineStr">
        <is>
          <t>S048</t>
        </is>
      </c>
      <c r="D1148" s="2" t="inlineStr">
        <is>
          <t>'Sugar Balls'!C10,H10</t>
        </is>
      </c>
      <c r="E1148" s="2" t="inlineStr">
        <is>
          <t>Cold Water</t>
        </is>
      </c>
      <c r="F1148" s="3" t="n">
        <v>17000</v>
      </c>
      <c r="G1148" s="2" t="inlineStr">
        <is>
          <t>=D10*5 [cached: 17000]</t>
        </is>
      </c>
      <c r="H1148" s="2" t="inlineStr">
        <is>
          <t>Retain unique variant; no equivalent operating card selected</t>
        </is>
      </c>
    </row>
    <row r="1149">
      <c r="A1149" s="2" t="inlineStr">
        <is>
          <t>L125</t>
        </is>
      </c>
      <c r="B1149" s="2" t="inlineStr">
        <is>
          <t>Sugar Balls</t>
        </is>
      </c>
      <c r="C1149" s="2" t="inlineStr">
        <is>
          <t>S048</t>
        </is>
      </c>
      <c r="D1149" s="2" t="inlineStr">
        <is>
          <t>'Sugar Balls'!C11,H11</t>
        </is>
      </c>
      <c r="E1149" s="2" t="inlineStr">
        <is>
          <t>Improver</t>
        </is>
      </c>
      <c r="F1149" s="3" t="n">
        <v>600</v>
      </c>
      <c r="G1149" s="2" t="inlineStr">
        <is>
          <t>=D11*5 [cached: 600]</t>
        </is>
      </c>
      <c r="H1149" s="2" t="inlineStr">
        <is>
          <t>Retain unique variant; no equivalent operating card selected</t>
        </is>
      </c>
    </row>
    <row r="1150">
      <c r="A1150" s="2" t="inlineStr">
        <is>
          <t>L125</t>
        </is>
      </c>
      <c r="B1150" s="2" t="inlineStr">
        <is>
          <t>Sugar Balls</t>
        </is>
      </c>
      <c r="C1150" s="2" t="inlineStr">
        <is>
          <t>S048</t>
        </is>
      </c>
      <c r="D1150" s="2" t="inlineStr">
        <is>
          <t>'Sugar Balls'!C12,H12</t>
        </is>
      </c>
      <c r="E1150" s="2" t="inlineStr">
        <is>
          <t>yeast</t>
        </is>
      </c>
      <c r="F1150" s="3" t="n">
        <v>275.55</v>
      </c>
      <c r="G1150" s="2" t="inlineStr">
        <is>
          <t>=D12*1.67 [cached: 275.55]</t>
        </is>
      </c>
      <c r="H1150" s="2" t="inlineStr">
        <is>
          <t>Retain unique variant; no equivalent operating card selected</t>
        </is>
      </c>
    </row>
    <row r="1151">
      <c r="A1151" s="2" t="inlineStr">
        <is>
          <t>L126</t>
        </is>
      </c>
      <c r="B1151" s="2" t="inlineStr">
        <is>
          <t>Sugar Balls</t>
        </is>
      </c>
      <c r="C1151" s="2" t="inlineStr">
        <is>
          <t>S048</t>
        </is>
      </c>
      <c r="D1151" s="2" t="inlineStr">
        <is>
          <t>'Sugar Balls'!C5,L5</t>
        </is>
      </c>
      <c r="E1151" s="2" t="inlineStr">
        <is>
          <t>flour</t>
        </is>
      </c>
      <c r="F1151" s="3" t="n">
        <v>8500</v>
      </c>
      <c r="G1151" s="2" t="inlineStr">
        <is>
          <t>8500</t>
        </is>
      </c>
      <c r="H1151" s="2" t="inlineStr">
        <is>
          <t>Retain unique variant; no equivalent operating card selected</t>
        </is>
      </c>
    </row>
    <row r="1152">
      <c r="A1152" s="2" t="inlineStr">
        <is>
          <t>L126</t>
        </is>
      </c>
      <c r="B1152" s="2" t="inlineStr">
        <is>
          <t>Sugar Balls</t>
        </is>
      </c>
      <c r="C1152" s="2" t="inlineStr">
        <is>
          <t>S048</t>
        </is>
      </c>
      <c r="D1152" s="2" t="inlineStr">
        <is>
          <t>'Sugar Balls'!C6,L6</t>
        </is>
      </c>
      <c r="E1152" s="2" t="inlineStr">
        <is>
          <t>baking powder</t>
        </is>
      </c>
      <c r="F1152" s="3" t="n">
        <v>100</v>
      </c>
      <c r="G1152" s="2" t="inlineStr">
        <is>
          <t>100</t>
        </is>
      </c>
      <c r="H1152" s="2" t="inlineStr">
        <is>
          <t>Retain unique variant; no equivalent operating card selected</t>
        </is>
      </c>
    </row>
    <row r="1153">
      <c r="A1153" s="2" t="inlineStr">
        <is>
          <t>L126</t>
        </is>
      </c>
      <c r="B1153" s="2" t="inlineStr">
        <is>
          <t>Sugar Balls</t>
        </is>
      </c>
      <c r="C1153" s="2" t="inlineStr">
        <is>
          <t>S048</t>
        </is>
      </c>
      <c r="D1153" s="2" t="inlineStr">
        <is>
          <t>'Sugar Balls'!C7,L7</t>
        </is>
      </c>
      <c r="E1153" s="2" t="inlineStr">
        <is>
          <t>sugar</t>
        </is>
      </c>
      <c r="F1153" s="3" t="n">
        <v>1000</v>
      </c>
      <c r="G1153" s="2" t="inlineStr">
        <is>
          <t>1000</t>
        </is>
      </c>
      <c r="H1153" s="2" t="inlineStr">
        <is>
          <t>Retain unique variant; no equivalent operating card selected</t>
        </is>
      </c>
    </row>
    <row r="1154">
      <c r="A1154" s="2" t="inlineStr">
        <is>
          <t>L126</t>
        </is>
      </c>
      <c r="B1154" s="2" t="inlineStr">
        <is>
          <t>Sugar Balls</t>
        </is>
      </c>
      <c r="C1154" s="2" t="inlineStr">
        <is>
          <t>S048</t>
        </is>
      </c>
      <c r="D1154" s="2" t="inlineStr">
        <is>
          <t>'Sugar Balls'!C8,L8</t>
        </is>
      </c>
      <c r="E1154" s="2" t="inlineStr">
        <is>
          <t>Butter</t>
        </is>
      </c>
      <c r="F1154" s="3" t="n">
        <v>900</v>
      </c>
      <c r="G1154" s="2" t="inlineStr">
        <is>
          <t>900</t>
        </is>
      </c>
      <c r="H1154" s="2" t="inlineStr">
        <is>
          <t>Retain unique variant; no equivalent operating card selected</t>
        </is>
      </c>
    </row>
    <row r="1155">
      <c r="A1155" s="2" t="inlineStr">
        <is>
          <t>L126</t>
        </is>
      </c>
      <c r="B1155" s="2" t="inlineStr">
        <is>
          <t>Sugar Balls</t>
        </is>
      </c>
      <c r="C1155" s="2" t="inlineStr">
        <is>
          <t>S048</t>
        </is>
      </c>
      <c r="D1155" s="2" t="inlineStr">
        <is>
          <t>'Sugar Balls'!C9,L9</t>
        </is>
      </c>
      <c r="E1155" s="2" t="inlineStr">
        <is>
          <t>salt</t>
        </is>
      </c>
      <c r="F1155" s="3" t="n">
        <v>120</v>
      </c>
      <c r="G1155" s="2" t="inlineStr">
        <is>
          <t>120</t>
        </is>
      </c>
      <c r="H1155" s="2" t="inlineStr">
        <is>
          <t>Retain unique variant; no equivalent operating card selected</t>
        </is>
      </c>
    </row>
    <row r="1156">
      <c r="A1156" s="2" t="inlineStr">
        <is>
          <t>L126</t>
        </is>
      </c>
      <c r="B1156" s="2" t="inlineStr">
        <is>
          <t>Sugar Balls</t>
        </is>
      </c>
      <c r="C1156" s="2" t="inlineStr">
        <is>
          <t>S048</t>
        </is>
      </c>
      <c r="D1156" s="2" t="inlineStr">
        <is>
          <t>'Sugar Balls'!C10,L10</t>
        </is>
      </c>
      <c r="E1156" s="2" t="inlineStr">
        <is>
          <t>Cold Water</t>
        </is>
      </c>
      <c r="F1156" s="3" t="n">
        <v>3300</v>
      </c>
      <c r="G1156" s="2" t="inlineStr">
        <is>
          <t>3300</t>
        </is>
      </c>
      <c r="H1156" s="2" t="inlineStr">
        <is>
          <t>Retain unique variant; no equivalent operating card selected</t>
        </is>
      </c>
    </row>
    <row r="1157">
      <c r="A1157" s="2" t="inlineStr">
        <is>
          <t>L126</t>
        </is>
      </c>
      <c r="B1157" s="2" t="inlineStr">
        <is>
          <t>Sugar Balls</t>
        </is>
      </c>
      <c r="C1157" s="2" t="inlineStr">
        <is>
          <t>S048</t>
        </is>
      </c>
      <c r="D1157" s="2" t="inlineStr">
        <is>
          <t>'Sugar Balls'!C11,L11</t>
        </is>
      </c>
      <c r="E1157" s="2" t="inlineStr">
        <is>
          <t>Improver</t>
        </is>
      </c>
      <c r="F1157" s="3" t="n">
        <v>66.66666660000001</v>
      </c>
      <c r="G1157" s="2" t="inlineStr">
        <is>
          <t>=F11/10 [cached: 66.66666660000001]</t>
        </is>
      </c>
      <c r="H1157" s="2" t="inlineStr">
        <is>
          <t>Retain unique variant; no equivalent operating card selected</t>
        </is>
      </c>
    </row>
    <row r="1158">
      <c r="A1158" s="2" t="inlineStr">
        <is>
          <t>L126</t>
        </is>
      </c>
      <c r="B1158" s="2" t="inlineStr">
        <is>
          <t>Sugar Balls</t>
        </is>
      </c>
      <c r="C1158" s="2" t="inlineStr">
        <is>
          <t>S048</t>
        </is>
      </c>
      <c r="D1158" s="2" t="inlineStr">
        <is>
          <t>'Sugar Balls'!C12,L12</t>
        </is>
      </c>
      <c r="E1158" s="2" t="inlineStr">
        <is>
          <t>yeast</t>
        </is>
      </c>
      <c r="F1158" s="3" t="n">
        <v>160</v>
      </c>
      <c r="G1158" s="2" t="inlineStr">
        <is>
          <t>160</t>
        </is>
      </c>
      <c r="H1158" s="2" t="inlineStr">
        <is>
          <t>Retain unique variant; no equivalent operating card selected</t>
        </is>
      </c>
    </row>
    <row r="1159">
      <c r="A1159" s="2" t="inlineStr">
        <is>
          <t>L127</t>
        </is>
      </c>
      <c r="B1159" s="2" t="inlineStr">
        <is>
          <t>YUMMY BREAD</t>
        </is>
      </c>
      <c r="C1159" s="2" t="inlineStr">
        <is>
          <t>S048</t>
        </is>
      </c>
      <c r="D1159" s="2" t="inlineStr">
        <is>
          <t>'YUMMY BREAD'!C5,D5</t>
        </is>
      </c>
      <c r="E1159" s="2" t="inlineStr">
        <is>
          <t>flour</t>
        </is>
      </c>
      <c r="F1159" s="3" t="n">
        <v>14000</v>
      </c>
      <c r="G1159" s="2" t="inlineStr">
        <is>
          <t>14000</t>
        </is>
      </c>
      <c r="H1159" s="2" t="inlineStr">
        <is>
          <t>M1-B01–B13</t>
        </is>
      </c>
    </row>
    <row r="1160">
      <c r="A1160" s="2" t="inlineStr">
        <is>
          <t>L127</t>
        </is>
      </c>
      <c r="B1160" s="2" t="inlineStr">
        <is>
          <t>YUMMY BREAD</t>
        </is>
      </c>
      <c r="C1160" s="2" t="inlineStr">
        <is>
          <t>S048</t>
        </is>
      </c>
      <c r="D1160" s="2" t="inlineStr">
        <is>
          <t>'YUMMY BREAD'!C6,D6</t>
        </is>
      </c>
      <c r="E1160" s="2" t="inlineStr">
        <is>
          <t>Butter</t>
        </is>
      </c>
      <c r="F1160" s="3" t="n">
        <v>1500</v>
      </c>
      <c r="G1160" s="2" t="inlineStr">
        <is>
          <t>1500</t>
        </is>
      </c>
      <c r="H1160" s="2" t="inlineStr">
        <is>
          <t>M1-B01–B13</t>
        </is>
      </c>
    </row>
    <row r="1161">
      <c r="A1161" s="2" t="inlineStr">
        <is>
          <t>L127</t>
        </is>
      </c>
      <c r="B1161" s="2" t="inlineStr">
        <is>
          <t>YUMMY BREAD</t>
        </is>
      </c>
      <c r="C1161" s="2" t="inlineStr">
        <is>
          <t>S048</t>
        </is>
      </c>
      <c r="D1161" s="2" t="inlineStr">
        <is>
          <t>'YUMMY BREAD'!C7,D7</t>
        </is>
      </c>
      <c r="E1161" s="2" t="inlineStr">
        <is>
          <t>sugar</t>
        </is>
      </c>
      <c r="F1161" s="3" t="n">
        <v>1500</v>
      </c>
      <c r="G1161" s="2" t="inlineStr">
        <is>
          <t>1500</t>
        </is>
      </c>
      <c r="H1161" s="2" t="inlineStr">
        <is>
          <t>M1-B01–B13</t>
        </is>
      </c>
    </row>
    <row r="1162">
      <c r="A1162" s="2" t="inlineStr">
        <is>
          <t>L127</t>
        </is>
      </c>
      <c r="B1162" s="2" t="inlineStr">
        <is>
          <t>YUMMY BREAD</t>
        </is>
      </c>
      <c r="C1162" s="2" t="inlineStr">
        <is>
          <t>S048</t>
        </is>
      </c>
      <c r="D1162" s="2" t="inlineStr">
        <is>
          <t>'YUMMY BREAD'!C8,D8</t>
        </is>
      </c>
      <c r="E1162" s="2" t="inlineStr">
        <is>
          <t>Milk</t>
        </is>
      </c>
      <c r="F1162" s="3" t="n">
        <v>1000</v>
      </c>
      <c r="G1162" s="2" t="inlineStr">
        <is>
          <t>1000</t>
        </is>
      </c>
      <c r="H1162" s="2" t="inlineStr">
        <is>
          <t>M1-B01–B13</t>
        </is>
      </c>
    </row>
    <row r="1163">
      <c r="A1163" s="2" t="inlineStr">
        <is>
          <t>L127</t>
        </is>
      </c>
      <c r="B1163" s="2" t="inlineStr">
        <is>
          <t>YUMMY BREAD</t>
        </is>
      </c>
      <c r="C1163" s="2" t="inlineStr">
        <is>
          <t>S048</t>
        </is>
      </c>
      <c r="D1163" s="2" t="inlineStr">
        <is>
          <t>'YUMMY BREAD'!C9,D9</t>
        </is>
      </c>
      <c r="E1163" s="2" t="inlineStr">
        <is>
          <t>egg</t>
        </is>
      </c>
      <c r="F1163" s="3" t="n">
        <v>750</v>
      </c>
      <c r="G1163" s="2" t="inlineStr">
        <is>
          <t>750</t>
        </is>
      </c>
      <c r="H1163" s="2" t="inlineStr">
        <is>
          <t>M1-B01–B13</t>
        </is>
      </c>
    </row>
    <row r="1164">
      <c r="A1164" s="2" t="inlineStr">
        <is>
          <t>L127</t>
        </is>
      </c>
      <c r="B1164" s="2" t="inlineStr">
        <is>
          <t>YUMMY BREAD</t>
        </is>
      </c>
      <c r="C1164" s="2" t="inlineStr">
        <is>
          <t>S048</t>
        </is>
      </c>
      <c r="D1164" s="2" t="inlineStr">
        <is>
          <t>'YUMMY BREAD'!C10,D10</t>
        </is>
      </c>
      <c r="E1164" s="2" t="inlineStr">
        <is>
          <t>salt</t>
        </is>
      </c>
      <c r="F1164" s="3" t="n">
        <v>120</v>
      </c>
      <c r="G1164" s="2" t="inlineStr">
        <is>
          <t>120</t>
        </is>
      </c>
      <c r="H1164" s="2" t="inlineStr">
        <is>
          <t>M1-B01–B13</t>
        </is>
      </c>
    </row>
    <row r="1165">
      <c r="A1165" s="2" t="inlineStr">
        <is>
          <t>L127</t>
        </is>
      </c>
      <c r="B1165" s="2" t="inlineStr">
        <is>
          <t>YUMMY BREAD</t>
        </is>
      </c>
      <c r="C1165" s="2" t="inlineStr">
        <is>
          <t>S048</t>
        </is>
      </c>
      <c r="D1165" s="2" t="inlineStr">
        <is>
          <t>'YUMMY BREAD'!C11,D11</t>
        </is>
      </c>
      <c r="E1165" s="2" t="inlineStr">
        <is>
          <t>improver</t>
        </is>
      </c>
      <c r="F1165" s="3" t="n">
        <v>120</v>
      </c>
      <c r="G1165" s="2" t="inlineStr">
        <is>
          <t>120</t>
        </is>
      </c>
      <c r="H1165" s="2" t="inlineStr">
        <is>
          <t>M1-B01–B13</t>
        </is>
      </c>
    </row>
    <row r="1166">
      <c r="A1166" s="2" t="inlineStr">
        <is>
          <t>L127</t>
        </is>
      </c>
      <c r="B1166" s="2" t="inlineStr">
        <is>
          <t>YUMMY BREAD</t>
        </is>
      </c>
      <c r="C1166" s="2" t="inlineStr">
        <is>
          <t>S048</t>
        </is>
      </c>
      <c r="D1166" s="2" t="inlineStr">
        <is>
          <t>'YUMMY BREAD'!C12,D12</t>
        </is>
      </c>
      <c r="E1166" s="2" t="inlineStr">
        <is>
          <t>yeast</t>
        </is>
      </c>
      <c r="F1166" s="3" t="n">
        <v>160</v>
      </c>
      <c r="G1166" s="2" t="inlineStr">
        <is>
          <t>160</t>
        </is>
      </c>
      <c r="H1166" s="2" t="inlineStr">
        <is>
          <t>M1-B01–B13</t>
        </is>
      </c>
    </row>
    <row r="1167">
      <c r="A1167" s="2" t="inlineStr">
        <is>
          <t>L127</t>
        </is>
      </c>
      <c r="B1167" s="2" t="inlineStr">
        <is>
          <t>YUMMY BREAD</t>
        </is>
      </c>
      <c r="C1167" s="2" t="inlineStr">
        <is>
          <t>S048</t>
        </is>
      </c>
      <c r="D1167" s="2" t="inlineStr">
        <is>
          <t>'YUMMY BREAD'!C13,D13</t>
        </is>
      </c>
      <c r="E1167" s="2" t="inlineStr">
        <is>
          <t>water</t>
        </is>
      </c>
      <c r="F1167" s="3" t="n">
        <v>4000</v>
      </c>
      <c r="G1167" s="2" t="inlineStr">
        <is>
          <t>4000</t>
        </is>
      </c>
      <c r="H1167" s="2" t="inlineStr">
        <is>
          <t>M1-B01–B13</t>
        </is>
      </c>
    </row>
    <row r="1168">
      <c r="A1168" s="2" t="inlineStr">
        <is>
          <t>L127</t>
        </is>
      </c>
      <c r="B1168" s="2" t="inlineStr">
        <is>
          <t>YUMMY BREAD</t>
        </is>
      </c>
      <c r="C1168" s="2" t="inlineStr">
        <is>
          <t>S048</t>
        </is>
      </c>
      <c r="D1168" s="2" t="inlineStr">
        <is>
          <t>'YUMMY BREAD'!C14,D14</t>
        </is>
      </c>
      <c r="E1168" s="2" t="inlineStr">
        <is>
          <t>Oil</t>
        </is>
      </c>
      <c r="F1168" s="3" t="n">
        <v>300</v>
      </c>
      <c r="G1168" s="2" t="inlineStr">
        <is>
          <t>300</t>
        </is>
      </c>
      <c r="H1168" s="2" t="inlineStr">
        <is>
          <t>M1-B01–B13</t>
        </is>
      </c>
    </row>
    <row r="1169">
      <c r="A1169" s="2" t="inlineStr">
        <is>
          <t>L127</t>
        </is>
      </c>
      <c r="B1169" s="2" t="inlineStr">
        <is>
          <t>YUMMY BREAD</t>
        </is>
      </c>
      <c r="C1169" s="2" t="inlineStr">
        <is>
          <t>S048</t>
        </is>
      </c>
      <c r="D1169" s="2" t="inlineStr">
        <is>
          <t>'YUMMY BREAD'!C15,D15</t>
        </is>
      </c>
      <c r="E1169" s="2" t="inlineStr">
        <is>
          <t>EDC</t>
        </is>
      </c>
      <c r="F1169" s="3" t="n">
        <v>100</v>
      </c>
      <c r="G1169" s="2" t="inlineStr">
        <is>
          <t>100</t>
        </is>
      </c>
      <c r="H1169" s="2" t="inlineStr">
        <is>
          <t>M1-B01–B13</t>
        </is>
      </c>
    </row>
    <row r="1170">
      <c r="A1170" s="2" t="inlineStr">
        <is>
          <t>L128</t>
        </is>
      </c>
      <c r="B1170" s="2" t="inlineStr">
        <is>
          <t>YUMMY YOGHOURT (YUYO)</t>
        </is>
      </c>
      <c r="C1170" s="2" t="inlineStr">
        <is>
          <t>S048</t>
        </is>
      </c>
      <c r="D1170" s="2" t="inlineStr">
        <is>
          <t>'YUMMY YOGHOURT (YUYO)'!C5,D5</t>
        </is>
      </c>
      <c r="E1170" s="2" t="inlineStr">
        <is>
          <t>Milk</t>
        </is>
      </c>
      <c r="F1170" s="3" t="n">
        <v>1500</v>
      </c>
      <c r="G1170" s="2" t="inlineStr">
        <is>
          <t>1500</t>
        </is>
      </c>
      <c r="H1170" s="2" t="inlineStr">
        <is>
          <t>S-Y01–S-Y03</t>
        </is>
      </c>
    </row>
    <row r="1171">
      <c r="A1171" s="2" t="inlineStr">
        <is>
          <t>L128</t>
        </is>
      </c>
      <c r="B1171" s="2" t="inlineStr">
        <is>
          <t>YUMMY YOGHOURT (YUYO)</t>
        </is>
      </c>
      <c r="C1171" s="2" t="inlineStr">
        <is>
          <t>S048</t>
        </is>
      </c>
      <c r="D1171" s="2" t="inlineStr">
        <is>
          <t>'YUMMY YOGHOURT (YUYO)'!C6,D6</t>
        </is>
      </c>
      <c r="E1171" s="2" t="inlineStr">
        <is>
          <t>sugar</t>
        </is>
      </c>
      <c r="F1171" s="3" t="n">
        <v>800</v>
      </c>
      <c r="G1171" s="2" t="inlineStr">
        <is>
          <t>800</t>
        </is>
      </c>
      <c r="H1171" s="2" t="inlineStr">
        <is>
          <t>S-Y01–S-Y03</t>
        </is>
      </c>
    </row>
    <row r="1172">
      <c r="A1172" s="2" t="inlineStr">
        <is>
          <t>L128</t>
        </is>
      </c>
      <c r="B1172" s="2" t="inlineStr">
        <is>
          <t>YUMMY YOGHOURT (YUYO)</t>
        </is>
      </c>
      <c r="C1172" s="2" t="inlineStr">
        <is>
          <t>S048</t>
        </is>
      </c>
      <c r="D1172" s="2" t="inlineStr">
        <is>
          <t>'YUMMY YOGHOURT (YUYO)'!C7,D7</t>
        </is>
      </c>
      <c r="E1172" s="2" t="inlineStr">
        <is>
          <t>Cold Water</t>
        </is>
      </c>
      <c r="F1172" s="3" t="n">
        <v>8000</v>
      </c>
      <c r="G1172" s="2" t="inlineStr">
        <is>
          <t>8000</t>
        </is>
      </c>
      <c r="H1172" s="2" t="inlineStr">
        <is>
          <t>S-Y01–S-Y03</t>
        </is>
      </c>
    </row>
    <row r="1173">
      <c r="A1173" s="2" t="inlineStr">
        <is>
          <t>L128</t>
        </is>
      </c>
      <c r="B1173" s="2" t="inlineStr">
        <is>
          <t>YUMMY YOGHOURT (YUYO)</t>
        </is>
      </c>
      <c r="C1173" s="2" t="inlineStr">
        <is>
          <t>S048</t>
        </is>
      </c>
      <c r="D1173" s="2" t="inlineStr">
        <is>
          <t>'YUMMY YOGHOURT (YUYO)'!C8,D8</t>
        </is>
      </c>
      <c r="E1173" s="2" t="inlineStr">
        <is>
          <t>stock yoghort</t>
        </is>
      </c>
      <c r="F1173" s="3" t="n">
        <v>500</v>
      </c>
      <c r="G1173" s="2" t="inlineStr">
        <is>
          <t>500</t>
        </is>
      </c>
      <c r="H1173" s="2" t="inlineStr">
        <is>
          <t>S-Y01–S-Y03</t>
        </is>
      </c>
    </row>
    <row r="1174">
      <c r="A1174" s="2" t="inlineStr">
        <is>
          <t>L128</t>
        </is>
      </c>
      <c r="B1174" s="2" t="inlineStr">
        <is>
          <t>YUMMY YOGHOURT (YUYO)</t>
        </is>
      </c>
      <c r="C1174" s="2" t="inlineStr">
        <is>
          <t>S048</t>
        </is>
      </c>
      <c r="D1174" s="2" t="inlineStr">
        <is>
          <t>'YUMMY YOGHOURT (YUYO)'!C9,D9</t>
        </is>
      </c>
      <c r="E1174" s="2" t="inlineStr">
        <is>
          <t>vanilla</t>
        </is>
      </c>
      <c r="F1174" s="3" t="n">
        <v>20</v>
      </c>
      <c r="G1174" s="2" t="inlineStr">
        <is>
          <t>20</t>
        </is>
      </c>
      <c r="H1174" s="2" t="inlineStr">
        <is>
          <t>S-Y01–S-Y03</t>
        </is>
      </c>
    </row>
    <row r="1175">
      <c r="A1175" s="2" t="inlineStr">
        <is>
          <t>L129</t>
        </is>
      </c>
      <c r="B1175" s="2" t="inlineStr">
        <is>
          <t>YUMMY YOGHOURT (YUYO)</t>
        </is>
      </c>
      <c r="C1175" s="2" t="inlineStr">
        <is>
          <t>S048</t>
        </is>
      </c>
      <c r="D1175" s="2" t="inlineStr">
        <is>
          <t>'YUMMY YOGHOURT (YUYO)'!C5,F5</t>
        </is>
      </c>
      <c r="E1175" s="2" t="inlineStr">
        <is>
          <t>Milk</t>
        </is>
      </c>
      <c r="F1175" s="3" t="n">
        <v>24999.9</v>
      </c>
      <c r="G1175" s="2" t="inlineStr">
        <is>
          <t>=H5*16.6666 [cached: 24999.899999999998]</t>
        </is>
      </c>
      <c r="H1175" s="2" t="inlineStr">
        <is>
          <t>S-Y01–S-Y03</t>
        </is>
      </c>
    </row>
    <row r="1176">
      <c r="A1176" s="2" t="inlineStr">
        <is>
          <t>L129</t>
        </is>
      </c>
      <c r="B1176" s="2" t="inlineStr">
        <is>
          <t>YUMMY YOGHOURT (YUYO)</t>
        </is>
      </c>
      <c r="C1176" s="2" t="inlineStr">
        <is>
          <t>S048</t>
        </is>
      </c>
      <c r="D1176" s="2" t="inlineStr">
        <is>
          <t>'YUMMY YOGHOURT (YUYO)'!C6,F6</t>
        </is>
      </c>
      <c r="E1176" s="2" t="inlineStr">
        <is>
          <t>sugar</t>
        </is>
      </c>
      <c r="F1176" s="3" t="n">
        <v>11666.62</v>
      </c>
      <c r="G1176" s="2" t="inlineStr">
        <is>
          <t>=H6*16.6666 [cached: 11666.619999999999]</t>
        </is>
      </c>
      <c r="H1176" s="2" t="inlineStr">
        <is>
          <t>S-Y01–S-Y03</t>
        </is>
      </c>
    </row>
    <row r="1177">
      <c r="A1177" s="2" t="inlineStr">
        <is>
          <t>L129</t>
        </is>
      </c>
      <c r="B1177" s="2" t="inlineStr">
        <is>
          <t>YUMMY YOGHOURT (YUYO)</t>
        </is>
      </c>
      <c r="C1177" s="2" t="inlineStr">
        <is>
          <t>S048</t>
        </is>
      </c>
      <c r="D1177" s="2" t="inlineStr">
        <is>
          <t>'YUMMY YOGHOURT (YUYO)'!C7,F7</t>
        </is>
      </c>
      <c r="E1177" s="2" t="inlineStr">
        <is>
          <t>Cold Water</t>
        </is>
      </c>
      <c r="F1177" s="3" t="n">
        <v>133332.8</v>
      </c>
      <c r="G1177" s="2" t="inlineStr">
        <is>
          <t>=H7*16.6666 [cached: 133332.8]</t>
        </is>
      </c>
      <c r="H1177" s="2" t="inlineStr">
        <is>
          <t>S-Y01–S-Y03</t>
        </is>
      </c>
    </row>
    <row r="1178">
      <c r="A1178" s="2" t="inlineStr">
        <is>
          <t>L129</t>
        </is>
      </c>
      <c r="B1178" s="2" t="inlineStr">
        <is>
          <t>YUMMY YOGHOURT (YUYO)</t>
        </is>
      </c>
      <c r="C1178" s="2" t="inlineStr">
        <is>
          <t>S048</t>
        </is>
      </c>
      <c r="D1178" s="2" t="inlineStr">
        <is>
          <t>'YUMMY YOGHOURT (YUYO)'!C8,F8</t>
        </is>
      </c>
      <c r="E1178" s="2" t="inlineStr">
        <is>
          <t>stock yoghort</t>
        </is>
      </c>
      <c r="F1178" s="3" t="n">
        <v>8333.299999999999</v>
      </c>
      <c r="G1178" s="2" t="inlineStr">
        <is>
          <t>=H8*16.6666 [cached: 8333.3]</t>
        </is>
      </c>
      <c r="H1178" s="2" t="inlineStr">
        <is>
          <t>S-Y01–S-Y03</t>
        </is>
      </c>
    </row>
    <row r="1179">
      <c r="A1179" s="2" t="inlineStr">
        <is>
          <t>L129</t>
        </is>
      </c>
      <c r="B1179" s="2" t="inlineStr">
        <is>
          <t>YUMMY YOGHOURT (YUYO)</t>
        </is>
      </c>
      <c r="C1179" s="2" t="inlineStr">
        <is>
          <t>S048</t>
        </is>
      </c>
      <c r="D1179" s="2" t="inlineStr">
        <is>
          <t>'YUMMY YOGHOURT (YUYO)'!C9,F9</t>
        </is>
      </c>
      <c r="E1179" s="2" t="inlineStr">
        <is>
          <t>vanilla</t>
        </is>
      </c>
      <c r="F1179" s="3" t="n">
        <v>1666.66</v>
      </c>
      <c r="G1179" s="2" t="inlineStr">
        <is>
          <t>=H9*16.6666 [cached: 1666.6599999999999]</t>
        </is>
      </c>
      <c r="H1179" s="2" t="inlineStr">
        <is>
          <t>S-Y01–S-Y03</t>
        </is>
      </c>
    </row>
    <row r="1180">
      <c r="A1180" s="2" t="inlineStr">
        <is>
          <t>L130</t>
        </is>
      </c>
      <c r="B1180" s="2" t="inlineStr">
        <is>
          <t>YUMMY YOGHOURT (YUYO)</t>
        </is>
      </c>
      <c r="C1180" s="2" t="inlineStr">
        <is>
          <t>S048</t>
        </is>
      </c>
      <c r="D1180" s="2" t="inlineStr">
        <is>
          <t>'YUMMY YOGHOURT (YUYO)'!C5,L5</t>
        </is>
      </c>
      <c r="E1180" s="2" t="inlineStr">
        <is>
          <t>Milk</t>
        </is>
      </c>
      <c r="F1180" s="3" t="n">
        <v>2499.99</v>
      </c>
      <c r="G1180" s="2" t="inlineStr">
        <is>
          <t>=F5/10 [cached: 2499.99]</t>
        </is>
      </c>
      <c r="H1180" s="2" t="inlineStr">
        <is>
          <t>S-Y01–S-Y03</t>
        </is>
      </c>
    </row>
    <row r="1181">
      <c r="A1181" s="2" t="inlineStr">
        <is>
          <t>L130</t>
        </is>
      </c>
      <c r="B1181" s="2" t="inlineStr">
        <is>
          <t>YUMMY YOGHOURT (YUYO)</t>
        </is>
      </c>
      <c r="C1181" s="2" t="inlineStr">
        <is>
          <t>S048</t>
        </is>
      </c>
      <c r="D1181" s="2" t="inlineStr">
        <is>
          <t>'YUMMY YOGHOURT (YUYO)'!C6,L6</t>
        </is>
      </c>
      <c r="E1181" s="2" t="inlineStr">
        <is>
          <t>sugar</t>
        </is>
      </c>
      <c r="F1181" s="3" t="n">
        <v>1166.662</v>
      </c>
      <c r="G1181" s="2" t="inlineStr">
        <is>
          <t>=F6/10 [cached: 1166.6619999999998]</t>
        </is>
      </c>
      <c r="H1181" s="2" t="inlineStr">
        <is>
          <t>S-Y01–S-Y03</t>
        </is>
      </c>
    </row>
    <row r="1182">
      <c r="A1182" s="2" t="inlineStr">
        <is>
          <t>L130</t>
        </is>
      </c>
      <c r="B1182" s="2" t="inlineStr">
        <is>
          <t>YUMMY YOGHOURT (YUYO)</t>
        </is>
      </c>
      <c r="C1182" s="2" t="inlineStr">
        <is>
          <t>S048</t>
        </is>
      </c>
      <c r="D1182" s="2" t="inlineStr">
        <is>
          <t>'YUMMY YOGHOURT (YUYO)'!C7,L7</t>
        </is>
      </c>
      <c r="E1182" s="2" t="inlineStr">
        <is>
          <t>Cold Water</t>
        </is>
      </c>
      <c r="F1182" s="3" t="n">
        <v>13333.28</v>
      </c>
      <c r="G1182" s="2" t="inlineStr">
        <is>
          <t>=F7/10 [cached: 13333.279999999999]</t>
        </is>
      </c>
      <c r="H1182" s="2" t="inlineStr">
        <is>
          <t>S-Y01–S-Y03</t>
        </is>
      </c>
    </row>
    <row r="1183">
      <c r="A1183" s="2" t="inlineStr">
        <is>
          <t>L130</t>
        </is>
      </c>
      <c r="B1183" s="2" t="inlineStr">
        <is>
          <t>YUMMY YOGHOURT (YUYO)</t>
        </is>
      </c>
      <c r="C1183" s="2" t="inlineStr">
        <is>
          <t>S048</t>
        </is>
      </c>
      <c r="D1183" s="2" t="inlineStr">
        <is>
          <t>'YUMMY YOGHOURT (YUYO)'!C9,L9</t>
        </is>
      </c>
      <c r="E1183" s="2" t="inlineStr">
        <is>
          <t>vanilla</t>
        </is>
      </c>
      <c r="F1183" s="3" t="n">
        <v>166.666</v>
      </c>
      <c r="G1183" s="2" t="inlineStr">
        <is>
          <t>=F9/10 [cached: 166.666]</t>
        </is>
      </c>
      <c r="H1183" s="2" t="inlineStr">
        <is>
          <t>S-Y01–S-Y03</t>
        </is>
      </c>
    </row>
    <row r="1184">
      <c r="A1184" s="2" t="inlineStr">
        <is>
          <t>L131</t>
        </is>
      </c>
      <c r="B1184" s="2" t="inlineStr">
        <is>
          <t>beignet souffle</t>
        </is>
      </c>
      <c r="C1184" s="2" t="inlineStr">
        <is>
          <t>S048</t>
        </is>
      </c>
      <c r="D1184" s="2" t="inlineStr">
        <is>
          <t>'beignet souffle'!C5,D5</t>
        </is>
      </c>
      <c r="E1184" s="2" t="inlineStr">
        <is>
          <t>flour</t>
        </is>
      </c>
      <c r="F1184" s="3" t="n">
        <v>10000</v>
      </c>
      <c r="G1184" s="2" t="inlineStr">
        <is>
          <t>10000</t>
        </is>
      </c>
      <c r="H1184" s="2" t="inlineStr">
        <is>
          <t>H11</t>
        </is>
      </c>
    </row>
    <row r="1185">
      <c r="A1185" s="2" t="inlineStr">
        <is>
          <t>L131</t>
        </is>
      </c>
      <c r="B1185" s="2" t="inlineStr">
        <is>
          <t>beignet souffle</t>
        </is>
      </c>
      <c r="C1185" s="2" t="inlineStr">
        <is>
          <t>S048</t>
        </is>
      </c>
      <c r="D1185" s="2" t="inlineStr">
        <is>
          <t>'beignet souffle'!C6,D6</t>
        </is>
      </c>
      <c r="E1185" s="2" t="inlineStr">
        <is>
          <t>oil</t>
        </is>
      </c>
      <c r="F1185" s="3" t="n">
        <v>1300</v>
      </c>
      <c r="G1185" s="2" t="inlineStr">
        <is>
          <t>1300</t>
        </is>
      </c>
      <c r="H1185" s="2" t="inlineStr">
        <is>
          <t>H11</t>
        </is>
      </c>
    </row>
    <row r="1186">
      <c r="A1186" s="2" t="inlineStr">
        <is>
          <t>L131</t>
        </is>
      </c>
      <c r="B1186" s="2" t="inlineStr">
        <is>
          <t>beignet souffle</t>
        </is>
      </c>
      <c r="C1186" s="2" t="inlineStr">
        <is>
          <t>S048</t>
        </is>
      </c>
      <c r="D1186" s="2" t="inlineStr">
        <is>
          <t>'beignet souffle'!C7,D7</t>
        </is>
      </c>
      <c r="E1186" s="2" t="inlineStr">
        <is>
          <t>sugar</t>
        </is>
      </c>
      <c r="F1186" s="3" t="n">
        <v>1200</v>
      </c>
      <c r="G1186" s="2" t="inlineStr">
        <is>
          <t>1200</t>
        </is>
      </c>
      <c r="H1186" s="2" t="inlineStr">
        <is>
          <t>H11</t>
        </is>
      </c>
    </row>
    <row r="1187">
      <c r="A1187" s="2" t="inlineStr">
        <is>
          <t>L131</t>
        </is>
      </c>
      <c r="B1187" s="2" t="inlineStr">
        <is>
          <t>beignet souffle</t>
        </is>
      </c>
      <c r="C1187" s="2" t="inlineStr">
        <is>
          <t>S048</t>
        </is>
      </c>
      <c r="D1187" s="2" t="inlineStr">
        <is>
          <t>'beignet souffle'!C8,D8</t>
        </is>
      </c>
      <c r="E1187" s="2" t="inlineStr">
        <is>
          <t>Milk</t>
        </is>
      </c>
      <c r="F1187" s="3" t="n">
        <v>1250</v>
      </c>
      <c r="G1187" s="2" t="inlineStr">
        <is>
          <t>1250</t>
        </is>
      </c>
      <c r="H1187" s="2" t="inlineStr">
        <is>
          <t>H11</t>
        </is>
      </c>
    </row>
    <row r="1188">
      <c r="A1188" s="2" t="inlineStr">
        <is>
          <t>L131</t>
        </is>
      </c>
      <c r="B1188" s="2" t="inlineStr">
        <is>
          <t>beignet souffle</t>
        </is>
      </c>
      <c r="C1188" s="2" t="inlineStr">
        <is>
          <t>S048</t>
        </is>
      </c>
      <c r="D1188" s="2" t="inlineStr">
        <is>
          <t>'beignet souffle'!C9,D9</t>
        </is>
      </c>
      <c r="E1188" s="2" t="inlineStr">
        <is>
          <t>egg</t>
        </is>
      </c>
      <c r="F1188" s="3" t="n">
        <v>1750</v>
      </c>
      <c r="G1188" s="2" t="inlineStr">
        <is>
          <t>1750</t>
        </is>
      </c>
      <c r="H1188" s="2" t="inlineStr">
        <is>
          <t>H11</t>
        </is>
      </c>
    </row>
    <row r="1189">
      <c r="A1189" s="2" t="inlineStr">
        <is>
          <t>L131</t>
        </is>
      </c>
      <c r="B1189" s="2" t="inlineStr">
        <is>
          <t>beignet souffle</t>
        </is>
      </c>
      <c r="C1189" s="2" t="inlineStr">
        <is>
          <t>S048</t>
        </is>
      </c>
      <c r="D1189" s="2" t="inlineStr">
        <is>
          <t>'beignet souffle'!C10,D10</t>
        </is>
      </c>
      <c r="E1189" s="2" t="inlineStr">
        <is>
          <t>salt</t>
        </is>
      </c>
      <c r="F1189" s="3" t="n">
        <v>120</v>
      </c>
      <c r="G1189" s="2" t="inlineStr">
        <is>
          <t>120</t>
        </is>
      </c>
      <c r="H1189" s="2" t="inlineStr">
        <is>
          <t>H11</t>
        </is>
      </c>
    </row>
    <row r="1190">
      <c r="A1190" s="2" t="inlineStr">
        <is>
          <t>L131</t>
        </is>
      </c>
      <c r="B1190" s="2" t="inlineStr">
        <is>
          <t>beignet souffle</t>
        </is>
      </c>
      <c r="C1190" s="2" t="inlineStr">
        <is>
          <t>S048</t>
        </is>
      </c>
      <c r="D1190" s="2" t="inlineStr">
        <is>
          <t>'beignet souffle'!C11,D11</t>
        </is>
      </c>
      <c r="E1190" s="2" t="inlineStr">
        <is>
          <t>improver</t>
        </is>
      </c>
      <c r="F1190" s="3" t="n">
        <v>120</v>
      </c>
      <c r="G1190" s="2" t="inlineStr">
        <is>
          <t>120</t>
        </is>
      </c>
      <c r="H1190" s="2" t="inlineStr">
        <is>
          <t>H11</t>
        </is>
      </c>
    </row>
    <row r="1191">
      <c r="A1191" s="2" t="inlineStr">
        <is>
          <t>L131</t>
        </is>
      </c>
      <c r="B1191" s="2" t="inlineStr">
        <is>
          <t>beignet souffle</t>
        </is>
      </c>
      <c r="C1191" s="2" t="inlineStr">
        <is>
          <t>S048</t>
        </is>
      </c>
      <c r="D1191" s="2" t="inlineStr">
        <is>
          <t>'beignet souffle'!C12,D12</t>
        </is>
      </c>
      <c r="E1191" s="2" t="inlineStr">
        <is>
          <t>water</t>
        </is>
      </c>
      <c r="F1191" s="3" t="n">
        <v>4100</v>
      </c>
      <c r="G1191" s="2" t="inlineStr">
        <is>
          <t>4100</t>
        </is>
      </c>
      <c r="H1191" s="2" t="inlineStr">
        <is>
          <t>H11</t>
        </is>
      </c>
    </row>
    <row r="1192">
      <c r="A1192" s="2" t="inlineStr">
        <is>
          <t>L131</t>
        </is>
      </c>
      <c r="B1192" s="2" t="inlineStr">
        <is>
          <t>beignet souffle</t>
        </is>
      </c>
      <c r="C1192" s="2" t="inlineStr">
        <is>
          <t>S048</t>
        </is>
      </c>
      <c r="D1192" s="2" t="inlineStr">
        <is>
          <t>'beignet souffle'!C13,D13</t>
        </is>
      </c>
      <c r="E1192" s="2" t="inlineStr">
        <is>
          <t>baking powder</t>
        </is>
      </c>
      <c r="F1192" s="3" t="n">
        <v>120</v>
      </c>
      <c r="G1192" s="2" t="inlineStr">
        <is>
          <t>120</t>
        </is>
      </c>
      <c r="H1192" s="2" t="inlineStr">
        <is>
          <t>H11</t>
        </is>
      </c>
    </row>
    <row r="1193">
      <c r="A1193" s="2" t="inlineStr">
        <is>
          <t>L131</t>
        </is>
      </c>
      <c r="B1193" s="2" t="inlineStr">
        <is>
          <t>beignet souffle</t>
        </is>
      </c>
      <c r="C1193" s="2" t="inlineStr">
        <is>
          <t>S048</t>
        </is>
      </c>
      <c r="D1193" s="2" t="inlineStr">
        <is>
          <t>'beignet souffle'!C14,D14</t>
        </is>
      </c>
      <c r="E1193" s="2" t="inlineStr">
        <is>
          <t>EDC</t>
        </is>
      </c>
      <c r="F1193" s="3" t="n">
        <v>100</v>
      </c>
      <c r="G1193" s="2" t="inlineStr">
        <is>
          <t>100</t>
        </is>
      </c>
      <c r="H1193" s="2" t="inlineStr">
        <is>
          <t>H11</t>
        </is>
      </c>
    </row>
    <row r="1194">
      <c r="A1194" s="2" t="inlineStr">
        <is>
          <t>L131</t>
        </is>
      </c>
      <c r="B1194" s="2" t="inlineStr">
        <is>
          <t>beignet souffle</t>
        </is>
      </c>
      <c r="C1194" s="2" t="inlineStr">
        <is>
          <t>S048</t>
        </is>
      </c>
      <c r="D1194" s="2" t="inlineStr">
        <is>
          <t>'beignet souffle'!C15,D15</t>
        </is>
      </c>
      <c r="E1194" s="2" t="inlineStr">
        <is>
          <t>oil</t>
        </is>
      </c>
      <c r="F1194" s="3" t="n">
        <v>4000</v>
      </c>
      <c r="G1194" s="2" t="inlineStr">
        <is>
          <t>4000</t>
        </is>
      </c>
      <c r="H1194" s="2" t="inlineStr">
        <is>
          <t>H11</t>
        </is>
      </c>
    </row>
    <row r="1195">
      <c r="A1195" s="2" t="inlineStr">
        <is>
          <t>L132</t>
        </is>
      </c>
      <c r="B1195" s="2" t="inlineStr">
        <is>
          <t>beignet souffle</t>
        </is>
      </c>
      <c r="C1195" s="2" t="inlineStr">
        <is>
          <t>S048</t>
        </is>
      </c>
      <c r="D1195" s="2" t="inlineStr">
        <is>
          <t>'beignet souffle'!C5,F5</t>
        </is>
      </c>
      <c r="E1195" s="2" t="inlineStr">
        <is>
          <t>flour</t>
        </is>
      </c>
      <c r="F1195" s="3" t="n">
        <v>49999.9915</v>
      </c>
      <c r="G1195" s="2" t="inlineStr">
        <is>
          <t>=H5*5.263157 [cached: 49999.9915]</t>
        </is>
      </c>
      <c r="H1195" s="2" t="inlineStr">
        <is>
          <t>H11</t>
        </is>
      </c>
    </row>
    <row r="1196">
      <c r="A1196" s="2" t="inlineStr">
        <is>
          <t>L132</t>
        </is>
      </c>
      <c r="B1196" s="2" t="inlineStr">
        <is>
          <t>beignet souffle</t>
        </is>
      </c>
      <c r="C1196" s="2" t="inlineStr">
        <is>
          <t>S048</t>
        </is>
      </c>
      <c r="D1196" s="2" t="inlineStr">
        <is>
          <t>'beignet souffle'!C6,F6</t>
        </is>
      </c>
      <c r="E1196" s="2" t="inlineStr">
        <is>
          <t>oil</t>
        </is>
      </c>
      <c r="F1196" s="3" t="n">
        <v>3684.2099</v>
      </c>
      <c r="G1196" s="2" t="inlineStr">
        <is>
          <t>=H6*5.263157 [cached: 3684.2099]</t>
        </is>
      </c>
      <c r="H1196" s="2" t="inlineStr">
        <is>
          <t>H11</t>
        </is>
      </c>
    </row>
    <row r="1197">
      <c r="A1197" s="2" t="inlineStr">
        <is>
          <t>L132</t>
        </is>
      </c>
      <c r="B1197" s="2" t="inlineStr">
        <is>
          <t>beignet souffle</t>
        </is>
      </c>
      <c r="C1197" s="2" t="inlineStr">
        <is>
          <t>S048</t>
        </is>
      </c>
      <c r="D1197" s="2" t="inlineStr">
        <is>
          <t>'beignet souffle'!C7,F7</t>
        </is>
      </c>
      <c r="E1197" s="2" t="inlineStr">
        <is>
          <t>sugar</t>
        </is>
      </c>
      <c r="F1197" s="3" t="n">
        <v>5263.156999999999</v>
      </c>
      <c r="G1197" s="2" t="inlineStr">
        <is>
          <t>=H7*5.263157 [cached: 5263.156999999999]</t>
        </is>
      </c>
      <c r="H1197" s="2" t="inlineStr">
        <is>
          <t>H11</t>
        </is>
      </c>
    </row>
    <row r="1198">
      <c r="A1198" s="2" t="inlineStr">
        <is>
          <t>L132</t>
        </is>
      </c>
      <c r="B1198" s="2" t="inlineStr">
        <is>
          <t>beignet souffle</t>
        </is>
      </c>
      <c r="C1198" s="2" t="inlineStr">
        <is>
          <t>S048</t>
        </is>
      </c>
      <c r="D1198" s="2" t="inlineStr">
        <is>
          <t>'beignet souffle'!C8,F8</t>
        </is>
      </c>
      <c r="E1198" s="2" t="inlineStr">
        <is>
          <t>Milk</t>
        </is>
      </c>
      <c r="F1198" s="3" t="n">
        <v>5263.156999999999</v>
      </c>
      <c r="G1198" s="2" t="inlineStr">
        <is>
          <t>=H8*5.263157 [cached: 5263.156999999999]</t>
        </is>
      </c>
      <c r="H1198" s="2" t="inlineStr">
        <is>
          <t>H11</t>
        </is>
      </c>
    </row>
    <row r="1199">
      <c r="A1199" s="2" t="inlineStr">
        <is>
          <t>L132</t>
        </is>
      </c>
      <c r="B1199" s="2" t="inlineStr">
        <is>
          <t>beignet souffle</t>
        </is>
      </c>
      <c r="C1199" s="2" t="inlineStr">
        <is>
          <t>S048</t>
        </is>
      </c>
      <c r="D1199" s="2" t="inlineStr">
        <is>
          <t>'beignet souffle'!C9,F9</t>
        </is>
      </c>
      <c r="E1199" s="2" t="inlineStr">
        <is>
          <t>egg</t>
        </is>
      </c>
      <c r="F1199" s="3" t="n">
        <v>7894.7355</v>
      </c>
      <c r="G1199" s="2" t="inlineStr">
        <is>
          <t>=H9*5.263157 [cached: 7894.7355]</t>
        </is>
      </c>
      <c r="H1199" s="2" t="inlineStr">
        <is>
          <t>H11</t>
        </is>
      </c>
    </row>
    <row r="1200">
      <c r="A1200" s="2" t="inlineStr">
        <is>
          <t>L132</t>
        </is>
      </c>
      <c r="B1200" s="2" t="inlineStr">
        <is>
          <t>beignet souffle</t>
        </is>
      </c>
      <c r="C1200" s="2" t="inlineStr">
        <is>
          <t>S048</t>
        </is>
      </c>
      <c r="D1200" s="2" t="inlineStr">
        <is>
          <t>'beignet souffle'!C10,F10</t>
        </is>
      </c>
      <c r="E1200" s="2" t="inlineStr">
        <is>
          <t>salt</t>
        </is>
      </c>
      <c r="F1200" s="3" t="n">
        <v>631.5788399999999</v>
      </c>
      <c r="G1200" s="2" t="inlineStr">
        <is>
          <t>=H10*5.263157 [cached: 631.5788399999999]</t>
        </is>
      </c>
      <c r="H1200" s="2" t="inlineStr">
        <is>
          <t>H11</t>
        </is>
      </c>
    </row>
    <row r="1201">
      <c r="A1201" s="2" t="inlineStr">
        <is>
          <t>L132</t>
        </is>
      </c>
      <c r="B1201" s="2" t="inlineStr">
        <is>
          <t>beignet souffle</t>
        </is>
      </c>
      <c r="C1201" s="2" t="inlineStr">
        <is>
          <t>S048</t>
        </is>
      </c>
      <c r="D1201" s="2" t="inlineStr">
        <is>
          <t>'beignet souffle'!C11,F11</t>
        </is>
      </c>
      <c r="E1201" s="2" t="inlineStr">
        <is>
          <t>improver</t>
        </is>
      </c>
      <c r="F1201" s="3" t="n">
        <v>631.5788399999999</v>
      </c>
      <c r="G1201" s="2" t="inlineStr">
        <is>
          <t>=H11*5.263157 [cached: 631.5788399999999]</t>
        </is>
      </c>
      <c r="H1201" s="2" t="inlineStr">
        <is>
          <t>H11</t>
        </is>
      </c>
    </row>
    <row r="1202">
      <c r="A1202" s="2" t="inlineStr">
        <is>
          <t>L132</t>
        </is>
      </c>
      <c r="B1202" s="2" t="inlineStr">
        <is>
          <t>beignet souffle</t>
        </is>
      </c>
      <c r="C1202" s="2" t="inlineStr">
        <is>
          <t>S048</t>
        </is>
      </c>
      <c r="D1202" s="2" t="inlineStr">
        <is>
          <t>'beignet souffle'!C12,F12</t>
        </is>
      </c>
      <c r="E1202" s="2" t="inlineStr">
        <is>
          <t>water</t>
        </is>
      </c>
      <c r="F1202" s="3" t="n">
        <v>22631.5751</v>
      </c>
      <c r="G1202" s="2" t="inlineStr">
        <is>
          <t>=H12*5.263157 [cached: 22631.5751]</t>
        </is>
      </c>
      <c r="H1202" s="2" t="inlineStr">
        <is>
          <t>H11</t>
        </is>
      </c>
    </row>
    <row r="1203">
      <c r="A1203" s="2" t="inlineStr">
        <is>
          <t>L132</t>
        </is>
      </c>
      <c r="B1203" s="2" t="inlineStr">
        <is>
          <t>beignet souffle</t>
        </is>
      </c>
      <c r="C1203" s="2" t="inlineStr">
        <is>
          <t>S048</t>
        </is>
      </c>
      <c r="D1203" s="2" t="inlineStr">
        <is>
          <t>'beignet souffle'!C13,F13</t>
        </is>
      </c>
      <c r="E1203" s="2" t="inlineStr">
        <is>
          <t>baking powder</t>
        </is>
      </c>
      <c r="F1203" s="3" t="n">
        <v>578.94727</v>
      </c>
      <c r="G1203" s="2" t="inlineStr">
        <is>
          <t>=H13*5.263157 [cached: 578.94727]</t>
        </is>
      </c>
      <c r="H1203" s="2" t="inlineStr">
        <is>
          <t>H11</t>
        </is>
      </c>
    </row>
    <row r="1204">
      <c r="A1204" s="2" t="inlineStr">
        <is>
          <t>L132</t>
        </is>
      </c>
      <c r="B1204" s="2" t="inlineStr">
        <is>
          <t>beignet souffle</t>
        </is>
      </c>
      <c r="C1204" s="2" t="inlineStr">
        <is>
          <t>S048</t>
        </is>
      </c>
      <c r="D1204" s="2" t="inlineStr">
        <is>
          <t>'beignet souffle'!C14,F14</t>
        </is>
      </c>
      <c r="E1204" s="2" t="inlineStr">
        <is>
          <t>EDC</t>
        </is>
      </c>
      <c r="F1204" s="3" t="n">
        <v>157.89471</v>
      </c>
      <c r="G1204" s="2" t="inlineStr">
        <is>
          <t>=H14*5.263157 [cached: 157.89470999999998]</t>
        </is>
      </c>
      <c r="H1204" s="2" t="inlineStr">
        <is>
          <t>H11</t>
        </is>
      </c>
    </row>
    <row r="1205">
      <c r="A1205" s="2" t="inlineStr">
        <is>
          <t>L132</t>
        </is>
      </c>
      <c r="B1205" s="2" t="inlineStr">
        <is>
          <t>beignet souffle</t>
        </is>
      </c>
      <c r="C1205" s="2" t="inlineStr">
        <is>
          <t>S048</t>
        </is>
      </c>
      <c r="D1205" s="2" t="inlineStr">
        <is>
          <t>'beignet souffle'!C15,F15</t>
        </is>
      </c>
      <c r="E1205" s="2" t="inlineStr">
        <is>
          <t>oil</t>
        </is>
      </c>
      <c r="F1205" s="3" t="n">
        <v>26315.785</v>
      </c>
      <c r="G1205" s="2" t="inlineStr">
        <is>
          <t>=H15*5.263157 [cached: 26315.785]</t>
        </is>
      </c>
      <c r="H1205" s="2" t="inlineStr">
        <is>
          <t>H11</t>
        </is>
      </c>
    </row>
    <row r="1206">
      <c r="A1206" s="2" t="inlineStr">
        <is>
          <t>L133</t>
        </is>
      </c>
      <c r="B1206" s="2" t="inlineStr">
        <is>
          <t>butter biscuits</t>
        </is>
      </c>
      <c r="C1206" s="2" t="inlineStr">
        <is>
          <t>S048</t>
        </is>
      </c>
      <c r="D1206" s="2" t="inlineStr">
        <is>
          <t>'butter biscuits'!C5,D5</t>
        </is>
      </c>
      <c r="E1206" s="2" t="inlineStr">
        <is>
          <t>flour</t>
        </is>
      </c>
      <c r="F1206" s="3" t="n">
        <v>1000</v>
      </c>
      <c r="G1206" s="2" t="inlineStr">
        <is>
          <t>1000</t>
        </is>
      </c>
      <c r="H1206" s="2" t="inlineStr">
        <is>
          <t>Retain unique variant; no equivalent operating card selected</t>
        </is>
      </c>
    </row>
    <row r="1207">
      <c r="A1207" s="2" t="inlineStr">
        <is>
          <t>L133</t>
        </is>
      </c>
      <c r="B1207" s="2" t="inlineStr">
        <is>
          <t>butter biscuits</t>
        </is>
      </c>
      <c r="C1207" s="2" t="inlineStr">
        <is>
          <t>S048</t>
        </is>
      </c>
      <c r="D1207" s="2" t="inlineStr">
        <is>
          <t>'butter biscuits'!C6,D6</t>
        </is>
      </c>
      <c r="E1207" s="2" t="inlineStr">
        <is>
          <t>salt</t>
        </is>
      </c>
      <c r="F1207" s="3" t="n">
        <v>5</v>
      </c>
      <c r="G1207" s="2" t="inlineStr">
        <is>
          <t>5</t>
        </is>
      </c>
      <c r="H1207" s="2" t="inlineStr">
        <is>
          <t>Retain unique variant; no equivalent operating card selected</t>
        </is>
      </c>
    </row>
    <row r="1208">
      <c r="A1208" s="2" t="inlineStr">
        <is>
          <t>L133</t>
        </is>
      </c>
      <c r="B1208" s="2" t="inlineStr">
        <is>
          <t>butter biscuits</t>
        </is>
      </c>
      <c r="C1208" s="2" t="inlineStr">
        <is>
          <t>S048</t>
        </is>
      </c>
      <c r="D1208" s="2" t="inlineStr">
        <is>
          <t>'butter biscuits'!C7,D7</t>
        </is>
      </c>
      <c r="E1208" s="2" t="inlineStr">
        <is>
          <t>Butter</t>
        </is>
      </c>
      <c r="F1208" s="3" t="n">
        <v>500</v>
      </c>
      <c r="G1208" s="2" t="inlineStr">
        <is>
          <t>500</t>
        </is>
      </c>
      <c r="H1208" s="2" t="inlineStr">
        <is>
          <t>Retain unique variant; no equivalent operating card selected</t>
        </is>
      </c>
    </row>
    <row r="1209">
      <c r="A1209" s="2" t="inlineStr">
        <is>
          <t>L133</t>
        </is>
      </c>
      <c r="B1209" s="2" t="inlineStr">
        <is>
          <t>butter biscuits</t>
        </is>
      </c>
      <c r="C1209" s="2" t="inlineStr">
        <is>
          <t>S048</t>
        </is>
      </c>
      <c r="D1209" s="2" t="inlineStr">
        <is>
          <t>'butter biscuits'!C8,D8</t>
        </is>
      </c>
      <c r="E1209" s="2" t="inlineStr">
        <is>
          <t>sugar</t>
        </is>
      </c>
      <c r="F1209" s="3" t="n">
        <v>250</v>
      </c>
      <c r="G1209" s="2" t="inlineStr">
        <is>
          <t>250</t>
        </is>
      </c>
      <c r="H1209" s="2" t="inlineStr">
        <is>
          <t>Retain unique variant; no equivalent operating card selected</t>
        </is>
      </c>
    </row>
    <row r="1210">
      <c r="A1210" s="2" t="inlineStr">
        <is>
          <t>L134</t>
        </is>
      </c>
      <c r="B1210" s="2" t="inlineStr">
        <is>
          <t>doughnuts</t>
        </is>
      </c>
      <c r="C1210" s="2" t="inlineStr">
        <is>
          <t>S048</t>
        </is>
      </c>
      <c r="D1210" s="2" t="inlineStr">
        <is>
          <t>'doughnuts'!C5,D5</t>
        </is>
      </c>
      <c r="E1210" s="2" t="inlineStr">
        <is>
          <t>flour</t>
        </is>
      </c>
      <c r="F1210" s="3" t="n">
        <v>200</v>
      </c>
      <c r="G1210" s="2" t="inlineStr">
        <is>
          <t>200</t>
        </is>
      </c>
      <c r="H1210" s="2" t="inlineStr">
        <is>
          <t>T01 for cake / O-P04 for yeast</t>
        </is>
      </c>
    </row>
    <row r="1211">
      <c r="A1211" s="2" t="inlineStr">
        <is>
          <t>L134</t>
        </is>
      </c>
      <c r="B1211" s="2" t="inlineStr">
        <is>
          <t>doughnuts</t>
        </is>
      </c>
      <c r="C1211" s="2" t="inlineStr">
        <is>
          <t>S048</t>
        </is>
      </c>
      <c r="D1211" s="2" t="inlineStr">
        <is>
          <t>'doughnuts'!C6,D6</t>
        </is>
      </c>
      <c r="E1211" s="2" t="inlineStr">
        <is>
          <t>baking powder</t>
        </is>
      </c>
      <c r="F1211" s="3" t="n">
        <v>50</v>
      </c>
      <c r="G1211" s="2" t="inlineStr">
        <is>
          <t>50</t>
        </is>
      </c>
      <c r="H1211" s="2" t="inlineStr">
        <is>
          <t>T01 for cake / O-P04 for yeast</t>
        </is>
      </c>
    </row>
    <row r="1212">
      <c r="A1212" s="2" t="inlineStr">
        <is>
          <t>L134</t>
        </is>
      </c>
      <c r="B1212" s="2" t="inlineStr">
        <is>
          <t>doughnuts</t>
        </is>
      </c>
      <c r="C1212" s="2" t="inlineStr">
        <is>
          <t>S048</t>
        </is>
      </c>
      <c r="D1212" s="2" t="inlineStr">
        <is>
          <t>'doughnuts'!C7,D7</t>
        </is>
      </c>
      <c r="E1212" s="2" t="inlineStr">
        <is>
          <t>milk</t>
        </is>
      </c>
      <c r="F1212" s="3" t="n">
        <v>80</v>
      </c>
      <c r="G1212" s="2" t="inlineStr">
        <is>
          <t>80</t>
        </is>
      </c>
      <c r="H1212" s="2" t="inlineStr">
        <is>
          <t>T01 for cake / O-P04 for yeast</t>
        </is>
      </c>
    </row>
    <row r="1213">
      <c r="A1213" s="2" t="inlineStr">
        <is>
          <t>L134</t>
        </is>
      </c>
      <c r="B1213" s="2" t="inlineStr">
        <is>
          <t>doughnuts</t>
        </is>
      </c>
      <c r="C1213" s="2" t="inlineStr">
        <is>
          <t>S048</t>
        </is>
      </c>
      <c r="D1213" s="2" t="inlineStr">
        <is>
          <t>'doughnuts'!C8,D8</t>
        </is>
      </c>
      <c r="E1213" s="2" t="inlineStr">
        <is>
          <t>Butter</t>
        </is>
      </c>
      <c r="F1213" s="3" t="n">
        <v>100</v>
      </c>
      <c r="G1213" s="2" t="inlineStr">
        <is>
          <t>100</t>
        </is>
      </c>
      <c r="H1213" s="2" t="inlineStr">
        <is>
          <t>T01 for cake / O-P04 for yeast</t>
        </is>
      </c>
    </row>
    <row r="1214">
      <c r="A1214" s="2" t="inlineStr">
        <is>
          <t>L134</t>
        </is>
      </c>
      <c r="B1214" s="2" t="inlineStr">
        <is>
          <t>doughnuts</t>
        </is>
      </c>
      <c r="C1214" s="2" t="inlineStr">
        <is>
          <t>S048</t>
        </is>
      </c>
      <c r="D1214" s="2" t="inlineStr">
        <is>
          <t>'doughnuts'!C9,D9</t>
        </is>
      </c>
      <c r="E1214" s="2" t="inlineStr">
        <is>
          <t>salt</t>
        </is>
      </c>
      <c r="F1214" s="3" t="n">
        <v>3</v>
      </c>
      <c r="G1214" s="2" t="inlineStr">
        <is>
          <t>3</t>
        </is>
      </c>
      <c r="H1214" s="2" t="inlineStr">
        <is>
          <t>T01 for cake / O-P04 for yeast</t>
        </is>
      </c>
    </row>
    <row r="1215">
      <c r="A1215" s="2" t="inlineStr">
        <is>
          <t>L134</t>
        </is>
      </c>
      <c r="B1215" s="2" t="inlineStr">
        <is>
          <t>doughnuts</t>
        </is>
      </c>
      <c r="C1215" s="2" t="inlineStr">
        <is>
          <t>S048</t>
        </is>
      </c>
      <c r="D1215" s="2" t="inlineStr">
        <is>
          <t>'doughnuts'!C10,D10</t>
        </is>
      </c>
      <c r="E1215" s="2" t="inlineStr">
        <is>
          <t>Improver</t>
        </is>
      </c>
      <c r="F1215" s="3" t="n">
        <v>30</v>
      </c>
      <c r="G1215" s="2" t="inlineStr">
        <is>
          <t>30</t>
        </is>
      </c>
      <c r="H1215" s="2" t="inlineStr">
        <is>
          <t>T01 for cake / O-P04 for yeast</t>
        </is>
      </c>
    </row>
    <row r="1216">
      <c r="A1216" s="2" t="inlineStr">
        <is>
          <t>L134</t>
        </is>
      </c>
      <c r="B1216" s="2" t="inlineStr">
        <is>
          <t>doughnuts</t>
        </is>
      </c>
      <c r="C1216" s="2" t="inlineStr">
        <is>
          <t>S048</t>
        </is>
      </c>
      <c r="D1216" s="2" t="inlineStr">
        <is>
          <t>'doughnuts'!C11,D11</t>
        </is>
      </c>
      <c r="E1216" s="2" t="inlineStr">
        <is>
          <t>nutmeg</t>
        </is>
      </c>
      <c r="F1216" s="3" t="n">
        <v>5</v>
      </c>
      <c r="G1216" s="2" t="inlineStr">
        <is>
          <t>5</t>
        </is>
      </c>
      <c r="H1216" s="2" t="inlineStr">
        <is>
          <t>T01 for cake / O-P04 for yeast</t>
        </is>
      </c>
    </row>
    <row r="1217">
      <c r="A1217" s="2" t="inlineStr">
        <is>
          <t>L134</t>
        </is>
      </c>
      <c r="B1217" s="2" t="inlineStr">
        <is>
          <t>doughnuts</t>
        </is>
      </c>
      <c r="C1217" s="2" t="inlineStr">
        <is>
          <t>S048</t>
        </is>
      </c>
      <c r="D1217" s="2" t="inlineStr">
        <is>
          <t>'doughnuts'!C12,D12</t>
        </is>
      </c>
      <c r="E1217" s="2" t="inlineStr">
        <is>
          <t>eggs</t>
        </is>
      </c>
      <c r="F1217" s="3" t="n">
        <v>150</v>
      </c>
      <c r="G1217" s="2" t="inlineStr">
        <is>
          <t>150</t>
        </is>
      </c>
      <c r="H1217" s="2" t="inlineStr">
        <is>
          <t>T01 for cake / O-P04 for yeast</t>
        </is>
      </c>
    </row>
    <row r="1218">
      <c r="A1218" s="2" t="inlineStr">
        <is>
          <t>L135</t>
        </is>
      </c>
      <c r="B1218" s="2" t="inlineStr">
        <is>
          <t>doughnuts</t>
        </is>
      </c>
      <c r="C1218" s="2" t="inlineStr">
        <is>
          <t>S048</t>
        </is>
      </c>
      <c r="D1218" s="2" t="inlineStr">
        <is>
          <t>'doughnuts'!C5,F5</t>
        </is>
      </c>
      <c r="E1218" s="2" t="inlineStr">
        <is>
          <t>flour</t>
        </is>
      </c>
      <c r="F1218" s="3" t="n">
        <v>50000</v>
      </c>
      <c r="G1218" s="2" t="inlineStr">
        <is>
          <t>=D5*250 [cached: 50000]</t>
        </is>
      </c>
      <c r="H1218" s="2" t="inlineStr">
        <is>
          <t>T01 for cake / O-P04 for yeast</t>
        </is>
      </c>
    </row>
    <row r="1219">
      <c r="A1219" s="2" t="inlineStr">
        <is>
          <t>L135</t>
        </is>
      </c>
      <c r="B1219" s="2" t="inlineStr">
        <is>
          <t>doughnuts</t>
        </is>
      </c>
      <c r="C1219" s="2" t="inlineStr">
        <is>
          <t>S048</t>
        </is>
      </c>
      <c r="D1219" s="2" t="inlineStr">
        <is>
          <t>'doughnuts'!C6,F6</t>
        </is>
      </c>
      <c r="E1219" s="2" t="inlineStr">
        <is>
          <t>baking powder</t>
        </is>
      </c>
      <c r="F1219" s="3" t="n">
        <v>12500</v>
      </c>
      <c r="G1219" s="2" t="inlineStr">
        <is>
          <t>=D6*250 [cached: 12500]</t>
        </is>
      </c>
      <c r="H1219" s="2" t="inlineStr">
        <is>
          <t>T01 for cake / O-P04 for yeast</t>
        </is>
      </c>
    </row>
    <row r="1220">
      <c r="A1220" s="2" t="inlineStr">
        <is>
          <t>L135</t>
        </is>
      </c>
      <c r="B1220" s="2" t="inlineStr">
        <is>
          <t>doughnuts</t>
        </is>
      </c>
      <c r="C1220" s="2" t="inlineStr">
        <is>
          <t>S048</t>
        </is>
      </c>
      <c r="D1220" s="2" t="inlineStr">
        <is>
          <t>'doughnuts'!C7,F7</t>
        </is>
      </c>
      <c r="E1220" s="2" t="inlineStr">
        <is>
          <t>milk</t>
        </is>
      </c>
      <c r="F1220" s="3" t="n">
        <v>20000</v>
      </c>
      <c r="G1220" s="2" t="inlineStr">
        <is>
          <t>=D7*250 [cached: 20000]</t>
        </is>
      </c>
      <c r="H1220" s="2" t="inlineStr">
        <is>
          <t>T01 for cake / O-P04 for yeast</t>
        </is>
      </c>
    </row>
    <row r="1221">
      <c r="A1221" s="2" t="inlineStr">
        <is>
          <t>L135</t>
        </is>
      </c>
      <c r="B1221" s="2" t="inlineStr">
        <is>
          <t>doughnuts</t>
        </is>
      </c>
      <c r="C1221" s="2" t="inlineStr">
        <is>
          <t>S048</t>
        </is>
      </c>
      <c r="D1221" s="2" t="inlineStr">
        <is>
          <t>'doughnuts'!C8,F8</t>
        </is>
      </c>
      <c r="E1221" s="2" t="inlineStr">
        <is>
          <t>Butter</t>
        </is>
      </c>
      <c r="F1221" s="3" t="n">
        <v>25000</v>
      </c>
      <c r="G1221" s="2" t="inlineStr">
        <is>
          <t>=D8*250 [cached: 25000]</t>
        </is>
      </c>
      <c r="H1221" s="2" t="inlineStr">
        <is>
          <t>T01 for cake / O-P04 for yeast</t>
        </is>
      </c>
    </row>
    <row r="1222">
      <c r="A1222" s="2" t="inlineStr">
        <is>
          <t>L135</t>
        </is>
      </c>
      <c r="B1222" s="2" t="inlineStr">
        <is>
          <t>doughnuts</t>
        </is>
      </c>
      <c r="C1222" s="2" t="inlineStr">
        <is>
          <t>S048</t>
        </is>
      </c>
      <c r="D1222" s="2" t="inlineStr">
        <is>
          <t>'doughnuts'!C9,F9</t>
        </is>
      </c>
      <c r="E1222" s="2" t="inlineStr">
        <is>
          <t>salt</t>
        </is>
      </c>
      <c r="F1222" s="3" t="n">
        <v>750</v>
      </c>
      <c r="G1222" s="2" t="inlineStr">
        <is>
          <t>=D9*250 [cached: 750]</t>
        </is>
      </c>
      <c r="H1222" s="2" t="inlineStr">
        <is>
          <t>T01 for cake / O-P04 for yeast</t>
        </is>
      </c>
    </row>
    <row r="1223">
      <c r="A1223" s="2" t="inlineStr">
        <is>
          <t>L135</t>
        </is>
      </c>
      <c r="B1223" s="2" t="inlineStr">
        <is>
          <t>doughnuts</t>
        </is>
      </c>
      <c r="C1223" s="2" t="inlineStr">
        <is>
          <t>S048</t>
        </is>
      </c>
      <c r="D1223" s="2" t="inlineStr">
        <is>
          <t>'doughnuts'!C10,F10</t>
        </is>
      </c>
      <c r="E1223" s="2" t="inlineStr">
        <is>
          <t>Improver</t>
        </is>
      </c>
      <c r="F1223" s="3" t="n">
        <v>7500</v>
      </c>
      <c r="G1223" s="2" t="inlineStr">
        <is>
          <t>=D10*250 [cached: 7500]</t>
        </is>
      </c>
      <c r="H1223" s="2" t="inlineStr">
        <is>
          <t>T01 for cake / O-P04 for yeast</t>
        </is>
      </c>
    </row>
    <row r="1224">
      <c r="A1224" s="2" t="inlineStr">
        <is>
          <t>L135</t>
        </is>
      </c>
      <c r="B1224" s="2" t="inlineStr">
        <is>
          <t>doughnuts</t>
        </is>
      </c>
      <c r="C1224" s="2" t="inlineStr">
        <is>
          <t>S048</t>
        </is>
      </c>
      <c r="D1224" s="2" t="inlineStr">
        <is>
          <t>'doughnuts'!C11,F11</t>
        </is>
      </c>
      <c r="E1224" s="2" t="inlineStr">
        <is>
          <t>nutmeg</t>
        </is>
      </c>
      <c r="F1224" s="3" t="n">
        <v>1250</v>
      </c>
      <c r="G1224" s="2" t="inlineStr">
        <is>
          <t>=D11*250 [cached: 1250]</t>
        </is>
      </c>
      <c r="H1224" s="2" t="inlineStr">
        <is>
          <t>T01 for cake / O-P04 for yeast</t>
        </is>
      </c>
    </row>
    <row r="1225">
      <c r="A1225" s="2" t="inlineStr">
        <is>
          <t>L135</t>
        </is>
      </c>
      <c r="B1225" s="2" t="inlineStr">
        <is>
          <t>doughnuts</t>
        </is>
      </c>
      <c r="C1225" s="2" t="inlineStr">
        <is>
          <t>S048</t>
        </is>
      </c>
      <c r="D1225" s="2" t="inlineStr">
        <is>
          <t>'doughnuts'!C12,F12</t>
        </is>
      </c>
      <c r="E1225" s="2" t="inlineStr">
        <is>
          <t>eggs</t>
        </is>
      </c>
      <c r="F1225" s="3" t="n">
        <v>37500</v>
      </c>
      <c r="G1225" s="2" t="inlineStr">
        <is>
          <t>=D12*250 [cached: 37500]</t>
        </is>
      </c>
      <c r="H1225" s="2" t="inlineStr">
        <is>
          <t>T01 for cake / O-P04 for yeast</t>
        </is>
      </c>
    </row>
    <row r="1226">
      <c r="A1226" s="2" t="inlineStr">
        <is>
          <t>L135</t>
        </is>
      </c>
      <c r="B1226" s="2" t="inlineStr">
        <is>
          <t>doughnuts</t>
        </is>
      </c>
      <c r="C1226" s="2" t="inlineStr">
        <is>
          <t>S048</t>
        </is>
      </c>
      <c r="D1226" s="2" t="inlineStr">
        <is>
          <t>'doughnuts'!C13,F13</t>
        </is>
      </c>
      <c r="E1226" s="2" t="inlineStr">
        <is>
          <t>vanille</t>
        </is>
      </c>
      <c r="F1226" s="3" t="n">
        <v>0</v>
      </c>
      <c r="G1226" s="2" t="inlineStr">
        <is>
          <t>=D13*250 [cached: 0]</t>
        </is>
      </c>
      <c r="H1226" s="2" t="inlineStr">
        <is>
          <t>T01 for cake / O-P04 for yeast</t>
        </is>
      </c>
    </row>
    <row r="1227">
      <c r="A1227" s="2" t="inlineStr">
        <is>
          <t>L136</t>
        </is>
      </c>
      <c r="B1227" s="2" t="inlineStr">
        <is>
          <t>doughnuts</t>
        </is>
      </c>
      <c r="C1227" s="2" t="inlineStr">
        <is>
          <t>S048</t>
        </is>
      </c>
      <c r="D1227" s="2" t="inlineStr">
        <is>
          <t>'doughnuts'!C5,L5</t>
        </is>
      </c>
      <c r="E1227" s="2" t="inlineStr">
        <is>
          <t>flour</t>
        </is>
      </c>
      <c r="F1227" s="3" t="n">
        <v>5000</v>
      </c>
      <c r="G1227" s="2" t="inlineStr">
        <is>
          <t>=F5/10 [cached: 5000]</t>
        </is>
      </c>
      <c r="H1227" s="2" t="inlineStr">
        <is>
          <t>T01 for cake / O-P04 for yeast</t>
        </is>
      </c>
    </row>
    <row r="1228">
      <c r="A1228" s="2" t="inlineStr">
        <is>
          <t>L136</t>
        </is>
      </c>
      <c r="B1228" s="2" t="inlineStr">
        <is>
          <t>doughnuts</t>
        </is>
      </c>
      <c r="C1228" s="2" t="inlineStr">
        <is>
          <t>S048</t>
        </is>
      </c>
      <c r="D1228" s="2" t="inlineStr">
        <is>
          <t>'doughnuts'!C6,L6</t>
        </is>
      </c>
      <c r="E1228" s="2" t="inlineStr">
        <is>
          <t>baking powder</t>
        </is>
      </c>
      <c r="F1228" s="3" t="n">
        <v>1250</v>
      </c>
      <c r="G1228" s="2" t="inlineStr">
        <is>
          <t>=F6/10 [cached: 1250]</t>
        </is>
      </c>
      <c r="H1228" s="2" t="inlineStr">
        <is>
          <t>T01 for cake / O-P04 for yeast</t>
        </is>
      </c>
    </row>
    <row r="1229">
      <c r="A1229" s="2" t="inlineStr">
        <is>
          <t>L136</t>
        </is>
      </c>
      <c r="B1229" s="2" t="inlineStr">
        <is>
          <t>doughnuts</t>
        </is>
      </c>
      <c r="C1229" s="2" t="inlineStr">
        <is>
          <t>S048</t>
        </is>
      </c>
      <c r="D1229" s="2" t="inlineStr">
        <is>
          <t>'doughnuts'!C7,L7</t>
        </is>
      </c>
      <c r="E1229" s="2" t="inlineStr">
        <is>
          <t>milk</t>
        </is>
      </c>
      <c r="F1229" s="3" t="n">
        <v>2000</v>
      </c>
      <c r="G1229" s="2" t="inlineStr">
        <is>
          <t>=F7/10 [cached: 2000]</t>
        </is>
      </c>
      <c r="H1229" s="2" t="inlineStr">
        <is>
          <t>T01 for cake / O-P04 for yeast</t>
        </is>
      </c>
    </row>
    <row r="1230">
      <c r="A1230" s="2" t="inlineStr">
        <is>
          <t>L136</t>
        </is>
      </c>
      <c r="B1230" s="2" t="inlineStr">
        <is>
          <t>doughnuts</t>
        </is>
      </c>
      <c r="C1230" s="2" t="inlineStr">
        <is>
          <t>S048</t>
        </is>
      </c>
      <c r="D1230" s="2" t="inlineStr">
        <is>
          <t>'doughnuts'!C8,L8</t>
        </is>
      </c>
      <c r="E1230" s="2" t="inlineStr">
        <is>
          <t>Butter</t>
        </is>
      </c>
      <c r="F1230" s="3" t="n">
        <v>2500</v>
      </c>
      <c r="G1230" s="2" t="inlineStr">
        <is>
          <t>=F8/10 [cached: 2500]</t>
        </is>
      </c>
      <c r="H1230" s="2" t="inlineStr">
        <is>
          <t>T01 for cake / O-P04 for yeast</t>
        </is>
      </c>
    </row>
    <row r="1231">
      <c r="A1231" s="2" t="inlineStr">
        <is>
          <t>L136</t>
        </is>
      </c>
      <c r="B1231" s="2" t="inlineStr">
        <is>
          <t>doughnuts</t>
        </is>
      </c>
      <c r="C1231" s="2" t="inlineStr">
        <is>
          <t>S048</t>
        </is>
      </c>
      <c r="D1231" s="2" t="inlineStr">
        <is>
          <t>'doughnuts'!C9,L9</t>
        </is>
      </c>
      <c r="E1231" s="2" t="inlineStr">
        <is>
          <t>salt</t>
        </is>
      </c>
      <c r="F1231" s="3" t="n">
        <v>75</v>
      </c>
      <c r="G1231" s="2" t="inlineStr">
        <is>
          <t>=F9/10 [cached: 75]</t>
        </is>
      </c>
      <c r="H1231" s="2" t="inlineStr">
        <is>
          <t>T01 for cake / O-P04 for yeast</t>
        </is>
      </c>
    </row>
    <row r="1232">
      <c r="A1232" s="2" t="inlineStr">
        <is>
          <t>L136</t>
        </is>
      </c>
      <c r="B1232" s="2" t="inlineStr">
        <is>
          <t>doughnuts</t>
        </is>
      </c>
      <c r="C1232" s="2" t="inlineStr">
        <is>
          <t>S048</t>
        </is>
      </c>
      <c r="D1232" s="2" t="inlineStr">
        <is>
          <t>'doughnuts'!C10,L10</t>
        </is>
      </c>
      <c r="E1232" s="2" t="inlineStr">
        <is>
          <t>Improver</t>
        </is>
      </c>
      <c r="F1232" s="3" t="n">
        <v>750</v>
      </c>
      <c r="G1232" s="2" t="inlineStr">
        <is>
          <t>=F10/10 [cached: 750]</t>
        </is>
      </c>
      <c r="H1232" s="2" t="inlineStr">
        <is>
          <t>T01 for cake / O-P04 for yeast</t>
        </is>
      </c>
    </row>
    <row r="1233">
      <c r="A1233" s="2" t="inlineStr">
        <is>
          <t>L136</t>
        </is>
      </c>
      <c r="B1233" s="2" t="inlineStr">
        <is>
          <t>doughnuts</t>
        </is>
      </c>
      <c r="C1233" s="2" t="inlineStr">
        <is>
          <t>S048</t>
        </is>
      </c>
      <c r="D1233" s="2" t="inlineStr">
        <is>
          <t>'doughnuts'!C11,L11</t>
        </is>
      </c>
      <c r="E1233" s="2" t="inlineStr">
        <is>
          <t>nutmeg</t>
        </is>
      </c>
      <c r="F1233" s="3" t="n">
        <v>9000</v>
      </c>
      <c r="G1233" s="2" t="inlineStr">
        <is>
          <t>=' COST rRAW MATERIAL'!C14 [cached: 9000]</t>
        </is>
      </c>
      <c r="H1233" s="2" t="inlineStr">
        <is>
          <t>T01 for cake / O-P04 for yeast</t>
        </is>
      </c>
    </row>
    <row r="1234">
      <c r="A1234" s="2" t="inlineStr">
        <is>
          <t>L136</t>
        </is>
      </c>
      <c r="B1234" s="2" t="inlineStr">
        <is>
          <t>doughnuts</t>
        </is>
      </c>
      <c r="C1234" s="2" t="inlineStr">
        <is>
          <t>S048</t>
        </is>
      </c>
      <c r="D1234" s="2" t="inlineStr">
        <is>
          <t>'doughnuts'!C12,L12</t>
        </is>
      </c>
      <c r="E1234" s="2" t="inlineStr">
        <is>
          <t>eggs</t>
        </is>
      </c>
      <c r="F1234" s="3" t="n">
        <v>2350</v>
      </c>
      <c r="G1234" s="2" t="inlineStr">
        <is>
          <t>=' COST rRAW MATERIAL'!C13 [cached: 2350]</t>
        </is>
      </c>
      <c r="H1234" s="2" t="inlineStr">
        <is>
          <t>T01 for cake / O-P04 for yeast</t>
        </is>
      </c>
    </row>
    <row r="1235">
      <c r="A1235" s="2" t="inlineStr">
        <is>
          <t>L137</t>
        </is>
      </c>
      <c r="B1235" s="2" t="inlineStr">
        <is>
          <t>Best Chinchin</t>
        </is>
      </c>
      <c r="C1235" s="2" t="inlineStr">
        <is>
          <t>S076</t>
        </is>
      </c>
      <c r="D1235" s="2" t="inlineStr">
        <is>
          <t>'Best Chinchin'!C5,D5</t>
        </is>
      </c>
      <c r="E1235" s="2" t="inlineStr">
        <is>
          <t>flour</t>
        </is>
      </c>
      <c r="F1235" s="3" t="n">
        <v>25000</v>
      </c>
      <c r="G1235" s="2" t="inlineStr">
        <is>
          <t>25000</t>
        </is>
      </c>
      <c r="H1235" s="2" t="inlineStr">
        <is>
          <t>H10</t>
        </is>
      </c>
    </row>
    <row r="1236">
      <c r="A1236" s="2" t="inlineStr">
        <is>
          <t>L137</t>
        </is>
      </c>
      <c r="B1236" s="2" t="inlineStr">
        <is>
          <t>Best Chinchin</t>
        </is>
      </c>
      <c r="C1236" s="2" t="inlineStr">
        <is>
          <t>S076</t>
        </is>
      </c>
      <c r="D1236" s="2" t="inlineStr">
        <is>
          <t>'Best Chinchin'!C6,D6</t>
        </is>
      </c>
      <c r="E1236" s="2" t="inlineStr">
        <is>
          <t>baking powder</t>
        </is>
      </c>
      <c r="F1236" s="3" t="n">
        <v>400</v>
      </c>
      <c r="G1236" s="2" t="inlineStr">
        <is>
          <t>400</t>
        </is>
      </c>
      <c r="H1236" s="2" t="inlineStr">
        <is>
          <t>H10</t>
        </is>
      </c>
    </row>
    <row r="1237">
      <c r="A1237" s="2" t="inlineStr">
        <is>
          <t>L137</t>
        </is>
      </c>
      <c r="B1237" s="2" t="inlineStr">
        <is>
          <t>Best Chinchin</t>
        </is>
      </c>
      <c r="C1237" s="2" t="inlineStr">
        <is>
          <t>S076</t>
        </is>
      </c>
      <c r="D1237" s="2" t="inlineStr">
        <is>
          <t>'Best Chinchin'!C7,D7</t>
        </is>
      </c>
      <c r="E1237" s="2" t="inlineStr">
        <is>
          <t>nut meg</t>
        </is>
      </c>
      <c r="F1237" s="3" t="n">
        <v>50</v>
      </c>
      <c r="G1237" s="2" t="inlineStr">
        <is>
          <t>50</t>
        </is>
      </c>
      <c r="H1237" s="2" t="inlineStr">
        <is>
          <t>H10</t>
        </is>
      </c>
    </row>
    <row r="1238">
      <c r="A1238" s="2" t="inlineStr">
        <is>
          <t>L137</t>
        </is>
      </c>
      <c r="B1238" s="2" t="inlineStr">
        <is>
          <t>Best Chinchin</t>
        </is>
      </c>
      <c r="C1238" s="2" t="inlineStr">
        <is>
          <t>S076</t>
        </is>
      </c>
      <c r="D1238" s="2" t="inlineStr">
        <is>
          <t>'Best Chinchin'!C8,D8</t>
        </is>
      </c>
      <c r="E1238" s="2" t="inlineStr">
        <is>
          <t>sugar</t>
        </is>
      </c>
      <c r="F1238" s="3" t="n">
        <v>4500</v>
      </c>
      <c r="G1238" s="2" t="inlineStr">
        <is>
          <t>4500</t>
        </is>
      </c>
      <c r="H1238" s="2" t="inlineStr">
        <is>
          <t>H10</t>
        </is>
      </c>
    </row>
    <row r="1239">
      <c r="A1239" s="2" t="inlineStr">
        <is>
          <t>L137</t>
        </is>
      </c>
      <c r="B1239" s="2" t="inlineStr">
        <is>
          <t>Best Chinchin</t>
        </is>
      </c>
      <c r="C1239" s="2" t="inlineStr">
        <is>
          <t>S076</t>
        </is>
      </c>
      <c r="D1239" s="2" t="inlineStr">
        <is>
          <t>'Best Chinchin'!C9,D9</t>
        </is>
      </c>
      <c r="E1239" s="2" t="inlineStr">
        <is>
          <t>Butter</t>
        </is>
      </c>
      <c r="F1239" s="3" t="n">
        <v>4000</v>
      </c>
      <c r="G1239" s="2" t="inlineStr">
        <is>
          <t>4000</t>
        </is>
      </c>
      <c r="H1239" s="2" t="inlineStr">
        <is>
          <t>H10</t>
        </is>
      </c>
    </row>
    <row r="1240">
      <c r="A1240" s="2" t="inlineStr">
        <is>
          <t>L137</t>
        </is>
      </c>
      <c r="B1240" s="2" t="inlineStr">
        <is>
          <t>Best Chinchin</t>
        </is>
      </c>
      <c r="C1240" s="2" t="inlineStr">
        <is>
          <t>S076</t>
        </is>
      </c>
      <c r="D1240" s="2" t="inlineStr">
        <is>
          <t>'Best Chinchin'!C10,D10</t>
        </is>
      </c>
      <c r="E1240" s="2" t="inlineStr">
        <is>
          <t>egg</t>
        </is>
      </c>
      <c r="F1240" s="3" t="n">
        <v>13500</v>
      </c>
      <c r="G1240" s="2" t="inlineStr">
        <is>
          <t>13500</t>
        </is>
      </c>
      <c r="H1240" s="2" t="inlineStr">
        <is>
          <t>H10</t>
        </is>
      </c>
    </row>
    <row r="1241">
      <c r="A1241" s="2" t="inlineStr">
        <is>
          <t>L137</t>
        </is>
      </c>
      <c r="B1241" s="2" t="inlineStr">
        <is>
          <t>Best Chinchin</t>
        </is>
      </c>
      <c r="C1241" s="2" t="inlineStr">
        <is>
          <t>S076</t>
        </is>
      </c>
      <c r="D1241" s="2" t="inlineStr">
        <is>
          <t>'Best Chinchin'!C11,D11</t>
        </is>
      </c>
      <c r="E1241" s="2" t="inlineStr">
        <is>
          <t>salt</t>
        </is>
      </c>
      <c r="F1241" s="3" t="n">
        <v>90</v>
      </c>
      <c r="G1241" s="2" t="inlineStr">
        <is>
          <t>90</t>
        </is>
      </c>
      <c r="H1241" s="2" t="inlineStr">
        <is>
          <t>H10</t>
        </is>
      </c>
    </row>
    <row r="1242">
      <c r="A1242" s="2" t="inlineStr">
        <is>
          <t>L137</t>
        </is>
      </c>
      <c r="B1242" s="2" t="inlineStr">
        <is>
          <t>Best Chinchin</t>
        </is>
      </c>
      <c r="C1242" s="2" t="inlineStr">
        <is>
          <t>S076</t>
        </is>
      </c>
      <c r="D1242" s="2" t="inlineStr">
        <is>
          <t>'Best Chinchin'!C12,D12</t>
        </is>
      </c>
      <c r="E1242" s="2" t="inlineStr">
        <is>
          <t>Improver</t>
        </is>
      </c>
      <c r="F1242" s="3" t="n">
        <v>200</v>
      </c>
      <c r="G1242" s="2" t="inlineStr">
        <is>
          <t>200</t>
        </is>
      </c>
      <c r="H1242" s="2" t="inlineStr">
        <is>
          <t>H10</t>
        </is>
      </c>
    </row>
    <row r="1243">
      <c r="A1243" s="2" t="inlineStr">
        <is>
          <t>L137</t>
        </is>
      </c>
      <c r="B1243" s="2" t="inlineStr">
        <is>
          <t>Best Chinchin</t>
        </is>
      </c>
      <c r="C1243" s="2" t="inlineStr">
        <is>
          <t>S076</t>
        </is>
      </c>
      <c r="D1243" s="2" t="inlineStr">
        <is>
          <t>'Best Chinchin'!C13,D13</t>
        </is>
      </c>
      <c r="E1243" s="2" t="inlineStr">
        <is>
          <t>oil</t>
        </is>
      </c>
      <c r="F1243" s="3" t="n">
        <v>20</v>
      </c>
      <c r="G1243" s="2" t="inlineStr">
        <is>
          <t>20</t>
        </is>
      </c>
      <c r="H1243" s="2" t="inlineStr">
        <is>
          <t>H10</t>
        </is>
      </c>
    </row>
    <row r="1244">
      <c r="A1244" s="2" t="inlineStr">
        <is>
          <t>L138</t>
        </is>
      </c>
      <c r="B1244" s="2" t="inlineStr">
        <is>
          <t>Cake Prof</t>
        </is>
      </c>
      <c r="C1244" s="2" t="inlineStr">
        <is>
          <t>S076</t>
        </is>
      </c>
      <c r="D1244" s="2" t="inlineStr">
        <is>
          <t>'Cake Prof'!C5,D5</t>
        </is>
      </c>
      <c r="E1244" s="2" t="inlineStr">
        <is>
          <t>flour</t>
        </is>
      </c>
      <c r="F1244" s="3" t="n">
        <v>2600</v>
      </c>
      <c r="G1244" s="2" t="inlineStr">
        <is>
          <t>2600</t>
        </is>
      </c>
      <c r="H1244" s="2" t="inlineStr">
        <is>
          <t>H08 / H09; exact style differs</t>
        </is>
      </c>
    </row>
    <row r="1245">
      <c r="A1245" s="2" t="inlineStr">
        <is>
          <t>L138</t>
        </is>
      </c>
      <c r="B1245" s="2" t="inlineStr">
        <is>
          <t>Cake Prof</t>
        </is>
      </c>
      <c r="C1245" s="2" t="inlineStr">
        <is>
          <t>S076</t>
        </is>
      </c>
      <c r="D1245" s="2" t="inlineStr">
        <is>
          <t>'Cake Prof'!C6,D6</t>
        </is>
      </c>
      <c r="E1245" s="2" t="inlineStr">
        <is>
          <t>baking powder</t>
        </is>
      </c>
      <c r="F1245" s="3" t="n">
        <v>80</v>
      </c>
      <c r="G1245" s="2" t="inlineStr">
        <is>
          <t>80</t>
        </is>
      </c>
      <c r="H1245" s="2" t="inlineStr">
        <is>
          <t>H08 / H09; exact style differs</t>
        </is>
      </c>
    </row>
    <row r="1246">
      <c r="A1246" s="2" t="inlineStr">
        <is>
          <t>L138</t>
        </is>
      </c>
      <c r="B1246" s="2" t="inlineStr">
        <is>
          <t>Cake Prof</t>
        </is>
      </c>
      <c r="C1246" s="2" t="inlineStr">
        <is>
          <t>S076</t>
        </is>
      </c>
      <c r="D1246" s="2" t="inlineStr">
        <is>
          <t>'Cake Prof'!C7,D7</t>
        </is>
      </c>
      <c r="E1246" s="2" t="inlineStr">
        <is>
          <t>salt</t>
        </is>
      </c>
      <c r="F1246" s="3" t="n">
        <v>30</v>
      </c>
      <c r="G1246" s="2" t="inlineStr">
        <is>
          <t>30</t>
        </is>
      </c>
      <c r="H1246" s="2" t="inlineStr">
        <is>
          <t>H08 / H09; exact style differs</t>
        </is>
      </c>
    </row>
    <row r="1247">
      <c r="A1247" s="2" t="inlineStr">
        <is>
          <t>L138</t>
        </is>
      </c>
      <c r="B1247" s="2" t="inlineStr">
        <is>
          <t>Cake Prof</t>
        </is>
      </c>
      <c r="C1247" s="2" t="inlineStr">
        <is>
          <t>S076</t>
        </is>
      </c>
      <c r="D1247" s="2" t="inlineStr">
        <is>
          <t>'Cake Prof'!C8,D8</t>
        </is>
      </c>
      <c r="E1247" s="2" t="inlineStr">
        <is>
          <t>Nut Meg</t>
        </is>
      </c>
      <c r="F1247" s="3" t="n">
        <v>45</v>
      </c>
      <c r="G1247" s="2" t="inlineStr">
        <is>
          <t>45</t>
        </is>
      </c>
      <c r="H1247" s="2" t="inlineStr">
        <is>
          <t>H08 / H09; exact style differs</t>
        </is>
      </c>
    </row>
    <row r="1248">
      <c r="A1248" s="2" t="inlineStr">
        <is>
          <t>L138</t>
        </is>
      </c>
      <c r="B1248" s="2" t="inlineStr">
        <is>
          <t>Cake Prof</t>
        </is>
      </c>
      <c r="C1248" s="2" t="inlineStr">
        <is>
          <t>S076</t>
        </is>
      </c>
      <c r="D1248" s="2" t="inlineStr">
        <is>
          <t>'Cake Prof'!C9,D9</t>
        </is>
      </c>
      <c r="E1248" s="2" t="inlineStr">
        <is>
          <t>Egg</t>
        </is>
      </c>
      <c r="F1248" s="3" t="n">
        <v>1800</v>
      </c>
      <c r="G1248" s="2" t="inlineStr">
        <is>
          <t>1800</t>
        </is>
      </c>
      <c r="H1248" s="2" t="inlineStr">
        <is>
          <t>H08 / H09; exact style differs</t>
        </is>
      </c>
    </row>
    <row r="1249">
      <c r="A1249" s="2" t="inlineStr">
        <is>
          <t>L138</t>
        </is>
      </c>
      <c r="B1249" s="2" t="inlineStr">
        <is>
          <t>Cake Prof</t>
        </is>
      </c>
      <c r="C1249" s="2" t="inlineStr">
        <is>
          <t>S076</t>
        </is>
      </c>
      <c r="D1249" s="2" t="inlineStr">
        <is>
          <t>'Cake Prof'!C10,D10</t>
        </is>
      </c>
      <c r="E1249" s="2" t="inlineStr">
        <is>
          <t>Butter</t>
        </is>
      </c>
      <c r="F1249" s="3" t="n">
        <v>1500</v>
      </c>
      <c r="G1249" s="2" t="inlineStr">
        <is>
          <t>1500</t>
        </is>
      </c>
      <c r="H1249" s="2" t="inlineStr">
        <is>
          <t>H08 / H09; exact style differs</t>
        </is>
      </c>
    </row>
    <row r="1250">
      <c r="A1250" s="2" t="inlineStr">
        <is>
          <t>L138</t>
        </is>
      </c>
      <c r="B1250" s="2" t="inlineStr">
        <is>
          <t>Cake Prof</t>
        </is>
      </c>
      <c r="C1250" s="2" t="inlineStr">
        <is>
          <t>S076</t>
        </is>
      </c>
      <c r="D1250" s="2" t="inlineStr">
        <is>
          <t>'Cake Prof'!C11,D11</t>
        </is>
      </c>
      <c r="E1250" s="2" t="inlineStr">
        <is>
          <t>sugar</t>
        </is>
      </c>
      <c r="F1250" s="3" t="n">
        <v>800</v>
      </c>
      <c r="G1250" s="2" t="inlineStr">
        <is>
          <t>800</t>
        </is>
      </c>
      <c r="H1250" s="2" t="inlineStr">
        <is>
          <t>H08 / H09; exact style differs</t>
        </is>
      </c>
    </row>
    <row r="1251">
      <c r="A1251" s="2" t="inlineStr">
        <is>
          <t>L139</t>
        </is>
      </c>
      <c r="B1251" s="2" t="inlineStr">
        <is>
          <t>NEW BRIOCHE</t>
        </is>
      </c>
      <c r="C1251" s="2" t="inlineStr">
        <is>
          <t>S076</t>
        </is>
      </c>
      <c r="D1251" s="2" t="inlineStr">
        <is>
          <t>'NEW BRIOCHE'!C5,D5</t>
        </is>
      </c>
      <c r="E1251" s="2" t="inlineStr">
        <is>
          <t>flour</t>
        </is>
      </c>
      <c r="F1251" s="3" t="n">
        <v>4500</v>
      </c>
      <c r="G1251" s="2" t="inlineStr">
        <is>
          <t>4500</t>
        </is>
      </c>
      <c r="H1251" s="2" t="inlineStr">
        <is>
          <t>S-B06; richer true-butter variant</t>
        </is>
      </c>
    </row>
    <row r="1252">
      <c r="A1252" s="2" t="inlineStr">
        <is>
          <t>L139</t>
        </is>
      </c>
      <c r="B1252" s="2" t="inlineStr">
        <is>
          <t>NEW BRIOCHE</t>
        </is>
      </c>
      <c r="C1252" s="2" t="inlineStr">
        <is>
          <t>S076</t>
        </is>
      </c>
      <c r="D1252" s="2" t="inlineStr">
        <is>
          <t>'NEW BRIOCHE'!C6,D6</t>
        </is>
      </c>
      <c r="E1252" s="2" t="inlineStr">
        <is>
          <t>Butter</t>
        </is>
      </c>
      <c r="F1252" s="3" t="n">
        <v>2500</v>
      </c>
      <c r="G1252" s="2" t="inlineStr">
        <is>
          <t>2500</t>
        </is>
      </c>
      <c r="H1252" s="2" t="inlineStr">
        <is>
          <t>S-B06; richer true-butter variant</t>
        </is>
      </c>
    </row>
    <row r="1253">
      <c r="A1253" s="2" t="inlineStr">
        <is>
          <t>L139</t>
        </is>
      </c>
      <c r="B1253" s="2" t="inlineStr">
        <is>
          <t>NEW BRIOCHE</t>
        </is>
      </c>
      <c r="C1253" s="2" t="inlineStr">
        <is>
          <t>S076</t>
        </is>
      </c>
      <c r="D1253" s="2" t="inlineStr">
        <is>
          <t>'NEW BRIOCHE'!C7,D7</t>
        </is>
      </c>
      <c r="E1253" s="2" t="inlineStr">
        <is>
          <t>sugar</t>
        </is>
      </c>
      <c r="F1253" s="3" t="n">
        <v>600</v>
      </c>
      <c r="G1253" s="2" t="inlineStr">
        <is>
          <t>600</t>
        </is>
      </c>
      <c r="H1253" s="2" t="inlineStr">
        <is>
          <t>S-B06; richer true-butter variant</t>
        </is>
      </c>
    </row>
    <row r="1254">
      <c r="A1254" s="2" t="inlineStr">
        <is>
          <t>L139</t>
        </is>
      </c>
      <c r="B1254" s="2" t="inlineStr">
        <is>
          <t>NEW BRIOCHE</t>
        </is>
      </c>
      <c r="C1254" s="2" t="inlineStr">
        <is>
          <t>S076</t>
        </is>
      </c>
      <c r="D1254" s="2" t="inlineStr">
        <is>
          <t>'NEW BRIOCHE'!C8,D8</t>
        </is>
      </c>
      <c r="E1254" s="2" t="inlineStr">
        <is>
          <t>Milk</t>
        </is>
      </c>
      <c r="F1254" s="3" t="n">
        <v>500</v>
      </c>
      <c r="G1254" s="2" t="inlineStr">
        <is>
          <t>500</t>
        </is>
      </c>
      <c r="H1254" s="2" t="inlineStr">
        <is>
          <t>S-B06; richer true-butter variant</t>
        </is>
      </c>
    </row>
    <row r="1255">
      <c r="A1255" s="2" t="inlineStr">
        <is>
          <t>L139</t>
        </is>
      </c>
      <c r="B1255" s="2" t="inlineStr">
        <is>
          <t>NEW BRIOCHE</t>
        </is>
      </c>
      <c r="C1255" s="2" t="inlineStr">
        <is>
          <t>S076</t>
        </is>
      </c>
      <c r="D1255" s="2" t="inlineStr">
        <is>
          <t>'NEW BRIOCHE'!C9,D9</t>
        </is>
      </c>
      <c r="E1255" s="2" t="inlineStr">
        <is>
          <t>egg</t>
        </is>
      </c>
      <c r="F1255" s="3" t="n">
        <v>350</v>
      </c>
      <c r="G1255" s="2" t="inlineStr">
        <is>
          <t>350</t>
        </is>
      </c>
      <c r="H1255" s="2" t="inlineStr">
        <is>
          <t>S-B06; richer true-butter variant</t>
        </is>
      </c>
    </row>
    <row r="1256">
      <c r="A1256" s="2" t="inlineStr">
        <is>
          <t>L139</t>
        </is>
      </c>
      <c r="B1256" s="2" t="inlineStr">
        <is>
          <t>NEW BRIOCHE</t>
        </is>
      </c>
      <c r="C1256" s="2" t="inlineStr">
        <is>
          <t>S076</t>
        </is>
      </c>
      <c r="D1256" s="2" t="inlineStr">
        <is>
          <t>'NEW BRIOCHE'!C10,D10</t>
        </is>
      </c>
      <c r="E1256" s="2" t="inlineStr">
        <is>
          <t>salt</t>
        </is>
      </c>
      <c r="F1256" s="3" t="n">
        <v>35</v>
      </c>
      <c r="G1256" s="2" t="inlineStr">
        <is>
          <t>35</t>
        </is>
      </c>
      <c r="H1256" s="2" t="inlineStr">
        <is>
          <t>S-B06; richer true-butter variant</t>
        </is>
      </c>
    </row>
    <row r="1257">
      <c r="A1257" s="2" t="inlineStr">
        <is>
          <t>L139</t>
        </is>
      </c>
      <c r="B1257" s="2" t="inlineStr">
        <is>
          <t>NEW BRIOCHE</t>
        </is>
      </c>
      <c r="C1257" s="2" t="inlineStr">
        <is>
          <t>S076</t>
        </is>
      </c>
      <c r="D1257" s="2" t="inlineStr">
        <is>
          <t>'NEW BRIOCHE'!C11,D11</t>
        </is>
      </c>
      <c r="E1257" s="2" t="inlineStr">
        <is>
          <t>improver</t>
        </is>
      </c>
      <c r="F1257" s="3" t="n">
        <v>50</v>
      </c>
      <c r="G1257" s="2" t="inlineStr">
        <is>
          <t>50</t>
        </is>
      </c>
      <c r="H1257" s="2" t="inlineStr">
        <is>
          <t>S-B06; richer true-butter variant</t>
        </is>
      </c>
    </row>
    <row r="1258">
      <c r="A1258" s="2" t="inlineStr">
        <is>
          <t>L139</t>
        </is>
      </c>
      <c r="B1258" s="2" t="inlineStr">
        <is>
          <t>NEW BRIOCHE</t>
        </is>
      </c>
      <c r="C1258" s="2" t="inlineStr">
        <is>
          <t>S076</t>
        </is>
      </c>
      <c r="D1258" s="2" t="inlineStr">
        <is>
          <t>'NEW BRIOCHE'!C12,D12</t>
        </is>
      </c>
      <c r="E1258" s="2" t="inlineStr">
        <is>
          <t>yeast</t>
        </is>
      </c>
      <c r="F1258" s="3" t="n">
        <v>50</v>
      </c>
      <c r="G1258" s="2" t="inlineStr">
        <is>
          <t>50</t>
        </is>
      </c>
      <c r="H1258" s="2" t="inlineStr">
        <is>
          <t>S-B06; richer true-butter variant</t>
        </is>
      </c>
    </row>
    <row r="1259">
      <c r="A1259" s="2" t="inlineStr">
        <is>
          <t>L139</t>
        </is>
      </c>
      <c r="B1259" s="2" t="inlineStr">
        <is>
          <t>NEW BRIOCHE</t>
        </is>
      </c>
      <c r="C1259" s="2" t="inlineStr">
        <is>
          <t>S076</t>
        </is>
      </c>
      <c r="D1259" s="2" t="inlineStr">
        <is>
          <t>'NEW BRIOCHE'!C13,D13</t>
        </is>
      </c>
      <c r="E1259" s="2" t="inlineStr">
        <is>
          <t>water</t>
        </is>
      </c>
      <c r="F1259" s="3" t="n">
        <v>900</v>
      </c>
      <c r="G1259" s="2" t="inlineStr">
        <is>
          <t>900</t>
        </is>
      </c>
      <c r="H1259" s="2" t="inlineStr">
        <is>
          <t>S-B06; richer true-butter variant</t>
        </is>
      </c>
    </row>
    <row r="1260">
      <c r="A1260" s="2" t="inlineStr">
        <is>
          <t>L139</t>
        </is>
      </c>
      <c r="B1260" s="2" t="inlineStr">
        <is>
          <t>NEW BRIOCHE</t>
        </is>
      </c>
      <c r="C1260" s="2" t="inlineStr">
        <is>
          <t>S076</t>
        </is>
      </c>
      <c r="D1260" s="2" t="inlineStr">
        <is>
          <t>'NEW BRIOCHE'!C14,D14</t>
        </is>
      </c>
      <c r="E1260" s="2" t="inlineStr">
        <is>
          <t>Milk tantalizer</t>
        </is>
      </c>
      <c r="F1260" s="3" t="n">
        <v>8</v>
      </c>
      <c r="G1260" s="2" t="inlineStr">
        <is>
          <t>8</t>
        </is>
      </c>
      <c r="H1260" s="2" t="inlineStr">
        <is>
          <t>S-B06; richer true-butter variant</t>
        </is>
      </c>
    </row>
    <row r="1261">
      <c r="A1261" s="2" t="inlineStr">
        <is>
          <t>L139</t>
        </is>
      </c>
      <c r="B1261" s="2" t="inlineStr">
        <is>
          <t>NEW BRIOCHE</t>
        </is>
      </c>
      <c r="C1261" s="2" t="inlineStr">
        <is>
          <t>S076</t>
        </is>
      </c>
      <c r="D1261" s="2" t="inlineStr">
        <is>
          <t>'NEW BRIOCHE'!C15,D15</t>
        </is>
      </c>
      <c r="E1261" s="2" t="inlineStr">
        <is>
          <t>EDC</t>
        </is>
      </c>
      <c r="F1261" s="3" t="n">
        <v>25</v>
      </c>
      <c r="G1261" s="2" t="inlineStr">
        <is>
          <t>25</t>
        </is>
      </c>
      <c r="H1261" s="2" t="inlineStr">
        <is>
          <t>S-B06; richer true-butter variant</t>
        </is>
      </c>
    </row>
    <row r="1262">
      <c r="A1262" s="2" t="inlineStr">
        <is>
          <t>L139</t>
        </is>
      </c>
      <c r="B1262" s="2" t="inlineStr">
        <is>
          <t>NEW BRIOCHE</t>
        </is>
      </c>
      <c r="C1262" s="2" t="inlineStr">
        <is>
          <t>S076</t>
        </is>
      </c>
      <c r="D1262" s="2" t="inlineStr">
        <is>
          <t>'NEW BRIOCHE'!C16,D16</t>
        </is>
      </c>
      <c r="E1262" s="2" t="inlineStr">
        <is>
          <t>Nutmeg</t>
        </is>
      </c>
      <c r="F1262" s="3" t="n">
        <v>15</v>
      </c>
      <c r="G1262" s="2" t="inlineStr">
        <is>
          <t>15</t>
        </is>
      </c>
      <c r="H1262" s="2" t="inlineStr">
        <is>
          <t>S-B06; richer true-butter variant</t>
        </is>
      </c>
    </row>
    <row r="1263">
      <c r="A1263" s="2" t="inlineStr">
        <is>
          <t>L140</t>
        </is>
      </c>
      <c r="B1263" s="2" t="inlineStr">
        <is>
          <t>Pain au lait</t>
        </is>
      </c>
      <c r="C1263" s="2" t="inlineStr">
        <is>
          <t>S076</t>
        </is>
      </c>
      <c r="D1263" s="2" t="inlineStr">
        <is>
          <t>'Pain au lait'!C5,D5</t>
        </is>
      </c>
      <c r="E1263" s="2" t="inlineStr">
        <is>
          <t>flour</t>
        </is>
      </c>
      <c r="F1263" s="3" t="n">
        <v>12000</v>
      </c>
      <c r="G1263" s="2" t="inlineStr">
        <is>
          <t>12000</t>
        </is>
      </c>
      <c r="H1263" s="2" t="inlineStr">
        <is>
          <t>S-B07 / M1-B04</t>
        </is>
      </c>
    </row>
    <row r="1264">
      <c r="A1264" s="2" t="inlineStr">
        <is>
          <t>L140</t>
        </is>
      </c>
      <c r="B1264" s="2" t="inlineStr">
        <is>
          <t>Pain au lait</t>
        </is>
      </c>
      <c r="C1264" s="2" t="inlineStr">
        <is>
          <t>S076</t>
        </is>
      </c>
      <c r="D1264" s="2" t="inlineStr">
        <is>
          <t>'Pain au lait'!C6,D6</t>
        </is>
      </c>
      <c r="E1264" s="2" t="inlineStr">
        <is>
          <t>Butter</t>
        </is>
      </c>
      <c r="F1264" s="3" t="n">
        <v>900</v>
      </c>
      <c r="G1264" s="2" t="inlineStr">
        <is>
          <t>900</t>
        </is>
      </c>
      <c r="H1264" s="2" t="inlineStr">
        <is>
          <t>S-B07 / M1-B04</t>
        </is>
      </c>
    </row>
    <row r="1265">
      <c r="A1265" s="2" t="inlineStr">
        <is>
          <t>L140</t>
        </is>
      </c>
      <c r="B1265" s="2" t="inlineStr">
        <is>
          <t>Pain au lait</t>
        </is>
      </c>
      <c r="C1265" s="2" t="inlineStr">
        <is>
          <t>S076</t>
        </is>
      </c>
      <c r="D1265" s="2" t="inlineStr">
        <is>
          <t>'Pain au lait'!C7,D7</t>
        </is>
      </c>
      <c r="E1265" s="2" t="inlineStr">
        <is>
          <t>sugar</t>
        </is>
      </c>
      <c r="F1265" s="3" t="n">
        <v>1100</v>
      </c>
      <c r="G1265" s="2" t="inlineStr">
        <is>
          <t>1100</t>
        </is>
      </c>
      <c r="H1265" s="2" t="inlineStr">
        <is>
          <t>S-B07 / M1-B04</t>
        </is>
      </c>
    </row>
    <row r="1266">
      <c r="A1266" s="2" t="inlineStr">
        <is>
          <t>L140</t>
        </is>
      </c>
      <c r="B1266" s="2" t="inlineStr">
        <is>
          <t>Pain au lait</t>
        </is>
      </c>
      <c r="C1266" s="2" t="inlineStr">
        <is>
          <t>S076</t>
        </is>
      </c>
      <c r="D1266" s="2" t="inlineStr">
        <is>
          <t>'Pain au lait'!C8,D8</t>
        </is>
      </c>
      <c r="E1266" s="2" t="inlineStr">
        <is>
          <t>Milk</t>
        </is>
      </c>
      <c r="F1266" s="3" t="n">
        <v>1000</v>
      </c>
      <c r="G1266" s="2" t="inlineStr">
        <is>
          <t>1000</t>
        </is>
      </c>
      <c r="H1266" s="2" t="inlineStr">
        <is>
          <t>S-B07 / M1-B04</t>
        </is>
      </c>
    </row>
    <row r="1267">
      <c r="A1267" s="2" t="inlineStr">
        <is>
          <t>L140</t>
        </is>
      </c>
      <c r="B1267" s="2" t="inlineStr">
        <is>
          <t>Pain au lait</t>
        </is>
      </c>
      <c r="C1267" s="2" t="inlineStr">
        <is>
          <t>S076</t>
        </is>
      </c>
      <c r="D1267" s="2" t="inlineStr">
        <is>
          <t>'Pain au lait'!C9,D9</t>
        </is>
      </c>
      <c r="E1267" s="2" t="inlineStr">
        <is>
          <t>egg</t>
        </is>
      </c>
      <c r="F1267" s="3" t="n">
        <v>300</v>
      </c>
      <c r="G1267" s="2" t="inlineStr">
        <is>
          <t>300</t>
        </is>
      </c>
      <c r="H1267" s="2" t="inlineStr">
        <is>
          <t>S-B07 / M1-B04</t>
        </is>
      </c>
    </row>
    <row r="1268">
      <c r="A1268" s="2" t="inlineStr">
        <is>
          <t>L140</t>
        </is>
      </c>
      <c r="B1268" s="2" t="inlineStr">
        <is>
          <t>Pain au lait</t>
        </is>
      </c>
      <c r="C1268" s="2" t="inlineStr">
        <is>
          <t>S076</t>
        </is>
      </c>
      <c r="D1268" s="2" t="inlineStr">
        <is>
          <t>'Pain au lait'!C10,D10</t>
        </is>
      </c>
      <c r="E1268" s="2" t="inlineStr">
        <is>
          <t>salt</t>
        </is>
      </c>
      <c r="F1268" s="3" t="n">
        <v>85</v>
      </c>
      <c r="G1268" s="2" t="inlineStr">
        <is>
          <t>85</t>
        </is>
      </c>
      <c r="H1268" s="2" t="inlineStr">
        <is>
          <t>S-B07 / M1-B04</t>
        </is>
      </c>
    </row>
    <row r="1269">
      <c r="A1269" s="2" t="inlineStr">
        <is>
          <t>L140</t>
        </is>
      </c>
      <c r="B1269" s="2" t="inlineStr">
        <is>
          <t>Pain au lait</t>
        </is>
      </c>
      <c r="C1269" s="2" t="inlineStr">
        <is>
          <t>S076</t>
        </is>
      </c>
      <c r="D1269" s="2" t="inlineStr">
        <is>
          <t>'Pain au lait'!C11,D11</t>
        </is>
      </c>
      <c r="E1269" s="2" t="inlineStr">
        <is>
          <t>improver</t>
        </is>
      </c>
      <c r="F1269" s="3" t="n">
        <v>100</v>
      </c>
      <c r="G1269" s="2" t="inlineStr">
        <is>
          <t>100</t>
        </is>
      </c>
      <c r="H1269" s="2" t="inlineStr">
        <is>
          <t>S-B07 / M1-B04</t>
        </is>
      </c>
    </row>
    <row r="1270">
      <c r="A1270" s="2" t="inlineStr">
        <is>
          <t>L140</t>
        </is>
      </c>
      <c r="B1270" s="2" t="inlineStr">
        <is>
          <t>Pain au lait</t>
        </is>
      </c>
      <c r="C1270" s="2" t="inlineStr">
        <is>
          <t>S076</t>
        </is>
      </c>
      <c r="D1270" s="2" t="inlineStr">
        <is>
          <t>'Pain au lait'!C12,D12</t>
        </is>
      </c>
      <c r="E1270" s="2" t="inlineStr">
        <is>
          <t>yeast</t>
        </is>
      </c>
      <c r="F1270" s="3" t="n">
        <v>80</v>
      </c>
      <c r="G1270" s="2" t="inlineStr">
        <is>
          <t>80</t>
        </is>
      </c>
      <c r="H1270" s="2" t="inlineStr">
        <is>
          <t>S-B07 / M1-B04</t>
        </is>
      </c>
    </row>
    <row r="1271">
      <c r="A1271" s="2" t="inlineStr">
        <is>
          <t>L140</t>
        </is>
      </c>
      <c r="B1271" s="2" t="inlineStr">
        <is>
          <t>Pain au lait</t>
        </is>
      </c>
      <c r="C1271" s="2" t="inlineStr">
        <is>
          <t>S076</t>
        </is>
      </c>
      <c r="D1271" s="2" t="inlineStr">
        <is>
          <t>'Pain au lait'!C13,D13</t>
        </is>
      </c>
      <c r="E1271" s="2" t="inlineStr">
        <is>
          <t>water</t>
        </is>
      </c>
      <c r="F1271" s="3" t="n">
        <v>4000</v>
      </c>
      <c r="G1271" s="2" t="inlineStr">
        <is>
          <t>4000</t>
        </is>
      </c>
      <c r="H1271" s="2" t="inlineStr">
        <is>
          <t>S-B07 / M1-B04</t>
        </is>
      </c>
    </row>
    <row r="1272">
      <c r="A1272" s="2" t="inlineStr">
        <is>
          <t>L140</t>
        </is>
      </c>
      <c r="B1272" s="2" t="inlineStr">
        <is>
          <t>Pain au lait</t>
        </is>
      </c>
      <c r="C1272" s="2" t="inlineStr">
        <is>
          <t>S076</t>
        </is>
      </c>
      <c r="D1272" s="2" t="inlineStr">
        <is>
          <t>'Pain au lait'!C14,D14</t>
        </is>
      </c>
      <c r="E1272" s="2" t="inlineStr">
        <is>
          <t>Oil</t>
        </is>
      </c>
      <c r="F1272" s="3" t="n">
        <v>300</v>
      </c>
      <c r="G1272" s="2" t="inlineStr">
        <is>
          <t>300</t>
        </is>
      </c>
      <c r="H1272" s="2" t="inlineStr">
        <is>
          <t>S-B07 / M1-B04</t>
        </is>
      </c>
    </row>
    <row r="1273">
      <c r="A1273" s="2" t="inlineStr">
        <is>
          <t>L140</t>
        </is>
      </c>
      <c r="B1273" s="2" t="inlineStr">
        <is>
          <t>Pain au lait</t>
        </is>
      </c>
      <c r="C1273" s="2" t="inlineStr">
        <is>
          <t>S076</t>
        </is>
      </c>
      <c r="D1273" s="2" t="inlineStr">
        <is>
          <t>'Pain au lait'!C15,D15</t>
        </is>
      </c>
      <c r="E1273" s="2" t="inlineStr">
        <is>
          <t>Milk tantalizer</t>
        </is>
      </c>
      <c r="F1273" s="3" t="n">
        <v>5</v>
      </c>
      <c r="G1273" s="2" t="inlineStr">
        <is>
          <t>5</t>
        </is>
      </c>
      <c r="H1273" s="2" t="inlineStr">
        <is>
          <t>S-B07 / M1-B04</t>
        </is>
      </c>
    </row>
    <row r="1274">
      <c r="A1274" s="2" t="inlineStr">
        <is>
          <t>L140</t>
        </is>
      </c>
      <c r="B1274" s="2" t="inlineStr">
        <is>
          <t>Pain au lait</t>
        </is>
      </c>
      <c r="C1274" s="2" t="inlineStr">
        <is>
          <t>S076</t>
        </is>
      </c>
      <c r="D1274" s="2" t="inlineStr">
        <is>
          <t>'Pain au lait'!C16,D16</t>
        </is>
      </c>
      <c r="E1274" s="2" t="inlineStr">
        <is>
          <t>EDC</t>
        </is>
      </c>
      <c r="F1274" s="3" t="n">
        <v>25</v>
      </c>
      <c r="G1274" s="2" t="inlineStr">
        <is>
          <t>25</t>
        </is>
      </c>
      <c r="H1274" s="2" t="inlineStr">
        <is>
          <t>S-B07 / M1-B04</t>
        </is>
      </c>
    </row>
    <row r="1275">
      <c r="A1275" s="2" t="inlineStr">
        <is>
          <t>L140</t>
        </is>
      </c>
      <c r="B1275" s="2" t="inlineStr">
        <is>
          <t>Pain au lait</t>
        </is>
      </c>
      <c r="C1275" s="2" t="inlineStr">
        <is>
          <t>S076</t>
        </is>
      </c>
      <c r="D1275" s="2" t="inlineStr">
        <is>
          <t>'Pain au lait'!C17,D17</t>
        </is>
      </c>
      <c r="E1275" s="2" t="inlineStr">
        <is>
          <t>Nutmeg</t>
        </is>
      </c>
      <c r="F1275" s="3" t="n">
        <v>12</v>
      </c>
      <c r="G1275" s="2" t="inlineStr">
        <is>
          <t>12</t>
        </is>
      </c>
      <c r="H1275" s="2" t="inlineStr">
        <is>
          <t>S-B07 / M1-B04</t>
        </is>
      </c>
    </row>
    <row r="1276">
      <c r="A1276" s="2" t="inlineStr">
        <is>
          <t>L141</t>
        </is>
      </c>
      <c r="B1276" s="2" t="inlineStr">
        <is>
          <t>Pain au lait</t>
        </is>
      </c>
      <c r="C1276" s="2" t="inlineStr">
        <is>
          <t>S076</t>
        </is>
      </c>
      <c r="D1276" s="2" t="inlineStr">
        <is>
          <t>'Pain au lait'!C5,L5</t>
        </is>
      </c>
      <c r="E1276" s="2" t="inlineStr">
        <is>
          <t>flour</t>
        </is>
      </c>
      <c r="F1276" s="3" t="n">
        <v>7000</v>
      </c>
      <c r="G1276" s="2" t="inlineStr">
        <is>
          <t>7000</t>
        </is>
      </c>
      <c r="H1276" s="2" t="inlineStr">
        <is>
          <t>S-B07 / M1-B04</t>
        </is>
      </c>
    </row>
    <row r="1277">
      <c r="A1277" s="2" t="inlineStr">
        <is>
          <t>L141</t>
        </is>
      </c>
      <c r="B1277" s="2" t="inlineStr">
        <is>
          <t>Pain au lait</t>
        </is>
      </c>
      <c r="C1277" s="2" t="inlineStr">
        <is>
          <t>S076</t>
        </is>
      </c>
      <c r="D1277" s="2" t="inlineStr">
        <is>
          <t>'Pain au lait'!C6,L6</t>
        </is>
      </c>
      <c r="E1277" s="2" t="inlineStr">
        <is>
          <t>Butter</t>
        </is>
      </c>
      <c r="F1277" s="3" t="n">
        <v>600</v>
      </c>
      <c r="G1277" s="2" t="inlineStr">
        <is>
          <t>600</t>
        </is>
      </c>
      <c r="H1277" s="2" t="inlineStr">
        <is>
          <t>S-B07 / M1-B04</t>
        </is>
      </c>
    </row>
    <row r="1278">
      <c r="A1278" s="2" t="inlineStr">
        <is>
          <t>L141</t>
        </is>
      </c>
      <c r="B1278" s="2" t="inlineStr">
        <is>
          <t>Pain au lait</t>
        </is>
      </c>
      <c r="C1278" s="2" t="inlineStr">
        <is>
          <t>S076</t>
        </is>
      </c>
      <c r="D1278" s="2" t="inlineStr">
        <is>
          <t>'Pain au lait'!C7,L7</t>
        </is>
      </c>
      <c r="E1278" s="2" t="inlineStr">
        <is>
          <t>sugar</t>
        </is>
      </c>
      <c r="F1278" s="3" t="n">
        <v>600</v>
      </c>
      <c r="G1278" s="2" t="inlineStr">
        <is>
          <t>600</t>
        </is>
      </c>
      <c r="H1278" s="2" t="inlineStr">
        <is>
          <t>S-B07 / M1-B04</t>
        </is>
      </c>
    </row>
    <row r="1279">
      <c r="A1279" s="2" t="inlineStr">
        <is>
          <t>L141</t>
        </is>
      </c>
      <c r="B1279" s="2" t="inlineStr">
        <is>
          <t>Pain au lait</t>
        </is>
      </c>
      <c r="C1279" s="2" t="inlineStr">
        <is>
          <t>S076</t>
        </is>
      </c>
      <c r="D1279" s="2" t="inlineStr">
        <is>
          <t>'Pain au lait'!C8,L8</t>
        </is>
      </c>
      <c r="E1279" s="2" t="inlineStr">
        <is>
          <t>Milk</t>
        </is>
      </c>
      <c r="F1279" s="3" t="n">
        <v>500</v>
      </c>
      <c r="G1279" s="2" t="inlineStr">
        <is>
          <t>=D8/2 [cached: 500]</t>
        </is>
      </c>
      <c r="H1279" s="2" t="inlineStr">
        <is>
          <t>S-B07 / M1-B04</t>
        </is>
      </c>
    </row>
    <row r="1280">
      <c r="A1280" s="2" t="inlineStr">
        <is>
          <t>L141</t>
        </is>
      </c>
      <c r="B1280" s="2" t="inlineStr">
        <is>
          <t>Pain au lait</t>
        </is>
      </c>
      <c r="C1280" s="2" t="inlineStr">
        <is>
          <t>S076</t>
        </is>
      </c>
      <c r="D1280" s="2" t="inlineStr">
        <is>
          <t>'Pain au lait'!C9,L9</t>
        </is>
      </c>
      <c r="E1280" s="2" t="inlineStr">
        <is>
          <t>egg</t>
        </is>
      </c>
      <c r="F1280" s="3" t="n">
        <v>150</v>
      </c>
      <c r="G1280" s="2" t="inlineStr">
        <is>
          <t>=D9/2 [cached: 150]</t>
        </is>
      </c>
      <c r="H1280" s="2" t="inlineStr">
        <is>
          <t>S-B07 / M1-B04</t>
        </is>
      </c>
    </row>
    <row r="1281">
      <c r="A1281" s="2" t="inlineStr">
        <is>
          <t>L141</t>
        </is>
      </c>
      <c r="B1281" s="2" t="inlineStr">
        <is>
          <t>Pain au lait</t>
        </is>
      </c>
      <c r="C1281" s="2" t="inlineStr">
        <is>
          <t>S076</t>
        </is>
      </c>
      <c r="D1281" s="2" t="inlineStr">
        <is>
          <t>'Pain au lait'!C10,L10</t>
        </is>
      </c>
      <c r="E1281" s="2" t="inlineStr">
        <is>
          <t>salt</t>
        </is>
      </c>
      <c r="F1281" s="3" t="n">
        <v>50</v>
      </c>
      <c r="G1281" s="2" t="inlineStr">
        <is>
          <t>50</t>
        </is>
      </c>
      <c r="H1281" s="2" t="inlineStr">
        <is>
          <t>S-B07 / M1-B04</t>
        </is>
      </c>
    </row>
    <row r="1282">
      <c r="A1282" s="2" t="inlineStr">
        <is>
          <t>L141</t>
        </is>
      </c>
      <c r="B1282" s="2" t="inlineStr">
        <is>
          <t>Pain au lait</t>
        </is>
      </c>
      <c r="C1282" s="2" t="inlineStr">
        <is>
          <t>S076</t>
        </is>
      </c>
      <c r="D1282" s="2" t="inlineStr">
        <is>
          <t>'Pain au lait'!C11,L11</t>
        </is>
      </c>
      <c r="E1282" s="2" t="inlineStr">
        <is>
          <t>improver</t>
        </is>
      </c>
      <c r="F1282" s="3" t="n">
        <v>100</v>
      </c>
      <c r="G1282" s="2" t="inlineStr">
        <is>
          <t>100</t>
        </is>
      </c>
      <c r="H1282" s="2" t="inlineStr">
        <is>
          <t>S-B07 / M1-B04</t>
        </is>
      </c>
    </row>
    <row r="1283">
      <c r="A1283" s="2" t="inlineStr">
        <is>
          <t>L141</t>
        </is>
      </c>
      <c r="B1283" s="2" t="inlineStr">
        <is>
          <t>Pain au lait</t>
        </is>
      </c>
      <c r="C1283" s="2" t="inlineStr">
        <is>
          <t>S076</t>
        </is>
      </c>
      <c r="D1283" s="2" t="inlineStr">
        <is>
          <t>'Pain au lait'!C12,L12</t>
        </is>
      </c>
      <c r="E1283" s="2" t="inlineStr">
        <is>
          <t>yeast</t>
        </is>
      </c>
      <c r="F1283" s="3" t="n">
        <v>50</v>
      </c>
      <c r="G1283" s="2" t="inlineStr">
        <is>
          <t>50</t>
        </is>
      </c>
      <c r="H1283" s="2" t="inlineStr">
        <is>
          <t>S-B07 / M1-B04</t>
        </is>
      </c>
    </row>
    <row r="1284">
      <c r="A1284" s="2" t="inlineStr">
        <is>
          <t>L141</t>
        </is>
      </c>
      <c r="B1284" s="2" t="inlineStr">
        <is>
          <t>Pain au lait</t>
        </is>
      </c>
      <c r="C1284" s="2" t="inlineStr">
        <is>
          <t>S076</t>
        </is>
      </c>
      <c r="D1284" s="2" t="inlineStr">
        <is>
          <t>'Pain au lait'!C13,L13</t>
        </is>
      </c>
      <c r="E1284" s="2" t="inlineStr">
        <is>
          <t>water</t>
        </is>
      </c>
      <c r="F1284" s="3" t="n">
        <v>1100</v>
      </c>
      <c r="G1284" s="2" t="inlineStr">
        <is>
          <t>1100</t>
        </is>
      </c>
      <c r="H1284" s="2" t="inlineStr">
        <is>
          <t>S-B07 / M1-B04</t>
        </is>
      </c>
    </row>
    <row r="1285">
      <c r="A1285" s="2" t="inlineStr">
        <is>
          <t>L141</t>
        </is>
      </c>
      <c r="B1285" s="2" t="inlineStr">
        <is>
          <t>Pain au lait</t>
        </is>
      </c>
      <c r="C1285" s="2" t="inlineStr">
        <is>
          <t>S076</t>
        </is>
      </c>
      <c r="D1285" s="2" t="inlineStr">
        <is>
          <t>'Pain au lait'!C14,L14</t>
        </is>
      </c>
      <c r="E1285" s="2" t="inlineStr">
        <is>
          <t>Oil</t>
        </is>
      </c>
      <c r="F1285" s="3" t="n">
        <v>150</v>
      </c>
      <c r="G1285" s="2" t="inlineStr">
        <is>
          <t>=D14/2 [cached: 150]</t>
        </is>
      </c>
      <c r="H1285" s="2" t="inlineStr">
        <is>
          <t>S-B07 / M1-B04</t>
        </is>
      </c>
    </row>
    <row r="1286">
      <c r="A1286" s="2" t="inlineStr">
        <is>
          <t>L141</t>
        </is>
      </c>
      <c r="B1286" s="2" t="inlineStr">
        <is>
          <t>Pain au lait</t>
        </is>
      </c>
      <c r="C1286" s="2" t="inlineStr">
        <is>
          <t>S076</t>
        </is>
      </c>
      <c r="D1286" s="2" t="inlineStr">
        <is>
          <t>'Pain au lait'!C15,L15</t>
        </is>
      </c>
      <c r="E1286" s="2" t="inlineStr">
        <is>
          <t>Milk tantalizer</t>
        </is>
      </c>
      <c r="F1286" s="3" t="n">
        <v>2.5</v>
      </c>
      <c r="G1286" s="2" t="inlineStr">
        <is>
          <t>=D15/2 [cached: 2.5]</t>
        </is>
      </c>
      <c r="H1286" s="2" t="inlineStr">
        <is>
          <t>S-B07 / M1-B04</t>
        </is>
      </c>
    </row>
    <row r="1287">
      <c r="A1287" s="2" t="inlineStr">
        <is>
          <t>L141</t>
        </is>
      </c>
      <c r="B1287" s="2" t="inlineStr">
        <is>
          <t>Pain au lait</t>
        </is>
      </c>
      <c r="C1287" s="2" t="inlineStr">
        <is>
          <t>S076</t>
        </is>
      </c>
      <c r="D1287" s="2" t="inlineStr">
        <is>
          <t>'Pain au lait'!C16,L16</t>
        </is>
      </c>
      <c r="E1287" s="2" t="inlineStr">
        <is>
          <t>EDC</t>
        </is>
      </c>
      <c r="F1287" s="3" t="n">
        <v>12.5</v>
      </c>
      <c r="G1287" s="2" t="inlineStr">
        <is>
          <t>=D16/2 [cached: 12.5]</t>
        </is>
      </c>
      <c r="H1287" s="2" t="inlineStr">
        <is>
          <t>S-B07 / M1-B04</t>
        </is>
      </c>
    </row>
    <row r="1288">
      <c r="A1288" s="2" t="inlineStr">
        <is>
          <t>L141</t>
        </is>
      </c>
      <c r="B1288" s="2" t="inlineStr">
        <is>
          <t>Pain au lait</t>
        </is>
      </c>
      <c r="C1288" s="2" t="inlineStr">
        <is>
          <t>S076</t>
        </is>
      </c>
      <c r="D1288" s="2" t="inlineStr">
        <is>
          <t>'Pain au lait'!C17,L17</t>
        </is>
      </c>
      <c r="E1288" s="2" t="inlineStr">
        <is>
          <t>Nutmeg</t>
        </is>
      </c>
      <c r="F1288" s="3" t="n">
        <v>6</v>
      </c>
      <c r="G1288" s="2" t="inlineStr">
        <is>
          <t>=D17/2 [cached: 6]</t>
        </is>
      </c>
      <c r="H1288" s="2" t="inlineStr">
        <is>
          <t>S-B07 / M1-B04</t>
        </is>
      </c>
    </row>
    <row r="1289">
      <c r="A1289" s="2" t="inlineStr">
        <is>
          <t>L142</t>
        </is>
      </c>
      <c r="B1289" s="2" t="inlineStr">
        <is>
          <t>Sugar Balls</t>
        </is>
      </c>
      <c r="C1289" s="2" t="inlineStr">
        <is>
          <t>S076</t>
        </is>
      </c>
      <c r="D1289" s="2" t="inlineStr">
        <is>
          <t>'Sugar Balls'!C5,D5</t>
        </is>
      </c>
      <c r="E1289" s="2" t="inlineStr">
        <is>
          <t>flour</t>
        </is>
      </c>
      <c r="F1289" s="3" t="n">
        <v>4000</v>
      </c>
      <c r="G1289" s="2" t="inlineStr">
        <is>
          <t>4000</t>
        </is>
      </c>
      <c r="H1289" s="2" t="inlineStr">
        <is>
          <t>Retain unique variant; no equivalent operating card selected</t>
        </is>
      </c>
    </row>
    <row r="1290">
      <c r="A1290" s="2" t="inlineStr">
        <is>
          <t>L142</t>
        </is>
      </c>
      <c r="B1290" s="2" t="inlineStr">
        <is>
          <t>Sugar Balls</t>
        </is>
      </c>
      <c r="C1290" s="2" t="inlineStr">
        <is>
          <t>S076</t>
        </is>
      </c>
      <c r="D1290" s="2" t="inlineStr">
        <is>
          <t>'Sugar Balls'!C6,D6</t>
        </is>
      </c>
      <c r="E1290" s="2" t="inlineStr">
        <is>
          <t>baking powder</t>
        </is>
      </c>
      <c r="F1290" s="3" t="n">
        <v>40</v>
      </c>
      <c r="G1290" s="2" t="inlineStr">
        <is>
          <t>40</t>
        </is>
      </c>
      <c r="H1290" s="2" t="inlineStr">
        <is>
          <t>Retain unique variant; no equivalent operating card selected</t>
        </is>
      </c>
    </row>
    <row r="1291">
      <c r="A1291" s="2" t="inlineStr">
        <is>
          <t>L142</t>
        </is>
      </c>
      <c r="B1291" s="2" t="inlineStr">
        <is>
          <t>Sugar Balls</t>
        </is>
      </c>
      <c r="C1291" s="2" t="inlineStr">
        <is>
          <t>S076</t>
        </is>
      </c>
      <c r="D1291" s="2" t="inlineStr">
        <is>
          <t>'Sugar Balls'!C7,D7</t>
        </is>
      </c>
      <c r="E1291" s="2" t="inlineStr">
        <is>
          <t>sugar</t>
        </is>
      </c>
      <c r="F1291" s="3" t="n">
        <v>400</v>
      </c>
      <c r="G1291" s="2" t="inlineStr">
        <is>
          <t>400</t>
        </is>
      </c>
      <c r="H1291" s="2" t="inlineStr">
        <is>
          <t>Retain unique variant; no equivalent operating card selected</t>
        </is>
      </c>
    </row>
    <row r="1292">
      <c r="A1292" s="2" t="inlineStr">
        <is>
          <t>L142</t>
        </is>
      </c>
      <c r="B1292" s="2" t="inlineStr">
        <is>
          <t>Sugar Balls</t>
        </is>
      </c>
      <c r="C1292" s="2" t="inlineStr">
        <is>
          <t>S076</t>
        </is>
      </c>
      <c r="D1292" s="2" t="inlineStr">
        <is>
          <t>'Sugar Balls'!C8,D8</t>
        </is>
      </c>
      <c r="E1292" s="2" t="inlineStr">
        <is>
          <t>Butter</t>
        </is>
      </c>
      <c r="F1292" s="3" t="n">
        <v>400</v>
      </c>
      <c r="G1292" s="2" t="inlineStr">
        <is>
          <t>400</t>
        </is>
      </c>
      <c r="H1292" s="2" t="inlineStr">
        <is>
          <t>Retain unique variant; no equivalent operating card selected</t>
        </is>
      </c>
    </row>
    <row r="1293">
      <c r="A1293" s="2" t="inlineStr">
        <is>
          <t>L142</t>
        </is>
      </c>
      <c r="B1293" s="2" t="inlineStr">
        <is>
          <t>Sugar Balls</t>
        </is>
      </c>
      <c r="C1293" s="2" t="inlineStr">
        <is>
          <t>S076</t>
        </is>
      </c>
      <c r="D1293" s="2" t="inlineStr">
        <is>
          <t>'Sugar Balls'!C9,D9</t>
        </is>
      </c>
      <c r="E1293" s="2" t="inlineStr">
        <is>
          <t>salt</t>
        </is>
      </c>
      <c r="F1293" s="3" t="n">
        <v>30</v>
      </c>
      <c r="G1293" s="2" t="inlineStr">
        <is>
          <t>30</t>
        </is>
      </c>
      <c r="H1293" s="2" t="inlineStr">
        <is>
          <t>Retain unique variant; no equivalent operating card selected</t>
        </is>
      </c>
    </row>
    <row r="1294">
      <c r="A1294" s="2" t="inlineStr">
        <is>
          <t>L142</t>
        </is>
      </c>
      <c r="B1294" s="2" t="inlineStr">
        <is>
          <t>Sugar Balls</t>
        </is>
      </c>
      <c r="C1294" s="2" t="inlineStr">
        <is>
          <t>S076</t>
        </is>
      </c>
      <c r="D1294" s="2" t="inlineStr">
        <is>
          <t>'Sugar Balls'!C10,D10</t>
        </is>
      </c>
      <c r="E1294" s="2" t="inlineStr">
        <is>
          <t>Cold Water</t>
        </is>
      </c>
      <c r="F1294" s="3" t="n">
        <v>1700</v>
      </c>
      <c r="G1294" s="2" t="inlineStr">
        <is>
          <t>1700</t>
        </is>
      </c>
      <c r="H1294" s="2" t="inlineStr">
        <is>
          <t>Retain unique variant; no equivalent operating card selected</t>
        </is>
      </c>
    </row>
    <row r="1295">
      <c r="A1295" s="2" t="inlineStr">
        <is>
          <t>L142</t>
        </is>
      </c>
      <c r="B1295" s="2" t="inlineStr">
        <is>
          <t>Sugar Balls</t>
        </is>
      </c>
      <c r="C1295" s="2" t="inlineStr">
        <is>
          <t>S076</t>
        </is>
      </c>
      <c r="D1295" s="2" t="inlineStr">
        <is>
          <t>'Sugar Balls'!C11,D11</t>
        </is>
      </c>
      <c r="E1295" s="2" t="inlineStr">
        <is>
          <t>Improver</t>
        </is>
      </c>
      <c r="F1295" s="3" t="n">
        <v>30</v>
      </c>
      <c r="G1295" s="2" t="inlineStr">
        <is>
          <t>30</t>
        </is>
      </c>
      <c r="H1295" s="2" t="inlineStr">
        <is>
          <t>Retain unique variant; no equivalent operating card selected</t>
        </is>
      </c>
    </row>
    <row r="1296">
      <c r="A1296" s="2" t="inlineStr">
        <is>
          <t>L142</t>
        </is>
      </c>
      <c r="B1296" s="2" t="inlineStr">
        <is>
          <t>Sugar Balls</t>
        </is>
      </c>
      <c r="C1296" s="2" t="inlineStr">
        <is>
          <t>S076</t>
        </is>
      </c>
      <c r="D1296" s="2" t="inlineStr">
        <is>
          <t>'Sugar Balls'!C12,D12</t>
        </is>
      </c>
      <c r="E1296" s="2" t="inlineStr">
        <is>
          <t>yeast</t>
        </is>
      </c>
      <c r="F1296" s="3" t="n">
        <v>120</v>
      </c>
      <c r="G1296" s="2" t="inlineStr">
        <is>
          <t>120</t>
        </is>
      </c>
      <c r="H1296" s="2" t="inlineStr">
        <is>
          <t>Retain unique variant; no equivalent operating card selected</t>
        </is>
      </c>
    </row>
    <row r="1297">
      <c r="A1297" s="2" t="inlineStr">
        <is>
          <t>L143</t>
        </is>
      </c>
      <c r="B1297" s="2" t="inlineStr">
        <is>
          <t>Sugar Balls</t>
        </is>
      </c>
      <c r="C1297" s="2" t="inlineStr">
        <is>
          <t>S076</t>
        </is>
      </c>
      <c r="D1297" s="2" t="inlineStr">
        <is>
          <t>'Sugar Balls'!C5,H5</t>
        </is>
      </c>
      <c r="E1297" s="2" t="inlineStr">
        <is>
          <t>flour</t>
        </is>
      </c>
      <c r="F1297" s="3" t="n">
        <v>20000</v>
      </c>
      <c r="G1297" s="2" t="inlineStr">
        <is>
          <t>=D5*5 [cached: 20000]</t>
        </is>
      </c>
      <c r="H1297" s="2" t="inlineStr">
        <is>
          <t>Retain unique variant; no equivalent operating card selected</t>
        </is>
      </c>
    </row>
    <row r="1298">
      <c r="A1298" s="2" t="inlineStr">
        <is>
          <t>L143</t>
        </is>
      </c>
      <c r="B1298" s="2" t="inlineStr">
        <is>
          <t>Sugar Balls</t>
        </is>
      </c>
      <c r="C1298" s="2" t="inlineStr">
        <is>
          <t>S076</t>
        </is>
      </c>
      <c r="D1298" s="2" t="inlineStr">
        <is>
          <t>'Sugar Balls'!C6,H6</t>
        </is>
      </c>
      <c r="E1298" s="2" t="inlineStr">
        <is>
          <t>baking powder</t>
        </is>
      </c>
      <c r="F1298" s="3" t="n">
        <v>200</v>
      </c>
      <c r="G1298" s="2" t="inlineStr">
        <is>
          <t>=D6*5 [cached: 200]</t>
        </is>
      </c>
      <c r="H1298" s="2" t="inlineStr">
        <is>
          <t>Retain unique variant; no equivalent operating card selected</t>
        </is>
      </c>
    </row>
    <row r="1299">
      <c r="A1299" s="2" t="inlineStr">
        <is>
          <t>L143</t>
        </is>
      </c>
      <c r="B1299" s="2" t="inlineStr">
        <is>
          <t>Sugar Balls</t>
        </is>
      </c>
      <c r="C1299" s="2" t="inlineStr">
        <is>
          <t>S076</t>
        </is>
      </c>
      <c r="D1299" s="2" t="inlineStr">
        <is>
          <t>'Sugar Balls'!C7,H7</t>
        </is>
      </c>
      <c r="E1299" s="2" t="inlineStr">
        <is>
          <t>sugar</t>
        </is>
      </c>
      <c r="F1299" s="3" t="n">
        <v>2000</v>
      </c>
      <c r="G1299" s="2" t="inlineStr">
        <is>
          <t>=D7*5 [cached: 2000]</t>
        </is>
      </c>
      <c r="H1299" s="2" t="inlineStr">
        <is>
          <t>Retain unique variant; no equivalent operating card selected</t>
        </is>
      </c>
    </row>
    <row r="1300">
      <c r="A1300" s="2" t="inlineStr">
        <is>
          <t>L143</t>
        </is>
      </c>
      <c r="B1300" s="2" t="inlineStr">
        <is>
          <t>Sugar Balls</t>
        </is>
      </c>
      <c r="C1300" s="2" t="inlineStr">
        <is>
          <t>S076</t>
        </is>
      </c>
      <c r="D1300" s="2" t="inlineStr">
        <is>
          <t>'Sugar Balls'!C8,H8</t>
        </is>
      </c>
      <c r="E1300" s="2" t="inlineStr">
        <is>
          <t>Butter</t>
        </is>
      </c>
      <c r="F1300" s="3" t="n">
        <v>2000</v>
      </c>
      <c r="G1300" s="2" t="inlineStr">
        <is>
          <t>=D8*5 [cached: 2000]</t>
        </is>
      </c>
      <c r="H1300" s="2" t="inlineStr">
        <is>
          <t>Retain unique variant; no equivalent operating card selected</t>
        </is>
      </c>
    </row>
    <row r="1301">
      <c r="A1301" s="2" t="inlineStr">
        <is>
          <t>L143</t>
        </is>
      </c>
      <c r="B1301" s="2" t="inlineStr">
        <is>
          <t>Sugar Balls</t>
        </is>
      </c>
      <c r="C1301" s="2" t="inlineStr">
        <is>
          <t>S076</t>
        </is>
      </c>
      <c r="D1301" s="2" t="inlineStr">
        <is>
          <t>'Sugar Balls'!C9,H9</t>
        </is>
      </c>
      <c r="E1301" s="2" t="inlineStr">
        <is>
          <t>salt</t>
        </is>
      </c>
      <c r="F1301" s="3" t="n">
        <v>150</v>
      </c>
      <c r="G1301" s="2" t="inlineStr">
        <is>
          <t>=D9*5 [cached: 150]</t>
        </is>
      </c>
      <c r="H1301" s="2" t="inlineStr">
        <is>
          <t>Retain unique variant; no equivalent operating card selected</t>
        </is>
      </c>
    </row>
    <row r="1302">
      <c r="A1302" s="2" t="inlineStr">
        <is>
          <t>L143</t>
        </is>
      </c>
      <c r="B1302" s="2" t="inlineStr">
        <is>
          <t>Sugar Balls</t>
        </is>
      </c>
      <c r="C1302" s="2" t="inlineStr">
        <is>
          <t>S076</t>
        </is>
      </c>
      <c r="D1302" s="2" t="inlineStr">
        <is>
          <t>'Sugar Balls'!C10,H10</t>
        </is>
      </c>
      <c r="E1302" s="2" t="inlineStr">
        <is>
          <t>Cold Water</t>
        </is>
      </c>
      <c r="F1302" s="3" t="n">
        <v>8500</v>
      </c>
      <c r="G1302" s="2" t="inlineStr">
        <is>
          <t>=D10*5 [cached: 8500]</t>
        </is>
      </c>
      <c r="H1302" s="2" t="inlineStr">
        <is>
          <t>Retain unique variant; no equivalent operating card selected</t>
        </is>
      </c>
    </row>
    <row r="1303">
      <c r="A1303" s="2" t="inlineStr">
        <is>
          <t>L143</t>
        </is>
      </c>
      <c r="B1303" s="2" t="inlineStr">
        <is>
          <t>Sugar Balls</t>
        </is>
      </c>
      <c r="C1303" s="2" t="inlineStr">
        <is>
          <t>S076</t>
        </is>
      </c>
      <c r="D1303" s="2" t="inlineStr">
        <is>
          <t>'Sugar Balls'!C11,H11</t>
        </is>
      </c>
      <c r="E1303" s="2" t="inlineStr">
        <is>
          <t>Improver</t>
        </is>
      </c>
      <c r="F1303" s="3" t="n">
        <v>150</v>
      </c>
      <c r="G1303" s="2" t="inlineStr">
        <is>
          <t>=D11*5 [cached: 150]</t>
        </is>
      </c>
      <c r="H1303" s="2" t="inlineStr">
        <is>
          <t>Retain unique variant; no equivalent operating card selected</t>
        </is>
      </c>
    </row>
    <row r="1304">
      <c r="A1304" s="2" t="inlineStr">
        <is>
          <t>L143</t>
        </is>
      </c>
      <c r="B1304" s="2" t="inlineStr">
        <is>
          <t>Sugar Balls</t>
        </is>
      </c>
      <c r="C1304" s="2" t="inlineStr">
        <is>
          <t>S076</t>
        </is>
      </c>
      <c r="D1304" s="2" t="inlineStr">
        <is>
          <t>'Sugar Balls'!C12,H12</t>
        </is>
      </c>
      <c r="E1304" s="2" t="inlineStr">
        <is>
          <t>yeast</t>
        </is>
      </c>
      <c r="F1304" s="3" t="n">
        <v>200.4</v>
      </c>
      <c r="G1304" s="2" t="inlineStr">
        <is>
          <t>=D12*1.67 [cached: 200.4]</t>
        </is>
      </c>
      <c r="H1304" s="2" t="inlineStr">
        <is>
          <t>Retain unique variant; no equivalent operating card selected</t>
        </is>
      </c>
    </row>
    <row r="1305">
      <c r="A1305" s="2" t="inlineStr">
        <is>
          <t>L144</t>
        </is>
      </c>
      <c r="B1305" s="2" t="inlineStr">
        <is>
          <t>YUMMY BREAD</t>
        </is>
      </c>
      <c r="C1305" s="2" t="inlineStr">
        <is>
          <t>S076</t>
        </is>
      </c>
      <c r="D1305" s="2" t="inlineStr">
        <is>
          <t>'YUMMY BREAD'!C5,D5</t>
        </is>
      </c>
      <c r="E1305" s="2" t="inlineStr">
        <is>
          <t>flour</t>
        </is>
      </c>
      <c r="F1305" s="3" t="n">
        <v>7000</v>
      </c>
      <c r="G1305" s="2" t="inlineStr">
        <is>
          <t>7000</t>
        </is>
      </c>
      <c r="H1305" s="2" t="inlineStr">
        <is>
          <t>M1-B01–B13</t>
        </is>
      </c>
    </row>
    <row r="1306">
      <c r="A1306" s="2" t="inlineStr">
        <is>
          <t>L144</t>
        </is>
      </c>
      <c r="B1306" s="2" t="inlineStr">
        <is>
          <t>YUMMY BREAD</t>
        </is>
      </c>
      <c r="C1306" s="2" t="inlineStr">
        <is>
          <t>S076</t>
        </is>
      </c>
      <c r="D1306" s="2" t="inlineStr">
        <is>
          <t>'YUMMY BREAD'!C6,D6</t>
        </is>
      </c>
      <c r="E1306" s="2" t="inlineStr">
        <is>
          <t>Butter</t>
        </is>
      </c>
      <c r="F1306" s="3" t="n">
        <v>600</v>
      </c>
      <c r="G1306" s="2" t="inlineStr">
        <is>
          <t>600</t>
        </is>
      </c>
      <c r="H1306" s="2" t="inlineStr">
        <is>
          <t>M1-B01–B13</t>
        </is>
      </c>
    </row>
    <row r="1307">
      <c r="A1307" s="2" t="inlineStr">
        <is>
          <t>L144</t>
        </is>
      </c>
      <c r="B1307" s="2" t="inlineStr">
        <is>
          <t>YUMMY BREAD</t>
        </is>
      </c>
      <c r="C1307" s="2" t="inlineStr">
        <is>
          <t>S076</t>
        </is>
      </c>
      <c r="D1307" s="2" t="inlineStr">
        <is>
          <t>'YUMMY BREAD'!C7,D7</t>
        </is>
      </c>
      <c r="E1307" s="2" t="inlineStr">
        <is>
          <t>sugar</t>
        </is>
      </c>
      <c r="F1307" s="3" t="n">
        <v>650</v>
      </c>
      <c r="G1307" s="2" t="inlineStr">
        <is>
          <t>650</t>
        </is>
      </c>
      <c r="H1307" s="2" t="inlineStr">
        <is>
          <t>M1-B01–B13</t>
        </is>
      </c>
    </row>
    <row r="1308">
      <c r="A1308" s="2" t="inlineStr">
        <is>
          <t>L144</t>
        </is>
      </c>
      <c r="B1308" s="2" t="inlineStr">
        <is>
          <t>YUMMY BREAD</t>
        </is>
      </c>
      <c r="C1308" s="2" t="inlineStr">
        <is>
          <t>S076</t>
        </is>
      </c>
      <c r="D1308" s="2" t="inlineStr">
        <is>
          <t>'YUMMY BREAD'!C8,D8</t>
        </is>
      </c>
      <c r="E1308" s="2" t="inlineStr">
        <is>
          <t>Milk</t>
        </is>
      </c>
      <c r="F1308" s="3" t="n">
        <v>750</v>
      </c>
      <c r="G1308" s="2" t="inlineStr">
        <is>
          <t>750</t>
        </is>
      </c>
      <c r="H1308" s="2" t="inlineStr">
        <is>
          <t>M1-B01–B13</t>
        </is>
      </c>
    </row>
    <row r="1309">
      <c r="A1309" s="2" t="inlineStr">
        <is>
          <t>L144</t>
        </is>
      </c>
      <c r="B1309" s="2" t="inlineStr">
        <is>
          <t>YUMMY BREAD</t>
        </is>
      </c>
      <c r="C1309" s="2" t="inlineStr">
        <is>
          <t>S076</t>
        </is>
      </c>
      <c r="D1309" s="2" t="inlineStr">
        <is>
          <t>'YUMMY BREAD'!C9,D9</t>
        </is>
      </c>
      <c r="E1309" s="2" t="inlineStr">
        <is>
          <t>egg</t>
        </is>
      </c>
      <c r="F1309" s="3" t="n">
        <v>500</v>
      </c>
      <c r="G1309" s="2" t="inlineStr">
        <is>
          <t>500</t>
        </is>
      </c>
      <c r="H1309" s="2" t="inlineStr">
        <is>
          <t>M1-B01–B13</t>
        </is>
      </c>
    </row>
    <row r="1310">
      <c r="A1310" s="2" t="inlineStr">
        <is>
          <t>L144</t>
        </is>
      </c>
      <c r="B1310" s="2" t="inlineStr">
        <is>
          <t>YUMMY BREAD</t>
        </is>
      </c>
      <c r="C1310" s="2" t="inlineStr">
        <is>
          <t>S076</t>
        </is>
      </c>
      <c r="D1310" s="2" t="inlineStr">
        <is>
          <t>'YUMMY BREAD'!C10,D10</t>
        </is>
      </c>
      <c r="E1310" s="2" t="inlineStr">
        <is>
          <t>salt</t>
        </is>
      </c>
      <c r="F1310" s="3" t="n">
        <v>60</v>
      </c>
      <c r="G1310" s="2" t="inlineStr">
        <is>
          <t>60</t>
        </is>
      </c>
      <c r="H1310" s="2" t="inlineStr">
        <is>
          <t>M1-B01–B13</t>
        </is>
      </c>
    </row>
    <row r="1311">
      <c r="A1311" s="2" t="inlineStr">
        <is>
          <t>L144</t>
        </is>
      </c>
      <c r="B1311" s="2" t="inlineStr">
        <is>
          <t>YUMMY BREAD</t>
        </is>
      </c>
      <c r="C1311" s="2" t="inlineStr">
        <is>
          <t>S076</t>
        </is>
      </c>
      <c r="D1311" s="2" t="inlineStr">
        <is>
          <t>'YUMMY BREAD'!C11,D11</t>
        </is>
      </c>
      <c r="E1311" s="2" t="inlineStr">
        <is>
          <t>improver</t>
        </is>
      </c>
      <c r="F1311" s="3" t="n">
        <v>60</v>
      </c>
      <c r="G1311" s="2" t="inlineStr">
        <is>
          <t>60</t>
        </is>
      </c>
      <c r="H1311" s="2" t="inlineStr">
        <is>
          <t>M1-B01–B13</t>
        </is>
      </c>
    </row>
    <row r="1312">
      <c r="A1312" s="2" t="inlineStr">
        <is>
          <t>L144</t>
        </is>
      </c>
      <c r="B1312" s="2" t="inlineStr">
        <is>
          <t>YUMMY BREAD</t>
        </is>
      </c>
      <c r="C1312" s="2" t="inlineStr">
        <is>
          <t>S076</t>
        </is>
      </c>
      <c r="D1312" s="2" t="inlineStr">
        <is>
          <t>'YUMMY BREAD'!C12,D12</t>
        </is>
      </c>
      <c r="E1312" s="2" t="inlineStr">
        <is>
          <t>yeast</t>
        </is>
      </c>
      <c r="F1312" s="3" t="n">
        <v>60</v>
      </c>
      <c r="G1312" s="2" t="inlineStr">
        <is>
          <t>60</t>
        </is>
      </c>
      <c r="H1312" s="2" t="inlineStr">
        <is>
          <t>M1-B01–B13</t>
        </is>
      </c>
    </row>
    <row r="1313">
      <c r="A1313" s="2" t="inlineStr">
        <is>
          <t>L144</t>
        </is>
      </c>
      <c r="B1313" s="2" t="inlineStr">
        <is>
          <t>YUMMY BREAD</t>
        </is>
      </c>
      <c r="C1313" s="2" t="inlineStr">
        <is>
          <t>S076</t>
        </is>
      </c>
      <c r="D1313" s="2" t="inlineStr">
        <is>
          <t>'YUMMY BREAD'!C13,D13</t>
        </is>
      </c>
      <c r="E1313" s="2" t="inlineStr">
        <is>
          <t>water</t>
        </is>
      </c>
      <c r="F1313" s="3" t="n">
        <v>1650</v>
      </c>
      <c r="G1313" s="2" t="inlineStr">
        <is>
          <t>1650</t>
        </is>
      </c>
      <c r="H1313" s="2" t="inlineStr">
        <is>
          <t>M1-B01–B13</t>
        </is>
      </c>
    </row>
    <row r="1314">
      <c r="A1314" s="2" t="inlineStr">
        <is>
          <t>L144</t>
        </is>
      </c>
      <c r="B1314" s="2" t="inlineStr">
        <is>
          <t>YUMMY BREAD</t>
        </is>
      </c>
      <c r="C1314" s="2" t="inlineStr">
        <is>
          <t>S076</t>
        </is>
      </c>
      <c r="D1314" s="2" t="inlineStr">
        <is>
          <t>'YUMMY BREAD'!C14,D14</t>
        </is>
      </c>
      <c r="E1314" s="2" t="inlineStr">
        <is>
          <t>Oil</t>
        </is>
      </c>
      <c r="F1314" s="3" t="n">
        <v>160</v>
      </c>
      <c r="G1314" s="2" t="inlineStr">
        <is>
          <t>160</t>
        </is>
      </c>
      <c r="H1314" s="2" t="inlineStr">
        <is>
          <t>M1-B01–B13</t>
        </is>
      </c>
    </row>
    <row r="1315">
      <c r="A1315" s="2" t="inlineStr">
        <is>
          <t>L144</t>
        </is>
      </c>
      <c r="B1315" s="2" t="inlineStr">
        <is>
          <t>YUMMY BREAD</t>
        </is>
      </c>
      <c r="C1315" s="2" t="inlineStr">
        <is>
          <t>S076</t>
        </is>
      </c>
      <c r="D1315" s="2" t="inlineStr">
        <is>
          <t>'YUMMY BREAD'!C15,D15</t>
        </is>
      </c>
      <c r="E1315" s="2" t="inlineStr">
        <is>
          <t>Milk tantalizer</t>
        </is>
      </c>
      <c r="F1315" s="3" t="n">
        <v>5</v>
      </c>
      <c r="G1315" s="2" t="inlineStr">
        <is>
          <t>5</t>
        </is>
      </c>
      <c r="H1315" s="2" t="inlineStr">
        <is>
          <t>M1-B01–B13</t>
        </is>
      </c>
    </row>
    <row r="1316">
      <c r="A1316" s="2" t="inlineStr">
        <is>
          <t>L144</t>
        </is>
      </c>
      <c r="B1316" s="2" t="inlineStr">
        <is>
          <t>YUMMY BREAD</t>
        </is>
      </c>
      <c r="C1316" s="2" t="inlineStr">
        <is>
          <t>S076</t>
        </is>
      </c>
      <c r="D1316" s="2" t="inlineStr">
        <is>
          <t>'YUMMY BREAD'!C16,D16</t>
        </is>
      </c>
      <c r="E1316" s="2" t="inlineStr">
        <is>
          <t>EDC</t>
        </is>
      </c>
      <c r="F1316" s="3" t="n">
        <v>25</v>
      </c>
      <c r="G1316" s="2" t="inlineStr">
        <is>
          <t>25</t>
        </is>
      </c>
      <c r="H1316" s="2" t="inlineStr">
        <is>
          <t>M1-B01–B13</t>
        </is>
      </c>
    </row>
    <row r="1317">
      <c r="A1317" s="2" t="inlineStr">
        <is>
          <t>L144</t>
        </is>
      </c>
      <c r="B1317" s="2" t="inlineStr">
        <is>
          <t>YUMMY BREAD</t>
        </is>
      </c>
      <c r="C1317" s="2" t="inlineStr">
        <is>
          <t>S076</t>
        </is>
      </c>
      <c r="D1317" s="2" t="inlineStr">
        <is>
          <t>'YUMMY BREAD'!C17,D17</t>
        </is>
      </c>
      <c r="E1317" s="2" t="inlineStr">
        <is>
          <t>Nutmeg</t>
        </is>
      </c>
      <c r="F1317" s="3" t="n">
        <v>12</v>
      </c>
      <c r="G1317" s="2" t="inlineStr">
        <is>
          <t>12</t>
        </is>
      </c>
      <c r="H1317" s="2" t="inlineStr">
        <is>
          <t>M1-B01–B13</t>
        </is>
      </c>
    </row>
    <row r="1318">
      <c r="A1318" s="2" t="inlineStr">
        <is>
          <t>L145</t>
        </is>
      </c>
      <c r="B1318" s="2" t="inlineStr">
        <is>
          <t>YUMMY BREAD</t>
        </is>
      </c>
      <c r="C1318" s="2" t="inlineStr">
        <is>
          <t>S076</t>
        </is>
      </c>
      <c r="D1318" s="2" t="inlineStr">
        <is>
          <t>'YUMMY BREAD'!C5,L5</t>
        </is>
      </c>
      <c r="E1318" s="2" t="inlineStr">
        <is>
          <t>flour</t>
        </is>
      </c>
      <c r="F1318" s="3" t="n">
        <v>7000</v>
      </c>
      <c r="G1318" s="2" t="inlineStr">
        <is>
          <t>7000</t>
        </is>
      </c>
      <c r="H1318" s="2" t="inlineStr">
        <is>
          <t>M1-B01–B13</t>
        </is>
      </c>
    </row>
    <row r="1319">
      <c r="A1319" s="2" t="inlineStr">
        <is>
          <t>L145</t>
        </is>
      </c>
      <c r="B1319" s="2" t="inlineStr">
        <is>
          <t>YUMMY BREAD</t>
        </is>
      </c>
      <c r="C1319" s="2" t="inlineStr">
        <is>
          <t>S076</t>
        </is>
      </c>
      <c r="D1319" s="2" t="inlineStr">
        <is>
          <t>'YUMMY BREAD'!C6,L6</t>
        </is>
      </c>
      <c r="E1319" s="2" t="inlineStr">
        <is>
          <t>Butter</t>
        </is>
      </c>
      <c r="F1319" s="3" t="n">
        <v>600</v>
      </c>
      <c r="G1319" s="2" t="inlineStr">
        <is>
          <t>600</t>
        </is>
      </c>
      <c r="H1319" s="2" t="inlineStr">
        <is>
          <t>M1-B01–B13</t>
        </is>
      </c>
    </row>
    <row r="1320">
      <c r="A1320" s="2" t="inlineStr">
        <is>
          <t>L145</t>
        </is>
      </c>
      <c r="B1320" s="2" t="inlineStr">
        <is>
          <t>YUMMY BREAD</t>
        </is>
      </c>
      <c r="C1320" s="2" t="inlineStr">
        <is>
          <t>S076</t>
        </is>
      </c>
      <c r="D1320" s="2" t="inlineStr">
        <is>
          <t>'YUMMY BREAD'!C7,L7</t>
        </is>
      </c>
      <c r="E1320" s="2" t="inlineStr">
        <is>
          <t>sugar</t>
        </is>
      </c>
      <c r="F1320" s="3" t="n">
        <v>600</v>
      </c>
      <c r="G1320" s="2" t="inlineStr">
        <is>
          <t>600</t>
        </is>
      </c>
      <c r="H1320" s="2" t="inlineStr">
        <is>
          <t>M1-B01–B13</t>
        </is>
      </c>
    </row>
    <row r="1321">
      <c r="A1321" s="2" t="inlineStr">
        <is>
          <t>L145</t>
        </is>
      </c>
      <c r="B1321" s="2" t="inlineStr">
        <is>
          <t>YUMMY BREAD</t>
        </is>
      </c>
      <c r="C1321" s="2" t="inlineStr">
        <is>
          <t>S076</t>
        </is>
      </c>
      <c r="D1321" s="2" t="inlineStr">
        <is>
          <t>'YUMMY BREAD'!C8,L8</t>
        </is>
      </c>
      <c r="E1321" s="2" t="inlineStr">
        <is>
          <t>Milk</t>
        </is>
      </c>
      <c r="F1321" s="3" t="n">
        <v>750</v>
      </c>
      <c r="G1321" s="2" t="inlineStr">
        <is>
          <t>750</t>
        </is>
      </c>
      <c r="H1321" s="2" t="inlineStr">
        <is>
          <t>M1-B01–B13</t>
        </is>
      </c>
    </row>
    <row r="1322">
      <c r="A1322" s="2" t="inlineStr">
        <is>
          <t>L145</t>
        </is>
      </c>
      <c r="B1322" s="2" t="inlineStr">
        <is>
          <t>YUMMY BREAD</t>
        </is>
      </c>
      <c r="C1322" s="2" t="inlineStr">
        <is>
          <t>S076</t>
        </is>
      </c>
      <c r="D1322" s="2" t="inlineStr">
        <is>
          <t>'YUMMY BREAD'!C9,L9</t>
        </is>
      </c>
      <c r="E1322" s="2" t="inlineStr">
        <is>
          <t>egg</t>
        </is>
      </c>
      <c r="F1322" s="3" t="n">
        <v>500</v>
      </c>
      <c r="G1322" s="2" t="inlineStr">
        <is>
          <t>500</t>
        </is>
      </c>
      <c r="H1322" s="2" t="inlineStr">
        <is>
          <t>M1-B01–B13</t>
        </is>
      </c>
    </row>
    <row r="1323">
      <c r="A1323" s="2" t="inlineStr">
        <is>
          <t>L145</t>
        </is>
      </c>
      <c r="B1323" s="2" t="inlineStr">
        <is>
          <t>YUMMY BREAD</t>
        </is>
      </c>
      <c r="C1323" s="2" t="inlineStr">
        <is>
          <t>S076</t>
        </is>
      </c>
      <c r="D1323" s="2" t="inlineStr">
        <is>
          <t>'YUMMY BREAD'!C10,L10</t>
        </is>
      </c>
      <c r="E1323" s="2" t="inlineStr">
        <is>
          <t>salt</t>
        </is>
      </c>
      <c r="F1323" s="3" t="n">
        <v>60</v>
      </c>
      <c r="G1323" s="2" t="inlineStr">
        <is>
          <t>60</t>
        </is>
      </c>
      <c r="H1323" s="2" t="inlineStr">
        <is>
          <t>M1-B01–B13</t>
        </is>
      </c>
    </row>
    <row r="1324">
      <c r="A1324" s="2" t="inlineStr">
        <is>
          <t>L145</t>
        </is>
      </c>
      <c r="B1324" s="2" t="inlineStr">
        <is>
          <t>YUMMY BREAD</t>
        </is>
      </c>
      <c r="C1324" s="2" t="inlineStr">
        <is>
          <t>S076</t>
        </is>
      </c>
      <c r="D1324" s="2" t="inlineStr">
        <is>
          <t>'YUMMY BREAD'!C11,L11</t>
        </is>
      </c>
      <c r="E1324" s="2" t="inlineStr">
        <is>
          <t>improver</t>
        </is>
      </c>
      <c r="F1324" s="3" t="n">
        <v>60</v>
      </c>
      <c r="G1324" s="2" t="inlineStr">
        <is>
          <t>60</t>
        </is>
      </c>
      <c r="H1324" s="2" t="inlineStr">
        <is>
          <t>M1-B01–B13</t>
        </is>
      </c>
    </row>
    <row r="1325">
      <c r="A1325" s="2" t="inlineStr">
        <is>
          <t>L145</t>
        </is>
      </c>
      <c r="B1325" s="2" t="inlineStr">
        <is>
          <t>YUMMY BREAD</t>
        </is>
      </c>
      <c r="C1325" s="2" t="inlineStr">
        <is>
          <t>S076</t>
        </is>
      </c>
      <c r="D1325" s="2" t="inlineStr">
        <is>
          <t>'YUMMY BREAD'!C12,L12</t>
        </is>
      </c>
      <c r="E1325" s="2" t="inlineStr">
        <is>
          <t>yeast</t>
        </is>
      </c>
      <c r="F1325" s="3" t="n">
        <v>60</v>
      </c>
      <c r="G1325" s="2" t="inlineStr">
        <is>
          <t>60</t>
        </is>
      </c>
      <c r="H1325" s="2" t="inlineStr">
        <is>
          <t>M1-B01–B13</t>
        </is>
      </c>
    </row>
    <row r="1326">
      <c r="A1326" s="2" t="inlineStr">
        <is>
          <t>L145</t>
        </is>
      </c>
      <c r="B1326" s="2" t="inlineStr">
        <is>
          <t>YUMMY BREAD</t>
        </is>
      </c>
      <c r="C1326" s="2" t="inlineStr">
        <is>
          <t>S076</t>
        </is>
      </c>
      <c r="D1326" s="2" t="inlineStr">
        <is>
          <t>'YUMMY BREAD'!C13,L13</t>
        </is>
      </c>
      <c r="E1326" s="2" t="inlineStr">
        <is>
          <t>water</t>
        </is>
      </c>
      <c r="F1326" s="3" t="n">
        <v>1650</v>
      </c>
      <c r="G1326" s="2" t="inlineStr">
        <is>
          <t>1650</t>
        </is>
      </c>
      <c r="H1326" s="2" t="inlineStr">
        <is>
          <t>M1-B01–B13</t>
        </is>
      </c>
    </row>
    <row r="1327">
      <c r="A1327" s="2" t="inlineStr">
        <is>
          <t>L145</t>
        </is>
      </c>
      <c r="B1327" s="2" t="inlineStr">
        <is>
          <t>YUMMY BREAD</t>
        </is>
      </c>
      <c r="C1327" s="2" t="inlineStr">
        <is>
          <t>S076</t>
        </is>
      </c>
      <c r="D1327" s="2" t="inlineStr">
        <is>
          <t>'YUMMY BREAD'!C14,L14</t>
        </is>
      </c>
      <c r="E1327" s="2" t="inlineStr">
        <is>
          <t>Oil</t>
        </is>
      </c>
      <c r="F1327" s="3" t="n">
        <v>160</v>
      </c>
      <c r="G1327" s="2" t="inlineStr">
        <is>
          <t>160</t>
        </is>
      </c>
      <c r="H1327" s="2" t="inlineStr">
        <is>
          <t>M1-B01–B13</t>
        </is>
      </c>
    </row>
    <row r="1328">
      <c r="A1328" s="2" t="inlineStr">
        <is>
          <t>L145</t>
        </is>
      </c>
      <c r="B1328" s="2" t="inlineStr">
        <is>
          <t>YUMMY BREAD</t>
        </is>
      </c>
      <c r="C1328" s="2" t="inlineStr">
        <is>
          <t>S076</t>
        </is>
      </c>
      <c r="D1328" s="2" t="inlineStr">
        <is>
          <t>'YUMMY BREAD'!C15,L15</t>
        </is>
      </c>
      <c r="E1328" s="2" t="inlineStr">
        <is>
          <t>Milk tantalizer</t>
        </is>
      </c>
      <c r="F1328" s="3" t="n">
        <v>5</v>
      </c>
      <c r="G1328" s="2" t="inlineStr">
        <is>
          <t>5</t>
        </is>
      </c>
      <c r="H1328" s="2" t="inlineStr">
        <is>
          <t>M1-B01–B13</t>
        </is>
      </c>
    </row>
    <row r="1329">
      <c r="A1329" s="2" t="inlineStr">
        <is>
          <t>L145</t>
        </is>
      </c>
      <c r="B1329" s="2" t="inlineStr">
        <is>
          <t>YUMMY BREAD</t>
        </is>
      </c>
      <c r="C1329" s="2" t="inlineStr">
        <is>
          <t>S076</t>
        </is>
      </c>
      <c r="D1329" s="2" t="inlineStr">
        <is>
          <t>'YUMMY BREAD'!C16,L16</t>
        </is>
      </c>
      <c r="E1329" s="2" t="inlineStr">
        <is>
          <t>EDC</t>
        </is>
      </c>
      <c r="F1329" s="3" t="n">
        <v>25</v>
      </c>
      <c r="G1329" s="2" t="inlineStr">
        <is>
          <t>25</t>
        </is>
      </c>
      <c r="H1329" s="2" t="inlineStr">
        <is>
          <t>M1-B01–B13</t>
        </is>
      </c>
    </row>
    <row r="1330">
      <c r="A1330" s="2" t="inlineStr">
        <is>
          <t>L145</t>
        </is>
      </c>
      <c r="B1330" s="2" t="inlineStr">
        <is>
          <t>YUMMY BREAD</t>
        </is>
      </c>
      <c r="C1330" s="2" t="inlineStr">
        <is>
          <t>S076</t>
        </is>
      </c>
      <c r="D1330" s="2" t="inlineStr">
        <is>
          <t>'YUMMY BREAD'!C17,L17</t>
        </is>
      </c>
      <c r="E1330" s="2" t="inlineStr">
        <is>
          <t>Nutmeg</t>
        </is>
      </c>
      <c r="F1330" s="3" t="n">
        <v>12</v>
      </c>
      <c r="G1330" s="2" t="inlineStr">
        <is>
          <t>12</t>
        </is>
      </c>
      <c r="H1330" s="2" t="inlineStr">
        <is>
          <t>M1-B01–B13</t>
        </is>
      </c>
    </row>
    <row r="1331">
      <c r="A1331" s="2" t="inlineStr">
        <is>
          <t>L146</t>
        </is>
      </c>
      <c r="B1331" s="2" t="inlineStr">
        <is>
          <t>brioche</t>
        </is>
      </c>
      <c r="C1331" s="2" t="inlineStr">
        <is>
          <t>S076</t>
        </is>
      </c>
      <c r="D1331" s="2" t="inlineStr">
        <is>
          <t>'brioche'!C5,D5</t>
        </is>
      </c>
      <c r="E1331" s="2" t="inlineStr">
        <is>
          <t>flour</t>
        </is>
      </c>
      <c r="F1331" s="3" t="n">
        <v>9000</v>
      </c>
      <c r="G1331" s="2" t="inlineStr">
        <is>
          <t>9000</t>
        </is>
      </c>
      <c r="H1331" s="2" t="inlineStr">
        <is>
          <t>S-B06; richer true-butter variant</t>
        </is>
      </c>
    </row>
    <row r="1332">
      <c r="A1332" s="2" t="inlineStr">
        <is>
          <t>L146</t>
        </is>
      </c>
      <c r="B1332" s="2" t="inlineStr">
        <is>
          <t>brioche</t>
        </is>
      </c>
      <c r="C1332" s="2" t="inlineStr">
        <is>
          <t>S076</t>
        </is>
      </c>
      <c r="D1332" s="2" t="inlineStr">
        <is>
          <t>'brioche'!C6,D6</t>
        </is>
      </c>
      <c r="E1332" s="2" t="inlineStr">
        <is>
          <t>Butter</t>
        </is>
      </c>
      <c r="F1332" s="3" t="n">
        <v>4000</v>
      </c>
      <c r="G1332" s="2" t="inlineStr">
        <is>
          <t>4000</t>
        </is>
      </c>
      <c r="H1332" s="2" t="inlineStr">
        <is>
          <t>S-B06; richer true-butter variant</t>
        </is>
      </c>
    </row>
    <row r="1333">
      <c r="A1333" s="2" t="inlineStr">
        <is>
          <t>L146</t>
        </is>
      </c>
      <c r="B1333" s="2" t="inlineStr">
        <is>
          <t>brioche</t>
        </is>
      </c>
      <c r="C1333" s="2" t="inlineStr">
        <is>
          <t>S076</t>
        </is>
      </c>
      <c r="D1333" s="2" t="inlineStr">
        <is>
          <t>'brioche'!C7,D7</t>
        </is>
      </c>
      <c r="E1333" s="2" t="inlineStr">
        <is>
          <t>sugar</t>
        </is>
      </c>
      <c r="F1333" s="3" t="n">
        <v>1100</v>
      </c>
      <c r="G1333" s="2" t="inlineStr">
        <is>
          <t>1100</t>
        </is>
      </c>
      <c r="H1333" s="2" t="inlineStr">
        <is>
          <t>S-B06; richer true-butter variant</t>
        </is>
      </c>
    </row>
    <row r="1334">
      <c r="A1334" s="2" t="inlineStr">
        <is>
          <t>L146</t>
        </is>
      </c>
      <c r="B1334" s="2" t="inlineStr">
        <is>
          <t>brioche</t>
        </is>
      </c>
      <c r="C1334" s="2" t="inlineStr">
        <is>
          <t>S076</t>
        </is>
      </c>
      <c r="D1334" s="2" t="inlineStr">
        <is>
          <t>'brioche'!C8,D8</t>
        </is>
      </c>
      <c r="E1334" s="2" t="inlineStr">
        <is>
          <t>Milk</t>
        </is>
      </c>
      <c r="F1334" s="3" t="n">
        <v>1000</v>
      </c>
      <c r="G1334" s="2" t="inlineStr">
        <is>
          <t>1000</t>
        </is>
      </c>
      <c r="H1334" s="2" t="inlineStr">
        <is>
          <t>S-B06; richer true-butter variant</t>
        </is>
      </c>
    </row>
    <row r="1335">
      <c r="A1335" s="2" t="inlineStr">
        <is>
          <t>L146</t>
        </is>
      </c>
      <c r="B1335" s="2" t="inlineStr">
        <is>
          <t>brioche</t>
        </is>
      </c>
      <c r="C1335" s="2" t="inlineStr">
        <is>
          <t>S076</t>
        </is>
      </c>
      <c r="D1335" s="2" t="inlineStr">
        <is>
          <t>'brioche'!C9,D9</t>
        </is>
      </c>
      <c r="E1335" s="2" t="inlineStr">
        <is>
          <t>egg</t>
        </is>
      </c>
      <c r="F1335" s="3" t="n">
        <v>750</v>
      </c>
      <c r="G1335" s="2" t="inlineStr">
        <is>
          <t>750</t>
        </is>
      </c>
      <c r="H1335" s="2" t="inlineStr">
        <is>
          <t>S-B06; richer true-butter variant</t>
        </is>
      </c>
    </row>
    <row r="1336">
      <c r="A1336" s="2" t="inlineStr">
        <is>
          <t>L146</t>
        </is>
      </c>
      <c r="B1336" s="2" t="inlineStr">
        <is>
          <t>brioche</t>
        </is>
      </c>
      <c r="C1336" s="2" t="inlineStr">
        <is>
          <t>S076</t>
        </is>
      </c>
      <c r="D1336" s="2" t="inlineStr">
        <is>
          <t>'brioche'!C10,D10</t>
        </is>
      </c>
      <c r="E1336" s="2" t="inlineStr">
        <is>
          <t>salt</t>
        </is>
      </c>
      <c r="F1336" s="3" t="n">
        <v>60</v>
      </c>
      <c r="G1336" s="2" t="inlineStr">
        <is>
          <t>60</t>
        </is>
      </c>
      <c r="H1336" s="2" t="inlineStr">
        <is>
          <t>S-B06; richer true-butter variant</t>
        </is>
      </c>
    </row>
    <row r="1337">
      <c r="A1337" s="2" t="inlineStr">
        <is>
          <t>L146</t>
        </is>
      </c>
      <c r="B1337" s="2" t="inlineStr">
        <is>
          <t>brioche</t>
        </is>
      </c>
      <c r="C1337" s="2" t="inlineStr">
        <is>
          <t>S076</t>
        </is>
      </c>
      <c r="D1337" s="2" t="inlineStr">
        <is>
          <t>'brioche'!C11,D11</t>
        </is>
      </c>
      <c r="E1337" s="2" t="inlineStr">
        <is>
          <t>improver</t>
        </is>
      </c>
      <c r="F1337" s="3" t="n">
        <v>90</v>
      </c>
      <c r="G1337" s="2" t="inlineStr">
        <is>
          <t>90</t>
        </is>
      </c>
      <c r="H1337" s="2" t="inlineStr">
        <is>
          <t>S-B06; richer true-butter variant</t>
        </is>
      </c>
    </row>
    <row r="1338">
      <c r="A1338" s="2" t="inlineStr">
        <is>
          <t>L146</t>
        </is>
      </c>
      <c r="B1338" s="2" t="inlineStr">
        <is>
          <t>brioche</t>
        </is>
      </c>
      <c r="C1338" s="2" t="inlineStr">
        <is>
          <t>S076</t>
        </is>
      </c>
      <c r="D1338" s="2" t="inlineStr">
        <is>
          <t>'brioche'!C12,D12</t>
        </is>
      </c>
      <c r="E1338" s="2" t="inlineStr">
        <is>
          <t>yeast</t>
        </is>
      </c>
      <c r="F1338" s="3" t="n">
        <v>80</v>
      </c>
      <c r="G1338" s="2" t="inlineStr">
        <is>
          <t>80</t>
        </is>
      </c>
      <c r="H1338" s="2" t="inlineStr">
        <is>
          <t>S-B06; richer true-butter variant</t>
        </is>
      </c>
    </row>
    <row r="1339">
      <c r="A1339" s="2" t="inlineStr">
        <is>
          <t>L146</t>
        </is>
      </c>
      <c r="B1339" s="2" t="inlineStr">
        <is>
          <t>brioche</t>
        </is>
      </c>
      <c r="C1339" s="2" t="inlineStr">
        <is>
          <t>S076</t>
        </is>
      </c>
      <c r="D1339" s="2" t="inlineStr">
        <is>
          <t>'brioche'!C13,D13</t>
        </is>
      </c>
      <c r="E1339" s="2" t="inlineStr">
        <is>
          <t>water</t>
        </is>
      </c>
      <c r="F1339" s="3" t="n">
        <v>1200</v>
      </c>
      <c r="G1339" s="2" t="inlineStr">
        <is>
          <t>1200</t>
        </is>
      </c>
      <c r="H1339" s="2" t="inlineStr">
        <is>
          <t>S-B06; richer true-butter variant</t>
        </is>
      </c>
    </row>
    <row r="1340">
      <c r="A1340" s="2" t="inlineStr">
        <is>
          <t>L146</t>
        </is>
      </c>
      <c r="B1340" s="2" t="inlineStr">
        <is>
          <t>brioche</t>
        </is>
      </c>
      <c r="C1340" s="2" t="inlineStr">
        <is>
          <t>S076</t>
        </is>
      </c>
      <c r="D1340" s="2" t="inlineStr">
        <is>
          <t>'brioche'!C14,D14</t>
        </is>
      </c>
      <c r="E1340" s="2" t="inlineStr">
        <is>
          <t>Milk tantalizer</t>
        </is>
      </c>
      <c r="F1340" s="3" t="n">
        <v>15</v>
      </c>
      <c r="G1340" s="2" t="inlineStr">
        <is>
          <t>15</t>
        </is>
      </c>
      <c r="H1340" s="2" t="inlineStr">
        <is>
          <t>S-B06; richer true-butter variant</t>
        </is>
      </c>
    </row>
    <row r="1341">
      <c r="A1341" s="2" t="inlineStr">
        <is>
          <t>L146</t>
        </is>
      </c>
      <c r="B1341" s="2" t="inlineStr">
        <is>
          <t>brioche</t>
        </is>
      </c>
      <c r="C1341" s="2" t="inlineStr">
        <is>
          <t>S076</t>
        </is>
      </c>
      <c r="D1341" s="2" t="inlineStr">
        <is>
          <t>'brioche'!C15,D15</t>
        </is>
      </c>
      <c r="E1341" s="2" t="inlineStr">
        <is>
          <t>EDC</t>
        </is>
      </c>
      <c r="F1341" s="3" t="n">
        <v>25</v>
      </c>
      <c r="G1341" s="2" t="inlineStr">
        <is>
          <t>25</t>
        </is>
      </c>
      <c r="H1341" s="2" t="inlineStr">
        <is>
          <t>S-B06; richer true-butter variant</t>
        </is>
      </c>
    </row>
    <row r="1342">
      <c r="A1342" s="2" t="inlineStr">
        <is>
          <t>L146</t>
        </is>
      </c>
      <c r="B1342" s="2" t="inlineStr">
        <is>
          <t>brioche</t>
        </is>
      </c>
      <c r="C1342" s="2" t="inlineStr">
        <is>
          <t>S076</t>
        </is>
      </c>
      <c r="D1342" s="2" t="inlineStr">
        <is>
          <t>'brioche'!C16,D16</t>
        </is>
      </c>
      <c r="E1342" s="2" t="inlineStr">
        <is>
          <t>Nutmeg</t>
        </is>
      </c>
      <c r="F1342" s="3" t="n">
        <v>15</v>
      </c>
      <c r="G1342" s="2" t="inlineStr">
        <is>
          <t>15</t>
        </is>
      </c>
      <c r="H1342" s="2" t="inlineStr">
        <is>
          <t>S-B06; richer true-butter variant</t>
        </is>
      </c>
    </row>
    <row r="1343">
      <c r="A1343" s="2" t="inlineStr">
        <is>
          <t>L147</t>
        </is>
      </c>
      <c r="B1343" s="2" t="inlineStr">
        <is>
          <t>choko bread</t>
        </is>
      </c>
      <c r="C1343" s="2" t="inlineStr">
        <is>
          <t>S076</t>
        </is>
      </c>
      <c r="D1343" s="2" t="inlineStr">
        <is>
          <t>'choko bread'!C5,D5</t>
        </is>
      </c>
      <c r="E1343" s="2" t="inlineStr">
        <is>
          <t>flour</t>
        </is>
      </c>
      <c r="F1343" s="3" t="n">
        <v>5000</v>
      </c>
      <c r="G1343" s="2" t="inlineStr">
        <is>
          <t>5000</t>
        </is>
      </c>
      <c r="H1343" s="2" t="inlineStr">
        <is>
          <t>M1-B01–B13</t>
        </is>
      </c>
    </row>
    <row r="1344">
      <c r="A1344" s="2" t="inlineStr">
        <is>
          <t>L147</t>
        </is>
      </c>
      <c r="B1344" s="2" t="inlineStr">
        <is>
          <t>choko bread</t>
        </is>
      </c>
      <c r="C1344" s="2" t="inlineStr">
        <is>
          <t>S076</t>
        </is>
      </c>
      <c r="D1344" s="2" t="inlineStr">
        <is>
          <t>'choko bread'!C6,D6</t>
        </is>
      </c>
      <c r="E1344" s="2" t="inlineStr">
        <is>
          <t>Butter</t>
        </is>
      </c>
      <c r="F1344" s="3" t="n">
        <v>200</v>
      </c>
      <c r="G1344" s="2" t="inlineStr">
        <is>
          <t>200</t>
        </is>
      </c>
      <c r="H1344" s="2" t="inlineStr">
        <is>
          <t>M1-B01–B13</t>
        </is>
      </c>
    </row>
    <row r="1345">
      <c r="A1345" s="2" t="inlineStr">
        <is>
          <t>L147</t>
        </is>
      </c>
      <c r="B1345" s="2" t="inlineStr">
        <is>
          <t>choko bread</t>
        </is>
      </c>
      <c r="C1345" s="2" t="inlineStr">
        <is>
          <t>S076</t>
        </is>
      </c>
      <c r="D1345" s="2" t="inlineStr">
        <is>
          <t>'choko bread'!C7,D7</t>
        </is>
      </c>
      <c r="E1345" s="2" t="inlineStr">
        <is>
          <t>sugar</t>
        </is>
      </c>
      <c r="F1345" s="3" t="n">
        <v>300</v>
      </c>
      <c r="G1345" s="2" t="inlineStr">
        <is>
          <t>300</t>
        </is>
      </c>
      <c r="H1345" s="2" t="inlineStr">
        <is>
          <t>M1-B01–B13</t>
        </is>
      </c>
    </row>
    <row r="1346">
      <c r="A1346" s="2" t="inlineStr">
        <is>
          <t>L147</t>
        </is>
      </c>
      <c r="B1346" s="2" t="inlineStr">
        <is>
          <t>choko bread</t>
        </is>
      </c>
      <c r="C1346" s="2" t="inlineStr">
        <is>
          <t>S076</t>
        </is>
      </c>
      <c r="D1346" s="2" t="inlineStr">
        <is>
          <t>'choko bread'!C8,D8</t>
        </is>
      </c>
      <c r="E1346" s="2" t="inlineStr">
        <is>
          <t>Milk</t>
        </is>
      </c>
      <c r="F1346" s="3" t="n">
        <v>100</v>
      </c>
      <c r="G1346" s="2" t="inlineStr">
        <is>
          <t>100</t>
        </is>
      </c>
      <c r="H1346" s="2" t="inlineStr">
        <is>
          <t>M1-B01–B13</t>
        </is>
      </c>
    </row>
    <row r="1347">
      <c r="A1347" s="2" t="inlineStr">
        <is>
          <t>L147</t>
        </is>
      </c>
      <c r="B1347" s="2" t="inlineStr">
        <is>
          <t>choko bread</t>
        </is>
      </c>
      <c r="C1347" s="2" t="inlineStr">
        <is>
          <t>S076</t>
        </is>
      </c>
      <c r="D1347" s="2" t="inlineStr">
        <is>
          <t>'choko bread'!C9,D9</t>
        </is>
      </c>
      <c r="E1347" s="2" t="inlineStr">
        <is>
          <t>egg</t>
        </is>
      </c>
      <c r="F1347" s="3" t="n">
        <v>72</v>
      </c>
      <c r="G1347" s="2" t="inlineStr">
        <is>
          <t>72</t>
        </is>
      </c>
      <c r="H1347" s="2" t="inlineStr">
        <is>
          <t>M1-B01–B13</t>
        </is>
      </c>
    </row>
    <row r="1348">
      <c r="A1348" s="2" t="inlineStr">
        <is>
          <t>L147</t>
        </is>
      </c>
      <c r="B1348" s="2" t="inlineStr">
        <is>
          <t>choko bread</t>
        </is>
      </c>
      <c r="C1348" s="2" t="inlineStr">
        <is>
          <t>S076</t>
        </is>
      </c>
      <c r="D1348" s="2" t="inlineStr">
        <is>
          <t>'choko bread'!C10,D10</t>
        </is>
      </c>
      <c r="E1348" s="2" t="inlineStr">
        <is>
          <t>salt</t>
        </is>
      </c>
      <c r="F1348" s="3" t="n">
        <v>45</v>
      </c>
      <c r="G1348" s="2" t="inlineStr">
        <is>
          <t>45</t>
        </is>
      </c>
      <c r="H1348" s="2" t="inlineStr">
        <is>
          <t>M1-B01–B13</t>
        </is>
      </c>
    </row>
    <row r="1349">
      <c r="A1349" s="2" t="inlineStr">
        <is>
          <t>L147</t>
        </is>
      </c>
      <c r="B1349" s="2" t="inlineStr">
        <is>
          <t>choko bread</t>
        </is>
      </c>
      <c r="C1349" s="2" t="inlineStr">
        <is>
          <t>S076</t>
        </is>
      </c>
      <c r="D1349" s="2" t="inlineStr">
        <is>
          <t>'choko bread'!C11,D11</t>
        </is>
      </c>
      <c r="E1349" s="2" t="inlineStr">
        <is>
          <t>improver</t>
        </is>
      </c>
      <c r="F1349" s="3" t="n">
        <v>20</v>
      </c>
      <c r="G1349" s="2" t="inlineStr">
        <is>
          <t>20</t>
        </is>
      </c>
      <c r="H1349" s="2" t="inlineStr">
        <is>
          <t>M1-B01–B13</t>
        </is>
      </c>
    </row>
    <row r="1350">
      <c r="A1350" s="2" t="inlineStr">
        <is>
          <t>L147</t>
        </is>
      </c>
      <c r="B1350" s="2" t="inlineStr">
        <is>
          <t>choko bread</t>
        </is>
      </c>
      <c r="C1350" s="2" t="inlineStr">
        <is>
          <t>S076</t>
        </is>
      </c>
      <c r="D1350" s="2" t="inlineStr">
        <is>
          <t>'choko bread'!C12,D12</t>
        </is>
      </c>
      <c r="E1350" s="2" t="inlineStr">
        <is>
          <t>yeast</t>
        </is>
      </c>
      <c r="F1350" s="3" t="n">
        <v>14</v>
      </c>
      <c r="G1350" s="2" t="inlineStr">
        <is>
          <t>14</t>
        </is>
      </c>
      <c r="H1350" s="2" t="inlineStr">
        <is>
          <t>M1-B01–B13</t>
        </is>
      </c>
    </row>
    <row r="1351">
      <c r="A1351" s="2" t="inlineStr">
        <is>
          <t>L147</t>
        </is>
      </c>
      <c r="B1351" s="2" t="inlineStr">
        <is>
          <t>choko bread</t>
        </is>
      </c>
      <c r="C1351" s="2" t="inlineStr">
        <is>
          <t>S076</t>
        </is>
      </c>
      <c r="D1351" s="2" t="inlineStr">
        <is>
          <t>'choko bread'!C13,D13</t>
        </is>
      </c>
      <c r="E1351" s="2" t="inlineStr">
        <is>
          <t>water</t>
        </is>
      </c>
      <c r="F1351" s="3" t="n">
        <v>2000</v>
      </c>
      <c r="G1351" s="2" t="inlineStr">
        <is>
          <t>2000</t>
        </is>
      </c>
      <c r="H1351" s="2" t="inlineStr">
        <is>
          <t>M1-B01–B13</t>
        </is>
      </c>
    </row>
    <row r="1352">
      <c r="A1352" s="2" t="inlineStr">
        <is>
          <t>L147</t>
        </is>
      </c>
      <c r="B1352" s="2" t="inlineStr">
        <is>
          <t>choko bread</t>
        </is>
      </c>
      <c r="C1352" s="2" t="inlineStr">
        <is>
          <t>S076</t>
        </is>
      </c>
      <c r="D1352" s="2" t="inlineStr">
        <is>
          <t>'choko bread'!C14,D14</t>
        </is>
      </c>
      <c r="E1352" s="2" t="inlineStr">
        <is>
          <t>Nutmeg</t>
        </is>
      </c>
      <c r="F1352" s="3" t="n">
        <v>5</v>
      </c>
      <c r="G1352" s="2" t="inlineStr">
        <is>
          <t>5</t>
        </is>
      </c>
      <c r="H1352" s="2" t="inlineStr">
        <is>
          <t>M1-B01–B13</t>
        </is>
      </c>
    </row>
    <row r="1353">
      <c r="A1353" s="2" t="inlineStr">
        <is>
          <t>L147</t>
        </is>
      </c>
      <c r="B1353" s="2" t="inlineStr">
        <is>
          <t>choko bread</t>
        </is>
      </c>
      <c r="C1353" s="2" t="inlineStr">
        <is>
          <t>S076</t>
        </is>
      </c>
      <c r="D1353" s="2" t="inlineStr">
        <is>
          <t>'choko bread'!C15,D15</t>
        </is>
      </c>
      <c r="E1353" s="2" t="inlineStr">
        <is>
          <t>choclate</t>
        </is>
      </c>
      <c r="F1353" s="3" t="n">
        <v>500</v>
      </c>
      <c r="G1353" s="2" t="inlineStr">
        <is>
          <t>500</t>
        </is>
      </c>
      <c r="H1353" s="2" t="inlineStr">
        <is>
          <t>M1-B01–B13</t>
        </is>
      </c>
    </row>
    <row r="1354">
      <c r="A1354" s="2" t="inlineStr">
        <is>
          <t>L148</t>
        </is>
      </c>
      <c r="B1354" s="2" t="inlineStr">
        <is>
          <t>gateau</t>
        </is>
      </c>
      <c r="C1354" s="2" t="inlineStr">
        <is>
          <t>S076</t>
        </is>
      </c>
      <c r="D1354" s="2" t="inlineStr">
        <is>
          <t>'gateau'!C5,D5</t>
        </is>
      </c>
      <c r="E1354" s="2" t="inlineStr">
        <is>
          <t>flour</t>
        </is>
      </c>
      <c r="F1354" s="3" t="n">
        <v>25000</v>
      </c>
      <c r="G1354" s="2" t="inlineStr">
        <is>
          <t>25000</t>
        </is>
      </c>
      <c r="H1354" s="2" t="inlineStr">
        <is>
          <t>Retain unique variant; no equivalent operating card selected</t>
        </is>
      </c>
    </row>
    <row r="1355">
      <c r="A1355" s="2" t="inlineStr">
        <is>
          <t>L148</t>
        </is>
      </c>
      <c r="B1355" s="2" t="inlineStr">
        <is>
          <t>gateau</t>
        </is>
      </c>
      <c r="C1355" s="2" t="inlineStr">
        <is>
          <t>S076</t>
        </is>
      </c>
      <c r="D1355" s="2" t="inlineStr">
        <is>
          <t>'gateau'!C6,D6</t>
        </is>
      </c>
      <c r="E1355" s="2" t="inlineStr">
        <is>
          <t>Butter</t>
        </is>
      </c>
      <c r="F1355" s="3" t="n">
        <v>1300</v>
      </c>
      <c r="G1355" s="2" t="inlineStr">
        <is>
          <t>1300</t>
        </is>
      </c>
      <c r="H1355" s="2" t="inlineStr">
        <is>
          <t>Retain unique variant; no equivalent operating card selected</t>
        </is>
      </c>
    </row>
    <row r="1356">
      <c r="A1356" s="2" t="inlineStr">
        <is>
          <t>L148</t>
        </is>
      </c>
      <c r="B1356" s="2" t="inlineStr">
        <is>
          <t>gateau</t>
        </is>
      </c>
      <c r="C1356" s="2" t="inlineStr">
        <is>
          <t>S076</t>
        </is>
      </c>
      <c r="D1356" s="2" t="inlineStr">
        <is>
          <t>'gateau'!C7,D7</t>
        </is>
      </c>
      <c r="E1356" s="2" t="inlineStr">
        <is>
          <t>sugar</t>
        </is>
      </c>
      <c r="F1356" s="3" t="n">
        <v>1600</v>
      </c>
      <c r="G1356" s="2" t="inlineStr">
        <is>
          <t>1600</t>
        </is>
      </c>
      <c r="H1356" s="2" t="inlineStr">
        <is>
          <t>Retain unique variant; no equivalent operating card selected</t>
        </is>
      </c>
    </row>
    <row r="1357">
      <c r="A1357" s="2" t="inlineStr">
        <is>
          <t>L148</t>
        </is>
      </c>
      <c r="B1357" s="2" t="inlineStr">
        <is>
          <t>gateau</t>
        </is>
      </c>
      <c r="C1357" s="2" t="inlineStr">
        <is>
          <t>S076</t>
        </is>
      </c>
      <c r="D1357" s="2" t="inlineStr">
        <is>
          <t>'gateau'!C8,D8</t>
        </is>
      </c>
      <c r="E1357" s="2" t="inlineStr">
        <is>
          <t>Conc Milk</t>
        </is>
      </c>
      <c r="F1357" s="3" t="n">
        <v>950</v>
      </c>
      <c r="G1357" s="2" t="inlineStr">
        <is>
          <t>950</t>
        </is>
      </c>
      <c r="H1357" s="2" t="inlineStr">
        <is>
          <t>Retain unique variant; no equivalent operating card selected</t>
        </is>
      </c>
    </row>
    <row r="1358">
      <c r="A1358" s="2" t="inlineStr">
        <is>
          <t>L148</t>
        </is>
      </c>
      <c r="B1358" s="2" t="inlineStr">
        <is>
          <t>gateau</t>
        </is>
      </c>
      <c r="C1358" s="2" t="inlineStr">
        <is>
          <t>S076</t>
        </is>
      </c>
      <c r="D1358" s="2" t="inlineStr">
        <is>
          <t>'gateau'!C9,D9</t>
        </is>
      </c>
      <c r="E1358" s="2" t="inlineStr">
        <is>
          <t>egg</t>
        </is>
      </c>
      <c r="F1358" s="3" t="n">
        <v>200</v>
      </c>
      <c r="G1358" s="2" t="inlineStr">
        <is>
          <t>200</t>
        </is>
      </c>
      <c r="H1358" s="2" t="inlineStr">
        <is>
          <t>Retain unique variant; no equivalent operating card selected</t>
        </is>
      </c>
    </row>
    <row r="1359">
      <c r="A1359" s="2" t="inlineStr">
        <is>
          <t>L148</t>
        </is>
      </c>
      <c r="B1359" s="2" t="inlineStr">
        <is>
          <t>gateau</t>
        </is>
      </c>
      <c r="C1359" s="2" t="inlineStr">
        <is>
          <t>S076</t>
        </is>
      </c>
      <c r="D1359" s="2" t="inlineStr">
        <is>
          <t>'gateau'!C10,D10</t>
        </is>
      </c>
      <c r="E1359" s="2" t="inlineStr">
        <is>
          <t>salt</t>
        </is>
      </c>
      <c r="F1359" s="3" t="n">
        <v>270</v>
      </c>
      <c r="G1359" s="2" t="inlineStr">
        <is>
          <t>270</t>
        </is>
      </c>
      <c r="H1359" s="2" t="inlineStr">
        <is>
          <t>Retain unique variant; no equivalent operating card selected</t>
        </is>
      </c>
    </row>
    <row r="1360">
      <c r="A1360" s="2" t="inlineStr">
        <is>
          <t>L148</t>
        </is>
      </c>
      <c r="B1360" s="2" t="inlineStr">
        <is>
          <t>gateau</t>
        </is>
      </c>
      <c r="C1360" s="2" t="inlineStr">
        <is>
          <t>S076</t>
        </is>
      </c>
      <c r="D1360" s="2" t="inlineStr">
        <is>
          <t>'gateau'!C11,D11</t>
        </is>
      </c>
      <c r="E1360" s="2" t="inlineStr">
        <is>
          <t>improver</t>
        </is>
      </c>
      <c r="F1360" s="3" t="n">
        <v>130</v>
      </c>
      <c r="G1360" s="2" t="inlineStr">
        <is>
          <t>130</t>
        </is>
      </c>
      <c r="H1360" s="2" t="inlineStr">
        <is>
          <t>Retain unique variant; no equivalent operating card selected</t>
        </is>
      </c>
    </row>
    <row r="1361">
      <c r="A1361" s="2" t="inlineStr">
        <is>
          <t>L148</t>
        </is>
      </c>
      <c r="B1361" s="2" t="inlineStr">
        <is>
          <t>gateau</t>
        </is>
      </c>
      <c r="C1361" s="2" t="inlineStr">
        <is>
          <t>S076</t>
        </is>
      </c>
      <c r="D1361" s="2" t="inlineStr">
        <is>
          <t>'gateau'!C12,D12</t>
        </is>
      </c>
      <c r="E1361" s="2" t="inlineStr">
        <is>
          <t>yeast</t>
        </is>
      </c>
      <c r="F1361" s="3" t="n">
        <v>100</v>
      </c>
      <c r="G1361" s="2" t="inlineStr">
        <is>
          <t>100</t>
        </is>
      </c>
      <c r="H1361" s="2" t="inlineStr">
        <is>
          <t>Retain unique variant; no equivalent operating card selected</t>
        </is>
      </c>
    </row>
    <row r="1362">
      <c r="A1362" s="2" t="inlineStr">
        <is>
          <t>L148</t>
        </is>
      </c>
      <c r="B1362" s="2" t="inlineStr">
        <is>
          <t>gateau</t>
        </is>
      </c>
      <c r="C1362" s="2" t="inlineStr">
        <is>
          <t>S076</t>
        </is>
      </c>
      <c r="D1362" s="2" t="inlineStr">
        <is>
          <t>'gateau'!C13,D13</t>
        </is>
      </c>
      <c r="E1362" s="2" t="inlineStr">
        <is>
          <t>water</t>
        </is>
      </c>
      <c r="F1362" s="3" t="n">
        <v>10000</v>
      </c>
      <c r="G1362" s="2" t="inlineStr">
        <is>
          <t>10000</t>
        </is>
      </c>
      <c r="H1362" s="2" t="inlineStr">
        <is>
          <t>Retain unique variant; no equivalent operating card selected</t>
        </is>
      </c>
    </row>
    <row r="1363">
      <c r="A1363" s="2" t="inlineStr">
        <is>
          <t>L148</t>
        </is>
      </c>
      <c r="B1363" s="2" t="inlineStr">
        <is>
          <t>gateau</t>
        </is>
      </c>
      <c r="C1363" s="2" t="inlineStr">
        <is>
          <t>S076</t>
        </is>
      </c>
      <c r="D1363" s="2" t="inlineStr">
        <is>
          <t>'gateau'!C14,D14</t>
        </is>
      </c>
      <c r="E1363" s="2" t="inlineStr">
        <is>
          <t>Nutmeg</t>
        </is>
      </c>
      <c r="F1363" s="3" t="n">
        <v>40</v>
      </c>
      <c r="G1363" s="2" t="inlineStr">
        <is>
          <t>40</t>
        </is>
      </c>
      <c r="H1363" s="2" t="inlineStr">
        <is>
          <t>Retain unique variant; no equivalent operating card selected</t>
        </is>
      </c>
    </row>
    <row r="1364">
      <c r="A1364" s="2" t="inlineStr">
        <is>
          <t>L148</t>
        </is>
      </c>
      <c r="B1364" s="2" t="inlineStr">
        <is>
          <t>gateau</t>
        </is>
      </c>
      <c r="C1364" s="2" t="inlineStr">
        <is>
          <t>S076</t>
        </is>
      </c>
      <c r="D1364" s="2" t="inlineStr">
        <is>
          <t>'gateau'!C15,D15</t>
        </is>
      </c>
      <c r="E1364" s="2" t="inlineStr">
        <is>
          <t>baking powder</t>
        </is>
      </c>
      <c r="F1364" s="3" t="n">
        <v>140</v>
      </c>
      <c r="G1364" s="2" t="inlineStr">
        <is>
          <t>140</t>
        </is>
      </c>
      <c r="H1364" s="2" t="inlineStr">
        <is>
          <t>Retain unique variant; no equivalent operating card selected</t>
        </is>
      </c>
    </row>
    <row r="1365">
      <c r="A1365" s="2" t="inlineStr">
        <is>
          <t>L148</t>
        </is>
      </c>
      <c r="B1365" s="2" t="inlineStr">
        <is>
          <t>gateau</t>
        </is>
      </c>
      <c r="C1365" s="2" t="inlineStr">
        <is>
          <t>S076</t>
        </is>
      </c>
      <c r="D1365" s="2" t="inlineStr">
        <is>
          <t>'gateau'!C16,D16</t>
        </is>
      </c>
      <c r="E1365" s="2" t="inlineStr">
        <is>
          <t>frying oil</t>
        </is>
      </c>
      <c r="F1365" s="3" t="n">
        <v>10</v>
      </c>
      <c r="G1365" s="2" t="inlineStr">
        <is>
          <t>10</t>
        </is>
      </c>
      <c r="H1365" s="2" t="inlineStr">
        <is>
          <t>Retain unique variant; no equivalent operating card selected</t>
        </is>
      </c>
    </row>
    <row r="1366">
      <c r="A1366" s="2" t="inlineStr">
        <is>
          <t>L149</t>
        </is>
      </c>
      <c r="B1366" s="2" t="inlineStr">
        <is>
          <t>gateau</t>
        </is>
      </c>
      <c r="C1366" s="2" t="inlineStr">
        <is>
          <t>S076</t>
        </is>
      </c>
      <c r="D1366" s="2" t="inlineStr">
        <is>
          <t>'gateau'!C5,J5</t>
        </is>
      </c>
      <c r="E1366" s="2" t="inlineStr">
        <is>
          <t>flour</t>
        </is>
      </c>
      <c r="F1366" s="3" t="n">
        <v>20000</v>
      </c>
      <c r="G1366" s="2" t="inlineStr">
        <is>
          <t>20000</t>
        </is>
      </c>
      <c r="H1366" s="2" t="inlineStr">
        <is>
          <t>Retain unique variant; no equivalent operating card selected</t>
        </is>
      </c>
    </row>
    <row r="1367">
      <c r="A1367" s="2" t="inlineStr">
        <is>
          <t>L149</t>
        </is>
      </c>
      <c r="B1367" s="2" t="inlineStr">
        <is>
          <t>gateau</t>
        </is>
      </c>
      <c r="C1367" s="2" t="inlineStr">
        <is>
          <t>S076</t>
        </is>
      </c>
      <c r="D1367" s="2" t="inlineStr">
        <is>
          <t>'gateau'!C6,J6</t>
        </is>
      </c>
      <c r="E1367" s="2" t="inlineStr">
        <is>
          <t>Butter</t>
        </is>
      </c>
      <c r="F1367" s="3" t="n">
        <v>560</v>
      </c>
      <c r="G1367" s="2" t="inlineStr">
        <is>
          <t>560</t>
        </is>
      </c>
      <c r="H1367" s="2" t="inlineStr">
        <is>
          <t>Retain unique variant; no equivalent operating card selected</t>
        </is>
      </c>
    </row>
    <row r="1368">
      <c r="A1368" s="2" t="inlineStr">
        <is>
          <t>L149</t>
        </is>
      </c>
      <c r="B1368" s="2" t="inlineStr">
        <is>
          <t>gateau</t>
        </is>
      </c>
      <c r="C1368" s="2" t="inlineStr">
        <is>
          <t>S076</t>
        </is>
      </c>
      <c r="D1368" s="2" t="inlineStr">
        <is>
          <t>'gateau'!C7,J7</t>
        </is>
      </c>
      <c r="E1368" s="2" t="inlineStr">
        <is>
          <t>sugar</t>
        </is>
      </c>
      <c r="F1368" s="3" t="n">
        <v>800</v>
      </c>
      <c r="G1368" s="2" t="inlineStr">
        <is>
          <t>800</t>
        </is>
      </c>
      <c r="H1368" s="2" t="inlineStr">
        <is>
          <t>Retain unique variant; no equivalent operating card selected</t>
        </is>
      </c>
    </row>
    <row r="1369">
      <c r="A1369" s="2" t="inlineStr">
        <is>
          <t>L149</t>
        </is>
      </c>
      <c r="B1369" s="2" t="inlineStr">
        <is>
          <t>gateau</t>
        </is>
      </c>
      <c r="C1369" s="2" t="inlineStr">
        <is>
          <t>S076</t>
        </is>
      </c>
      <c r="D1369" s="2" t="inlineStr">
        <is>
          <t>'gateau'!C8,J8</t>
        </is>
      </c>
      <c r="E1369" s="2" t="inlineStr">
        <is>
          <t>Conc Milk</t>
        </is>
      </c>
      <c r="F1369" s="3" t="n">
        <v>500</v>
      </c>
      <c r="G1369" s="2" t="inlineStr">
        <is>
          <t>500</t>
        </is>
      </c>
      <c r="H1369" s="2" t="inlineStr">
        <is>
          <t>Retain unique variant; no equivalent operating card selected</t>
        </is>
      </c>
    </row>
    <row r="1370">
      <c r="A1370" s="2" t="inlineStr">
        <is>
          <t>L149</t>
        </is>
      </c>
      <c r="B1370" s="2" t="inlineStr">
        <is>
          <t>gateau</t>
        </is>
      </c>
      <c r="C1370" s="2" t="inlineStr">
        <is>
          <t>S076</t>
        </is>
      </c>
      <c r="D1370" s="2" t="inlineStr">
        <is>
          <t>'gateau'!C9,J9</t>
        </is>
      </c>
      <c r="E1370" s="2" t="inlineStr">
        <is>
          <t>egg</t>
        </is>
      </c>
      <c r="F1370" s="3" t="n">
        <v>144</v>
      </c>
      <c r="G1370" s="2" t="inlineStr">
        <is>
          <t>144</t>
        </is>
      </c>
      <c r="H1370" s="2" t="inlineStr">
        <is>
          <t>Retain unique variant; no equivalent operating card selected</t>
        </is>
      </c>
    </row>
    <row r="1371">
      <c r="A1371" s="2" t="inlineStr">
        <is>
          <t>L149</t>
        </is>
      </c>
      <c r="B1371" s="2" t="inlineStr">
        <is>
          <t>gateau</t>
        </is>
      </c>
      <c r="C1371" s="2" t="inlineStr">
        <is>
          <t>S076</t>
        </is>
      </c>
      <c r="D1371" s="2" t="inlineStr">
        <is>
          <t>'gateau'!C10,J10</t>
        </is>
      </c>
      <c r="E1371" s="2" t="inlineStr">
        <is>
          <t>salt</t>
        </is>
      </c>
      <c r="F1371" s="3" t="n">
        <v>166</v>
      </c>
      <c r="G1371" s="2" t="inlineStr">
        <is>
          <t>166</t>
        </is>
      </c>
      <c r="H1371" s="2" t="inlineStr">
        <is>
          <t>Retain unique variant; no equivalent operating card selected</t>
        </is>
      </c>
    </row>
    <row r="1372">
      <c r="A1372" s="2" t="inlineStr">
        <is>
          <t>L149</t>
        </is>
      </c>
      <c r="B1372" s="2" t="inlineStr">
        <is>
          <t>gateau</t>
        </is>
      </c>
      <c r="C1372" s="2" t="inlineStr">
        <is>
          <t>S076</t>
        </is>
      </c>
      <c r="D1372" s="2" t="inlineStr">
        <is>
          <t>'gateau'!C11,J11</t>
        </is>
      </c>
      <c r="E1372" s="2" t="inlineStr">
        <is>
          <t>improver</t>
        </is>
      </c>
      <c r="F1372" s="3" t="n">
        <v>130</v>
      </c>
      <c r="G1372" s="2" t="inlineStr">
        <is>
          <t>=D11 [cached: 130]</t>
        </is>
      </c>
      <c r="H1372" s="2" t="inlineStr">
        <is>
          <t>Retain unique variant; no equivalent operating card selected</t>
        </is>
      </c>
    </row>
    <row r="1373">
      <c r="A1373" s="2" t="inlineStr">
        <is>
          <t>L149</t>
        </is>
      </c>
      <c r="B1373" s="2" t="inlineStr">
        <is>
          <t>gateau</t>
        </is>
      </c>
      <c r="C1373" s="2" t="inlineStr">
        <is>
          <t>S076</t>
        </is>
      </c>
      <c r="D1373" s="2" t="inlineStr">
        <is>
          <t>'gateau'!C12,J12</t>
        </is>
      </c>
      <c r="E1373" s="2" t="inlineStr">
        <is>
          <t>yeast</t>
        </is>
      </c>
      <c r="F1373" s="3" t="n">
        <v>70</v>
      </c>
      <c r="G1373" s="2" t="inlineStr">
        <is>
          <t>70</t>
        </is>
      </c>
      <c r="H1373" s="2" t="inlineStr">
        <is>
          <t>Retain unique variant; no equivalent operating card selected</t>
        </is>
      </c>
    </row>
    <row r="1374">
      <c r="A1374" s="2" t="inlineStr">
        <is>
          <t>L149</t>
        </is>
      </c>
      <c r="B1374" s="2" t="inlineStr">
        <is>
          <t>gateau</t>
        </is>
      </c>
      <c r="C1374" s="2" t="inlineStr">
        <is>
          <t>S076</t>
        </is>
      </c>
      <c r="D1374" s="2" t="inlineStr">
        <is>
          <t>'gateau'!C13,J13</t>
        </is>
      </c>
      <c r="E1374" s="2" t="inlineStr">
        <is>
          <t>water</t>
        </is>
      </c>
      <c r="F1374" s="3" t="n">
        <v>7000</v>
      </c>
      <c r="G1374" s="2" t="inlineStr">
        <is>
          <t>7000</t>
        </is>
      </c>
      <c r="H1374" s="2" t="inlineStr">
        <is>
          <t>Retain unique variant; no equivalent operating card selected</t>
        </is>
      </c>
    </row>
    <row r="1375">
      <c r="A1375" s="2" t="inlineStr">
        <is>
          <t>L149</t>
        </is>
      </c>
      <c r="B1375" s="2" t="inlineStr">
        <is>
          <t>gateau</t>
        </is>
      </c>
      <c r="C1375" s="2" t="inlineStr">
        <is>
          <t>S076</t>
        </is>
      </c>
      <c r="D1375" s="2" t="inlineStr">
        <is>
          <t>'gateau'!C14,J14</t>
        </is>
      </c>
      <c r="E1375" s="2" t="inlineStr">
        <is>
          <t>Nutmeg</t>
        </is>
      </c>
      <c r="F1375" s="3" t="n">
        <v>40</v>
      </c>
      <c r="G1375" s="2" t="inlineStr">
        <is>
          <t>=D14 [cached: 40]</t>
        </is>
      </c>
      <c r="H1375" s="2" t="inlineStr">
        <is>
          <t>Retain unique variant; no equivalent operating card selected</t>
        </is>
      </c>
    </row>
    <row r="1376">
      <c r="A1376" s="2" t="inlineStr">
        <is>
          <t>L149</t>
        </is>
      </c>
      <c r="B1376" s="2" t="inlineStr">
        <is>
          <t>gateau</t>
        </is>
      </c>
      <c r="C1376" s="2" t="inlineStr">
        <is>
          <t>S076</t>
        </is>
      </c>
      <c r="D1376" s="2" t="inlineStr">
        <is>
          <t>'gateau'!C15,J15</t>
        </is>
      </c>
      <c r="E1376" s="2" t="inlineStr">
        <is>
          <t>baking powder</t>
        </is>
      </c>
      <c r="F1376" s="3" t="n">
        <v>20</v>
      </c>
      <c r="G1376" s="2" t="inlineStr">
        <is>
          <t>20</t>
        </is>
      </c>
      <c r="H1376" s="2" t="inlineStr">
        <is>
          <t>Retain unique variant; no equivalent operating card selected</t>
        </is>
      </c>
    </row>
    <row r="1377">
      <c r="A1377" s="2" t="inlineStr">
        <is>
          <t>L149</t>
        </is>
      </c>
      <c r="B1377" s="2" t="inlineStr">
        <is>
          <t>gateau</t>
        </is>
      </c>
      <c r="C1377" s="2" t="inlineStr">
        <is>
          <t>S076</t>
        </is>
      </c>
      <c r="D1377" s="2" t="inlineStr">
        <is>
          <t>'gateau'!C16,J16</t>
        </is>
      </c>
      <c r="E1377" s="2" t="inlineStr">
        <is>
          <t>frying oil</t>
        </is>
      </c>
      <c r="F1377" s="3" t="n">
        <v>10</v>
      </c>
      <c r="G1377" s="2" t="inlineStr">
        <is>
          <t>=D16 [cached: 10]</t>
        </is>
      </c>
      <c r="H1377" s="2" t="inlineStr">
        <is>
          <t>Retain unique variant; no equivalent operating card selected</t>
        </is>
      </c>
    </row>
    <row r="1378">
      <c r="A1378" s="2" t="inlineStr">
        <is>
          <t>L150</t>
        </is>
      </c>
      <c r="B1378" s="2" t="inlineStr">
        <is>
          <t>gateau new look</t>
        </is>
      </c>
      <c r="C1378" s="2" t="inlineStr">
        <is>
          <t>S076</t>
        </is>
      </c>
      <c r="D1378" s="2" t="inlineStr">
        <is>
          <t>'gateau new look'!C5,D5</t>
        </is>
      </c>
      <c r="E1378" s="2" t="inlineStr">
        <is>
          <t>flour</t>
        </is>
      </c>
      <c r="F1378" s="3" t="n">
        <v>25000</v>
      </c>
      <c r="G1378" s="2" t="inlineStr">
        <is>
          <t>25000</t>
        </is>
      </c>
      <c r="H1378" s="2" t="inlineStr">
        <is>
          <t>Retain unique variant; no equivalent operating card selected</t>
        </is>
      </c>
    </row>
    <row r="1379">
      <c r="A1379" s="2" t="inlineStr">
        <is>
          <t>L150</t>
        </is>
      </c>
      <c r="B1379" s="2" t="inlineStr">
        <is>
          <t>gateau new look</t>
        </is>
      </c>
      <c r="C1379" s="2" t="inlineStr">
        <is>
          <t>S076</t>
        </is>
      </c>
      <c r="D1379" s="2" t="inlineStr">
        <is>
          <t>'gateau new look'!C6,D6</t>
        </is>
      </c>
      <c r="E1379" s="2" t="inlineStr">
        <is>
          <t>Butter</t>
        </is>
      </c>
      <c r="F1379" s="3" t="n">
        <v>1300</v>
      </c>
      <c r="G1379" s="2" t="inlineStr">
        <is>
          <t>1300</t>
        </is>
      </c>
      <c r="H1379" s="2" t="inlineStr">
        <is>
          <t>Retain unique variant; no equivalent operating card selected</t>
        </is>
      </c>
    </row>
    <row r="1380">
      <c r="A1380" s="2" t="inlineStr">
        <is>
          <t>L150</t>
        </is>
      </c>
      <c r="B1380" s="2" t="inlineStr">
        <is>
          <t>gateau new look</t>
        </is>
      </c>
      <c r="C1380" s="2" t="inlineStr">
        <is>
          <t>S076</t>
        </is>
      </c>
      <c r="D1380" s="2" t="inlineStr">
        <is>
          <t>'gateau new look'!C7,D7</t>
        </is>
      </c>
      <c r="E1380" s="2" t="inlineStr">
        <is>
          <t>sugar</t>
        </is>
      </c>
      <c r="F1380" s="3" t="n">
        <v>1650</v>
      </c>
      <c r="G1380" s="2" t="inlineStr">
        <is>
          <t>1650</t>
        </is>
      </c>
      <c r="H1380" s="2" t="inlineStr">
        <is>
          <t>Retain unique variant; no equivalent operating card selected</t>
        </is>
      </c>
    </row>
    <row r="1381">
      <c r="A1381" s="2" t="inlineStr">
        <is>
          <t>L150</t>
        </is>
      </c>
      <c r="B1381" s="2" t="inlineStr">
        <is>
          <t>gateau new look</t>
        </is>
      </c>
      <c r="C1381" s="2" t="inlineStr">
        <is>
          <t>S076</t>
        </is>
      </c>
      <c r="D1381" s="2" t="inlineStr">
        <is>
          <t>'gateau new look'!C8,D8</t>
        </is>
      </c>
      <c r="E1381" s="2" t="inlineStr">
        <is>
          <t>Conc Milk</t>
        </is>
      </c>
      <c r="F1381" s="3" t="n">
        <v>1000</v>
      </c>
      <c r="G1381" s="2" t="inlineStr">
        <is>
          <t>1000</t>
        </is>
      </c>
      <c r="H1381" s="2" t="inlineStr">
        <is>
          <t>Retain unique variant; no equivalent operating card selected</t>
        </is>
      </c>
    </row>
    <row r="1382">
      <c r="A1382" s="2" t="inlineStr">
        <is>
          <t>L150</t>
        </is>
      </c>
      <c r="B1382" s="2" t="inlineStr">
        <is>
          <t>gateau new look</t>
        </is>
      </c>
      <c r="C1382" s="2" t="inlineStr">
        <is>
          <t>S076</t>
        </is>
      </c>
      <c r="D1382" s="2" t="inlineStr">
        <is>
          <t>'gateau new look'!C9,D9</t>
        </is>
      </c>
      <c r="E1382" s="2" t="inlineStr">
        <is>
          <t>egg</t>
        </is>
      </c>
      <c r="F1382" s="3" t="n">
        <v>750</v>
      </c>
      <c r="G1382" s="2" t="inlineStr">
        <is>
          <t>750</t>
        </is>
      </c>
      <c r="H1382" s="2" t="inlineStr">
        <is>
          <t>Retain unique variant; no equivalent operating card selected</t>
        </is>
      </c>
    </row>
    <row r="1383">
      <c r="A1383" s="2" t="inlineStr">
        <is>
          <t>L150</t>
        </is>
      </c>
      <c r="B1383" s="2" t="inlineStr">
        <is>
          <t>gateau new look</t>
        </is>
      </c>
      <c r="C1383" s="2" t="inlineStr">
        <is>
          <t>S076</t>
        </is>
      </c>
      <c r="D1383" s="2" t="inlineStr">
        <is>
          <t>'gateau new look'!C10,D10</t>
        </is>
      </c>
      <c r="E1383" s="2" t="inlineStr">
        <is>
          <t>salt</t>
        </is>
      </c>
      <c r="F1383" s="3" t="n">
        <v>270</v>
      </c>
      <c r="G1383" s="2" t="inlineStr">
        <is>
          <t>270</t>
        </is>
      </c>
      <c r="H1383" s="2" t="inlineStr">
        <is>
          <t>Retain unique variant; no equivalent operating card selected</t>
        </is>
      </c>
    </row>
    <row r="1384">
      <c r="A1384" s="2" t="inlineStr">
        <is>
          <t>L150</t>
        </is>
      </c>
      <c r="B1384" s="2" t="inlineStr">
        <is>
          <t>gateau new look</t>
        </is>
      </c>
      <c r="C1384" s="2" t="inlineStr">
        <is>
          <t>S076</t>
        </is>
      </c>
      <c r="D1384" s="2" t="inlineStr">
        <is>
          <t>'gateau new look'!C11,D11</t>
        </is>
      </c>
      <c r="E1384" s="2" t="inlineStr">
        <is>
          <t>improver</t>
        </is>
      </c>
      <c r="F1384" s="3" t="n">
        <v>90</v>
      </c>
      <c r="G1384" s="2" t="inlineStr">
        <is>
          <t>90</t>
        </is>
      </c>
      <c r="H1384" s="2" t="inlineStr">
        <is>
          <t>Retain unique variant; no equivalent operating card selected</t>
        </is>
      </c>
    </row>
    <row r="1385">
      <c r="A1385" s="2" t="inlineStr">
        <is>
          <t>L150</t>
        </is>
      </c>
      <c r="B1385" s="2" t="inlineStr">
        <is>
          <t>gateau new look</t>
        </is>
      </c>
      <c r="C1385" s="2" t="inlineStr">
        <is>
          <t>S076</t>
        </is>
      </c>
      <c r="D1385" s="2" t="inlineStr">
        <is>
          <t>'gateau new look'!C12,D12</t>
        </is>
      </c>
      <c r="E1385" s="2" t="inlineStr">
        <is>
          <t>yeast</t>
        </is>
      </c>
      <c r="F1385" s="3" t="n">
        <v>100</v>
      </c>
      <c r="G1385" s="2" t="inlineStr">
        <is>
          <t>100</t>
        </is>
      </c>
      <c r="H1385" s="2" t="inlineStr">
        <is>
          <t>Retain unique variant; no equivalent operating card selected</t>
        </is>
      </c>
    </row>
    <row r="1386">
      <c r="A1386" s="2" t="inlineStr">
        <is>
          <t>L150</t>
        </is>
      </c>
      <c r="B1386" s="2" t="inlineStr">
        <is>
          <t>gateau new look</t>
        </is>
      </c>
      <c r="C1386" s="2" t="inlineStr">
        <is>
          <t>S076</t>
        </is>
      </c>
      <c r="D1386" s="2" t="inlineStr">
        <is>
          <t>'gateau new look'!C13,D13</t>
        </is>
      </c>
      <c r="E1386" s="2" t="inlineStr">
        <is>
          <t>water</t>
        </is>
      </c>
      <c r="F1386" s="3" t="n">
        <v>9000</v>
      </c>
      <c r="G1386" s="2" t="inlineStr">
        <is>
          <t>9000</t>
        </is>
      </c>
      <c r="H1386" s="2" t="inlineStr">
        <is>
          <t>Retain unique variant; no equivalent operating card selected</t>
        </is>
      </c>
    </row>
    <row r="1387">
      <c r="A1387" s="2" t="inlineStr">
        <is>
          <t>L150</t>
        </is>
      </c>
      <c r="B1387" s="2" t="inlineStr">
        <is>
          <t>gateau new look</t>
        </is>
      </c>
      <c r="C1387" s="2" t="inlineStr">
        <is>
          <t>S076</t>
        </is>
      </c>
      <c r="D1387" s="2" t="inlineStr">
        <is>
          <t>'gateau new look'!C14,D14</t>
        </is>
      </c>
      <c r="E1387" s="2" t="inlineStr">
        <is>
          <t>Nutmeg</t>
        </is>
      </c>
      <c r="F1387" s="3" t="n">
        <v>40</v>
      </c>
      <c r="G1387" s="2" t="inlineStr">
        <is>
          <t>40</t>
        </is>
      </c>
      <c r="H1387" s="2" t="inlineStr">
        <is>
          <t>Retain unique variant; no equivalent operating card selected</t>
        </is>
      </c>
    </row>
    <row r="1388">
      <c r="A1388" s="2" t="inlineStr">
        <is>
          <t>L150</t>
        </is>
      </c>
      <c r="B1388" s="2" t="inlineStr">
        <is>
          <t>gateau new look</t>
        </is>
      </c>
      <c r="C1388" s="2" t="inlineStr">
        <is>
          <t>S076</t>
        </is>
      </c>
      <c r="D1388" s="2" t="inlineStr">
        <is>
          <t>'gateau new look'!C15,D15</t>
        </is>
      </c>
      <c r="E1388" s="2" t="inlineStr">
        <is>
          <t>baking powder</t>
        </is>
      </c>
      <c r="F1388" s="3" t="n">
        <v>80</v>
      </c>
      <c r="G1388" s="2" t="inlineStr">
        <is>
          <t>80</t>
        </is>
      </c>
      <c r="H1388" s="2" t="inlineStr">
        <is>
          <t>Retain unique variant; no equivalent operating card selected</t>
        </is>
      </c>
    </row>
    <row r="1389">
      <c r="A1389" s="2" t="inlineStr">
        <is>
          <t>L150</t>
        </is>
      </c>
      <c r="B1389" s="2" t="inlineStr">
        <is>
          <t>gateau new look</t>
        </is>
      </c>
      <c r="C1389" s="2" t="inlineStr">
        <is>
          <t>S076</t>
        </is>
      </c>
      <c r="D1389" s="2" t="inlineStr">
        <is>
          <t>'gateau new look'!C16,D16</t>
        </is>
      </c>
      <c r="E1389" s="2" t="inlineStr">
        <is>
          <t>frying oil</t>
        </is>
      </c>
      <c r="F1389" s="3" t="n">
        <v>8000</v>
      </c>
      <c r="G1389" s="2" t="inlineStr">
        <is>
          <t>8000</t>
        </is>
      </c>
      <c r="H1389" s="2" t="inlineStr">
        <is>
          <t>Retain unique variant; no equivalent operating card selected</t>
        </is>
      </c>
    </row>
    <row r="1390">
      <c r="A1390" s="2" t="inlineStr">
        <is>
          <t>L151</t>
        </is>
      </c>
      <c r="B1390" s="2" t="inlineStr">
        <is>
          <t>gateau new look</t>
        </is>
      </c>
      <c r="C1390" s="2" t="inlineStr">
        <is>
          <t>S076</t>
        </is>
      </c>
      <c r="D1390" s="2" t="inlineStr">
        <is>
          <t>'gateau new look'!C5,J5</t>
        </is>
      </c>
      <c r="E1390" s="2" t="inlineStr">
        <is>
          <t>flour</t>
        </is>
      </c>
      <c r="F1390" s="3" t="n">
        <v>20000</v>
      </c>
      <c r="G1390" s="2" t="inlineStr">
        <is>
          <t>20000</t>
        </is>
      </c>
      <c r="H1390" s="2" t="inlineStr">
        <is>
          <t>Retain unique variant; no equivalent operating card selected</t>
        </is>
      </c>
    </row>
    <row r="1391">
      <c r="A1391" s="2" t="inlineStr">
        <is>
          <t>L151</t>
        </is>
      </c>
      <c r="B1391" s="2" t="inlineStr">
        <is>
          <t>gateau new look</t>
        </is>
      </c>
      <c r="C1391" s="2" t="inlineStr">
        <is>
          <t>S076</t>
        </is>
      </c>
      <c r="D1391" s="2" t="inlineStr">
        <is>
          <t>'gateau new look'!C6,J6</t>
        </is>
      </c>
      <c r="E1391" s="2" t="inlineStr">
        <is>
          <t>Butter</t>
        </is>
      </c>
      <c r="F1391" s="3" t="n">
        <v>560</v>
      </c>
      <c r="G1391" s="2" t="inlineStr">
        <is>
          <t>560</t>
        </is>
      </c>
      <c r="H1391" s="2" t="inlineStr">
        <is>
          <t>Retain unique variant; no equivalent operating card selected</t>
        </is>
      </c>
    </row>
    <row r="1392">
      <c r="A1392" s="2" t="inlineStr">
        <is>
          <t>L151</t>
        </is>
      </c>
      <c r="B1392" s="2" t="inlineStr">
        <is>
          <t>gateau new look</t>
        </is>
      </c>
      <c r="C1392" s="2" t="inlineStr">
        <is>
          <t>S076</t>
        </is>
      </c>
      <c r="D1392" s="2" t="inlineStr">
        <is>
          <t>'gateau new look'!C7,J7</t>
        </is>
      </c>
      <c r="E1392" s="2" t="inlineStr">
        <is>
          <t>sugar</t>
        </is>
      </c>
      <c r="F1392" s="3" t="n">
        <v>800</v>
      </c>
      <c r="G1392" s="2" t="inlineStr">
        <is>
          <t>800</t>
        </is>
      </c>
      <c r="H1392" s="2" t="inlineStr">
        <is>
          <t>Retain unique variant; no equivalent operating card selected</t>
        </is>
      </c>
    </row>
    <row r="1393">
      <c r="A1393" s="2" t="inlineStr">
        <is>
          <t>L151</t>
        </is>
      </c>
      <c r="B1393" s="2" t="inlineStr">
        <is>
          <t>gateau new look</t>
        </is>
      </c>
      <c r="C1393" s="2" t="inlineStr">
        <is>
          <t>S076</t>
        </is>
      </c>
      <c r="D1393" s="2" t="inlineStr">
        <is>
          <t>'gateau new look'!C8,J8</t>
        </is>
      </c>
      <c r="E1393" s="2" t="inlineStr">
        <is>
          <t>Conc Milk</t>
        </is>
      </c>
      <c r="F1393" s="3" t="n">
        <v>500</v>
      </c>
      <c r="G1393" s="2" t="inlineStr">
        <is>
          <t>500</t>
        </is>
      </c>
      <c r="H1393" s="2" t="inlineStr">
        <is>
          <t>Retain unique variant; no equivalent operating card selected</t>
        </is>
      </c>
    </row>
    <row r="1394">
      <c r="A1394" s="2" t="inlineStr">
        <is>
          <t>L151</t>
        </is>
      </c>
      <c r="B1394" s="2" t="inlineStr">
        <is>
          <t>gateau new look</t>
        </is>
      </c>
      <c r="C1394" s="2" t="inlineStr">
        <is>
          <t>S076</t>
        </is>
      </c>
      <c r="D1394" s="2" t="inlineStr">
        <is>
          <t>'gateau new look'!C9,J9</t>
        </is>
      </c>
      <c r="E1394" s="2" t="inlineStr">
        <is>
          <t>egg</t>
        </is>
      </c>
      <c r="F1394" s="3" t="n">
        <v>144</v>
      </c>
      <c r="G1394" s="2" t="inlineStr">
        <is>
          <t>144</t>
        </is>
      </c>
      <c r="H1394" s="2" t="inlineStr">
        <is>
          <t>Retain unique variant; no equivalent operating card selected</t>
        </is>
      </c>
    </row>
    <row r="1395">
      <c r="A1395" s="2" t="inlineStr">
        <is>
          <t>L151</t>
        </is>
      </c>
      <c r="B1395" s="2" t="inlineStr">
        <is>
          <t>gateau new look</t>
        </is>
      </c>
      <c r="C1395" s="2" t="inlineStr">
        <is>
          <t>S076</t>
        </is>
      </c>
      <c r="D1395" s="2" t="inlineStr">
        <is>
          <t>'gateau new look'!C10,J10</t>
        </is>
      </c>
      <c r="E1395" s="2" t="inlineStr">
        <is>
          <t>salt</t>
        </is>
      </c>
      <c r="F1395" s="3" t="n">
        <v>166</v>
      </c>
      <c r="G1395" s="2" t="inlineStr">
        <is>
          <t>166</t>
        </is>
      </c>
      <c r="H1395" s="2" t="inlineStr">
        <is>
          <t>Retain unique variant; no equivalent operating card selected</t>
        </is>
      </c>
    </row>
    <row r="1396">
      <c r="A1396" s="2" t="inlineStr">
        <is>
          <t>L151</t>
        </is>
      </c>
      <c r="B1396" s="2" t="inlineStr">
        <is>
          <t>gateau new look</t>
        </is>
      </c>
      <c r="C1396" s="2" t="inlineStr">
        <is>
          <t>S076</t>
        </is>
      </c>
      <c r="D1396" s="2" t="inlineStr">
        <is>
          <t>'gateau new look'!C11,J11</t>
        </is>
      </c>
      <c r="E1396" s="2" t="inlineStr">
        <is>
          <t>improver</t>
        </is>
      </c>
      <c r="F1396" s="3" t="n">
        <v>90</v>
      </c>
      <c r="G1396" s="2" t="inlineStr">
        <is>
          <t>=D11 [cached: 90]</t>
        </is>
      </c>
      <c r="H1396" s="2" t="inlineStr">
        <is>
          <t>Retain unique variant; no equivalent operating card selected</t>
        </is>
      </c>
    </row>
    <row r="1397">
      <c r="A1397" s="2" t="inlineStr">
        <is>
          <t>L151</t>
        </is>
      </c>
      <c r="B1397" s="2" t="inlineStr">
        <is>
          <t>gateau new look</t>
        </is>
      </c>
      <c r="C1397" s="2" t="inlineStr">
        <is>
          <t>S076</t>
        </is>
      </c>
      <c r="D1397" s="2" t="inlineStr">
        <is>
          <t>'gateau new look'!C12,J12</t>
        </is>
      </c>
      <c r="E1397" s="2" t="inlineStr">
        <is>
          <t>yeast</t>
        </is>
      </c>
      <c r="F1397" s="3" t="n">
        <v>70</v>
      </c>
      <c r="G1397" s="2" t="inlineStr">
        <is>
          <t>70</t>
        </is>
      </c>
      <c r="H1397" s="2" t="inlineStr">
        <is>
          <t>Retain unique variant; no equivalent operating card selected</t>
        </is>
      </c>
    </row>
    <row r="1398">
      <c r="A1398" s="2" t="inlineStr">
        <is>
          <t>L151</t>
        </is>
      </c>
      <c r="B1398" s="2" t="inlineStr">
        <is>
          <t>gateau new look</t>
        </is>
      </c>
      <c r="C1398" s="2" t="inlineStr">
        <is>
          <t>S076</t>
        </is>
      </c>
      <c r="D1398" s="2" t="inlineStr">
        <is>
          <t>'gateau new look'!C13,J13</t>
        </is>
      </c>
      <c r="E1398" s="2" t="inlineStr">
        <is>
          <t>water</t>
        </is>
      </c>
      <c r="F1398" s="3" t="n">
        <v>7000</v>
      </c>
      <c r="G1398" s="2" t="inlineStr">
        <is>
          <t>7000</t>
        </is>
      </c>
      <c r="H1398" s="2" t="inlineStr">
        <is>
          <t>Retain unique variant; no equivalent operating card selected</t>
        </is>
      </c>
    </row>
    <row r="1399">
      <c r="A1399" s="2" t="inlineStr">
        <is>
          <t>L151</t>
        </is>
      </c>
      <c r="B1399" s="2" t="inlineStr">
        <is>
          <t>gateau new look</t>
        </is>
      </c>
      <c r="C1399" s="2" t="inlineStr">
        <is>
          <t>S076</t>
        </is>
      </c>
      <c r="D1399" s="2" t="inlineStr">
        <is>
          <t>'gateau new look'!C14,J14</t>
        </is>
      </c>
      <c r="E1399" s="2" t="inlineStr">
        <is>
          <t>Nutmeg</t>
        </is>
      </c>
      <c r="F1399" s="3" t="n">
        <v>40</v>
      </c>
      <c r="G1399" s="2" t="inlineStr">
        <is>
          <t>=D14 [cached: 40]</t>
        </is>
      </c>
      <c r="H1399" s="2" t="inlineStr">
        <is>
          <t>Retain unique variant; no equivalent operating card selected</t>
        </is>
      </c>
    </row>
    <row r="1400">
      <c r="A1400" s="2" t="inlineStr">
        <is>
          <t>L151</t>
        </is>
      </c>
      <c r="B1400" s="2" t="inlineStr">
        <is>
          <t>gateau new look</t>
        </is>
      </c>
      <c r="C1400" s="2" t="inlineStr">
        <is>
          <t>S076</t>
        </is>
      </c>
      <c r="D1400" s="2" t="inlineStr">
        <is>
          <t>'gateau new look'!C15,J15</t>
        </is>
      </c>
      <c r="E1400" s="2" t="inlineStr">
        <is>
          <t>baking powder</t>
        </is>
      </c>
      <c r="F1400" s="3" t="n">
        <v>20</v>
      </c>
      <c r="G1400" s="2" t="inlineStr">
        <is>
          <t>20</t>
        </is>
      </c>
      <c r="H1400" s="2" t="inlineStr">
        <is>
          <t>Retain unique variant; no equivalent operating card selected</t>
        </is>
      </c>
    </row>
    <row r="1401">
      <c r="A1401" s="2" t="inlineStr">
        <is>
          <t>L151</t>
        </is>
      </c>
      <c r="B1401" s="2" t="inlineStr">
        <is>
          <t>gateau new look</t>
        </is>
      </c>
      <c r="C1401" s="2" t="inlineStr">
        <is>
          <t>S076</t>
        </is>
      </c>
      <c r="D1401" s="2" t="inlineStr">
        <is>
          <t>'gateau new look'!C16,J16</t>
        </is>
      </c>
      <c r="E1401" s="2" t="inlineStr">
        <is>
          <t>frying oil</t>
        </is>
      </c>
      <c r="F1401" s="3" t="n">
        <v>8000</v>
      </c>
      <c r="G1401" s="2" t="inlineStr">
        <is>
          <t>=D16 [cached: 8000]</t>
        </is>
      </c>
      <c r="H1401" s="2" t="inlineStr">
        <is>
          <t>Retain unique variant; no equivalent operating card selected</t>
        </is>
      </c>
    </row>
    <row r="1402">
      <c r="A1402" s="2" t="inlineStr">
        <is>
          <t>L152</t>
        </is>
      </c>
      <c r="B1402" s="2" t="inlineStr">
        <is>
          <t>Best Chinchin</t>
        </is>
      </c>
      <c r="C1402" s="2" t="inlineStr">
        <is>
          <t>S077</t>
        </is>
      </c>
      <c r="D1402" s="2" t="inlineStr">
        <is>
          <t>'Best Chinchin'!C5,D5</t>
        </is>
      </c>
      <c r="E1402" s="2" t="inlineStr">
        <is>
          <t>flour</t>
        </is>
      </c>
      <c r="F1402" s="3" t="n">
        <v>25000</v>
      </c>
      <c r="G1402" s="2" t="inlineStr">
        <is>
          <t>25000</t>
        </is>
      </c>
      <c r="H1402" s="2" t="inlineStr">
        <is>
          <t>H10</t>
        </is>
      </c>
    </row>
    <row r="1403">
      <c r="A1403" s="2" t="inlineStr">
        <is>
          <t>L152</t>
        </is>
      </c>
      <c r="B1403" s="2" t="inlineStr">
        <is>
          <t>Best Chinchin</t>
        </is>
      </c>
      <c r="C1403" s="2" t="inlineStr">
        <is>
          <t>S077</t>
        </is>
      </c>
      <c r="D1403" s="2" t="inlineStr">
        <is>
          <t>'Best Chinchin'!C6,D6</t>
        </is>
      </c>
      <c r="E1403" s="2" t="inlineStr">
        <is>
          <t>baking powder</t>
        </is>
      </c>
      <c r="F1403" s="3" t="n">
        <v>500</v>
      </c>
      <c r="G1403" s="2" t="inlineStr">
        <is>
          <t>500</t>
        </is>
      </c>
      <c r="H1403" s="2" t="inlineStr">
        <is>
          <t>H10</t>
        </is>
      </c>
    </row>
    <row r="1404">
      <c r="A1404" s="2" t="inlineStr">
        <is>
          <t>L152</t>
        </is>
      </c>
      <c r="B1404" s="2" t="inlineStr">
        <is>
          <t>Best Chinchin</t>
        </is>
      </c>
      <c r="C1404" s="2" t="inlineStr">
        <is>
          <t>S077</t>
        </is>
      </c>
      <c r="D1404" s="2" t="inlineStr">
        <is>
          <t>'Best Chinchin'!C7,D7</t>
        </is>
      </c>
      <c r="E1404" s="2" t="inlineStr">
        <is>
          <t>nut meg</t>
        </is>
      </c>
      <c r="F1404" s="3" t="n">
        <v>50</v>
      </c>
      <c r="G1404" s="2" t="inlineStr">
        <is>
          <t>50</t>
        </is>
      </c>
      <c r="H1404" s="2" t="inlineStr">
        <is>
          <t>H10</t>
        </is>
      </c>
    </row>
    <row r="1405">
      <c r="A1405" s="2" t="inlineStr">
        <is>
          <t>L152</t>
        </is>
      </c>
      <c r="B1405" s="2" t="inlineStr">
        <is>
          <t>Best Chinchin</t>
        </is>
      </c>
      <c r="C1405" s="2" t="inlineStr">
        <is>
          <t>S077</t>
        </is>
      </c>
      <c r="D1405" s="2" t="inlineStr">
        <is>
          <t>'Best Chinchin'!C8,D8</t>
        </is>
      </c>
      <c r="E1405" s="2" t="inlineStr">
        <is>
          <t>sugar</t>
        </is>
      </c>
      <c r="F1405" s="3" t="n">
        <v>4500</v>
      </c>
      <c r="G1405" s="2" t="inlineStr">
        <is>
          <t>4500</t>
        </is>
      </c>
      <c r="H1405" s="2" t="inlineStr">
        <is>
          <t>H10</t>
        </is>
      </c>
    </row>
    <row r="1406">
      <c r="A1406" s="2" t="inlineStr">
        <is>
          <t>L152</t>
        </is>
      </c>
      <c r="B1406" s="2" t="inlineStr">
        <is>
          <t>Best Chinchin</t>
        </is>
      </c>
      <c r="C1406" s="2" t="inlineStr">
        <is>
          <t>S077</t>
        </is>
      </c>
      <c r="D1406" s="2" t="inlineStr">
        <is>
          <t>'Best Chinchin'!C9,D9</t>
        </is>
      </c>
      <c r="E1406" s="2" t="inlineStr">
        <is>
          <t>Butter</t>
        </is>
      </c>
      <c r="F1406" s="3" t="n">
        <v>4000</v>
      </c>
      <c r="G1406" s="2" t="inlineStr">
        <is>
          <t>4000</t>
        </is>
      </c>
      <c r="H1406" s="2" t="inlineStr">
        <is>
          <t>H10</t>
        </is>
      </c>
    </row>
    <row r="1407">
      <c r="A1407" s="2" t="inlineStr">
        <is>
          <t>L152</t>
        </is>
      </c>
      <c r="B1407" s="2" t="inlineStr">
        <is>
          <t>Best Chinchin</t>
        </is>
      </c>
      <c r="C1407" s="2" t="inlineStr">
        <is>
          <t>S077</t>
        </is>
      </c>
      <c r="D1407" s="2" t="inlineStr">
        <is>
          <t>'Best Chinchin'!C10,D10</t>
        </is>
      </c>
      <c r="E1407" s="2" t="inlineStr">
        <is>
          <t>egg</t>
        </is>
      </c>
      <c r="F1407" s="3" t="n">
        <v>7500</v>
      </c>
      <c r="G1407" s="2" t="inlineStr">
        <is>
          <t>7500</t>
        </is>
      </c>
      <c r="H1407" s="2" t="inlineStr">
        <is>
          <t>H10</t>
        </is>
      </c>
    </row>
    <row r="1408">
      <c r="A1408" s="2" t="inlineStr">
        <is>
          <t>L152</t>
        </is>
      </c>
      <c r="B1408" s="2" t="inlineStr">
        <is>
          <t>Best Chinchin</t>
        </is>
      </c>
      <c r="C1408" s="2" t="inlineStr">
        <is>
          <t>S077</t>
        </is>
      </c>
      <c r="D1408" s="2" t="inlineStr">
        <is>
          <t>'Best Chinchin'!C11,D11</t>
        </is>
      </c>
      <c r="E1408" s="2" t="inlineStr">
        <is>
          <t>salt</t>
        </is>
      </c>
      <c r="F1408" s="3" t="n">
        <v>90</v>
      </c>
      <c r="G1408" s="2" t="inlineStr">
        <is>
          <t>90</t>
        </is>
      </c>
      <c r="H1408" s="2" t="inlineStr">
        <is>
          <t>H10</t>
        </is>
      </c>
    </row>
    <row r="1409">
      <c r="A1409" s="2" t="inlineStr">
        <is>
          <t>L152</t>
        </is>
      </c>
      <c r="B1409" s="2" t="inlineStr">
        <is>
          <t>Best Chinchin</t>
        </is>
      </c>
      <c r="C1409" s="2" t="inlineStr">
        <is>
          <t>S077</t>
        </is>
      </c>
      <c r="D1409" s="2" t="inlineStr">
        <is>
          <t>'Best Chinchin'!C12,D12</t>
        </is>
      </c>
      <c r="E1409" s="2" t="inlineStr">
        <is>
          <t>Improver</t>
        </is>
      </c>
      <c r="F1409" s="3" t="n">
        <v>200</v>
      </c>
      <c r="G1409" s="2" t="inlineStr">
        <is>
          <t>200</t>
        </is>
      </c>
      <c r="H1409" s="2" t="inlineStr">
        <is>
          <t>H10</t>
        </is>
      </c>
    </row>
    <row r="1410">
      <c r="A1410" s="2" t="inlineStr">
        <is>
          <t>L152</t>
        </is>
      </c>
      <c r="B1410" s="2" t="inlineStr">
        <is>
          <t>Best Chinchin</t>
        </is>
      </c>
      <c r="C1410" s="2" t="inlineStr">
        <is>
          <t>S077</t>
        </is>
      </c>
      <c r="D1410" s="2" t="inlineStr">
        <is>
          <t>'Best Chinchin'!C13,D13</t>
        </is>
      </c>
      <c r="E1410" s="2" t="inlineStr">
        <is>
          <t>oil</t>
        </is>
      </c>
      <c r="F1410" s="3" t="n">
        <v>400</v>
      </c>
      <c r="G1410" s="2" t="inlineStr">
        <is>
          <t>400</t>
        </is>
      </c>
      <c r="H1410" s="2" t="inlineStr">
        <is>
          <t>H10</t>
        </is>
      </c>
    </row>
    <row r="1411">
      <c r="A1411" s="2" t="inlineStr">
        <is>
          <t>L153</t>
        </is>
      </c>
      <c r="B1411" s="2" t="inlineStr">
        <is>
          <t>NEW BRIOCHE</t>
        </is>
      </c>
      <c r="C1411" s="2" t="inlineStr">
        <is>
          <t>S077</t>
        </is>
      </c>
      <c r="D1411" s="2" t="inlineStr">
        <is>
          <t>'NEW BRIOCHE'!C5,D5</t>
        </is>
      </c>
      <c r="E1411" s="2" t="inlineStr">
        <is>
          <t>flour</t>
        </is>
      </c>
      <c r="F1411" s="3" t="n">
        <v>5000</v>
      </c>
      <c r="G1411" s="2" t="inlineStr">
        <is>
          <t>5000</t>
        </is>
      </c>
      <c r="H1411" s="2" t="inlineStr">
        <is>
          <t>S-B06; richer true-butter variant</t>
        </is>
      </c>
    </row>
    <row r="1412">
      <c r="A1412" s="2" t="inlineStr">
        <is>
          <t>L153</t>
        </is>
      </c>
      <c r="B1412" s="2" t="inlineStr">
        <is>
          <t>NEW BRIOCHE</t>
        </is>
      </c>
      <c r="C1412" s="2" t="inlineStr">
        <is>
          <t>S077</t>
        </is>
      </c>
      <c r="D1412" s="2" t="inlineStr">
        <is>
          <t>'NEW BRIOCHE'!C6,D6</t>
        </is>
      </c>
      <c r="E1412" s="2" t="inlineStr">
        <is>
          <t>Butter</t>
        </is>
      </c>
      <c r="F1412" s="3" t="n">
        <v>3000</v>
      </c>
      <c r="G1412" s="2" t="inlineStr">
        <is>
          <t>3000</t>
        </is>
      </c>
      <c r="H1412" s="2" t="inlineStr">
        <is>
          <t>S-B06; richer true-butter variant</t>
        </is>
      </c>
    </row>
    <row r="1413">
      <c r="A1413" s="2" t="inlineStr">
        <is>
          <t>L153</t>
        </is>
      </c>
      <c r="B1413" s="2" t="inlineStr">
        <is>
          <t>NEW BRIOCHE</t>
        </is>
      </c>
      <c r="C1413" s="2" t="inlineStr">
        <is>
          <t>S077</t>
        </is>
      </c>
      <c r="D1413" s="2" t="inlineStr">
        <is>
          <t>'NEW BRIOCHE'!C7,D7</t>
        </is>
      </c>
      <c r="E1413" s="2" t="inlineStr">
        <is>
          <t>sugar</t>
        </is>
      </c>
      <c r="F1413" s="3" t="n">
        <v>900</v>
      </c>
      <c r="G1413" s="2" t="inlineStr">
        <is>
          <t>900</t>
        </is>
      </c>
      <c r="H1413" s="2" t="inlineStr">
        <is>
          <t>S-B06; richer true-butter variant</t>
        </is>
      </c>
    </row>
    <row r="1414">
      <c r="A1414" s="2" t="inlineStr">
        <is>
          <t>L153</t>
        </is>
      </c>
      <c r="B1414" s="2" t="inlineStr">
        <is>
          <t>NEW BRIOCHE</t>
        </is>
      </c>
      <c r="C1414" s="2" t="inlineStr">
        <is>
          <t>S077</t>
        </is>
      </c>
      <c r="D1414" s="2" t="inlineStr">
        <is>
          <t>'NEW BRIOCHE'!C8,D8</t>
        </is>
      </c>
      <c r="E1414" s="2" t="inlineStr">
        <is>
          <t>Milk</t>
        </is>
      </c>
      <c r="F1414" s="3" t="n">
        <v>500</v>
      </c>
      <c r="G1414" s="2" t="inlineStr">
        <is>
          <t>500</t>
        </is>
      </c>
      <c r="H1414" s="2" t="inlineStr">
        <is>
          <t>S-B06; richer true-butter variant</t>
        </is>
      </c>
    </row>
    <row r="1415">
      <c r="A1415" s="2" t="inlineStr">
        <is>
          <t>L153</t>
        </is>
      </c>
      <c r="B1415" s="2" t="inlineStr">
        <is>
          <t>NEW BRIOCHE</t>
        </is>
      </c>
      <c r="C1415" s="2" t="inlineStr">
        <is>
          <t>S077</t>
        </is>
      </c>
      <c r="D1415" s="2" t="inlineStr">
        <is>
          <t>'NEW BRIOCHE'!C9,D9</t>
        </is>
      </c>
      <c r="E1415" s="2" t="inlineStr">
        <is>
          <t>egg</t>
        </is>
      </c>
      <c r="F1415" s="3" t="n">
        <v>500</v>
      </c>
      <c r="G1415" s="2" t="inlineStr">
        <is>
          <t>500</t>
        </is>
      </c>
      <c r="H1415" s="2" t="inlineStr">
        <is>
          <t>S-B06; richer true-butter variant</t>
        </is>
      </c>
    </row>
    <row r="1416">
      <c r="A1416" s="2" t="inlineStr">
        <is>
          <t>L153</t>
        </is>
      </c>
      <c r="B1416" s="2" t="inlineStr">
        <is>
          <t>NEW BRIOCHE</t>
        </is>
      </c>
      <c r="C1416" s="2" t="inlineStr">
        <is>
          <t>S077</t>
        </is>
      </c>
      <c r="D1416" s="2" t="inlineStr">
        <is>
          <t>'NEW BRIOCHE'!C10,D10</t>
        </is>
      </c>
      <c r="E1416" s="2" t="inlineStr">
        <is>
          <t>salt</t>
        </is>
      </c>
      <c r="F1416" s="3" t="n">
        <v>80</v>
      </c>
      <c r="G1416" s="2" t="inlineStr">
        <is>
          <t>80</t>
        </is>
      </c>
      <c r="H1416" s="2" t="inlineStr">
        <is>
          <t>S-B06; richer true-butter variant</t>
        </is>
      </c>
    </row>
    <row r="1417">
      <c r="A1417" s="2" t="inlineStr">
        <is>
          <t>L153</t>
        </is>
      </c>
      <c r="B1417" s="2" t="inlineStr">
        <is>
          <t>NEW BRIOCHE</t>
        </is>
      </c>
      <c r="C1417" s="2" t="inlineStr">
        <is>
          <t>S077</t>
        </is>
      </c>
      <c r="D1417" s="2" t="inlineStr">
        <is>
          <t>'NEW BRIOCHE'!C11,D11</t>
        </is>
      </c>
      <c r="E1417" s="2" t="inlineStr">
        <is>
          <t>improver</t>
        </is>
      </c>
      <c r="F1417" s="3" t="n">
        <v>50</v>
      </c>
      <c r="G1417" s="2" t="inlineStr">
        <is>
          <t>50</t>
        </is>
      </c>
      <c r="H1417" s="2" t="inlineStr">
        <is>
          <t>S-B06; richer true-butter variant</t>
        </is>
      </c>
    </row>
    <row r="1418">
      <c r="A1418" s="2" t="inlineStr">
        <is>
          <t>L153</t>
        </is>
      </c>
      <c r="B1418" s="2" t="inlineStr">
        <is>
          <t>NEW BRIOCHE</t>
        </is>
      </c>
      <c r="C1418" s="2" t="inlineStr">
        <is>
          <t>S077</t>
        </is>
      </c>
      <c r="D1418" s="2" t="inlineStr">
        <is>
          <t>'NEW BRIOCHE'!C12,D12</t>
        </is>
      </c>
      <c r="E1418" s="2" t="inlineStr">
        <is>
          <t>yeast</t>
        </is>
      </c>
      <c r="F1418" s="3" t="n">
        <v>140</v>
      </c>
      <c r="G1418" s="2" t="inlineStr">
        <is>
          <t>140</t>
        </is>
      </c>
      <c r="H1418" s="2" t="inlineStr">
        <is>
          <t>S-B06; richer true-butter variant</t>
        </is>
      </c>
    </row>
    <row r="1419">
      <c r="A1419" s="2" t="inlineStr">
        <is>
          <t>L153</t>
        </is>
      </c>
      <c r="B1419" s="2" t="inlineStr">
        <is>
          <t>NEW BRIOCHE</t>
        </is>
      </c>
      <c r="C1419" s="2" t="inlineStr">
        <is>
          <t>S077</t>
        </is>
      </c>
      <c r="D1419" s="2" t="inlineStr">
        <is>
          <t>'NEW BRIOCHE'!C13,D13</t>
        </is>
      </c>
      <c r="E1419" s="2" t="inlineStr">
        <is>
          <t>water</t>
        </is>
      </c>
      <c r="F1419" s="3" t="n">
        <v>1000</v>
      </c>
      <c r="G1419" s="2" t="inlineStr">
        <is>
          <t>1000</t>
        </is>
      </c>
      <c r="H1419" s="2" t="inlineStr">
        <is>
          <t>S-B06; richer true-butter variant</t>
        </is>
      </c>
    </row>
    <row r="1420">
      <c r="A1420" s="2" t="inlineStr">
        <is>
          <t>L153</t>
        </is>
      </c>
      <c r="B1420" s="2" t="inlineStr">
        <is>
          <t>NEW BRIOCHE</t>
        </is>
      </c>
      <c r="C1420" s="2" t="inlineStr">
        <is>
          <t>S077</t>
        </is>
      </c>
      <c r="D1420" s="2" t="inlineStr">
        <is>
          <t>'NEW BRIOCHE'!C14,D14</t>
        </is>
      </c>
      <c r="E1420" s="2" t="inlineStr">
        <is>
          <t>Milk tantalizer</t>
        </is>
      </c>
      <c r="F1420" s="3" t="n">
        <v>8</v>
      </c>
      <c r="G1420" s="2" t="inlineStr">
        <is>
          <t>8</t>
        </is>
      </c>
      <c r="H1420" s="2" t="inlineStr">
        <is>
          <t>S-B06; richer true-butter variant</t>
        </is>
      </c>
    </row>
    <row r="1421">
      <c r="A1421" s="2" t="inlineStr">
        <is>
          <t>L153</t>
        </is>
      </c>
      <c r="B1421" s="2" t="inlineStr">
        <is>
          <t>NEW BRIOCHE</t>
        </is>
      </c>
      <c r="C1421" s="2" t="inlineStr">
        <is>
          <t>S077</t>
        </is>
      </c>
      <c r="D1421" s="2" t="inlineStr">
        <is>
          <t>'NEW BRIOCHE'!C15,D15</t>
        </is>
      </c>
      <c r="E1421" s="2" t="inlineStr">
        <is>
          <t>EDC</t>
        </is>
      </c>
      <c r="F1421" s="3" t="n">
        <v>25</v>
      </c>
      <c r="G1421" s="2" t="inlineStr">
        <is>
          <t>25</t>
        </is>
      </c>
      <c r="H1421" s="2" t="inlineStr">
        <is>
          <t>S-B06; richer true-butter variant</t>
        </is>
      </c>
    </row>
    <row r="1422">
      <c r="A1422" s="2" t="inlineStr">
        <is>
          <t>L153</t>
        </is>
      </c>
      <c r="B1422" s="2" t="inlineStr">
        <is>
          <t>NEW BRIOCHE</t>
        </is>
      </c>
      <c r="C1422" s="2" t="inlineStr">
        <is>
          <t>S077</t>
        </is>
      </c>
      <c r="D1422" s="2" t="inlineStr">
        <is>
          <t>'NEW BRIOCHE'!C16,D16</t>
        </is>
      </c>
      <c r="E1422" s="2" t="inlineStr">
        <is>
          <t>Nutmeg</t>
        </is>
      </c>
      <c r="F1422" s="3" t="n">
        <v>15</v>
      </c>
      <c r="G1422" s="2" t="inlineStr">
        <is>
          <t>15</t>
        </is>
      </c>
      <c r="H1422" s="2" t="inlineStr">
        <is>
          <t>S-B06; richer true-butter variant</t>
        </is>
      </c>
    </row>
    <row r="1423">
      <c r="A1423" s="2" t="inlineStr">
        <is>
          <t>L154</t>
        </is>
      </c>
      <c r="B1423" s="2" t="inlineStr">
        <is>
          <t>Sugar Balls</t>
        </is>
      </c>
      <c r="C1423" s="2" t="inlineStr">
        <is>
          <t>S077</t>
        </is>
      </c>
      <c r="D1423" s="2" t="inlineStr">
        <is>
          <t>'Sugar Balls'!C5,D5</t>
        </is>
      </c>
      <c r="E1423" s="2" t="inlineStr">
        <is>
          <t>flour</t>
        </is>
      </c>
      <c r="F1423" s="3" t="n">
        <v>5000</v>
      </c>
      <c r="G1423" s="2" t="inlineStr">
        <is>
          <t>5000</t>
        </is>
      </c>
      <c r="H1423" s="2" t="inlineStr">
        <is>
          <t>Retain unique variant; no equivalent operating card selected</t>
        </is>
      </c>
    </row>
    <row r="1424">
      <c r="A1424" s="2" t="inlineStr">
        <is>
          <t>L154</t>
        </is>
      </c>
      <c r="B1424" s="2" t="inlineStr">
        <is>
          <t>Sugar Balls</t>
        </is>
      </c>
      <c r="C1424" s="2" t="inlineStr">
        <is>
          <t>S077</t>
        </is>
      </c>
      <c r="D1424" s="2" t="inlineStr">
        <is>
          <t>'Sugar Balls'!C6,D6</t>
        </is>
      </c>
      <c r="E1424" s="2" t="inlineStr">
        <is>
          <t>baking powder</t>
        </is>
      </c>
      <c r="F1424" s="3" t="n">
        <v>50</v>
      </c>
      <c r="G1424" s="2" t="inlineStr">
        <is>
          <t>50</t>
        </is>
      </c>
      <c r="H1424" s="2" t="inlineStr">
        <is>
          <t>Retain unique variant; no equivalent operating card selected</t>
        </is>
      </c>
    </row>
    <row r="1425">
      <c r="A1425" s="2" t="inlineStr">
        <is>
          <t>L154</t>
        </is>
      </c>
      <c r="B1425" s="2" t="inlineStr">
        <is>
          <t>Sugar Balls</t>
        </is>
      </c>
      <c r="C1425" s="2" t="inlineStr">
        <is>
          <t>S077</t>
        </is>
      </c>
      <c r="D1425" s="2" t="inlineStr">
        <is>
          <t>'Sugar Balls'!C7,D7</t>
        </is>
      </c>
      <c r="E1425" s="2" t="inlineStr">
        <is>
          <t>sugar</t>
        </is>
      </c>
      <c r="F1425" s="3" t="n">
        <v>500</v>
      </c>
      <c r="G1425" s="2" t="inlineStr">
        <is>
          <t>500</t>
        </is>
      </c>
      <c r="H1425" s="2" t="inlineStr">
        <is>
          <t>Retain unique variant; no equivalent operating card selected</t>
        </is>
      </c>
    </row>
    <row r="1426">
      <c r="A1426" s="2" t="inlineStr">
        <is>
          <t>L154</t>
        </is>
      </c>
      <c r="B1426" s="2" t="inlineStr">
        <is>
          <t>Sugar Balls</t>
        </is>
      </c>
      <c r="C1426" s="2" t="inlineStr">
        <is>
          <t>S077</t>
        </is>
      </c>
      <c r="D1426" s="2" t="inlineStr">
        <is>
          <t>'Sugar Balls'!C8,D8</t>
        </is>
      </c>
      <c r="E1426" s="2" t="inlineStr">
        <is>
          <t>Butter</t>
        </is>
      </c>
      <c r="F1426" s="3" t="n">
        <v>500</v>
      </c>
      <c r="G1426" s="2" t="inlineStr">
        <is>
          <t>500</t>
        </is>
      </c>
      <c r="H1426" s="2" t="inlineStr">
        <is>
          <t>Retain unique variant; no equivalent operating card selected</t>
        </is>
      </c>
    </row>
    <row r="1427">
      <c r="A1427" s="2" t="inlineStr">
        <is>
          <t>L154</t>
        </is>
      </c>
      <c r="B1427" s="2" t="inlineStr">
        <is>
          <t>Sugar Balls</t>
        </is>
      </c>
      <c r="C1427" s="2" t="inlineStr">
        <is>
          <t>S077</t>
        </is>
      </c>
      <c r="D1427" s="2" t="inlineStr">
        <is>
          <t>'Sugar Balls'!C9,D9</t>
        </is>
      </c>
      <c r="E1427" s="2" t="inlineStr">
        <is>
          <t>salt</t>
        </is>
      </c>
      <c r="F1427" s="3" t="n">
        <v>60</v>
      </c>
      <c r="G1427" s="2" t="inlineStr">
        <is>
          <t>60</t>
        </is>
      </c>
      <c r="H1427" s="2" t="inlineStr">
        <is>
          <t>Retain unique variant; no equivalent operating card selected</t>
        </is>
      </c>
    </row>
    <row r="1428">
      <c r="A1428" s="2" t="inlineStr">
        <is>
          <t>L154</t>
        </is>
      </c>
      <c r="B1428" s="2" t="inlineStr">
        <is>
          <t>Sugar Balls</t>
        </is>
      </c>
      <c r="C1428" s="2" t="inlineStr">
        <is>
          <t>S077</t>
        </is>
      </c>
      <c r="D1428" s="2" t="inlineStr">
        <is>
          <t>'Sugar Balls'!C10,D10</t>
        </is>
      </c>
      <c r="E1428" s="2" t="inlineStr">
        <is>
          <t>Cold Water</t>
        </is>
      </c>
      <c r="F1428" s="3" t="n">
        <v>2000</v>
      </c>
      <c r="G1428" s="2" t="inlineStr">
        <is>
          <t>2000</t>
        </is>
      </c>
      <c r="H1428" s="2" t="inlineStr">
        <is>
          <t>Retain unique variant; no equivalent operating card selected</t>
        </is>
      </c>
    </row>
    <row r="1429">
      <c r="A1429" s="2" t="inlineStr">
        <is>
          <t>L154</t>
        </is>
      </c>
      <c r="B1429" s="2" t="inlineStr">
        <is>
          <t>Sugar Balls</t>
        </is>
      </c>
      <c r="C1429" s="2" t="inlineStr">
        <is>
          <t>S077</t>
        </is>
      </c>
      <c r="D1429" s="2" t="inlineStr">
        <is>
          <t>'Sugar Balls'!C11,D11</t>
        </is>
      </c>
      <c r="E1429" s="2" t="inlineStr">
        <is>
          <t>Improver</t>
        </is>
      </c>
      <c r="F1429" s="3" t="n">
        <v>100</v>
      </c>
      <c r="G1429" s="2" t="inlineStr">
        <is>
          <t>100</t>
        </is>
      </c>
      <c r="H1429" s="2" t="inlineStr">
        <is>
          <t>Retain unique variant; no equivalent operating card selected</t>
        </is>
      </c>
    </row>
    <row r="1430">
      <c r="A1430" s="2" t="inlineStr">
        <is>
          <t>L154</t>
        </is>
      </c>
      <c r="B1430" s="2" t="inlineStr">
        <is>
          <t>Sugar Balls</t>
        </is>
      </c>
      <c r="C1430" s="2" t="inlineStr">
        <is>
          <t>S077</t>
        </is>
      </c>
      <c r="D1430" s="2" t="inlineStr">
        <is>
          <t>'Sugar Balls'!C12,D12</t>
        </is>
      </c>
      <c r="E1430" s="2" t="inlineStr">
        <is>
          <t>yeast</t>
        </is>
      </c>
      <c r="F1430" s="3" t="n">
        <v>140</v>
      </c>
      <c r="G1430" s="2" t="inlineStr">
        <is>
          <t>140</t>
        </is>
      </c>
      <c r="H1430" s="2" t="inlineStr">
        <is>
          <t>Retain unique variant; no equivalent operating card selected</t>
        </is>
      </c>
    </row>
    <row r="1431">
      <c r="A1431" s="2" t="inlineStr">
        <is>
          <t>L155</t>
        </is>
      </c>
      <c r="B1431" s="2" t="inlineStr">
        <is>
          <t>Sugar Balls</t>
        </is>
      </c>
      <c r="C1431" s="2" t="inlineStr">
        <is>
          <t>S077</t>
        </is>
      </c>
      <c r="D1431" s="2" t="inlineStr">
        <is>
          <t>'Sugar Balls'!C5,H5</t>
        </is>
      </c>
      <c r="E1431" s="2" t="inlineStr">
        <is>
          <t>flour</t>
        </is>
      </c>
      <c r="F1431" s="3" t="n">
        <v>25000</v>
      </c>
      <c r="G1431" s="2" t="inlineStr">
        <is>
          <t>=D5*5 [cached: 25000]</t>
        </is>
      </c>
      <c r="H1431" s="2" t="inlineStr">
        <is>
          <t>Retain unique variant; no equivalent operating card selected</t>
        </is>
      </c>
    </row>
    <row r="1432">
      <c r="A1432" s="2" t="inlineStr">
        <is>
          <t>L155</t>
        </is>
      </c>
      <c r="B1432" s="2" t="inlineStr">
        <is>
          <t>Sugar Balls</t>
        </is>
      </c>
      <c r="C1432" s="2" t="inlineStr">
        <is>
          <t>S077</t>
        </is>
      </c>
      <c r="D1432" s="2" t="inlineStr">
        <is>
          <t>'Sugar Balls'!C6,H6</t>
        </is>
      </c>
      <c r="E1432" s="2" t="inlineStr">
        <is>
          <t>baking powder</t>
        </is>
      </c>
      <c r="F1432" s="3" t="n">
        <v>250</v>
      </c>
      <c r="G1432" s="2" t="inlineStr">
        <is>
          <t>=D6*5 [cached: 250]</t>
        </is>
      </c>
      <c r="H1432" s="2" t="inlineStr">
        <is>
          <t>Retain unique variant; no equivalent operating card selected</t>
        </is>
      </c>
    </row>
    <row r="1433">
      <c r="A1433" s="2" t="inlineStr">
        <is>
          <t>L155</t>
        </is>
      </c>
      <c r="B1433" s="2" t="inlineStr">
        <is>
          <t>Sugar Balls</t>
        </is>
      </c>
      <c r="C1433" s="2" t="inlineStr">
        <is>
          <t>S077</t>
        </is>
      </c>
      <c r="D1433" s="2" t="inlineStr">
        <is>
          <t>'Sugar Balls'!C7,H7</t>
        </is>
      </c>
      <c r="E1433" s="2" t="inlineStr">
        <is>
          <t>sugar</t>
        </is>
      </c>
      <c r="F1433" s="3" t="n">
        <v>2500</v>
      </c>
      <c r="G1433" s="2" t="inlineStr">
        <is>
          <t>=D7*5 [cached: 2500]</t>
        </is>
      </c>
      <c r="H1433" s="2" t="inlineStr">
        <is>
          <t>Retain unique variant; no equivalent operating card selected</t>
        </is>
      </c>
    </row>
    <row r="1434">
      <c r="A1434" s="2" t="inlineStr">
        <is>
          <t>L155</t>
        </is>
      </c>
      <c r="B1434" s="2" t="inlineStr">
        <is>
          <t>Sugar Balls</t>
        </is>
      </c>
      <c r="C1434" s="2" t="inlineStr">
        <is>
          <t>S077</t>
        </is>
      </c>
      <c r="D1434" s="2" t="inlineStr">
        <is>
          <t>'Sugar Balls'!C8,H8</t>
        </is>
      </c>
      <c r="E1434" s="2" t="inlineStr">
        <is>
          <t>Butter</t>
        </is>
      </c>
      <c r="F1434" s="3" t="n">
        <v>2500</v>
      </c>
      <c r="G1434" s="2" t="inlineStr">
        <is>
          <t>=D8*5 [cached: 2500]</t>
        </is>
      </c>
      <c r="H1434" s="2" t="inlineStr">
        <is>
          <t>Retain unique variant; no equivalent operating card selected</t>
        </is>
      </c>
    </row>
    <row r="1435">
      <c r="A1435" s="2" t="inlineStr">
        <is>
          <t>L155</t>
        </is>
      </c>
      <c r="B1435" s="2" t="inlineStr">
        <is>
          <t>Sugar Balls</t>
        </is>
      </c>
      <c r="C1435" s="2" t="inlineStr">
        <is>
          <t>S077</t>
        </is>
      </c>
      <c r="D1435" s="2" t="inlineStr">
        <is>
          <t>'Sugar Balls'!C9,H9</t>
        </is>
      </c>
      <c r="E1435" s="2" t="inlineStr">
        <is>
          <t>salt</t>
        </is>
      </c>
      <c r="F1435" s="3" t="n">
        <v>300</v>
      </c>
      <c r="G1435" s="2" t="inlineStr">
        <is>
          <t>=D9*5 [cached: 300]</t>
        </is>
      </c>
      <c r="H1435" s="2" t="inlineStr">
        <is>
          <t>Retain unique variant; no equivalent operating card selected</t>
        </is>
      </c>
    </row>
    <row r="1436">
      <c r="A1436" s="2" t="inlineStr">
        <is>
          <t>L155</t>
        </is>
      </c>
      <c r="B1436" s="2" t="inlineStr">
        <is>
          <t>Sugar Balls</t>
        </is>
      </c>
      <c r="C1436" s="2" t="inlineStr">
        <is>
          <t>S077</t>
        </is>
      </c>
      <c r="D1436" s="2" t="inlineStr">
        <is>
          <t>'Sugar Balls'!C10,H10</t>
        </is>
      </c>
      <c r="E1436" s="2" t="inlineStr">
        <is>
          <t>Cold Water</t>
        </is>
      </c>
      <c r="F1436" s="3" t="n">
        <v>10000</v>
      </c>
      <c r="G1436" s="2" t="inlineStr">
        <is>
          <t>=D10*5 [cached: 10000]</t>
        </is>
      </c>
      <c r="H1436" s="2" t="inlineStr">
        <is>
          <t>Retain unique variant; no equivalent operating card selected</t>
        </is>
      </c>
    </row>
    <row r="1437">
      <c r="A1437" s="2" t="inlineStr">
        <is>
          <t>L155</t>
        </is>
      </c>
      <c r="B1437" s="2" t="inlineStr">
        <is>
          <t>Sugar Balls</t>
        </is>
      </c>
      <c r="C1437" s="2" t="inlineStr">
        <is>
          <t>S077</t>
        </is>
      </c>
      <c r="D1437" s="2" t="inlineStr">
        <is>
          <t>'Sugar Balls'!C11,H11</t>
        </is>
      </c>
      <c r="E1437" s="2" t="inlineStr">
        <is>
          <t>Improver</t>
        </is>
      </c>
      <c r="F1437" s="3" t="n">
        <v>500</v>
      </c>
      <c r="G1437" s="2" t="inlineStr">
        <is>
          <t>=D11*5 [cached: 500]</t>
        </is>
      </c>
      <c r="H1437" s="2" t="inlineStr">
        <is>
          <t>Retain unique variant; no equivalent operating card selected</t>
        </is>
      </c>
    </row>
    <row r="1438">
      <c r="A1438" s="2" t="inlineStr">
        <is>
          <t>L155</t>
        </is>
      </c>
      <c r="B1438" s="2" t="inlineStr">
        <is>
          <t>Sugar Balls</t>
        </is>
      </c>
      <c r="C1438" s="2" t="inlineStr">
        <is>
          <t>S077</t>
        </is>
      </c>
      <c r="D1438" s="2" t="inlineStr">
        <is>
          <t>'Sugar Balls'!C12,H12</t>
        </is>
      </c>
      <c r="E1438" s="2" t="inlineStr">
        <is>
          <t>yeast</t>
        </is>
      </c>
      <c r="F1438" s="3" t="n">
        <v>233.8</v>
      </c>
      <c r="G1438" s="2" t="inlineStr">
        <is>
          <t>=D12*1.67 [cached: 233.8]</t>
        </is>
      </c>
      <c r="H1438" s="2" t="inlineStr">
        <is>
          <t>Retain unique variant; no equivalent operating card selected</t>
        </is>
      </c>
    </row>
    <row r="1439">
      <c r="A1439" s="2" t="inlineStr">
        <is>
          <t>L156</t>
        </is>
      </c>
      <c r="B1439" s="2" t="inlineStr">
        <is>
          <t>YUMMY BREAD</t>
        </is>
      </c>
      <c r="C1439" s="2" t="inlineStr">
        <is>
          <t>S077</t>
        </is>
      </c>
      <c r="D1439" s="2" t="inlineStr">
        <is>
          <t>'YUMMY BREAD'!C5,D5</t>
        </is>
      </c>
      <c r="E1439" s="2" t="inlineStr">
        <is>
          <t>flour</t>
        </is>
      </c>
      <c r="F1439" s="3" t="n">
        <v>9000</v>
      </c>
      <c r="G1439" s="2" t="inlineStr">
        <is>
          <t>9000</t>
        </is>
      </c>
      <c r="H1439" s="2" t="inlineStr">
        <is>
          <t>M1-B01–B13</t>
        </is>
      </c>
    </row>
    <row r="1440">
      <c r="A1440" s="2" t="inlineStr">
        <is>
          <t>L156</t>
        </is>
      </c>
      <c r="B1440" s="2" t="inlineStr">
        <is>
          <t>YUMMY BREAD</t>
        </is>
      </c>
      <c r="C1440" s="2" t="inlineStr">
        <is>
          <t>S077</t>
        </is>
      </c>
      <c r="D1440" s="2" t="inlineStr">
        <is>
          <t>'YUMMY BREAD'!C6,D6</t>
        </is>
      </c>
      <c r="E1440" s="2" t="inlineStr">
        <is>
          <t>Butter</t>
        </is>
      </c>
      <c r="F1440" s="3" t="n">
        <v>1000</v>
      </c>
      <c r="G1440" s="2" t="inlineStr">
        <is>
          <t>1000</t>
        </is>
      </c>
      <c r="H1440" s="2" t="inlineStr">
        <is>
          <t>M1-B01–B13</t>
        </is>
      </c>
    </row>
    <row r="1441">
      <c r="A1441" s="2" t="inlineStr">
        <is>
          <t>L156</t>
        </is>
      </c>
      <c r="B1441" s="2" t="inlineStr">
        <is>
          <t>YUMMY BREAD</t>
        </is>
      </c>
      <c r="C1441" s="2" t="inlineStr">
        <is>
          <t>S077</t>
        </is>
      </c>
      <c r="D1441" s="2" t="inlineStr">
        <is>
          <t>'YUMMY BREAD'!C7,D7</t>
        </is>
      </c>
      <c r="E1441" s="2" t="inlineStr">
        <is>
          <t>sugar</t>
        </is>
      </c>
      <c r="F1441" s="3" t="n">
        <v>900</v>
      </c>
      <c r="G1441" s="2" t="inlineStr">
        <is>
          <t>900</t>
        </is>
      </c>
      <c r="H1441" s="2" t="inlineStr">
        <is>
          <t>M1-B01–B13</t>
        </is>
      </c>
    </row>
    <row r="1442">
      <c r="A1442" s="2" t="inlineStr">
        <is>
          <t>L156</t>
        </is>
      </c>
      <c r="B1442" s="2" t="inlineStr">
        <is>
          <t>YUMMY BREAD</t>
        </is>
      </c>
      <c r="C1442" s="2" t="inlineStr">
        <is>
          <t>S077</t>
        </is>
      </c>
      <c r="D1442" s="2" t="inlineStr">
        <is>
          <t>'YUMMY BREAD'!C8,D8</t>
        </is>
      </c>
      <c r="E1442" s="2" t="inlineStr">
        <is>
          <t>Milk</t>
        </is>
      </c>
      <c r="F1442" s="3" t="n">
        <v>500</v>
      </c>
      <c r="G1442" s="2" t="inlineStr">
        <is>
          <t>500</t>
        </is>
      </c>
      <c r="H1442" s="2" t="inlineStr">
        <is>
          <t>M1-B01–B13</t>
        </is>
      </c>
    </row>
    <row r="1443">
      <c r="A1443" s="2" t="inlineStr">
        <is>
          <t>L156</t>
        </is>
      </c>
      <c r="B1443" s="2" t="inlineStr">
        <is>
          <t>YUMMY BREAD</t>
        </is>
      </c>
      <c r="C1443" s="2" t="inlineStr">
        <is>
          <t>S077</t>
        </is>
      </c>
      <c r="D1443" s="2" t="inlineStr">
        <is>
          <t>'YUMMY BREAD'!C9,D9</t>
        </is>
      </c>
      <c r="E1443" s="2" t="inlineStr">
        <is>
          <t>egg</t>
        </is>
      </c>
      <c r="F1443" s="3" t="n">
        <v>600</v>
      </c>
      <c r="G1443" s="2" t="inlineStr">
        <is>
          <t>600</t>
        </is>
      </c>
      <c r="H1443" s="2" t="inlineStr">
        <is>
          <t>M1-B01–B13</t>
        </is>
      </c>
    </row>
    <row r="1444">
      <c r="A1444" s="2" t="inlineStr">
        <is>
          <t>L156</t>
        </is>
      </c>
      <c r="B1444" s="2" t="inlineStr">
        <is>
          <t>YUMMY BREAD</t>
        </is>
      </c>
      <c r="C1444" s="2" t="inlineStr">
        <is>
          <t>S077</t>
        </is>
      </c>
      <c r="D1444" s="2" t="inlineStr">
        <is>
          <t>'YUMMY BREAD'!C10,D10</t>
        </is>
      </c>
      <c r="E1444" s="2" t="inlineStr">
        <is>
          <t>salt</t>
        </is>
      </c>
      <c r="F1444" s="3" t="n">
        <v>60</v>
      </c>
      <c r="G1444" s="2" t="inlineStr">
        <is>
          <t>60</t>
        </is>
      </c>
      <c r="H1444" s="2" t="inlineStr">
        <is>
          <t>M1-B01–B13</t>
        </is>
      </c>
    </row>
    <row r="1445">
      <c r="A1445" s="2" t="inlineStr">
        <is>
          <t>L156</t>
        </is>
      </c>
      <c r="B1445" s="2" t="inlineStr">
        <is>
          <t>YUMMY BREAD</t>
        </is>
      </c>
      <c r="C1445" s="2" t="inlineStr">
        <is>
          <t>S077</t>
        </is>
      </c>
      <c r="D1445" s="2" t="inlineStr">
        <is>
          <t>'YUMMY BREAD'!C11,D11</t>
        </is>
      </c>
      <c r="E1445" s="2" t="inlineStr">
        <is>
          <t>improver</t>
        </is>
      </c>
      <c r="F1445" s="3" t="n">
        <v>100</v>
      </c>
      <c r="G1445" s="2" t="inlineStr">
        <is>
          <t>100</t>
        </is>
      </c>
      <c r="H1445" s="2" t="inlineStr">
        <is>
          <t>M1-B01–B13</t>
        </is>
      </c>
    </row>
    <row r="1446">
      <c r="A1446" s="2" t="inlineStr">
        <is>
          <t>L156</t>
        </is>
      </c>
      <c r="B1446" s="2" t="inlineStr">
        <is>
          <t>YUMMY BREAD</t>
        </is>
      </c>
      <c r="C1446" s="2" t="inlineStr">
        <is>
          <t>S077</t>
        </is>
      </c>
      <c r="D1446" s="2" t="inlineStr">
        <is>
          <t>'YUMMY BREAD'!C12,D12</t>
        </is>
      </c>
      <c r="E1446" s="2" t="inlineStr">
        <is>
          <t>yeast</t>
        </is>
      </c>
      <c r="F1446" s="3" t="n">
        <v>140</v>
      </c>
      <c r="G1446" s="2" t="inlineStr">
        <is>
          <t>140</t>
        </is>
      </c>
      <c r="H1446" s="2" t="inlineStr">
        <is>
          <t>M1-B01–B13</t>
        </is>
      </c>
    </row>
    <row r="1447">
      <c r="A1447" s="2" t="inlineStr">
        <is>
          <t>L156</t>
        </is>
      </c>
      <c r="B1447" s="2" t="inlineStr">
        <is>
          <t>YUMMY BREAD</t>
        </is>
      </c>
      <c r="C1447" s="2" t="inlineStr">
        <is>
          <t>S077</t>
        </is>
      </c>
      <c r="D1447" s="2" t="inlineStr">
        <is>
          <t>'YUMMY BREAD'!C13,D13</t>
        </is>
      </c>
      <c r="E1447" s="2" t="inlineStr">
        <is>
          <t>water</t>
        </is>
      </c>
      <c r="F1447" s="3" t="n">
        <v>2500</v>
      </c>
      <c r="G1447" s="2" t="inlineStr">
        <is>
          <t>2500</t>
        </is>
      </c>
      <c r="H1447" s="2" t="inlineStr">
        <is>
          <t>M1-B01–B13</t>
        </is>
      </c>
    </row>
    <row r="1448">
      <c r="A1448" s="2" t="inlineStr">
        <is>
          <t>L156</t>
        </is>
      </c>
      <c r="B1448" s="2" t="inlineStr">
        <is>
          <t>YUMMY BREAD</t>
        </is>
      </c>
      <c r="C1448" s="2" t="inlineStr">
        <is>
          <t>S077</t>
        </is>
      </c>
      <c r="D1448" s="2" t="inlineStr">
        <is>
          <t>'YUMMY BREAD'!C14,D14</t>
        </is>
      </c>
      <c r="E1448" s="2" t="inlineStr">
        <is>
          <t>Oil</t>
        </is>
      </c>
      <c r="F1448" s="3" t="n">
        <v>220</v>
      </c>
      <c r="G1448" s="2" t="inlineStr">
        <is>
          <t>220</t>
        </is>
      </c>
      <c r="H1448" s="2" t="inlineStr">
        <is>
          <t>M1-B01–B13</t>
        </is>
      </c>
    </row>
    <row r="1449">
      <c r="A1449" s="2" t="inlineStr">
        <is>
          <t>L156</t>
        </is>
      </c>
      <c r="B1449" s="2" t="inlineStr">
        <is>
          <t>YUMMY BREAD</t>
        </is>
      </c>
      <c r="C1449" s="2" t="inlineStr">
        <is>
          <t>S077</t>
        </is>
      </c>
      <c r="D1449" s="2" t="inlineStr">
        <is>
          <t>'YUMMY BREAD'!C15,D15</t>
        </is>
      </c>
      <c r="E1449" s="2" t="inlineStr">
        <is>
          <t>Milk tantalizer</t>
        </is>
      </c>
      <c r="F1449" s="3" t="n">
        <v>5</v>
      </c>
      <c r="G1449" s="2" t="inlineStr">
        <is>
          <t>5</t>
        </is>
      </c>
      <c r="H1449" s="2" t="inlineStr">
        <is>
          <t>M1-B01–B13</t>
        </is>
      </c>
    </row>
    <row r="1450">
      <c r="A1450" s="2" t="inlineStr">
        <is>
          <t>L156</t>
        </is>
      </c>
      <c r="B1450" s="2" t="inlineStr">
        <is>
          <t>YUMMY BREAD</t>
        </is>
      </c>
      <c r="C1450" s="2" t="inlineStr">
        <is>
          <t>S077</t>
        </is>
      </c>
      <c r="D1450" s="2" t="inlineStr">
        <is>
          <t>'YUMMY BREAD'!C16,D16</t>
        </is>
      </c>
      <c r="E1450" s="2" t="inlineStr">
        <is>
          <t>EDC</t>
        </is>
      </c>
      <c r="F1450" s="3" t="n">
        <v>25</v>
      </c>
      <c r="G1450" s="2" t="inlineStr">
        <is>
          <t>25</t>
        </is>
      </c>
      <c r="H1450" s="2" t="inlineStr">
        <is>
          <t>M1-B01–B13</t>
        </is>
      </c>
    </row>
    <row r="1451">
      <c r="A1451" s="2" t="inlineStr">
        <is>
          <t>L156</t>
        </is>
      </c>
      <c r="B1451" s="2" t="inlineStr">
        <is>
          <t>YUMMY BREAD</t>
        </is>
      </c>
      <c r="C1451" s="2" t="inlineStr">
        <is>
          <t>S077</t>
        </is>
      </c>
      <c r="D1451" s="2" t="inlineStr">
        <is>
          <t>'YUMMY BREAD'!C17,D17</t>
        </is>
      </c>
      <c r="E1451" s="2" t="inlineStr">
        <is>
          <t>Nutmeg</t>
        </is>
      </c>
      <c r="F1451" s="3" t="n">
        <v>12</v>
      </c>
      <c r="G1451" s="2" t="inlineStr">
        <is>
          <t>12</t>
        </is>
      </c>
      <c r="H1451" s="2" t="inlineStr">
        <is>
          <t>M1-B01–B13</t>
        </is>
      </c>
    </row>
    <row r="1452">
      <c r="A1452" s="2" t="inlineStr">
        <is>
          <t>L157</t>
        </is>
      </c>
      <c r="B1452" s="2" t="inlineStr">
        <is>
          <t>YUMMY BREAD</t>
        </is>
      </c>
      <c r="C1452" s="2" t="inlineStr">
        <is>
          <t>S077</t>
        </is>
      </c>
      <c r="D1452" s="2" t="inlineStr">
        <is>
          <t>'YUMMY BREAD'!C5,J5</t>
        </is>
      </c>
      <c r="E1452" s="2" t="inlineStr">
        <is>
          <t>flour</t>
        </is>
      </c>
      <c r="F1452" s="3" t="n">
        <v>8500</v>
      </c>
      <c r="G1452" s="2" t="inlineStr">
        <is>
          <t>8500</t>
        </is>
      </c>
      <c r="H1452" s="2" t="inlineStr">
        <is>
          <t>M1-B01–B13</t>
        </is>
      </c>
    </row>
    <row r="1453">
      <c r="A1453" s="2" t="inlineStr">
        <is>
          <t>L157</t>
        </is>
      </c>
      <c r="B1453" s="2" t="inlineStr">
        <is>
          <t>YUMMY BREAD</t>
        </is>
      </c>
      <c r="C1453" s="2" t="inlineStr">
        <is>
          <t>S077</t>
        </is>
      </c>
      <c r="D1453" s="2" t="inlineStr">
        <is>
          <t>'YUMMY BREAD'!C6,J6</t>
        </is>
      </c>
      <c r="E1453" s="2" t="inlineStr">
        <is>
          <t>Butter</t>
        </is>
      </c>
      <c r="F1453" s="3" t="n">
        <v>700</v>
      </c>
      <c r="G1453" s="2" t="inlineStr">
        <is>
          <t>700</t>
        </is>
      </c>
      <c r="H1453" s="2" t="inlineStr">
        <is>
          <t>M1-B01–B13</t>
        </is>
      </c>
    </row>
    <row r="1454">
      <c r="A1454" s="2" t="inlineStr">
        <is>
          <t>L157</t>
        </is>
      </c>
      <c r="B1454" s="2" t="inlineStr">
        <is>
          <t>YUMMY BREAD</t>
        </is>
      </c>
      <c r="C1454" s="2" t="inlineStr">
        <is>
          <t>S077</t>
        </is>
      </c>
      <c r="D1454" s="2" t="inlineStr">
        <is>
          <t>'YUMMY BREAD'!C7,J7</t>
        </is>
      </c>
      <c r="E1454" s="2" t="inlineStr">
        <is>
          <t>sugar</t>
        </is>
      </c>
      <c r="F1454" s="3" t="n">
        <v>800</v>
      </c>
      <c r="G1454" s="2" t="inlineStr">
        <is>
          <t>800</t>
        </is>
      </c>
      <c r="H1454" s="2" t="inlineStr">
        <is>
          <t>M1-B01–B13</t>
        </is>
      </c>
    </row>
    <row r="1455">
      <c r="A1455" s="2" t="inlineStr">
        <is>
          <t>L157</t>
        </is>
      </c>
      <c r="B1455" s="2" t="inlineStr">
        <is>
          <t>YUMMY BREAD</t>
        </is>
      </c>
      <c r="C1455" s="2" t="inlineStr">
        <is>
          <t>S077</t>
        </is>
      </c>
      <c r="D1455" s="2" t="inlineStr">
        <is>
          <t>'YUMMY BREAD'!C8,J8</t>
        </is>
      </c>
      <c r="E1455" s="2" t="inlineStr">
        <is>
          <t>Milk</t>
        </is>
      </c>
      <c r="F1455" s="3" t="n">
        <v>750</v>
      </c>
      <c r="G1455" s="2" t="inlineStr">
        <is>
          <t>750</t>
        </is>
      </c>
      <c r="H1455" s="2" t="inlineStr">
        <is>
          <t>M1-B01–B13</t>
        </is>
      </c>
    </row>
    <row r="1456">
      <c r="A1456" s="2" t="inlineStr">
        <is>
          <t>L157</t>
        </is>
      </c>
      <c r="B1456" s="2" t="inlineStr">
        <is>
          <t>YUMMY BREAD</t>
        </is>
      </c>
      <c r="C1456" s="2" t="inlineStr">
        <is>
          <t>S077</t>
        </is>
      </c>
      <c r="D1456" s="2" t="inlineStr">
        <is>
          <t>'YUMMY BREAD'!C9,J9</t>
        </is>
      </c>
      <c r="E1456" s="2" t="inlineStr">
        <is>
          <t>egg</t>
        </is>
      </c>
      <c r="F1456" s="3" t="n">
        <v>400</v>
      </c>
      <c r="G1456" s="2" t="inlineStr">
        <is>
          <t>400</t>
        </is>
      </c>
      <c r="H1456" s="2" t="inlineStr">
        <is>
          <t>M1-B01–B13</t>
        </is>
      </c>
    </row>
    <row r="1457">
      <c r="A1457" s="2" t="inlineStr">
        <is>
          <t>L157</t>
        </is>
      </c>
      <c r="B1457" s="2" t="inlineStr">
        <is>
          <t>YUMMY BREAD</t>
        </is>
      </c>
      <c r="C1457" s="2" t="inlineStr">
        <is>
          <t>S077</t>
        </is>
      </c>
      <c r="D1457" s="2" t="inlineStr">
        <is>
          <t>'YUMMY BREAD'!C10,J10</t>
        </is>
      </c>
      <c r="E1457" s="2" t="inlineStr">
        <is>
          <t>salt</t>
        </is>
      </c>
      <c r="F1457" s="3" t="n">
        <v>60</v>
      </c>
      <c r="G1457" s="2" t="inlineStr">
        <is>
          <t>60</t>
        </is>
      </c>
      <c r="H1457" s="2" t="inlineStr">
        <is>
          <t>M1-B01–B13</t>
        </is>
      </c>
    </row>
    <row r="1458">
      <c r="A1458" s="2" t="inlineStr">
        <is>
          <t>L157</t>
        </is>
      </c>
      <c r="B1458" s="2" t="inlineStr">
        <is>
          <t>YUMMY BREAD</t>
        </is>
      </c>
      <c r="C1458" s="2" t="inlineStr">
        <is>
          <t>S077</t>
        </is>
      </c>
      <c r="D1458" s="2" t="inlineStr">
        <is>
          <t>'YUMMY BREAD'!C11,J11</t>
        </is>
      </c>
      <c r="E1458" s="2" t="inlineStr">
        <is>
          <t>improver</t>
        </is>
      </c>
      <c r="F1458" s="3" t="n">
        <v>100</v>
      </c>
      <c r="G1458" s="2" t="inlineStr">
        <is>
          <t>100</t>
        </is>
      </c>
      <c r="H1458" s="2" t="inlineStr">
        <is>
          <t>M1-B01–B13</t>
        </is>
      </c>
    </row>
    <row r="1459">
      <c r="A1459" s="2" t="inlineStr">
        <is>
          <t>L157</t>
        </is>
      </c>
      <c r="B1459" s="2" t="inlineStr">
        <is>
          <t>YUMMY BREAD</t>
        </is>
      </c>
      <c r="C1459" s="2" t="inlineStr">
        <is>
          <t>S077</t>
        </is>
      </c>
      <c r="D1459" s="2" t="inlineStr">
        <is>
          <t>'YUMMY BREAD'!C12,J12</t>
        </is>
      </c>
      <c r="E1459" s="2" t="inlineStr">
        <is>
          <t>yeast</t>
        </is>
      </c>
      <c r="F1459" s="3" t="n">
        <v>90</v>
      </c>
      <c r="G1459" s="2" t="inlineStr">
        <is>
          <t>90</t>
        </is>
      </c>
      <c r="H1459" s="2" t="inlineStr">
        <is>
          <t>M1-B01–B13</t>
        </is>
      </c>
    </row>
    <row r="1460">
      <c r="A1460" s="2" t="inlineStr">
        <is>
          <t>L157</t>
        </is>
      </c>
      <c r="B1460" s="2" t="inlineStr">
        <is>
          <t>YUMMY BREAD</t>
        </is>
      </c>
      <c r="C1460" s="2" t="inlineStr">
        <is>
          <t>S077</t>
        </is>
      </c>
      <c r="D1460" s="2" t="inlineStr">
        <is>
          <t>'YUMMY BREAD'!C13,J13</t>
        </is>
      </c>
      <c r="E1460" s="2" t="inlineStr">
        <is>
          <t>water</t>
        </is>
      </c>
      <c r="F1460" s="3" t="n">
        <v>1900</v>
      </c>
      <c r="G1460" s="2" t="inlineStr">
        <is>
          <t>1900</t>
        </is>
      </c>
      <c r="H1460" s="2" t="inlineStr">
        <is>
          <t>M1-B01–B13</t>
        </is>
      </c>
    </row>
    <row r="1461">
      <c r="A1461" s="2" t="inlineStr">
        <is>
          <t>L157</t>
        </is>
      </c>
      <c r="B1461" s="2" t="inlineStr">
        <is>
          <t>YUMMY BREAD</t>
        </is>
      </c>
      <c r="C1461" s="2" t="inlineStr">
        <is>
          <t>S077</t>
        </is>
      </c>
      <c r="D1461" s="2" t="inlineStr">
        <is>
          <t>'YUMMY BREAD'!C14,J14</t>
        </is>
      </c>
      <c r="E1461" s="2" t="inlineStr">
        <is>
          <t>Oil</t>
        </is>
      </c>
      <c r="F1461" s="3" t="n">
        <v>200</v>
      </c>
      <c r="G1461" s="2" t="inlineStr">
        <is>
          <t>200</t>
        </is>
      </c>
      <c r="H1461" s="2" t="inlineStr">
        <is>
          <t>M1-B01–B13</t>
        </is>
      </c>
    </row>
    <row r="1462">
      <c r="A1462" s="2" t="inlineStr">
        <is>
          <t>L157</t>
        </is>
      </c>
      <c r="B1462" s="2" t="inlineStr">
        <is>
          <t>YUMMY BREAD</t>
        </is>
      </c>
      <c r="C1462" s="2" t="inlineStr">
        <is>
          <t>S077</t>
        </is>
      </c>
      <c r="D1462" s="2" t="inlineStr">
        <is>
          <t>'YUMMY BREAD'!C15,J15</t>
        </is>
      </c>
      <c r="E1462" s="2" t="inlineStr">
        <is>
          <t>Milk tantalizer</t>
        </is>
      </c>
      <c r="F1462" s="3" t="n">
        <v>2.5</v>
      </c>
      <c r="G1462" s="2" t="inlineStr">
        <is>
          <t>=D15/2 [cached: 2.5]</t>
        </is>
      </c>
      <c r="H1462" s="2" t="inlineStr">
        <is>
          <t>M1-B01–B13</t>
        </is>
      </c>
    </row>
    <row r="1463">
      <c r="A1463" s="2" t="inlineStr">
        <is>
          <t>L157</t>
        </is>
      </c>
      <c r="B1463" s="2" t="inlineStr">
        <is>
          <t>YUMMY BREAD</t>
        </is>
      </c>
      <c r="C1463" s="2" t="inlineStr">
        <is>
          <t>S077</t>
        </is>
      </c>
      <c r="D1463" s="2" t="inlineStr">
        <is>
          <t>'YUMMY BREAD'!C16,J16</t>
        </is>
      </c>
      <c r="E1463" s="2" t="inlineStr">
        <is>
          <t>EDC</t>
        </is>
      </c>
      <c r="F1463" s="3" t="n">
        <v>12.5</v>
      </c>
      <c r="G1463" s="2" t="inlineStr">
        <is>
          <t>=D16/2 [cached: 12.5]</t>
        </is>
      </c>
      <c r="H1463" s="2" t="inlineStr">
        <is>
          <t>M1-B01–B13</t>
        </is>
      </c>
    </row>
    <row r="1464">
      <c r="A1464" s="2" t="inlineStr">
        <is>
          <t>L157</t>
        </is>
      </c>
      <c r="B1464" s="2" t="inlineStr">
        <is>
          <t>YUMMY BREAD</t>
        </is>
      </c>
      <c r="C1464" s="2" t="inlineStr">
        <is>
          <t>S077</t>
        </is>
      </c>
      <c r="D1464" s="2" t="inlineStr">
        <is>
          <t>'YUMMY BREAD'!C17,J17</t>
        </is>
      </c>
      <c r="E1464" s="2" t="inlineStr">
        <is>
          <t>Nutmeg</t>
        </is>
      </c>
      <c r="F1464" s="3" t="n">
        <v>6</v>
      </c>
      <c r="G1464" s="2" t="inlineStr">
        <is>
          <t>=D17/2 [cached: 6]</t>
        </is>
      </c>
      <c r="H1464" s="2" t="inlineStr">
        <is>
          <t>M1-B01–B13</t>
        </is>
      </c>
    </row>
    <row r="1465">
      <c r="A1465" s="2" t="inlineStr">
        <is>
          <t>L158</t>
        </is>
      </c>
      <c r="B1465" s="2" t="inlineStr">
        <is>
          <t>gateau new look</t>
        </is>
      </c>
      <c r="C1465" s="2" t="inlineStr">
        <is>
          <t>S077</t>
        </is>
      </c>
      <c r="D1465" s="2" t="inlineStr">
        <is>
          <t>'gateau new look'!C5,D5</t>
        </is>
      </c>
      <c r="E1465" s="2" t="inlineStr">
        <is>
          <t>flour</t>
        </is>
      </c>
      <c r="F1465" s="3" t="n">
        <v>25000</v>
      </c>
      <c r="G1465" s="2" t="inlineStr">
        <is>
          <t>25000</t>
        </is>
      </c>
      <c r="H1465" s="2" t="inlineStr">
        <is>
          <t>Retain unique variant; no equivalent operating card selected</t>
        </is>
      </c>
    </row>
    <row r="1466">
      <c r="A1466" s="2" t="inlineStr">
        <is>
          <t>L158</t>
        </is>
      </c>
      <c r="B1466" s="2" t="inlineStr">
        <is>
          <t>gateau new look</t>
        </is>
      </c>
      <c r="C1466" s="2" t="inlineStr">
        <is>
          <t>S077</t>
        </is>
      </c>
      <c r="D1466" s="2" t="inlineStr">
        <is>
          <t>'gateau new look'!C6,D6</t>
        </is>
      </c>
      <c r="E1466" s="2" t="inlineStr">
        <is>
          <t>Butter</t>
        </is>
      </c>
      <c r="F1466" s="3" t="n">
        <v>1400</v>
      </c>
      <c r="G1466" s="2" t="inlineStr">
        <is>
          <t>1400</t>
        </is>
      </c>
      <c r="H1466" s="2" t="inlineStr">
        <is>
          <t>Retain unique variant; no equivalent operating card selected</t>
        </is>
      </c>
    </row>
    <row r="1467">
      <c r="A1467" s="2" t="inlineStr">
        <is>
          <t>L158</t>
        </is>
      </c>
      <c r="B1467" s="2" t="inlineStr">
        <is>
          <t>gateau new look</t>
        </is>
      </c>
      <c r="C1467" s="2" t="inlineStr">
        <is>
          <t>S077</t>
        </is>
      </c>
      <c r="D1467" s="2" t="inlineStr">
        <is>
          <t>'gateau new look'!C7,D7</t>
        </is>
      </c>
      <c r="E1467" s="2" t="inlineStr">
        <is>
          <t>sugar</t>
        </is>
      </c>
      <c r="F1467" s="3" t="n">
        <v>1650</v>
      </c>
      <c r="G1467" s="2" t="inlineStr">
        <is>
          <t>1650</t>
        </is>
      </c>
      <c r="H1467" s="2" t="inlineStr">
        <is>
          <t>Retain unique variant; no equivalent operating card selected</t>
        </is>
      </c>
    </row>
    <row r="1468">
      <c r="A1468" s="2" t="inlineStr">
        <is>
          <t>L158</t>
        </is>
      </c>
      <c r="B1468" s="2" t="inlineStr">
        <is>
          <t>gateau new look</t>
        </is>
      </c>
      <c r="C1468" s="2" t="inlineStr">
        <is>
          <t>S077</t>
        </is>
      </c>
      <c r="D1468" s="2" t="inlineStr">
        <is>
          <t>'gateau new look'!C8,D8</t>
        </is>
      </c>
      <c r="E1468" s="2" t="inlineStr">
        <is>
          <t>Conc Milk</t>
        </is>
      </c>
      <c r="F1468" s="3" t="n">
        <v>1000</v>
      </c>
      <c r="G1468" s="2" t="inlineStr">
        <is>
          <t>1000</t>
        </is>
      </c>
      <c r="H1468" s="2" t="inlineStr">
        <is>
          <t>Retain unique variant; no equivalent operating card selected</t>
        </is>
      </c>
    </row>
    <row r="1469">
      <c r="A1469" s="2" t="inlineStr">
        <is>
          <t>L158</t>
        </is>
      </c>
      <c r="B1469" s="2" t="inlineStr">
        <is>
          <t>gateau new look</t>
        </is>
      </c>
      <c r="C1469" s="2" t="inlineStr">
        <is>
          <t>S077</t>
        </is>
      </c>
      <c r="D1469" s="2" t="inlineStr">
        <is>
          <t>'gateau new look'!C9,D9</t>
        </is>
      </c>
      <c r="E1469" s="2" t="inlineStr">
        <is>
          <t>egg</t>
        </is>
      </c>
      <c r="F1469" s="3" t="n">
        <v>750</v>
      </c>
      <c r="G1469" s="2" t="inlineStr">
        <is>
          <t>750</t>
        </is>
      </c>
      <c r="H1469" s="2" t="inlineStr">
        <is>
          <t>Retain unique variant; no equivalent operating card selected</t>
        </is>
      </c>
    </row>
    <row r="1470">
      <c r="A1470" s="2" t="inlineStr">
        <is>
          <t>L158</t>
        </is>
      </c>
      <c r="B1470" s="2" t="inlineStr">
        <is>
          <t>gateau new look</t>
        </is>
      </c>
      <c r="C1470" s="2" t="inlineStr">
        <is>
          <t>S077</t>
        </is>
      </c>
      <c r="D1470" s="2" t="inlineStr">
        <is>
          <t>'gateau new look'!C10,D10</t>
        </is>
      </c>
      <c r="E1470" s="2" t="inlineStr">
        <is>
          <t>salt</t>
        </is>
      </c>
      <c r="F1470" s="3" t="n">
        <v>270</v>
      </c>
      <c r="G1470" s="2" t="inlineStr">
        <is>
          <t>270</t>
        </is>
      </c>
      <c r="H1470" s="2" t="inlineStr">
        <is>
          <t>Retain unique variant; no equivalent operating card selected</t>
        </is>
      </c>
    </row>
    <row r="1471">
      <c r="A1471" s="2" t="inlineStr">
        <is>
          <t>L158</t>
        </is>
      </c>
      <c r="B1471" s="2" t="inlineStr">
        <is>
          <t>gateau new look</t>
        </is>
      </c>
      <c r="C1471" s="2" t="inlineStr">
        <is>
          <t>S077</t>
        </is>
      </c>
      <c r="D1471" s="2" t="inlineStr">
        <is>
          <t>'gateau new look'!C11,D11</t>
        </is>
      </c>
      <c r="E1471" s="2" t="inlineStr">
        <is>
          <t>improver</t>
        </is>
      </c>
      <c r="F1471" s="3" t="n">
        <v>200</v>
      </c>
      <c r="G1471" s="2" t="inlineStr">
        <is>
          <t>200</t>
        </is>
      </c>
      <c r="H1471" s="2" t="inlineStr">
        <is>
          <t>Retain unique variant; no equivalent operating card selected</t>
        </is>
      </c>
    </row>
    <row r="1472">
      <c r="A1472" s="2" t="inlineStr">
        <is>
          <t>L158</t>
        </is>
      </c>
      <c r="B1472" s="2" t="inlineStr">
        <is>
          <t>gateau new look</t>
        </is>
      </c>
      <c r="C1472" s="2" t="inlineStr">
        <is>
          <t>S077</t>
        </is>
      </c>
      <c r="D1472" s="2" t="inlineStr">
        <is>
          <t>'gateau new look'!C12,D12</t>
        </is>
      </c>
      <c r="E1472" s="2" t="inlineStr">
        <is>
          <t>yeast</t>
        </is>
      </c>
      <c r="F1472" s="3" t="n">
        <v>140</v>
      </c>
      <c r="G1472" s="2" t="inlineStr">
        <is>
          <t>140</t>
        </is>
      </c>
      <c r="H1472" s="2" t="inlineStr">
        <is>
          <t>Retain unique variant; no equivalent operating card selected</t>
        </is>
      </c>
    </row>
    <row r="1473">
      <c r="A1473" s="2" t="inlineStr">
        <is>
          <t>L158</t>
        </is>
      </c>
      <c r="B1473" s="2" t="inlineStr">
        <is>
          <t>gateau new look</t>
        </is>
      </c>
      <c r="C1473" s="2" t="inlineStr">
        <is>
          <t>S077</t>
        </is>
      </c>
      <c r="D1473" s="2" t="inlineStr">
        <is>
          <t>'gateau new look'!C13,D13</t>
        </is>
      </c>
      <c r="E1473" s="2" t="inlineStr">
        <is>
          <t>water</t>
        </is>
      </c>
      <c r="F1473" s="3" t="n">
        <v>9000</v>
      </c>
      <c r="G1473" s="2" t="inlineStr">
        <is>
          <t>9000</t>
        </is>
      </c>
      <c r="H1473" s="2" t="inlineStr">
        <is>
          <t>Retain unique variant; no equivalent operating card selected</t>
        </is>
      </c>
    </row>
    <row r="1474">
      <c r="A1474" s="2" t="inlineStr">
        <is>
          <t>L158</t>
        </is>
      </c>
      <c r="B1474" s="2" t="inlineStr">
        <is>
          <t>gateau new look</t>
        </is>
      </c>
      <c r="C1474" s="2" t="inlineStr">
        <is>
          <t>S077</t>
        </is>
      </c>
      <c r="D1474" s="2" t="inlineStr">
        <is>
          <t>'gateau new look'!C14,D14</t>
        </is>
      </c>
      <c r="E1474" s="2" t="inlineStr">
        <is>
          <t>Nutmeg</t>
        </is>
      </c>
      <c r="F1474" s="3" t="n">
        <v>40</v>
      </c>
      <c r="G1474" s="2" t="inlineStr">
        <is>
          <t>40</t>
        </is>
      </c>
      <c r="H1474" s="2" t="inlineStr">
        <is>
          <t>Retain unique variant; no equivalent operating card selected</t>
        </is>
      </c>
    </row>
    <row r="1475">
      <c r="A1475" s="2" t="inlineStr">
        <is>
          <t>L158</t>
        </is>
      </c>
      <c r="B1475" s="2" t="inlineStr">
        <is>
          <t>gateau new look</t>
        </is>
      </c>
      <c r="C1475" s="2" t="inlineStr">
        <is>
          <t>S077</t>
        </is>
      </c>
      <c r="D1475" s="2" t="inlineStr">
        <is>
          <t>'gateau new look'!C15,D15</t>
        </is>
      </c>
      <c r="E1475" s="2" t="inlineStr">
        <is>
          <t>baking powder</t>
        </is>
      </c>
      <c r="F1475" s="3" t="n">
        <v>110</v>
      </c>
      <c r="G1475" s="2" t="inlineStr">
        <is>
          <t>110</t>
        </is>
      </c>
      <c r="H1475" s="2" t="inlineStr">
        <is>
          <t>Retain unique variant; no equivalent operating card selected</t>
        </is>
      </c>
    </row>
    <row r="1476">
      <c r="A1476" s="2" t="inlineStr">
        <is>
          <t>L158</t>
        </is>
      </c>
      <c r="B1476" s="2" t="inlineStr">
        <is>
          <t>gateau new look</t>
        </is>
      </c>
      <c r="C1476" s="2" t="inlineStr">
        <is>
          <t>S077</t>
        </is>
      </c>
      <c r="D1476" s="2" t="inlineStr">
        <is>
          <t>'gateau new look'!C16,D16</t>
        </is>
      </c>
      <c r="E1476" s="2" t="inlineStr">
        <is>
          <t>frying oil</t>
        </is>
      </c>
      <c r="F1476" s="3" t="n">
        <v>8000</v>
      </c>
      <c r="G1476" s="2" t="inlineStr">
        <is>
          <t>8000</t>
        </is>
      </c>
      <c r="H1476" s="2" t="inlineStr">
        <is>
          <t>Retain unique variant; no equivalent operating card selected</t>
        </is>
      </c>
    </row>
    <row r="1477">
      <c r="A1477" s="2" t="inlineStr">
        <is>
          <t>L159</t>
        </is>
      </c>
      <c r="B1477" s="2" t="inlineStr">
        <is>
          <t>gateau new look</t>
        </is>
      </c>
      <c r="C1477" s="2" t="inlineStr">
        <is>
          <t>S077</t>
        </is>
      </c>
      <c r="D1477" s="2" t="inlineStr">
        <is>
          <t>'gateau new look'!C5,J5</t>
        </is>
      </c>
      <c r="E1477" s="2" t="inlineStr">
        <is>
          <t>flour</t>
        </is>
      </c>
      <c r="F1477" s="3" t="n">
        <v>20000</v>
      </c>
      <c r="G1477" s="2" t="inlineStr">
        <is>
          <t>20000</t>
        </is>
      </c>
      <c r="H1477" s="2" t="inlineStr">
        <is>
          <t>Retain unique variant; no equivalent operating card selected</t>
        </is>
      </c>
    </row>
    <row r="1478">
      <c r="A1478" s="2" t="inlineStr">
        <is>
          <t>L159</t>
        </is>
      </c>
      <c r="B1478" s="2" t="inlineStr">
        <is>
          <t>gateau new look</t>
        </is>
      </c>
      <c r="C1478" s="2" t="inlineStr">
        <is>
          <t>S077</t>
        </is>
      </c>
      <c r="D1478" s="2" t="inlineStr">
        <is>
          <t>'gateau new look'!C6,J6</t>
        </is>
      </c>
      <c r="E1478" s="2" t="inlineStr">
        <is>
          <t>Butter</t>
        </is>
      </c>
      <c r="F1478" s="3" t="n">
        <v>560</v>
      </c>
      <c r="G1478" s="2" t="inlineStr">
        <is>
          <t>560</t>
        </is>
      </c>
      <c r="H1478" s="2" t="inlineStr">
        <is>
          <t>Retain unique variant; no equivalent operating card selected</t>
        </is>
      </c>
    </row>
    <row r="1479">
      <c r="A1479" s="2" t="inlineStr">
        <is>
          <t>L159</t>
        </is>
      </c>
      <c r="B1479" s="2" t="inlineStr">
        <is>
          <t>gateau new look</t>
        </is>
      </c>
      <c r="C1479" s="2" t="inlineStr">
        <is>
          <t>S077</t>
        </is>
      </c>
      <c r="D1479" s="2" t="inlineStr">
        <is>
          <t>'gateau new look'!C7,J7</t>
        </is>
      </c>
      <c r="E1479" s="2" t="inlineStr">
        <is>
          <t>sugar</t>
        </is>
      </c>
      <c r="F1479" s="3" t="n">
        <v>800</v>
      </c>
      <c r="G1479" s="2" t="inlineStr">
        <is>
          <t>800</t>
        </is>
      </c>
      <c r="H1479" s="2" t="inlineStr">
        <is>
          <t>Retain unique variant; no equivalent operating card selected</t>
        </is>
      </c>
    </row>
    <row r="1480">
      <c r="A1480" s="2" t="inlineStr">
        <is>
          <t>L159</t>
        </is>
      </c>
      <c r="B1480" s="2" t="inlineStr">
        <is>
          <t>gateau new look</t>
        </is>
      </c>
      <c r="C1480" s="2" t="inlineStr">
        <is>
          <t>S077</t>
        </is>
      </c>
      <c r="D1480" s="2" t="inlineStr">
        <is>
          <t>'gateau new look'!C8,J8</t>
        </is>
      </c>
      <c r="E1480" s="2" t="inlineStr">
        <is>
          <t>Conc Milk</t>
        </is>
      </c>
      <c r="F1480" s="3" t="n">
        <v>500</v>
      </c>
      <c r="G1480" s="2" t="inlineStr">
        <is>
          <t>500</t>
        </is>
      </c>
      <c r="H1480" s="2" t="inlineStr">
        <is>
          <t>Retain unique variant; no equivalent operating card selected</t>
        </is>
      </c>
    </row>
    <row r="1481">
      <c r="A1481" s="2" t="inlineStr">
        <is>
          <t>L159</t>
        </is>
      </c>
      <c r="B1481" s="2" t="inlineStr">
        <is>
          <t>gateau new look</t>
        </is>
      </c>
      <c r="C1481" s="2" t="inlineStr">
        <is>
          <t>S077</t>
        </is>
      </c>
      <c r="D1481" s="2" t="inlineStr">
        <is>
          <t>'gateau new look'!C9,J9</t>
        </is>
      </c>
      <c r="E1481" s="2" t="inlineStr">
        <is>
          <t>egg</t>
        </is>
      </c>
      <c r="F1481" s="3" t="n">
        <v>144</v>
      </c>
      <c r="G1481" s="2" t="inlineStr">
        <is>
          <t>144</t>
        </is>
      </c>
      <c r="H1481" s="2" t="inlineStr">
        <is>
          <t>Retain unique variant; no equivalent operating card selected</t>
        </is>
      </c>
    </row>
    <row r="1482">
      <c r="A1482" s="2" t="inlineStr">
        <is>
          <t>L159</t>
        </is>
      </c>
      <c r="B1482" s="2" t="inlineStr">
        <is>
          <t>gateau new look</t>
        </is>
      </c>
      <c r="C1482" s="2" t="inlineStr">
        <is>
          <t>S077</t>
        </is>
      </c>
      <c r="D1482" s="2" t="inlineStr">
        <is>
          <t>'gateau new look'!C10,J10</t>
        </is>
      </c>
      <c r="E1482" s="2" t="inlineStr">
        <is>
          <t>salt</t>
        </is>
      </c>
      <c r="F1482" s="3" t="n">
        <v>166</v>
      </c>
      <c r="G1482" s="2" t="inlineStr">
        <is>
          <t>166</t>
        </is>
      </c>
      <c r="H1482" s="2" t="inlineStr">
        <is>
          <t>Retain unique variant; no equivalent operating card selected</t>
        </is>
      </c>
    </row>
    <row r="1483">
      <c r="A1483" s="2" t="inlineStr">
        <is>
          <t>L159</t>
        </is>
      </c>
      <c r="B1483" s="2" t="inlineStr">
        <is>
          <t>gateau new look</t>
        </is>
      </c>
      <c r="C1483" s="2" t="inlineStr">
        <is>
          <t>S077</t>
        </is>
      </c>
      <c r="D1483" s="2" t="inlineStr">
        <is>
          <t>'gateau new look'!C11,J11</t>
        </is>
      </c>
      <c r="E1483" s="2" t="inlineStr">
        <is>
          <t>improver</t>
        </is>
      </c>
      <c r="F1483" s="3" t="n">
        <v>200</v>
      </c>
      <c r="G1483" s="2" t="inlineStr">
        <is>
          <t>=D11 [cached: 200]</t>
        </is>
      </c>
      <c r="H1483" s="2" t="inlineStr">
        <is>
          <t>Retain unique variant; no equivalent operating card selected</t>
        </is>
      </c>
    </row>
    <row r="1484">
      <c r="A1484" s="2" t="inlineStr">
        <is>
          <t>L159</t>
        </is>
      </c>
      <c r="B1484" s="2" t="inlineStr">
        <is>
          <t>gateau new look</t>
        </is>
      </c>
      <c r="C1484" s="2" t="inlineStr">
        <is>
          <t>S077</t>
        </is>
      </c>
      <c r="D1484" s="2" t="inlineStr">
        <is>
          <t>'gateau new look'!C12,J12</t>
        </is>
      </c>
      <c r="E1484" s="2" t="inlineStr">
        <is>
          <t>yeast</t>
        </is>
      </c>
      <c r="F1484" s="3" t="n">
        <v>70</v>
      </c>
      <c r="G1484" s="2" t="inlineStr">
        <is>
          <t>70</t>
        </is>
      </c>
      <c r="H1484" s="2" t="inlineStr">
        <is>
          <t>Retain unique variant; no equivalent operating card selected</t>
        </is>
      </c>
    </row>
    <row r="1485">
      <c r="A1485" s="2" t="inlineStr">
        <is>
          <t>L159</t>
        </is>
      </c>
      <c r="B1485" s="2" t="inlineStr">
        <is>
          <t>gateau new look</t>
        </is>
      </c>
      <c r="C1485" s="2" t="inlineStr">
        <is>
          <t>S077</t>
        </is>
      </c>
      <c r="D1485" s="2" t="inlineStr">
        <is>
          <t>'gateau new look'!C13,J13</t>
        </is>
      </c>
      <c r="E1485" s="2" t="inlineStr">
        <is>
          <t>water</t>
        </is>
      </c>
      <c r="F1485" s="3" t="n">
        <v>7000</v>
      </c>
      <c r="G1485" s="2" t="inlineStr">
        <is>
          <t>7000</t>
        </is>
      </c>
      <c r="H1485" s="2" t="inlineStr">
        <is>
          <t>Retain unique variant; no equivalent operating card selected</t>
        </is>
      </c>
    </row>
    <row r="1486">
      <c r="A1486" s="2" t="inlineStr">
        <is>
          <t>L159</t>
        </is>
      </c>
      <c r="B1486" s="2" t="inlineStr">
        <is>
          <t>gateau new look</t>
        </is>
      </c>
      <c r="C1486" s="2" t="inlineStr">
        <is>
          <t>S077</t>
        </is>
      </c>
      <c r="D1486" s="2" t="inlineStr">
        <is>
          <t>'gateau new look'!C14,J14</t>
        </is>
      </c>
      <c r="E1486" s="2" t="inlineStr">
        <is>
          <t>Nutmeg</t>
        </is>
      </c>
      <c r="F1486" s="3" t="n">
        <v>40</v>
      </c>
      <c r="G1486" s="2" t="inlineStr">
        <is>
          <t>=D14 [cached: 40]</t>
        </is>
      </c>
      <c r="H1486" s="2" t="inlineStr">
        <is>
          <t>Retain unique variant; no equivalent operating card selected</t>
        </is>
      </c>
    </row>
    <row r="1487">
      <c r="A1487" s="2" t="inlineStr">
        <is>
          <t>L159</t>
        </is>
      </c>
      <c r="B1487" s="2" t="inlineStr">
        <is>
          <t>gateau new look</t>
        </is>
      </c>
      <c r="C1487" s="2" t="inlineStr">
        <is>
          <t>S077</t>
        </is>
      </c>
      <c r="D1487" s="2" t="inlineStr">
        <is>
          <t>'gateau new look'!C15,J15</t>
        </is>
      </c>
      <c r="E1487" s="2" t="inlineStr">
        <is>
          <t>baking powder</t>
        </is>
      </c>
      <c r="F1487" s="3" t="n">
        <v>20</v>
      </c>
      <c r="G1487" s="2" t="inlineStr">
        <is>
          <t>20</t>
        </is>
      </c>
      <c r="H1487" s="2" t="inlineStr">
        <is>
          <t>Retain unique variant; no equivalent operating card selected</t>
        </is>
      </c>
    </row>
    <row r="1488">
      <c r="A1488" s="2" t="inlineStr">
        <is>
          <t>L159</t>
        </is>
      </c>
      <c r="B1488" s="2" t="inlineStr">
        <is>
          <t>gateau new look</t>
        </is>
      </c>
      <c r="C1488" s="2" t="inlineStr">
        <is>
          <t>S077</t>
        </is>
      </c>
      <c r="D1488" s="2" t="inlineStr">
        <is>
          <t>'gateau new look'!C16,J16</t>
        </is>
      </c>
      <c r="E1488" s="2" t="inlineStr">
        <is>
          <t>frying oil</t>
        </is>
      </c>
      <c r="F1488" s="3" t="n">
        <v>8000</v>
      </c>
      <c r="G1488" s="2" t="inlineStr">
        <is>
          <t>=D16 [cached: 8000]</t>
        </is>
      </c>
      <c r="H1488" s="2" t="inlineStr">
        <is>
          <t>Retain unique variant; no equivalent operating card selected</t>
        </is>
      </c>
    </row>
    <row r="1489">
      <c r="A1489" s="2" t="inlineStr">
        <is>
          <t>L160</t>
        </is>
      </c>
      <c r="B1489" s="2" t="inlineStr">
        <is>
          <t>KUMBA BREAD</t>
        </is>
      </c>
      <c r="C1489" s="2" t="inlineStr">
        <is>
          <t>S078</t>
        </is>
      </c>
      <c r="D1489" s="2" t="inlineStr">
        <is>
          <t>'KUMBA BREAD'!C5,D5</t>
        </is>
      </c>
      <c r="E1489" s="2" t="inlineStr">
        <is>
          <t>flour</t>
        </is>
      </c>
      <c r="F1489" s="3" t="n">
        <v>7000</v>
      </c>
      <c r="G1489" s="2" t="inlineStr">
        <is>
          <t>7000</t>
        </is>
      </c>
      <c r="H1489" s="2" t="inlineStr">
        <is>
          <t>S-B02</t>
        </is>
      </c>
    </row>
    <row r="1490">
      <c r="A1490" s="2" t="inlineStr">
        <is>
          <t>L160</t>
        </is>
      </c>
      <c r="B1490" s="2" t="inlineStr">
        <is>
          <t>KUMBA BREAD</t>
        </is>
      </c>
      <c r="C1490" s="2" t="inlineStr">
        <is>
          <t>S078</t>
        </is>
      </c>
      <c r="D1490" s="2" t="inlineStr">
        <is>
          <t>'KUMBA BREAD'!C6,D6</t>
        </is>
      </c>
      <c r="E1490" s="2" t="inlineStr">
        <is>
          <t>Butter</t>
        </is>
      </c>
      <c r="F1490" s="3" t="n">
        <v>600</v>
      </c>
      <c r="G1490" s="2" t="inlineStr">
        <is>
          <t>600</t>
        </is>
      </c>
      <c r="H1490" s="2" t="inlineStr">
        <is>
          <t>S-B02</t>
        </is>
      </c>
    </row>
    <row r="1491">
      <c r="A1491" s="2" t="inlineStr">
        <is>
          <t>L160</t>
        </is>
      </c>
      <c r="B1491" s="2" t="inlineStr">
        <is>
          <t>KUMBA BREAD</t>
        </is>
      </c>
      <c r="C1491" s="2" t="inlineStr">
        <is>
          <t>S078</t>
        </is>
      </c>
      <c r="D1491" s="2" t="inlineStr">
        <is>
          <t>'KUMBA BREAD'!C7,D7</t>
        </is>
      </c>
      <c r="E1491" s="2" t="inlineStr">
        <is>
          <t>sugar</t>
        </is>
      </c>
      <c r="F1491" s="3" t="n">
        <v>600</v>
      </c>
      <c r="G1491" s="2" t="inlineStr">
        <is>
          <t>600</t>
        </is>
      </c>
      <c r="H1491" s="2" t="inlineStr">
        <is>
          <t>S-B02</t>
        </is>
      </c>
    </row>
    <row r="1492">
      <c r="A1492" s="2" t="inlineStr">
        <is>
          <t>L160</t>
        </is>
      </c>
      <c r="B1492" s="2" t="inlineStr">
        <is>
          <t>KUMBA BREAD</t>
        </is>
      </c>
      <c r="C1492" s="2" t="inlineStr">
        <is>
          <t>S078</t>
        </is>
      </c>
      <c r="D1492" s="2" t="inlineStr">
        <is>
          <t>'KUMBA BREAD'!C8,D8</t>
        </is>
      </c>
      <c r="E1492" s="2" t="inlineStr">
        <is>
          <t>Milk</t>
        </is>
      </c>
      <c r="F1492" s="3" t="n">
        <v>500</v>
      </c>
      <c r="G1492" s="2" t="inlineStr">
        <is>
          <t>500</t>
        </is>
      </c>
      <c r="H1492" s="2" t="inlineStr">
        <is>
          <t>S-B02</t>
        </is>
      </c>
    </row>
    <row r="1493">
      <c r="A1493" s="2" t="inlineStr">
        <is>
          <t>L160</t>
        </is>
      </c>
      <c r="B1493" s="2" t="inlineStr">
        <is>
          <t>KUMBA BREAD</t>
        </is>
      </c>
      <c r="C1493" s="2" t="inlineStr">
        <is>
          <t>S078</t>
        </is>
      </c>
      <c r="D1493" s="2" t="inlineStr">
        <is>
          <t>'KUMBA BREAD'!C9,D9</t>
        </is>
      </c>
      <c r="E1493" s="2" t="inlineStr">
        <is>
          <t>egg</t>
        </is>
      </c>
      <c r="F1493" s="3" t="n">
        <v>400</v>
      </c>
      <c r="G1493" s="2" t="inlineStr">
        <is>
          <t>400</t>
        </is>
      </c>
      <c r="H1493" s="2" t="inlineStr">
        <is>
          <t>S-B02</t>
        </is>
      </c>
    </row>
    <row r="1494">
      <c r="A1494" s="2" t="inlineStr">
        <is>
          <t>L160</t>
        </is>
      </c>
      <c r="B1494" s="2" t="inlineStr">
        <is>
          <t>KUMBA BREAD</t>
        </is>
      </c>
      <c r="C1494" s="2" t="inlineStr">
        <is>
          <t>S078</t>
        </is>
      </c>
      <c r="D1494" s="2" t="inlineStr">
        <is>
          <t>'KUMBA BREAD'!C10,D10</t>
        </is>
      </c>
      <c r="E1494" s="2" t="inlineStr">
        <is>
          <t>salt</t>
        </is>
      </c>
      <c r="F1494" s="3" t="n">
        <v>50</v>
      </c>
      <c r="G1494" s="2" t="inlineStr">
        <is>
          <t>50</t>
        </is>
      </c>
      <c r="H1494" s="2" t="inlineStr">
        <is>
          <t>S-B02</t>
        </is>
      </c>
    </row>
    <row r="1495">
      <c r="A1495" s="2" t="inlineStr">
        <is>
          <t>L160</t>
        </is>
      </c>
      <c r="B1495" s="2" t="inlineStr">
        <is>
          <t>KUMBA BREAD</t>
        </is>
      </c>
      <c r="C1495" s="2" t="inlineStr">
        <is>
          <t>S078</t>
        </is>
      </c>
      <c r="D1495" s="2" t="inlineStr">
        <is>
          <t>'KUMBA BREAD'!C11,D11</t>
        </is>
      </c>
      <c r="E1495" s="2" t="inlineStr">
        <is>
          <t>improver</t>
        </is>
      </c>
      <c r="F1495" s="3" t="n">
        <v>60</v>
      </c>
      <c r="G1495" s="2" t="inlineStr">
        <is>
          <t>60</t>
        </is>
      </c>
      <c r="H1495" s="2" t="inlineStr">
        <is>
          <t>S-B02</t>
        </is>
      </c>
    </row>
    <row r="1496">
      <c r="A1496" s="2" t="inlineStr">
        <is>
          <t>L160</t>
        </is>
      </c>
      <c r="B1496" s="2" t="inlineStr">
        <is>
          <t>KUMBA BREAD</t>
        </is>
      </c>
      <c r="C1496" s="2" t="inlineStr">
        <is>
          <t>S078</t>
        </is>
      </c>
      <c r="D1496" s="2" t="inlineStr">
        <is>
          <t>'KUMBA BREAD'!C12,D12</t>
        </is>
      </c>
      <c r="E1496" s="2" t="inlineStr">
        <is>
          <t>yeast</t>
        </is>
      </c>
      <c r="F1496" s="3" t="n">
        <v>50</v>
      </c>
      <c r="G1496" s="2" t="inlineStr">
        <is>
          <t>50</t>
        </is>
      </c>
      <c r="H1496" s="2" t="inlineStr">
        <is>
          <t>S-B02</t>
        </is>
      </c>
    </row>
    <row r="1497">
      <c r="A1497" s="2" t="inlineStr">
        <is>
          <t>L160</t>
        </is>
      </c>
      <c r="B1497" s="2" t="inlineStr">
        <is>
          <t>KUMBA BREAD</t>
        </is>
      </c>
      <c r="C1497" s="2" t="inlineStr">
        <is>
          <t>S078</t>
        </is>
      </c>
      <c r="D1497" s="2" t="inlineStr">
        <is>
          <t>'KUMBA BREAD'!C13,D13</t>
        </is>
      </c>
      <c r="E1497" s="2" t="inlineStr">
        <is>
          <t>water</t>
        </is>
      </c>
      <c r="F1497" s="3" t="n">
        <v>1900</v>
      </c>
      <c r="G1497" s="2" t="inlineStr">
        <is>
          <t>1900</t>
        </is>
      </c>
      <c r="H1497" s="2" t="inlineStr">
        <is>
          <t>S-B02</t>
        </is>
      </c>
    </row>
    <row r="1498">
      <c r="A1498" s="2" t="inlineStr">
        <is>
          <t>L160</t>
        </is>
      </c>
      <c r="B1498" s="2" t="inlineStr">
        <is>
          <t>KUMBA BREAD</t>
        </is>
      </c>
      <c r="C1498" s="2" t="inlineStr">
        <is>
          <t>S078</t>
        </is>
      </c>
      <c r="D1498" s="2" t="inlineStr">
        <is>
          <t>'KUMBA BREAD'!C14,D14</t>
        </is>
      </c>
      <c r="E1498" s="2" t="inlineStr">
        <is>
          <t>Oil</t>
        </is>
      </c>
      <c r="F1498" s="3" t="n">
        <v>160</v>
      </c>
      <c r="G1498" s="2" t="inlineStr">
        <is>
          <t>160</t>
        </is>
      </c>
      <c r="H1498" s="2" t="inlineStr">
        <is>
          <t>S-B02</t>
        </is>
      </c>
    </row>
    <row r="1499">
      <c r="A1499" s="2" t="inlineStr">
        <is>
          <t>L160</t>
        </is>
      </c>
      <c r="B1499" s="2" t="inlineStr">
        <is>
          <t>KUMBA BREAD</t>
        </is>
      </c>
      <c r="C1499" s="2" t="inlineStr">
        <is>
          <t>S078</t>
        </is>
      </c>
      <c r="D1499" s="2" t="inlineStr">
        <is>
          <t>'KUMBA BREAD'!C15,D15</t>
        </is>
      </c>
      <c r="E1499" s="2" t="inlineStr">
        <is>
          <t>Milk tantalizer</t>
        </is>
      </c>
      <c r="F1499" s="3" t="n">
        <v>5</v>
      </c>
      <c r="G1499" s="2" t="inlineStr">
        <is>
          <t>5</t>
        </is>
      </c>
      <c r="H1499" s="2" t="inlineStr">
        <is>
          <t>S-B02</t>
        </is>
      </c>
    </row>
    <row r="1500">
      <c r="A1500" s="2" t="inlineStr">
        <is>
          <t>L160</t>
        </is>
      </c>
      <c r="B1500" s="2" t="inlineStr">
        <is>
          <t>KUMBA BREAD</t>
        </is>
      </c>
      <c r="C1500" s="2" t="inlineStr">
        <is>
          <t>S078</t>
        </is>
      </c>
      <c r="D1500" s="2" t="inlineStr">
        <is>
          <t>'KUMBA BREAD'!C16,D16</t>
        </is>
      </c>
      <c r="E1500" s="2" t="inlineStr">
        <is>
          <t>EDC</t>
        </is>
      </c>
      <c r="F1500" s="3" t="n">
        <v>25</v>
      </c>
      <c r="G1500" s="2" t="inlineStr">
        <is>
          <t>25</t>
        </is>
      </c>
      <c r="H1500" s="2" t="inlineStr">
        <is>
          <t>S-B02</t>
        </is>
      </c>
    </row>
    <row r="1501">
      <c r="A1501" s="2" t="inlineStr">
        <is>
          <t>L160</t>
        </is>
      </c>
      <c r="B1501" s="2" t="inlineStr">
        <is>
          <t>KUMBA BREAD</t>
        </is>
      </c>
      <c r="C1501" s="2" t="inlineStr">
        <is>
          <t>S078</t>
        </is>
      </c>
      <c r="D1501" s="2" t="inlineStr">
        <is>
          <t>'KUMBA BREAD'!C17,D17</t>
        </is>
      </c>
      <c r="E1501" s="2" t="inlineStr">
        <is>
          <t>Nutmeg</t>
        </is>
      </c>
      <c r="F1501" s="3" t="n">
        <v>12</v>
      </c>
      <c r="G1501" s="2" t="inlineStr">
        <is>
          <t>12</t>
        </is>
      </c>
      <c r="H1501" s="2" t="inlineStr">
        <is>
          <t>S-B02</t>
        </is>
      </c>
    </row>
    <row r="1502">
      <c r="A1502" s="2" t="inlineStr">
        <is>
          <t>L161</t>
        </is>
      </c>
      <c r="B1502" s="2" t="inlineStr">
        <is>
          <t>KUMBA BREAD</t>
        </is>
      </c>
      <c r="C1502" s="2" t="inlineStr">
        <is>
          <t>S078</t>
        </is>
      </c>
      <c r="D1502" s="2" t="inlineStr">
        <is>
          <t>'KUMBA BREAD'!C5,L5</t>
        </is>
      </c>
      <c r="E1502" s="2" t="inlineStr">
        <is>
          <t>flour</t>
        </is>
      </c>
      <c r="F1502" s="3" t="n">
        <v>7000</v>
      </c>
      <c r="G1502" s="2" t="inlineStr">
        <is>
          <t>7000</t>
        </is>
      </c>
      <c r="H1502" s="2" t="inlineStr">
        <is>
          <t>S-B02</t>
        </is>
      </c>
    </row>
    <row r="1503">
      <c r="A1503" s="2" t="inlineStr">
        <is>
          <t>L161</t>
        </is>
      </c>
      <c r="B1503" s="2" t="inlineStr">
        <is>
          <t>KUMBA BREAD</t>
        </is>
      </c>
      <c r="C1503" s="2" t="inlineStr">
        <is>
          <t>S078</t>
        </is>
      </c>
      <c r="D1503" s="2" t="inlineStr">
        <is>
          <t>'KUMBA BREAD'!C6,L6</t>
        </is>
      </c>
      <c r="E1503" s="2" t="inlineStr">
        <is>
          <t>Butter</t>
        </is>
      </c>
      <c r="F1503" s="3" t="n">
        <v>600</v>
      </c>
      <c r="G1503" s="2" t="inlineStr">
        <is>
          <t>600</t>
        </is>
      </c>
      <c r="H1503" s="2" t="inlineStr">
        <is>
          <t>S-B02</t>
        </is>
      </c>
    </row>
    <row r="1504">
      <c r="A1504" s="2" t="inlineStr">
        <is>
          <t>L161</t>
        </is>
      </c>
      <c r="B1504" s="2" t="inlineStr">
        <is>
          <t>KUMBA BREAD</t>
        </is>
      </c>
      <c r="C1504" s="2" t="inlineStr">
        <is>
          <t>S078</t>
        </is>
      </c>
      <c r="D1504" s="2" t="inlineStr">
        <is>
          <t>'KUMBA BREAD'!C7,L7</t>
        </is>
      </c>
      <c r="E1504" s="2" t="inlineStr">
        <is>
          <t>sugar</t>
        </is>
      </c>
      <c r="F1504" s="3" t="n">
        <v>600</v>
      </c>
      <c r="G1504" s="2" t="inlineStr">
        <is>
          <t>600</t>
        </is>
      </c>
      <c r="H1504" s="2" t="inlineStr">
        <is>
          <t>S-B02</t>
        </is>
      </c>
    </row>
    <row r="1505">
      <c r="A1505" s="2" t="inlineStr">
        <is>
          <t>L161</t>
        </is>
      </c>
      <c r="B1505" s="2" t="inlineStr">
        <is>
          <t>KUMBA BREAD</t>
        </is>
      </c>
      <c r="C1505" s="2" t="inlineStr">
        <is>
          <t>S078</t>
        </is>
      </c>
      <c r="D1505" s="2" t="inlineStr">
        <is>
          <t>'KUMBA BREAD'!C8,L8</t>
        </is>
      </c>
      <c r="E1505" s="2" t="inlineStr">
        <is>
          <t>Milk</t>
        </is>
      </c>
      <c r="F1505" s="3" t="n">
        <v>250</v>
      </c>
      <c r="G1505" s="2" t="inlineStr">
        <is>
          <t>=D8/2 [cached: 250]</t>
        </is>
      </c>
      <c r="H1505" s="2" t="inlineStr">
        <is>
          <t>S-B02</t>
        </is>
      </c>
    </row>
    <row r="1506">
      <c r="A1506" s="2" t="inlineStr">
        <is>
          <t>L161</t>
        </is>
      </c>
      <c r="B1506" s="2" t="inlineStr">
        <is>
          <t>KUMBA BREAD</t>
        </is>
      </c>
      <c r="C1506" s="2" t="inlineStr">
        <is>
          <t>S078</t>
        </is>
      </c>
      <c r="D1506" s="2" t="inlineStr">
        <is>
          <t>'KUMBA BREAD'!C9,L9</t>
        </is>
      </c>
      <c r="E1506" s="2" t="inlineStr">
        <is>
          <t>egg</t>
        </is>
      </c>
      <c r="F1506" s="3" t="n">
        <v>200</v>
      </c>
      <c r="G1506" s="2" t="inlineStr">
        <is>
          <t>=D9/2 [cached: 200]</t>
        </is>
      </c>
      <c r="H1506" s="2" t="inlineStr">
        <is>
          <t>S-B02</t>
        </is>
      </c>
    </row>
    <row r="1507">
      <c r="A1507" s="2" t="inlineStr">
        <is>
          <t>L161</t>
        </is>
      </c>
      <c r="B1507" s="2" t="inlineStr">
        <is>
          <t>KUMBA BREAD</t>
        </is>
      </c>
      <c r="C1507" s="2" t="inlineStr">
        <is>
          <t>S078</t>
        </is>
      </c>
      <c r="D1507" s="2" t="inlineStr">
        <is>
          <t>'KUMBA BREAD'!C10,L10</t>
        </is>
      </c>
      <c r="E1507" s="2" t="inlineStr">
        <is>
          <t>salt</t>
        </is>
      </c>
      <c r="F1507" s="3" t="n">
        <v>50</v>
      </c>
      <c r="G1507" s="2" t="inlineStr">
        <is>
          <t>50</t>
        </is>
      </c>
      <c r="H1507" s="2" t="inlineStr">
        <is>
          <t>S-B02</t>
        </is>
      </c>
    </row>
    <row r="1508">
      <c r="A1508" s="2" t="inlineStr">
        <is>
          <t>L161</t>
        </is>
      </c>
      <c r="B1508" s="2" t="inlineStr">
        <is>
          <t>KUMBA BREAD</t>
        </is>
      </c>
      <c r="C1508" s="2" t="inlineStr">
        <is>
          <t>S078</t>
        </is>
      </c>
      <c r="D1508" s="2" t="inlineStr">
        <is>
          <t>'KUMBA BREAD'!C11,L11</t>
        </is>
      </c>
      <c r="E1508" s="2" t="inlineStr">
        <is>
          <t>improver</t>
        </is>
      </c>
      <c r="F1508" s="3" t="n">
        <v>100</v>
      </c>
      <c r="G1508" s="2" t="inlineStr">
        <is>
          <t>100</t>
        </is>
      </c>
      <c r="H1508" s="2" t="inlineStr">
        <is>
          <t>S-B02</t>
        </is>
      </c>
    </row>
    <row r="1509">
      <c r="A1509" s="2" t="inlineStr">
        <is>
          <t>L161</t>
        </is>
      </c>
      <c r="B1509" s="2" t="inlineStr">
        <is>
          <t>KUMBA BREAD</t>
        </is>
      </c>
      <c r="C1509" s="2" t="inlineStr">
        <is>
          <t>S078</t>
        </is>
      </c>
      <c r="D1509" s="2" t="inlineStr">
        <is>
          <t>'KUMBA BREAD'!C12,L12</t>
        </is>
      </c>
      <c r="E1509" s="2" t="inlineStr">
        <is>
          <t>yeast</t>
        </is>
      </c>
      <c r="F1509" s="3" t="n">
        <v>50</v>
      </c>
      <c r="G1509" s="2" t="inlineStr">
        <is>
          <t>50</t>
        </is>
      </c>
      <c r="H1509" s="2" t="inlineStr">
        <is>
          <t>S-B02</t>
        </is>
      </c>
    </row>
    <row r="1510">
      <c r="A1510" s="2" t="inlineStr">
        <is>
          <t>L161</t>
        </is>
      </c>
      <c r="B1510" s="2" t="inlineStr">
        <is>
          <t>KUMBA BREAD</t>
        </is>
      </c>
      <c r="C1510" s="2" t="inlineStr">
        <is>
          <t>S078</t>
        </is>
      </c>
      <c r="D1510" s="2" t="inlineStr">
        <is>
          <t>'KUMBA BREAD'!C13,L13</t>
        </is>
      </c>
      <c r="E1510" s="2" t="inlineStr">
        <is>
          <t>water</t>
        </is>
      </c>
      <c r="F1510" s="3" t="n">
        <v>1100</v>
      </c>
      <c r="G1510" s="2" t="inlineStr">
        <is>
          <t>1100</t>
        </is>
      </c>
      <c r="H1510" s="2" t="inlineStr">
        <is>
          <t>S-B02</t>
        </is>
      </c>
    </row>
    <row r="1511">
      <c r="A1511" s="2" t="inlineStr">
        <is>
          <t>L161</t>
        </is>
      </c>
      <c r="B1511" s="2" t="inlineStr">
        <is>
          <t>KUMBA BREAD</t>
        </is>
      </c>
      <c r="C1511" s="2" t="inlineStr">
        <is>
          <t>S078</t>
        </is>
      </c>
      <c r="D1511" s="2" t="inlineStr">
        <is>
          <t>'KUMBA BREAD'!C14,L14</t>
        </is>
      </c>
      <c r="E1511" s="2" t="inlineStr">
        <is>
          <t>Oil</t>
        </is>
      </c>
      <c r="F1511" s="3" t="n">
        <v>80</v>
      </c>
      <c r="G1511" s="2" t="inlineStr">
        <is>
          <t>=D14/2 [cached: 80]</t>
        </is>
      </c>
      <c r="H1511" s="2" t="inlineStr">
        <is>
          <t>S-B02</t>
        </is>
      </c>
    </row>
    <row r="1512">
      <c r="A1512" s="2" t="inlineStr">
        <is>
          <t>L161</t>
        </is>
      </c>
      <c r="B1512" s="2" t="inlineStr">
        <is>
          <t>KUMBA BREAD</t>
        </is>
      </c>
      <c r="C1512" s="2" t="inlineStr">
        <is>
          <t>S078</t>
        </is>
      </c>
      <c r="D1512" s="2" t="inlineStr">
        <is>
          <t>'KUMBA BREAD'!C15,L15</t>
        </is>
      </c>
      <c r="E1512" s="2" t="inlineStr">
        <is>
          <t>Milk tantalizer</t>
        </is>
      </c>
      <c r="F1512" s="3" t="n">
        <v>2.5</v>
      </c>
      <c r="G1512" s="2" t="inlineStr">
        <is>
          <t>=D15/2 [cached: 2.5]</t>
        </is>
      </c>
      <c r="H1512" s="2" t="inlineStr">
        <is>
          <t>S-B02</t>
        </is>
      </c>
    </row>
    <row r="1513">
      <c r="A1513" s="2" t="inlineStr">
        <is>
          <t>L161</t>
        </is>
      </c>
      <c r="B1513" s="2" t="inlineStr">
        <is>
          <t>KUMBA BREAD</t>
        </is>
      </c>
      <c r="C1513" s="2" t="inlineStr">
        <is>
          <t>S078</t>
        </is>
      </c>
      <c r="D1513" s="2" t="inlineStr">
        <is>
          <t>'KUMBA BREAD'!C16,L16</t>
        </is>
      </c>
      <c r="E1513" s="2" t="inlineStr">
        <is>
          <t>EDC</t>
        </is>
      </c>
      <c r="F1513" s="3" t="n">
        <v>12.5</v>
      </c>
      <c r="G1513" s="2" t="inlineStr">
        <is>
          <t>=D16/2 [cached: 12.5]</t>
        </is>
      </c>
      <c r="H1513" s="2" t="inlineStr">
        <is>
          <t>S-B02</t>
        </is>
      </c>
    </row>
    <row r="1514">
      <c r="A1514" s="2" t="inlineStr">
        <is>
          <t>L161</t>
        </is>
      </c>
      <c r="B1514" s="2" t="inlineStr">
        <is>
          <t>KUMBA BREAD</t>
        </is>
      </c>
      <c r="C1514" s="2" t="inlineStr">
        <is>
          <t>S078</t>
        </is>
      </c>
      <c r="D1514" s="2" t="inlineStr">
        <is>
          <t>'KUMBA BREAD'!C17,L17</t>
        </is>
      </c>
      <c r="E1514" s="2" t="inlineStr">
        <is>
          <t>Nutmeg</t>
        </is>
      </c>
      <c r="F1514" s="3" t="n">
        <v>6</v>
      </c>
      <c r="G1514" s="2" t="inlineStr">
        <is>
          <t>=D17/2 [cached: 6]</t>
        </is>
      </c>
      <c r="H1514" s="2" t="inlineStr">
        <is>
          <t>S-B02</t>
        </is>
      </c>
    </row>
    <row r="1515">
      <c r="A1515" s="2" t="inlineStr">
        <is>
          <t>L162</t>
        </is>
      </c>
      <c r="B1515" s="2" t="inlineStr">
        <is>
          <t>NEW BRIOCHE</t>
        </is>
      </c>
      <c r="C1515" s="2" t="inlineStr">
        <is>
          <t>S078</t>
        </is>
      </c>
      <c r="D1515" s="2" t="inlineStr">
        <is>
          <t>'NEW BRIOCHE'!C5,D5</t>
        </is>
      </c>
      <c r="E1515" s="2" t="inlineStr">
        <is>
          <t>flour</t>
        </is>
      </c>
      <c r="F1515" s="3" t="n">
        <v>4500</v>
      </c>
      <c r="G1515" s="2" t="inlineStr">
        <is>
          <t>4500</t>
        </is>
      </c>
      <c r="H1515" s="2" t="inlineStr">
        <is>
          <t>S-B06; richer true-butter variant</t>
        </is>
      </c>
    </row>
    <row r="1516">
      <c r="A1516" s="2" t="inlineStr">
        <is>
          <t>L162</t>
        </is>
      </c>
      <c r="B1516" s="2" t="inlineStr">
        <is>
          <t>NEW BRIOCHE</t>
        </is>
      </c>
      <c r="C1516" s="2" t="inlineStr">
        <is>
          <t>S078</t>
        </is>
      </c>
      <c r="D1516" s="2" t="inlineStr">
        <is>
          <t>'NEW BRIOCHE'!C6,D6</t>
        </is>
      </c>
      <c r="E1516" s="2" t="inlineStr">
        <is>
          <t>Butter</t>
        </is>
      </c>
      <c r="F1516" s="3" t="n">
        <v>2500</v>
      </c>
      <c r="G1516" s="2" t="inlineStr">
        <is>
          <t>2500</t>
        </is>
      </c>
      <c r="H1516" s="2" t="inlineStr">
        <is>
          <t>S-B06; richer true-butter variant</t>
        </is>
      </c>
    </row>
    <row r="1517">
      <c r="A1517" s="2" t="inlineStr">
        <is>
          <t>L162</t>
        </is>
      </c>
      <c r="B1517" s="2" t="inlineStr">
        <is>
          <t>NEW BRIOCHE</t>
        </is>
      </c>
      <c r="C1517" s="2" t="inlineStr">
        <is>
          <t>S078</t>
        </is>
      </c>
      <c r="D1517" s="2" t="inlineStr">
        <is>
          <t>'NEW BRIOCHE'!C7,D7</t>
        </is>
      </c>
      <c r="E1517" s="2" t="inlineStr">
        <is>
          <t>sugar</t>
        </is>
      </c>
      <c r="F1517" s="3" t="n">
        <v>600</v>
      </c>
      <c r="G1517" s="2" t="inlineStr">
        <is>
          <t>600</t>
        </is>
      </c>
      <c r="H1517" s="2" t="inlineStr">
        <is>
          <t>S-B06; richer true-butter variant</t>
        </is>
      </c>
    </row>
    <row r="1518">
      <c r="A1518" s="2" t="inlineStr">
        <is>
          <t>L162</t>
        </is>
      </c>
      <c r="B1518" s="2" t="inlineStr">
        <is>
          <t>NEW BRIOCHE</t>
        </is>
      </c>
      <c r="C1518" s="2" t="inlineStr">
        <is>
          <t>S078</t>
        </is>
      </c>
      <c r="D1518" s="2" t="inlineStr">
        <is>
          <t>'NEW BRIOCHE'!C8,D8</t>
        </is>
      </c>
      <c r="E1518" s="2" t="inlineStr">
        <is>
          <t>Milk</t>
        </is>
      </c>
      <c r="F1518" s="3" t="n">
        <v>500</v>
      </c>
      <c r="G1518" s="2" t="inlineStr">
        <is>
          <t>500</t>
        </is>
      </c>
      <c r="H1518" s="2" t="inlineStr">
        <is>
          <t>S-B06; richer true-butter variant</t>
        </is>
      </c>
    </row>
    <row r="1519">
      <c r="A1519" s="2" t="inlineStr">
        <is>
          <t>L162</t>
        </is>
      </c>
      <c r="B1519" s="2" t="inlineStr">
        <is>
          <t>NEW BRIOCHE</t>
        </is>
      </c>
      <c r="C1519" s="2" t="inlineStr">
        <is>
          <t>S078</t>
        </is>
      </c>
      <c r="D1519" s="2" t="inlineStr">
        <is>
          <t>'NEW BRIOCHE'!C9,D9</t>
        </is>
      </c>
      <c r="E1519" s="2" t="inlineStr">
        <is>
          <t>egg</t>
        </is>
      </c>
      <c r="F1519" s="3" t="n">
        <v>750</v>
      </c>
      <c r="G1519" s="2" t="inlineStr">
        <is>
          <t>750</t>
        </is>
      </c>
      <c r="H1519" s="2" t="inlineStr">
        <is>
          <t>S-B06; richer true-butter variant</t>
        </is>
      </c>
    </row>
    <row r="1520">
      <c r="A1520" s="2" t="inlineStr">
        <is>
          <t>L162</t>
        </is>
      </c>
      <c r="B1520" s="2" t="inlineStr">
        <is>
          <t>NEW BRIOCHE</t>
        </is>
      </c>
      <c r="C1520" s="2" t="inlineStr">
        <is>
          <t>S078</t>
        </is>
      </c>
      <c r="D1520" s="2" t="inlineStr">
        <is>
          <t>'NEW BRIOCHE'!C10,D10</t>
        </is>
      </c>
      <c r="E1520" s="2" t="inlineStr">
        <is>
          <t>salt</t>
        </is>
      </c>
      <c r="F1520" s="3" t="n">
        <v>35</v>
      </c>
      <c r="G1520" s="2" t="inlineStr">
        <is>
          <t>35</t>
        </is>
      </c>
      <c r="H1520" s="2" t="inlineStr">
        <is>
          <t>S-B06; richer true-butter variant</t>
        </is>
      </c>
    </row>
    <row r="1521">
      <c r="A1521" s="2" t="inlineStr">
        <is>
          <t>L162</t>
        </is>
      </c>
      <c r="B1521" s="2" t="inlineStr">
        <is>
          <t>NEW BRIOCHE</t>
        </is>
      </c>
      <c r="C1521" s="2" t="inlineStr">
        <is>
          <t>S078</t>
        </is>
      </c>
      <c r="D1521" s="2" t="inlineStr">
        <is>
          <t>'NEW BRIOCHE'!C11,D11</t>
        </is>
      </c>
      <c r="E1521" s="2" t="inlineStr">
        <is>
          <t>improver</t>
        </is>
      </c>
      <c r="F1521" s="3" t="n">
        <v>50</v>
      </c>
      <c r="G1521" s="2" t="inlineStr">
        <is>
          <t>50</t>
        </is>
      </c>
      <c r="H1521" s="2" t="inlineStr">
        <is>
          <t>S-B06; richer true-butter variant</t>
        </is>
      </c>
    </row>
    <row r="1522">
      <c r="A1522" s="2" t="inlineStr">
        <is>
          <t>L162</t>
        </is>
      </c>
      <c r="B1522" s="2" t="inlineStr">
        <is>
          <t>NEW BRIOCHE</t>
        </is>
      </c>
      <c r="C1522" s="2" t="inlineStr">
        <is>
          <t>S078</t>
        </is>
      </c>
      <c r="D1522" s="2" t="inlineStr">
        <is>
          <t>'NEW BRIOCHE'!C12,D12</t>
        </is>
      </c>
      <c r="E1522" s="2" t="inlineStr">
        <is>
          <t>yeast</t>
        </is>
      </c>
      <c r="F1522" s="3" t="n">
        <v>50</v>
      </c>
      <c r="G1522" s="2" t="inlineStr">
        <is>
          <t>50</t>
        </is>
      </c>
      <c r="H1522" s="2" t="inlineStr">
        <is>
          <t>S-B06; richer true-butter variant</t>
        </is>
      </c>
    </row>
    <row r="1523">
      <c r="A1523" s="2" t="inlineStr">
        <is>
          <t>L162</t>
        </is>
      </c>
      <c r="B1523" s="2" t="inlineStr">
        <is>
          <t>NEW BRIOCHE</t>
        </is>
      </c>
      <c r="C1523" s="2" t="inlineStr">
        <is>
          <t>S078</t>
        </is>
      </c>
      <c r="D1523" s="2" t="inlineStr">
        <is>
          <t>'NEW BRIOCHE'!C13,D13</t>
        </is>
      </c>
      <c r="E1523" s="2" t="inlineStr">
        <is>
          <t>water</t>
        </is>
      </c>
      <c r="F1523" s="3" t="n">
        <v>900</v>
      </c>
      <c r="G1523" s="2" t="inlineStr">
        <is>
          <t>900</t>
        </is>
      </c>
      <c r="H1523" s="2" t="inlineStr">
        <is>
          <t>S-B06; richer true-butter variant</t>
        </is>
      </c>
    </row>
    <row r="1524">
      <c r="A1524" s="2" t="inlineStr">
        <is>
          <t>L162</t>
        </is>
      </c>
      <c r="B1524" s="2" t="inlineStr">
        <is>
          <t>NEW BRIOCHE</t>
        </is>
      </c>
      <c r="C1524" s="2" t="inlineStr">
        <is>
          <t>S078</t>
        </is>
      </c>
      <c r="D1524" s="2" t="inlineStr">
        <is>
          <t>'NEW BRIOCHE'!C14,D14</t>
        </is>
      </c>
      <c r="E1524" s="2" t="inlineStr">
        <is>
          <t>Milk tantalizer</t>
        </is>
      </c>
      <c r="F1524" s="3" t="n">
        <v>8</v>
      </c>
      <c r="G1524" s="2" t="inlineStr">
        <is>
          <t>8</t>
        </is>
      </c>
      <c r="H1524" s="2" t="inlineStr">
        <is>
          <t>S-B06; richer true-butter variant</t>
        </is>
      </c>
    </row>
    <row r="1525">
      <c r="A1525" s="2" t="inlineStr">
        <is>
          <t>L162</t>
        </is>
      </c>
      <c r="B1525" s="2" t="inlineStr">
        <is>
          <t>NEW BRIOCHE</t>
        </is>
      </c>
      <c r="C1525" s="2" t="inlineStr">
        <is>
          <t>S078</t>
        </is>
      </c>
      <c r="D1525" s="2" t="inlineStr">
        <is>
          <t>'NEW BRIOCHE'!C15,D15</t>
        </is>
      </c>
      <c r="E1525" s="2" t="inlineStr">
        <is>
          <t>EDC</t>
        </is>
      </c>
      <c r="F1525" s="3" t="n">
        <v>25</v>
      </c>
      <c r="G1525" s="2" t="inlineStr">
        <is>
          <t>25</t>
        </is>
      </c>
      <c r="H1525" s="2" t="inlineStr">
        <is>
          <t>S-B06; richer true-butter variant</t>
        </is>
      </c>
    </row>
    <row r="1526">
      <c r="A1526" s="2" t="inlineStr">
        <is>
          <t>L162</t>
        </is>
      </c>
      <c r="B1526" s="2" t="inlineStr">
        <is>
          <t>NEW BRIOCHE</t>
        </is>
      </c>
      <c r="C1526" s="2" t="inlineStr">
        <is>
          <t>S078</t>
        </is>
      </c>
      <c r="D1526" s="2" t="inlineStr">
        <is>
          <t>'NEW BRIOCHE'!C16,D16</t>
        </is>
      </c>
      <c r="E1526" s="2" t="inlineStr">
        <is>
          <t>Nutmeg</t>
        </is>
      </c>
      <c r="F1526" s="3" t="n">
        <v>15</v>
      </c>
      <c r="G1526" s="2" t="inlineStr">
        <is>
          <t>15</t>
        </is>
      </c>
      <c r="H1526" s="2" t="inlineStr">
        <is>
          <t>S-B06; richer true-butter variant</t>
        </is>
      </c>
    </row>
    <row r="1527">
      <c r="A1527" s="2" t="inlineStr">
        <is>
          <t>L163</t>
        </is>
      </c>
      <c r="B1527" s="2" t="inlineStr">
        <is>
          <t>Sugar Balls</t>
        </is>
      </c>
      <c r="C1527" s="2" t="inlineStr">
        <is>
          <t>S078</t>
        </is>
      </c>
      <c r="D1527" s="2" t="inlineStr">
        <is>
          <t>'Sugar Balls'!C5,D5</t>
        </is>
      </c>
      <c r="E1527" s="2" t="inlineStr">
        <is>
          <t>flour</t>
        </is>
      </c>
      <c r="F1527" s="3" t="n">
        <v>4000</v>
      </c>
      <c r="G1527" s="2" t="inlineStr">
        <is>
          <t>4000</t>
        </is>
      </c>
      <c r="H1527" s="2" t="inlineStr">
        <is>
          <t>Retain unique variant; no equivalent operating card selected</t>
        </is>
      </c>
    </row>
    <row r="1528">
      <c r="A1528" s="2" t="inlineStr">
        <is>
          <t>L163</t>
        </is>
      </c>
      <c r="B1528" s="2" t="inlineStr">
        <is>
          <t>Sugar Balls</t>
        </is>
      </c>
      <c r="C1528" s="2" t="inlineStr">
        <is>
          <t>S078</t>
        </is>
      </c>
      <c r="D1528" s="2" t="inlineStr">
        <is>
          <t>'Sugar Balls'!C6,D6</t>
        </is>
      </c>
      <c r="E1528" s="2" t="inlineStr">
        <is>
          <t>baking powder</t>
        </is>
      </c>
      <c r="F1528" s="3" t="n">
        <v>40</v>
      </c>
      <c r="G1528" s="2" t="inlineStr">
        <is>
          <t>40</t>
        </is>
      </c>
      <c r="H1528" s="2" t="inlineStr">
        <is>
          <t>Retain unique variant; no equivalent operating card selected</t>
        </is>
      </c>
    </row>
    <row r="1529">
      <c r="A1529" s="2" t="inlineStr">
        <is>
          <t>L163</t>
        </is>
      </c>
      <c r="B1529" s="2" t="inlineStr">
        <is>
          <t>Sugar Balls</t>
        </is>
      </c>
      <c r="C1529" s="2" t="inlineStr">
        <is>
          <t>S078</t>
        </is>
      </c>
      <c r="D1529" s="2" t="inlineStr">
        <is>
          <t>'Sugar Balls'!C7,D7</t>
        </is>
      </c>
      <c r="E1529" s="2" t="inlineStr">
        <is>
          <t>sugar</t>
        </is>
      </c>
      <c r="F1529" s="3" t="n">
        <v>400</v>
      </c>
      <c r="G1529" s="2" t="inlineStr">
        <is>
          <t>400</t>
        </is>
      </c>
      <c r="H1529" s="2" t="inlineStr">
        <is>
          <t>Retain unique variant; no equivalent operating card selected</t>
        </is>
      </c>
    </row>
    <row r="1530">
      <c r="A1530" s="2" t="inlineStr">
        <is>
          <t>L163</t>
        </is>
      </c>
      <c r="B1530" s="2" t="inlineStr">
        <is>
          <t>Sugar Balls</t>
        </is>
      </c>
      <c r="C1530" s="2" t="inlineStr">
        <is>
          <t>S078</t>
        </is>
      </c>
      <c r="D1530" s="2" t="inlineStr">
        <is>
          <t>'Sugar Balls'!C8,D8</t>
        </is>
      </c>
      <c r="E1530" s="2" t="inlineStr">
        <is>
          <t>Butter</t>
        </is>
      </c>
      <c r="F1530" s="3" t="n">
        <v>400</v>
      </c>
      <c r="G1530" s="2" t="inlineStr">
        <is>
          <t>400</t>
        </is>
      </c>
      <c r="H1530" s="2" t="inlineStr">
        <is>
          <t>Retain unique variant; no equivalent operating card selected</t>
        </is>
      </c>
    </row>
    <row r="1531">
      <c r="A1531" s="2" t="inlineStr">
        <is>
          <t>L163</t>
        </is>
      </c>
      <c r="B1531" s="2" t="inlineStr">
        <is>
          <t>Sugar Balls</t>
        </is>
      </c>
      <c r="C1531" s="2" t="inlineStr">
        <is>
          <t>S078</t>
        </is>
      </c>
      <c r="D1531" s="2" t="inlineStr">
        <is>
          <t>'Sugar Balls'!C9,D9</t>
        </is>
      </c>
      <c r="E1531" s="2" t="inlineStr">
        <is>
          <t>salt</t>
        </is>
      </c>
      <c r="F1531" s="3" t="n">
        <v>30</v>
      </c>
      <c r="G1531" s="2" t="inlineStr">
        <is>
          <t>30</t>
        </is>
      </c>
      <c r="H1531" s="2" t="inlineStr">
        <is>
          <t>Retain unique variant; no equivalent operating card selected</t>
        </is>
      </c>
    </row>
    <row r="1532">
      <c r="A1532" s="2" t="inlineStr">
        <is>
          <t>L163</t>
        </is>
      </c>
      <c r="B1532" s="2" t="inlineStr">
        <is>
          <t>Sugar Balls</t>
        </is>
      </c>
      <c r="C1532" s="2" t="inlineStr">
        <is>
          <t>S078</t>
        </is>
      </c>
      <c r="D1532" s="2" t="inlineStr">
        <is>
          <t>'Sugar Balls'!C10,D10</t>
        </is>
      </c>
      <c r="E1532" s="2" t="inlineStr">
        <is>
          <t>Cold Water</t>
        </is>
      </c>
      <c r="F1532" s="3" t="n">
        <v>1800</v>
      </c>
      <c r="G1532" s="2" t="inlineStr">
        <is>
          <t>1800</t>
        </is>
      </c>
      <c r="H1532" s="2" t="inlineStr">
        <is>
          <t>Retain unique variant; no equivalent operating card selected</t>
        </is>
      </c>
    </row>
    <row r="1533">
      <c r="A1533" s="2" t="inlineStr">
        <is>
          <t>L163</t>
        </is>
      </c>
      <c r="B1533" s="2" t="inlineStr">
        <is>
          <t>Sugar Balls</t>
        </is>
      </c>
      <c r="C1533" s="2" t="inlineStr">
        <is>
          <t>S078</t>
        </is>
      </c>
      <c r="D1533" s="2" t="inlineStr">
        <is>
          <t>'Sugar Balls'!C11,D11</t>
        </is>
      </c>
      <c r="E1533" s="2" t="inlineStr">
        <is>
          <t>Improver</t>
        </is>
      </c>
      <c r="F1533" s="3" t="n">
        <v>30</v>
      </c>
      <c r="G1533" s="2" t="inlineStr">
        <is>
          <t>30</t>
        </is>
      </c>
      <c r="H1533" s="2" t="inlineStr">
        <is>
          <t>Retain unique variant; no equivalent operating card selected</t>
        </is>
      </c>
    </row>
    <row r="1534">
      <c r="A1534" s="2" t="inlineStr">
        <is>
          <t>L163</t>
        </is>
      </c>
      <c r="B1534" s="2" t="inlineStr">
        <is>
          <t>Sugar Balls</t>
        </is>
      </c>
      <c r="C1534" s="2" t="inlineStr">
        <is>
          <t>S078</t>
        </is>
      </c>
      <c r="D1534" s="2" t="inlineStr">
        <is>
          <t>'Sugar Balls'!C12,D12</t>
        </is>
      </c>
      <c r="E1534" s="2" t="inlineStr">
        <is>
          <t>yeast</t>
        </is>
      </c>
      <c r="F1534" s="3" t="n">
        <v>120</v>
      </c>
      <c r="G1534" s="2" t="inlineStr">
        <is>
          <t>120</t>
        </is>
      </c>
      <c r="H1534" s="2" t="inlineStr">
        <is>
          <t>Retain unique variant; no equivalent operating card selected</t>
        </is>
      </c>
    </row>
    <row r="1535">
      <c r="A1535" s="2" t="inlineStr">
        <is>
          <t>L164</t>
        </is>
      </c>
      <c r="B1535" s="2" t="inlineStr">
        <is>
          <t>Sugar Balls</t>
        </is>
      </c>
      <c r="C1535" s="2" t="inlineStr">
        <is>
          <t>S078</t>
        </is>
      </c>
      <c r="D1535" s="2" t="inlineStr">
        <is>
          <t>'Sugar Balls'!C5,H5</t>
        </is>
      </c>
      <c r="E1535" s="2" t="inlineStr">
        <is>
          <t>flour</t>
        </is>
      </c>
      <c r="F1535" s="3" t="n">
        <v>20000</v>
      </c>
      <c r="G1535" s="2" t="inlineStr">
        <is>
          <t>=D5*5 [cached: 20000]</t>
        </is>
      </c>
      <c r="H1535" s="2" t="inlineStr">
        <is>
          <t>Retain unique variant; no equivalent operating card selected</t>
        </is>
      </c>
    </row>
    <row r="1536">
      <c r="A1536" s="2" t="inlineStr">
        <is>
          <t>L164</t>
        </is>
      </c>
      <c r="B1536" s="2" t="inlineStr">
        <is>
          <t>Sugar Balls</t>
        </is>
      </c>
      <c r="C1536" s="2" t="inlineStr">
        <is>
          <t>S078</t>
        </is>
      </c>
      <c r="D1536" s="2" t="inlineStr">
        <is>
          <t>'Sugar Balls'!C6,H6</t>
        </is>
      </c>
      <c r="E1536" s="2" t="inlineStr">
        <is>
          <t>baking powder</t>
        </is>
      </c>
      <c r="F1536" s="3" t="n">
        <v>200</v>
      </c>
      <c r="G1536" s="2" t="inlineStr">
        <is>
          <t>=D6*5 [cached: 200]</t>
        </is>
      </c>
      <c r="H1536" s="2" t="inlineStr">
        <is>
          <t>Retain unique variant; no equivalent operating card selected</t>
        </is>
      </c>
    </row>
    <row r="1537">
      <c r="A1537" s="2" t="inlineStr">
        <is>
          <t>L164</t>
        </is>
      </c>
      <c r="B1537" s="2" t="inlineStr">
        <is>
          <t>Sugar Balls</t>
        </is>
      </c>
      <c r="C1537" s="2" t="inlineStr">
        <is>
          <t>S078</t>
        </is>
      </c>
      <c r="D1537" s="2" t="inlineStr">
        <is>
          <t>'Sugar Balls'!C7,H7</t>
        </is>
      </c>
      <c r="E1537" s="2" t="inlineStr">
        <is>
          <t>sugar</t>
        </is>
      </c>
      <c r="F1537" s="3" t="n">
        <v>2000</v>
      </c>
      <c r="G1537" s="2" t="inlineStr">
        <is>
          <t>=D7*5 [cached: 2000]</t>
        </is>
      </c>
      <c r="H1537" s="2" t="inlineStr">
        <is>
          <t>Retain unique variant; no equivalent operating card selected</t>
        </is>
      </c>
    </row>
    <row r="1538">
      <c r="A1538" s="2" t="inlineStr">
        <is>
          <t>L164</t>
        </is>
      </c>
      <c r="B1538" s="2" t="inlineStr">
        <is>
          <t>Sugar Balls</t>
        </is>
      </c>
      <c r="C1538" s="2" t="inlineStr">
        <is>
          <t>S078</t>
        </is>
      </c>
      <c r="D1538" s="2" t="inlineStr">
        <is>
          <t>'Sugar Balls'!C8,H8</t>
        </is>
      </c>
      <c r="E1538" s="2" t="inlineStr">
        <is>
          <t>Butter</t>
        </is>
      </c>
      <c r="F1538" s="3" t="n">
        <v>2000</v>
      </c>
      <c r="G1538" s="2" t="inlineStr">
        <is>
          <t>=D8*5 [cached: 2000]</t>
        </is>
      </c>
      <c r="H1538" s="2" t="inlineStr">
        <is>
          <t>Retain unique variant; no equivalent operating card selected</t>
        </is>
      </c>
    </row>
    <row r="1539">
      <c r="A1539" s="2" t="inlineStr">
        <is>
          <t>L164</t>
        </is>
      </c>
      <c r="B1539" s="2" t="inlineStr">
        <is>
          <t>Sugar Balls</t>
        </is>
      </c>
      <c r="C1539" s="2" t="inlineStr">
        <is>
          <t>S078</t>
        </is>
      </c>
      <c r="D1539" s="2" t="inlineStr">
        <is>
          <t>'Sugar Balls'!C9,H9</t>
        </is>
      </c>
      <c r="E1539" s="2" t="inlineStr">
        <is>
          <t>salt</t>
        </is>
      </c>
      <c r="F1539" s="3" t="n">
        <v>150</v>
      </c>
      <c r="G1539" s="2" t="inlineStr">
        <is>
          <t>=D9*5 [cached: 150]</t>
        </is>
      </c>
      <c r="H1539" s="2" t="inlineStr">
        <is>
          <t>Retain unique variant; no equivalent operating card selected</t>
        </is>
      </c>
    </row>
    <row r="1540">
      <c r="A1540" s="2" t="inlineStr">
        <is>
          <t>L164</t>
        </is>
      </c>
      <c r="B1540" s="2" t="inlineStr">
        <is>
          <t>Sugar Balls</t>
        </is>
      </c>
      <c r="C1540" s="2" t="inlineStr">
        <is>
          <t>S078</t>
        </is>
      </c>
      <c r="D1540" s="2" t="inlineStr">
        <is>
          <t>'Sugar Balls'!C10,H10</t>
        </is>
      </c>
      <c r="E1540" s="2" t="inlineStr">
        <is>
          <t>Cold Water</t>
        </is>
      </c>
      <c r="F1540" s="3" t="n">
        <v>9000</v>
      </c>
      <c r="G1540" s="2" t="inlineStr">
        <is>
          <t>=D10*5 [cached: 9000]</t>
        </is>
      </c>
      <c r="H1540" s="2" t="inlineStr">
        <is>
          <t>Retain unique variant; no equivalent operating card selected</t>
        </is>
      </c>
    </row>
    <row r="1541">
      <c r="A1541" s="2" t="inlineStr">
        <is>
          <t>L164</t>
        </is>
      </c>
      <c r="B1541" s="2" t="inlineStr">
        <is>
          <t>Sugar Balls</t>
        </is>
      </c>
      <c r="C1541" s="2" t="inlineStr">
        <is>
          <t>S078</t>
        </is>
      </c>
      <c r="D1541" s="2" t="inlineStr">
        <is>
          <t>'Sugar Balls'!C11,H11</t>
        </is>
      </c>
      <c r="E1541" s="2" t="inlineStr">
        <is>
          <t>Improver</t>
        </is>
      </c>
      <c r="F1541" s="3" t="n">
        <v>150</v>
      </c>
      <c r="G1541" s="2" t="inlineStr">
        <is>
          <t>=D11*5 [cached: 150]</t>
        </is>
      </c>
      <c r="H1541" s="2" t="inlineStr">
        <is>
          <t>Retain unique variant; no equivalent operating card selected</t>
        </is>
      </c>
    </row>
    <row r="1542">
      <c r="A1542" s="2" t="inlineStr">
        <is>
          <t>L164</t>
        </is>
      </c>
      <c r="B1542" s="2" t="inlineStr">
        <is>
          <t>Sugar Balls</t>
        </is>
      </c>
      <c r="C1542" s="2" t="inlineStr">
        <is>
          <t>S078</t>
        </is>
      </c>
      <c r="D1542" s="2" t="inlineStr">
        <is>
          <t>'Sugar Balls'!C12,H12</t>
        </is>
      </c>
      <c r="E1542" s="2" t="inlineStr">
        <is>
          <t>yeast</t>
        </is>
      </c>
      <c r="F1542" s="3" t="n">
        <v>200.4</v>
      </c>
      <c r="G1542" s="2" t="inlineStr">
        <is>
          <t>=D12*1.67 [cached: 200.4]</t>
        </is>
      </c>
      <c r="H1542" s="2" t="inlineStr">
        <is>
          <t>Retain unique variant; no equivalent operating card selected</t>
        </is>
      </c>
    </row>
    <row r="1543">
      <c r="A1543" s="2" t="inlineStr">
        <is>
          <t>L165</t>
        </is>
      </c>
      <c r="B1543" s="2" t="inlineStr">
        <is>
          <t>gateau new look</t>
        </is>
      </c>
      <c r="C1543" s="2" t="inlineStr">
        <is>
          <t>S078</t>
        </is>
      </c>
      <c r="D1543" s="2" t="inlineStr">
        <is>
          <t>'gateau new look'!C5,D5</t>
        </is>
      </c>
      <c r="E1543" s="2" t="inlineStr">
        <is>
          <t>flour</t>
        </is>
      </c>
      <c r="F1543" s="3" t="n">
        <v>25000</v>
      </c>
      <c r="G1543" s="2" t="inlineStr">
        <is>
          <t>25000</t>
        </is>
      </c>
      <c r="H1543" s="2" t="inlineStr">
        <is>
          <t>Retain unique variant; no equivalent operating card selected</t>
        </is>
      </c>
    </row>
    <row r="1544">
      <c r="A1544" s="2" t="inlineStr">
        <is>
          <t>L165</t>
        </is>
      </c>
      <c r="B1544" s="2" t="inlineStr">
        <is>
          <t>gateau new look</t>
        </is>
      </c>
      <c r="C1544" s="2" t="inlineStr">
        <is>
          <t>S078</t>
        </is>
      </c>
      <c r="D1544" s="2" t="inlineStr">
        <is>
          <t>'gateau new look'!C6,D6</t>
        </is>
      </c>
      <c r="E1544" s="2" t="inlineStr">
        <is>
          <t>Butter</t>
        </is>
      </c>
      <c r="F1544" s="3" t="n">
        <v>1300</v>
      </c>
      <c r="G1544" s="2" t="inlineStr">
        <is>
          <t>1300</t>
        </is>
      </c>
      <c r="H1544" s="2" t="inlineStr">
        <is>
          <t>Retain unique variant; no equivalent operating card selected</t>
        </is>
      </c>
    </row>
    <row r="1545">
      <c r="A1545" s="2" t="inlineStr">
        <is>
          <t>L165</t>
        </is>
      </c>
      <c r="B1545" s="2" t="inlineStr">
        <is>
          <t>gateau new look</t>
        </is>
      </c>
      <c r="C1545" s="2" t="inlineStr">
        <is>
          <t>S078</t>
        </is>
      </c>
      <c r="D1545" s="2" t="inlineStr">
        <is>
          <t>'gateau new look'!C7,D7</t>
        </is>
      </c>
      <c r="E1545" s="2" t="inlineStr">
        <is>
          <t>sugar</t>
        </is>
      </c>
      <c r="F1545" s="3" t="n">
        <v>1650</v>
      </c>
      <c r="G1545" s="2" t="inlineStr">
        <is>
          <t>1650</t>
        </is>
      </c>
      <c r="H1545" s="2" t="inlineStr">
        <is>
          <t>Retain unique variant; no equivalent operating card selected</t>
        </is>
      </c>
    </row>
    <row r="1546">
      <c r="A1546" s="2" t="inlineStr">
        <is>
          <t>L165</t>
        </is>
      </c>
      <c r="B1546" s="2" t="inlineStr">
        <is>
          <t>gateau new look</t>
        </is>
      </c>
      <c r="C1546" s="2" t="inlineStr">
        <is>
          <t>S078</t>
        </is>
      </c>
      <c r="D1546" s="2" t="inlineStr">
        <is>
          <t>'gateau new look'!C8,D8</t>
        </is>
      </c>
      <c r="E1546" s="2" t="inlineStr">
        <is>
          <t>Conc Milk</t>
        </is>
      </c>
      <c r="F1546" s="3" t="n">
        <v>1000</v>
      </c>
      <c r="G1546" s="2" t="inlineStr">
        <is>
          <t>1000</t>
        </is>
      </c>
      <c r="H1546" s="2" t="inlineStr">
        <is>
          <t>Retain unique variant; no equivalent operating card selected</t>
        </is>
      </c>
    </row>
    <row r="1547">
      <c r="A1547" s="2" t="inlineStr">
        <is>
          <t>L165</t>
        </is>
      </c>
      <c r="B1547" s="2" t="inlineStr">
        <is>
          <t>gateau new look</t>
        </is>
      </c>
      <c r="C1547" s="2" t="inlineStr">
        <is>
          <t>S078</t>
        </is>
      </c>
      <c r="D1547" s="2" t="inlineStr">
        <is>
          <t>'gateau new look'!C9,D9</t>
        </is>
      </c>
      <c r="E1547" s="2" t="inlineStr">
        <is>
          <t>egg</t>
        </is>
      </c>
      <c r="F1547" s="3" t="n">
        <v>750</v>
      </c>
      <c r="G1547" s="2" t="inlineStr">
        <is>
          <t>750</t>
        </is>
      </c>
      <c r="H1547" s="2" t="inlineStr">
        <is>
          <t>Retain unique variant; no equivalent operating card selected</t>
        </is>
      </c>
    </row>
    <row r="1548">
      <c r="A1548" s="2" t="inlineStr">
        <is>
          <t>L165</t>
        </is>
      </c>
      <c r="B1548" s="2" t="inlineStr">
        <is>
          <t>gateau new look</t>
        </is>
      </c>
      <c r="C1548" s="2" t="inlineStr">
        <is>
          <t>S078</t>
        </is>
      </c>
      <c r="D1548" s="2" t="inlineStr">
        <is>
          <t>'gateau new look'!C10,D10</t>
        </is>
      </c>
      <c r="E1548" s="2" t="inlineStr">
        <is>
          <t>salt</t>
        </is>
      </c>
      <c r="F1548" s="3" t="n">
        <v>270</v>
      </c>
      <c r="G1548" s="2" t="inlineStr">
        <is>
          <t>270</t>
        </is>
      </c>
      <c r="H1548" s="2" t="inlineStr">
        <is>
          <t>Retain unique variant; no equivalent operating card selected</t>
        </is>
      </c>
    </row>
    <row r="1549">
      <c r="A1549" s="2" t="inlineStr">
        <is>
          <t>L165</t>
        </is>
      </c>
      <c r="B1549" s="2" t="inlineStr">
        <is>
          <t>gateau new look</t>
        </is>
      </c>
      <c r="C1549" s="2" t="inlineStr">
        <is>
          <t>S078</t>
        </is>
      </c>
      <c r="D1549" s="2" t="inlineStr">
        <is>
          <t>'gateau new look'!C11,D11</t>
        </is>
      </c>
      <c r="E1549" s="2" t="inlineStr">
        <is>
          <t>improver</t>
        </is>
      </c>
      <c r="F1549" s="3" t="n">
        <v>90</v>
      </c>
      <c r="G1549" s="2" t="inlineStr">
        <is>
          <t>90</t>
        </is>
      </c>
      <c r="H1549" s="2" t="inlineStr">
        <is>
          <t>Retain unique variant; no equivalent operating card selected</t>
        </is>
      </c>
    </row>
    <row r="1550">
      <c r="A1550" s="2" t="inlineStr">
        <is>
          <t>L165</t>
        </is>
      </c>
      <c r="B1550" s="2" t="inlineStr">
        <is>
          <t>gateau new look</t>
        </is>
      </c>
      <c r="C1550" s="2" t="inlineStr">
        <is>
          <t>S078</t>
        </is>
      </c>
      <c r="D1550" s="2" t="inlineStr">
        <is>
          <t>'gateau new look'!C12,D12</t>
        </is>
      </c>
      <c r="E1550" s="2" t="inlineStr">
        <is>
          <t>yeast</t>
        </is>
      </c>
      <c r="F1550" s="3" t="n">
        <v>90</v>
      </c>
      <c r="G1550" s="2" t="inlineStr">
        <is>
          <t>90</t>
        </is>
      </c>
      <c r="H1550" s="2" t="inlineStr">
        <is>
          <t>Retain unique variant; no equivalent operating card selected</t>
        </is>
      </c>
    </row>
    <row r="1551">
      <c r="A1551" s="2" t="inlineStr">
        <is>
          <t>L165</t>
        </is>
      </c>
      <c r="B1551" s="2" t="inlineStr">
        <is>
          <t>gateau new look</t>
        </is>
      </c>
      <c r="C1551" s="2" t="inlineStr">
        <is>
          <t>S078</t>
        </is>
      </c>
      <c r="D1551" s="2" t="inlineStr">
        <is>
          <t>'gateau new look'!C13,D13</t>
        </is>
      </c>
      <c r="E1551" s="2" t="inlineStr">
        <is>
          <t>water</t>
        </is>
      </c>
      <c r="F1551" s="3" t="n">
        <v>9000</v>
      </c>
      <c r="G1551" s="2" t="inlineStr">
        <is>
          <t>9000</t>
        </is>
      </c>
      <c r="H1551" s="2" t="inlineStr">
        <is>
          <t>Retain unique variant; no equivalent operating card selected</t>
        </is>
      </c>
    </row>
    <row r="1552">
      <c r="A1552" s="2" t="inlineStr">
        <is>
          <t>L165</t>
        </is>
      </c>
      <c r="B1552" s="2" t="inlineStr">
        <is>
          <t>gateau new look</t>
        </is>
      </c>
      <c r="C1552" s="2" t="inlineStr">
        <is>
          <t>S078</t>
        </is>
      </c>
      <c r="D1552" s="2" t="inlineStr">
        <is>
          <t>'gateau new look'!C14,D14</t>
        </is>
      </c>
      <c r="E1552" s="2" t="inlineStr">
        <is>
          <t>Nutmeg</t>
        </is>
      </c>
      <c r="F1552" s="3" t="n">
        <v>40</v>
      </c>
      <c r="G1552" s="2" t="inlineStr">
        <is>
          <t>40</t>
        </is>
      </c>
      <c r="H1552" s="2" t="inlineStr">
        <is>
          <t>Retain unique variant; no equivalent operating card selected</t>
        </is>
      </c>
    </row>
    <row r="1553">
      <c r="A1553" s="2" t="inlineStr">
        <is>
          <t>L165</t>
        </is>
      </c>
      <c r="B1553" s="2" t="inlineStr">
        <is>
          <t>gateau new look</t>
        </is>
      </c>
      <c r="C1553" s="2" t="inlineStr">
        <is>
          <t>S078</t>
        </is>
      </c>
      <c r="D1553" s="2" t="inlineStr">
        <is>
          <t>'gateau new look'!C15,D15</t>
        </is>
      </c>
      <c r="E1553" s="2" t="inlineStr">
        <is>
          <t>baking powder</t>
        </is>
      </c>
      <c r="F1553" s="3" t="n">
        <v>80</v>
      </c>
      <c r="G1553" s="2" t="inlineStr">
        <is>
          <t>80</t>
        </is>
      </c>
      <c r="H1553" s="2" t="inlineStr">
        <is>
          <t>Retain unique variant; no equivalent operating card selected</t>
        </is>
      </c>
    </row>
    <row r="1554">
      <c r="A1554" s="2" t="inlineStr">
        <is>
          <t>L165</t>
        </is>
      </c>
      <c r="B1554" s="2" t="inlineStr">
        <is>
          <t>gateau new look</t>
        </is>
      </c>
      <c r="C1554" s="2" t="inlineStr">
        <is>
          <t>S078</t>
        </is>
      </c>
      <c r="D1554" s="2" t="inlineStr">
        <is>
          <t>'gateau new look'!C16,D16</t>
        </is>
      </c>
      <c r="E1554" s="2" t="inlineStr">
        <is>
          <t>frying oil</t>
        </is>
      </c>
      <c r="F1554" s="3" t="n">
        <v>8000</v>
      </c>
      <c r="G1554" s="2" t="inlineStr">
        <is>
          <t>8000</t>
        </is>
      </c>
      <c r="H1554" s="2" t="inlineStr">
        <is>
          <t>Retain unique variant; no equivalent operating card selected</t>
        </is>
      </c>
    </row>
    <row r="1555">
      <c r="A1555" s="2" t="inlineStr">
        <is>
          <t>L166</t>
        </is>
      </c>
      <c r="B1555" s="2" t="inlineStr">
        <is>
          <t>Best Chinchin</t>
        </is>
      </c>
      <c r="C1555" s="2" t="inlineStr">
        <is>
          <t>S085</t>
        </is>
      </c>
      <c r="D1555" s="2" t="inlineStr">
        <is>
          <t>'Best Chinchin'!C5,D5</t>
        </is>
      </c>
      <c r="E1555" s="2" t="inlineStr">
        <is>
          <t>flour</t>
        </is>
      </c>
      <c r="F1555" s="3" t="n">
        <v>25000</v>
      </c>
      <c r="G1555" s="2" t="inlineStr">
        <is>
          <t>25000</t>
        </is>
      </c>
      <c r="H1555" s="2" t="inlineStr">
        <is>
          <t>H10</t>
        </is>
      </c>
    </row>
    <row r="1556">
      <c r="A1556" s="2" t="inlineStr">
        <is>
          <t>L166</t>
        </is>
      </c>
      <c r="B1556" s="2" t="inlineStr">
        <is>
          <t>Best Chinchin</t>
        </is>
      </c>
      <c r="C1556" s="2" t="inlineStr">
        <is>
          <t>S085</t>
        </is>
      </c>
      <c r="D1556" s="2" t="inlineStr">
        <is>
          <t>'Best Chinchin'!C6,D6</t>
        </is>
      </c>
      <c r="E1556" s="2" t="inlineStr">
        <is>
          <t>baking powder</t>
        </is>
      </c>
      <c r="F1556" s="3" t="n">
        <v>500</v>
      </c>
      <c r="G1556" s="2" t="inlineStr">
        <is>
          <t>500</t>
        </is>
      </c>
      <c r="H1556" s="2" t="inlineStr">
        <is>
          <t>H10</t>
        </is>
      </c>
    </row>
    <row r="1557">
      <c r="A1557" s="2" t="inlineStr">
        <is>
          <t>L166</t>
        </is>
      </c>
      <c r="B1557" s="2" t="inlineStr">
        <is>
          <t>Best Chinchin</t>
        </is>
      </c>
      <c r="C1557" s="2" t="inlineStr">
        <is>
          <t>S085</t>
        </is>
      </c>
      <c r="D1557" s="2" t="inlineStr">
        <is>
          <t>'Best Chinchin'!C7,D7</t>
        </is>
      </c>
      <c r="E1557" s="2" t="inlineStr">
        <is>
          <t>nut meg</t>
        </is>
      </c>
      <c r="F1557" s="3" t="n">
        <v>50</v>
      </c>
      <c r="G1557" s="2" t="inlineStr">
        <is>
          <t>50</t>
        </is>
      </c>
      <c r="H1557" s="2" t="inlineStr">
        <is>
          <t>H10</t>
        </is>
      </c>
    </row>
    <row r="1558">
      <c r="A1558" s="2" t="inlineStr">
        <is>
          <t>L166</t>
        </is>
      </c>
      <c r="B1558" s="2" t="inlineStr">
        <is>
          <t>Best Chinchin</t>
        </is>
      </c>
      <c r="C1558" s="2" t="inlineStr">
        <is>
          <t>S085</t>
        </is>
      </c>
      <c r="D1558" s="2" t="inlineStr">
        <is>
          <t>'Best Chinchin'!C8,D8</t>
        </is>
      </c>
      <c r="E1558" s="2" t="inlineStr">
        <is>
          <t>sugar</t>
        </is>
      </c>
      <c r="F1558" s="3" t="n">
        <v>4500</v>
      </c>
      <c r="G1558" s="2" t="inlineStr">
        <is>
          <t>4500</t>
        </is>
      </c>
      <c r="H1558" s="2" t="inlineStr">
        <is>
          <t>H10</t>
        </is>
      </c>
    </row>
    <row r="1559">
      <c r="A1559" s="2" t="inlineStr">
        <is>
          <t>L166</t>
        </is>
      </c>
      <c r="B1559" s="2" t="inlineStr">
        <is>
          <t>Best Chinchin</t>
        </is>
      </c>
      <c r="C1559" s="2" t="inlineStr">
        <is>
          <t>S085</t>
        </is>
      </c>
      <c r="D1559" s="2" t="inlineStr">
        <is>
          <t>'Best Chinchin'!C9,D9</t>
        </is>
      </c>
      <c r="E1559" s="2" t="inlineStr">
        <is>
          <t>Butter</t>
        </is>
      </c>
      <c r="F1559" s="3" t="n">
        <v>4000</v>
      </c>
      <c r="G1559" s="2" t="inlineStr">
        <is>
          <t>4000</t>
        </is>
      </c>
      <c r="H1559" s="2" t="inlineStr">
        <is>
          <t>H10</t>
        </is>
      </c>
    </row>
    <row r="1560">
      <c r="A1560" s="2" t="inlineStr">
        <is>
          <t>L166</t>
        </is>
      </c>
      <c r="B1560" s="2" t="inlineStr">
        <is>
          <t>Best Chinchin</t>
        </is>
      </c>
      <c r="C1560" s="2" t="inlineStr">
        <is>
          <t>S085</t>
        </is>
      </c>
      <c r="D1560" s="2" t="inlineStr">
        <is>
          <t>'Best Chinchin'!C10,D10</t>
        </is>
      </c>
      <c r="E1560" s="2" t="inlineStr">
        <is>
          <t>egg</t>
        </is>
      </c>
      <c r="F1560" s="3" t="n">
        <v>10500</v>
      </c>
      <c r="G1560" s="2" t="inlineStr">
        <is>
          <t>10500</t>
        </is>
      </c>
      <c r="H1560" s="2" t="inlineStr">
        <is>
          <t>H10</t>
        </is>
      </c>
    </row>
    <row r="1561">
      <c r="A1561" s="2" t="inlineStr">
        <is>
          <t>L166</t>
        </is>
      </c>
      <c r="B1561" s="2" t="inlineStr">
        <is>
          <t>Best Chinchin</t>
        </is>
      </c>
      <c r="C1561" s="2" t="inlineStr">
        <is>
          <t>S085</t>
        </is>
      </c>
      <c r="D1561" s="2" t="inlineStr">
        <is>
          <t>'Best Chinchin'!C11,D11</t>
        </is>
      </c>
      <c r="E1561" s="2" t="inlineStr">
        <is>
          <t>salt</t>
        </is>
      </c>
      <c r="F1561" s="3" t="n">
        <v>200</v>
      </c>
      <c r="G1561" s="2" t="inlineStr">
        <is>
          <t>200</t>
        </is>
      </c>
      <c r="H1561" s="2" t="inlineStr">
        <is>
          <t>H10</t>
        </is>
      </c>
    </row>
    <row r="1562">
      <c r="A1562" s="2" t="inlineStr">
        <is>
          <t>L166</t>
        </is>
      </c>
      <c r="B1562" s="2" t="inlineStr">
        <is>
          <t>Best Chinchin</t>
        </is>
      </c>
      <c r="C1562" s="2" t="inlineStr">
        <is>
          <t>S085</t>
        </is>
      </c>
      <c r="D1562" s="2" t="inlineStr">
        <is>
          <t>'Best Chinchin'!C12,D12</t>
        </is>
      </c>
      <c r="E1562" s="2" t="inlineStr">
        <is>
          <t>Improver</t>
        </is>
      </c>
      <c r="F1562" s="3" t="n">
        <v>200</v>
      </c>
      <c r="G1562" s="2" t="inlineStr">
        <is>
          <t>200</t>
        </is>
      </c>
      <c r="H1562" s="2" t="inlineStr">
        <is>
          <t>H10</t>
        </is>
      </c>
    </row>
    <row r="1563">
      <c r="A1563" s="2" t="inlineStr">
        <is>
          <t>L166</t>
        </is>
      </c>
      <c r="B1563" s="2" t="inlineStr">
        <is>
          <t>Best Chinchin</t>
        </is>
      </c>
      <c r="C1563" s="2" t="inlineStr">
        <is>
          <t>S085</t>
        </is>
      </c>
      <c r="D1563" s="2" t="inlineStr">
        <is>
          <t>'Best Chinchin'!C13,D13</t>
        </is>
      </c>
      <c r="E1563" s="2" t="inlineStr">
        <is>
          <t>oil</t>
        </is>
      </c>
      <c r="F1563" s="3" t="n">
        <v>400</v>
      </c>
      <c r="G1563" s="2" t="inlineStr">
        <is>
          <t>400</t>
        </is>
      </c>
      <c r="H1563" s="2" t="inlineStr">
        <is>
          <t>H10</t>
        </is>
      </c>
    </row>
    <row r="1564">
      <c r="A1564" s="2" t="inlineStr">
        <is>
          <t>L166</t>
        </is>
      </c>
      <c r="B1564" s="2" t="inlineStr">
        <is>
          <t>Best Chinchin</t>
        </is>
      </c>
      <c r="C1564" s="2" t="inlineStr">
        <is>
          <t>S085</t>
        </is>
      </c>
      <c r="D1564" s="2" t="inlineStr">
        <is>
          <t>'Best Chinchin'!C14,D14</t>
        </is>
      </c>
      <c r="E1564" s="2" t="inlineStr">
        <is>
          <t>oil</t>
        </is>
      </c>
      <c r="F1564" s="3" t="n">
        <v>15000</v>
      </c>
      <c r="G1564" s="2" t="inlineStr">
        <is>
          <t>15000</t>
        </is>
      </c>
      <c r="H1564" s="2" t="inlineStr">
        <is>
          <t>H10</t>
        </is>
      </c>
    </row>
    <row r="1565">
      <c r="A1565" s="2" t="inlineStr">
        <is>
          <t>L167</t>
        </is>
      </c>
      <c r="B1565" s="2" t="inlineStr">
        <is>
          <t>CAKE NOW</t>
        </is>
      </c>
      <c r="C1565" s="2" t="inlineStr">
        <is>
          <t>S085</t>
        </is>
      </c>
      <c r="D1565" s="2" t="inlineStr">
        <is>
          <t>'CAKE NOW'!C5,D5</t>
        </is>
      </c>
      <c r="E1565" s="2" t="inlineStr">
        <is>
          <t>flour</t>
        </is>
      </c>
      <c r="F1565" s="3" t="n">
        <v>3000</v>
      </c>
      <c r="G1565" s="2" t="inlineStr">
        <is>
          <t>3000</t>
        </is>
      </c>
      <c r="H1565" s="2" t="inlineStr">
        <is>
          <t>H08 / H09; exact style differs</t>
        </is>
      </c>
    </row>
    <row r="1566">
      <c r="A1566" s="2" t="inlineStr">
        <is>
          <t>L167</t>
        </is>
      </c>
      <c r="B1566" s="2" t="inlineStr">
        <is>
          <t>CAKE NOW</t>
        </is>
      </c>
      <c r="C1566" s="2" t="inlineStr">
        <is>
          <t>S085</t>
        </is>
      </c>
      <c r="D1566" s="2" t="inlineStr">
        <is>
          <t>'CAKE NOW'!C6,D6</t>
        </is>
      </c>
      <c r="E1566" s="2" t="inlineStr">
        <is>
          <t>baking powder</t>
        </is>
      </c>
      <c r="F1566" s="3" t="n">
        <v>100</v>
      </c>
      <c r="G1566" s="2" t="inlineStr">
        <is>
          <t>100</t>
        </is>
      </c>
      <c r="H1566" s="2" t="inlineStr">
        <is>
          <t>H08 / H09; exact style differs</t>
        </is>
      </c>
    </row>
    <row r="1567">
      <c r="A1567" s="2" t="inlineStr">
        <is>
          <t>L167</t>
        </is>
      </c>
      <c r="B1567" s="2" t="inlineStr">
        <is>
          <t>CAKE NOW</t>
        </is>
      </c>
      <c r="C1567" s="2" t="inlineStr">
        <is>
          <t>S085</t>
        </is>
      </c>
      <c r="D1567" s="2" t="inlineStr">
        <is>
          <t>'CAKE NOW'!C7,D7</t>
        </is>
      </c>
      <c r="E1567" s="2" t="inlineStr">
        <is>
          <t>Egg</t>
        </is>
      </c>
      <c r="F1567" s="3" t="n">
        <v>1500</v>
      </c>
      <c r="G1567" s="2" t="inlineStr">
        <is>
          <t>1500</t>
        </is>
      </c>
      <c r="H1567" s="2" t="inlineStr">
        <is>
          <t>H08 / H09; exact style differs</t>
        </is>
      </c>
    </row>
    <row r="1568">
      <c r="A1568" s="2" t="inlineStr">
        <is>
          <t>L167</t>
        </is>
      </c>
      <c r="B1568" s="2" t="inlineStr">
        <is>
          <t>CAKE NOW</t>
        </is>
      </c>
      <c r="C1568" s="2" t="inlineStr">
        <is>
          <t>S085</t>
        </is>
      </c>
      <c r="D1568" s="2" t="inlineStr">
        <is>
          <t>'CAKE NOW'!C9,D9</t>
        </is>
      </c>
      <c r="E1568" s="2" t="inlineStr">
        <is>
          <t>Butter</t>
        </is>
      </c>
      <c r="F1568" s="3" t="n">
        <v>1200</v>
      </c>
      <c r="G1568" s="2" t="inlineStr">
        <is>
          <t>1200</t>
        </is>
      </c>
      <c r="H1568" s="2" t="inlineStr">
        <is>
          <t>H08 / H09; exact style differs</t>
        </is>
      </c>
    </row>
    <row r="1569">
      <c r="A1569" s="2" t="inlineStr">
        <is>
          <t>L167</t>
        </is>
      </c>
      <c r="B1569" s="2" t="inlineStr">
        <is>
          <t>CAKE NOW</t>
        </is>
      </c>
      <c r="C1569" s="2" t="inlineStr">
        <is>
          <t>S085</t>
        </is>
      </c>
      <c r="D1569" s="2" t="inlineStr">
        <is>
          <t>'CAKE NOW'!C10,D10</t>
        </is>
      </c>
      <c r="E1569" s="2" t="inlineStr">
        <is>
          <t>sugar</t>
        </is>
      </c>
      <c r="F1569" s="3" t="n">
        <v>1000</v>
      </c>
      <c r="G1569" s="2" t="inlineStr">
        <is>
          <t>1000</t>
        </is>
      </c>
      <c r="H1569" s="2" t="inlineStr">
        <is>
          <t>H08 / H09; exact style differs</t>
        </is>
      </c>
    </row>
    <row r="1570">
      <c r="A1570" s="2" t="inlineStr">
        <is>
          <t>L168</t>
        </is>
      </c>
      <c r="B1570" s="2" t="inlineStr">
        <is>
          <t>Danisa biscuits</t>
        </is>
      </c>
      <c r="C1570" s="2" t="inlineStr">
        <is>
          <t>S085</t>
        </is>
      </c>
      <c r="D1570" s="2" t="inlineStr">
        <is>
          <t>'Danisa biscuits'!C5,D5</t>
        </is>
      </c>
      <c r="E1570" s="2" t="inlineStr">
        <is>
          <t>flour</t>
        </is>
      </c>
      <c r="F1570" s="3" t="n">
        <v>3000</v>
      </c>
      <c r="G1570" s="2" t="inlineStr">
        <is>
          <t>3000</t>
        </is>
      </c>
      <c r="H1570" s="2" t="inlineStr">
        <is>
          <t>H05</t>
        </is>
      </c>
    </row>
    <row r="1571">
      <c r="A1571" s="2" t="inlineStr">
        <is>
          <t>L168</t>
        </is>
      </c>
      <c r="B1571" s="2" t="inlineStr">
        <is>
          <t>Danisa biscuits</t>
        </is>
      </c>
      <c r="C1571" s="2" t="inlineStr">
        <is>
          <t>S085</t>
        </is>
      </c>
      <c r="D1571" s="2" t="inlineStr">
        <is>
          <t>'Danisa biscuits'!C6,D6</t>
        </is>
      </c>
      <c r="E1571" s="2" t="inlineStr">
        <is>
          <t>Butter</t>
        </is>
      </c>
      <c r="F1571" s="3" t="n">
        <v>500</v>
      </c>
      <c r="G1571" s="2" t="inlineStr">
        <is>
          <t>500</t>
        </is>
      </c>
      <c r="H1571" s="2" t="inlineStr">
        <is>
          <t>H05</t>
        </is>
      </c>
    </row>
    <row r="1572">
      <c r="A1572" s="2" t="inlineStr">
        <is>
          <t>L168</t>
        </is>
      </c>
      <c r="B1572" s="2" t="inlineStr">
        <is>
          <t>Danisa biscuits</t>
        </is>
      </c>
      <c r="C1572" s="2" t="inlineStr">
        <is>
          <t>S085</t>
        </is>
      </c>
      <c r="D1572" s="2" t="inlineStr">
        <is>
          <t>'Danisa biscuits'!C7,D7</t>
        </is>
      </c>
      <c r="E1572" s="2" t="inlineStr">
        <is>
          <t>sugar</t>
        </is>
      </c>
      <c r="F1572" s="3" t="n">
        <v>300</v>
      </c>
      <c r="G1572" s="2" t="inlineStr">
        <is>
          <t>300</t>
        </is>
      </c>
      <c r="H1572" s="2" t="inlineStr">
        <is>
          <t>H05</t>
        </is>
      </c>
    </row>
    <row r="1573">
      <c r="A1573" s="2" t="inlineStr">
        <is>
          <t>L168</t>
        </is>
      </c>
      <c r="B1573" s="2" t="inlineStr">
        <is>
          <t>Danisa biscuits</t>
        </is>
      </c>
      <c r="C1573" s="2" t="inlineStr">
        <is>
          <t>S085</t>
        </is>
      </c>
      <c r="D1573" s="2" t="inlineStr">
        <is>
          <t>'Danisa biscuits'!C8,D8</t>
        </is>
      </c>
      <c r="E1573" s="2" t="inlineStr">
        <is>
          <t>Milk</t>
        </is>
      </c>
      <c r="F1573" s="3" t="n">
        <v>250</v>
      </c>
      <c r="G1573" s="2" t="inlineStr">
        <is>
          <t>250</t>
        </is>
      </c>
      <c r="H1573" s="2" t="inlineStr">
        <is>
          <t>H05</t>
        </is>
      </c>
    </row>
    <row r="1574">
      <c r="A1574" s="2" t="inlineStr">
        <is>
          <t>L168</t>
        </is>
      </c>
      <c r="B1574" s="2" t="inlineStr">
        <is>
          <t>Danisa biscuits</t>
        </is>
      </c>
      <c r="C1574" s="2" t="inlineStr">
        <is>
          <t>S085</t>
        </is>
      </c>
      <c r="D1574" s="2" t="inlineStr">
        <is>
          <t>'Danisa biscuits'!C9,D9</t>
        </is>
      </c>
      <c r="E1574" s="2" t="inlineStr">
        <is>
          <t>egg</t>
        </is>
      </c>
      <c r="F1574" s="3" t="n">
        <v>200</v>
      </c>
      <c r="G1574" s="2" t="inlineStr">
        <is>
          <t>200</t>
        </is>
      </c>
      <c r="H1574" s="2" t="inlineStr">
        <is>
          <t>H05</t>
        </is>
      </c>
    </row>
    <row r="1575">
      <c r="A1575" s="2" t="inlineStr">
        <is>
          <t>L168</t>
        </is>
      </c>
      <c r="B1575" s="2" t="inlineStr">
        <is>
          <t>Danisa biscuits</t>
        </is>
      </c>
      <c r="C1575" s="2" t="inlineStr">
        <is>
          <t>S085</t>
        </is>
      </c>
      <c r="D1575" s="2" t="inlineStr">
        <is>
          <t>'Danisa biscuits'!C10,D10</t>
        </is>
      </c>
      <c r="E1575" s="2" t="inlineStr">
        <is>
          <t>salt</t>
        </is>
      </c>
      <c r="F1575" s="3" t="n">
        <v>35</v>
      </c>
      <c r="G1575" s="2" t="inlineStr">
        <is>
          <t>35</t>
        </is>
      </c>
      <c r="H1575" s="2" t="inlineStr">
        <is>
          <t>H05</t>
        </is>
      </c>
    </row>
    <row r="1576">
      <c r="A1576" s="2" t="inlineStr">
        <is>
          <t>L168</t>
        </is>
      </c>
      <c r="B1576" s="2" t="inlineStr">
        <is>
          <t>Danisa biscuits</t>
        </is>
      </c>
      <c r="C1576" s="2" t="inlineStr">
        <is>
          <t>S085</t>
        </is>
      </c>
      <c r="D1576" s="2" t="inlineStr">
        <is>
          <t>'Danisa biscuits'!C11,D11</t>
        </is>
      </c>
      <c r="E1576" s="2" t="inlineStr">
        <is>
          <t>improver</t>
        </is>
      </c>
      <c r="F1576" s="3" t="n">
        <v>40</v>
      </c>
      <c r="G1576" s="2" t="inlineStr">
        <is>
          <t>40</t>
        </is>
      </c>
      <c r="H1576" s="2" t="inlineStr">
        <is>
          <t>H05</t>
        </is>
      </c>
    </row>
    <row r="1577">
      <c r="A1577" s="2" t="inlineStr">
        <is>
          <t>L168</t>
        </is>
      </c>
      <c r="B1577" s="2" t="inlineStr">
        <is>
          <t>Danisa biscuits</t>
        </is>
      </c>
      <c r="C1577" s="2" t="inlineStr">
        <is>
          <t>S085</t>
        </is>
      </c>
      <c r="D1577" s="2" t="inlineStr">
        <is>
          <t>'Danisa biscuits'!C12,D12</t>
        </is>
      </c>
      <c r="E1577" s="2" t="inlineStr">
        <is>
          <t>yeast</t>
        </is>
      </c>
      <c r="F1577" s="3" t="n">
        <v>25</v>
      </c>
      <c r="G1577" s="2" t="inlineStr">
        <is>
          <t>25</t>
        </is>
      </c>
      <c r="H1577" s="2" t="inlineStr">
        <is>
          <t>H05</t>
        </is>
      </c>
    </row>
    <row r="1578">
      <c r="A1578" s="2" t="inlineStr">
        <is>
          <t>L168</t>
        </is>
      </c>
      <c r="B1578" s="2" t="inlineStr">
        <is>
          <t>Danisa biscuits</t>
        </is>
      </c>
      <c r="C1578" s="2" t="inlineStr">
        <is>
          <t>S085</t>
        </is>
      </c>
      <c r="D1578" s="2" t="inlineStr">
        <is>
          <t>'Danisa biscuits'!C13,D13</t>
        </is>
      </c>
      <c r="E1578" s="2" t="inlineStr">
        <is>
          <t>water</t>
        </is>
      </c>
      <c r="F1578" s="3" t="n">
        <v>1200</v>
      </c>
      <c r="G1578" s="2" t="inlineStr">
        <is>
          <t>1200</t>
        </is>
      </c>
      <c r="H1578" s="2" t="inlineStr">
        <is>
          <t>H05</t>
        </is>
      </c>
    </row>
    <row r="1579">
      <c r="A1579" s="2" t="inlineStr">
        <is>
          <t>L168</t>
        </is>
      </c>
      <c r="B1579" s="2" t="inlineStr">
        <is>
          <t>Danisa biscuits</t>
        </is>
      </c>
      <c r="C1579" s="2" t="inlineStr">
        <is>
          <t>S085</t>
        </is>
      </c>
      <c r="D1579" s="2" t="inlineStr">
        <is>
          <t>'Danisa biscuits'!C14,D14</t>
        </is>
      </c>
      <c r="E1579" s="2" t="inlineStr">
        <is>
          <t>baking powder</t>
        </is>
      </c>
      <c r="F1579" s="3" t="n">
        <v>27</v>
      </c>
      <c r="G1579" s="2" t="inlineStr">
        <is>
          <t>27</t>
        </is>
      </c>
      <c r="H1579" s="2" t="inlineStr">
        <is>
          <t>H05</t>
        </is>
      </c>
    </row>
    <row r="1580">
      <c r="A1580" s="2" t="inlineStr">
        <is>
          <t>L168</t>
        </is>
      </c>
      <c r="B1580" s="2" t="inlineStr">
        <is>
          <t>Danisa biscuits</t>
        </is>
      </c>
      <c r="C1580" s="2" t="inlineStr">
        <is>
          <t>S085</t>
        </is>
      </c>
      <c r="D1580" s="2" t="inlineStr">
        <is>
          <t>'Danisa biscuits'!C15,D15</t>
        </is>
      </c>
      <c r="E1580" s="2" t="inlineStr">
        <is>
          <t>Chocolate</t>
        </is>
      </c>
      <c r="F1580" s="3" t="n">
        <v>700</v>
      </c>
      <c r="G1580" s="2" t="inlineStr">
        <is>
          <t>700</t>
        </is>
      </c>
      <c r="H1580" s="2" t="inlineStr">
        <is>
          <t>H05</t>
        </is>
      </c>
    </row>
    <row r="1581">
      <c r="A1581" s="2" t="inlineStr">
        <is>
          <t>L168</t>
        </is>
      </c>
      <c r="B1581" s="2" t="inlineStr">
        <is>
          <t>Danisa biscuits</t>
        </is>
      </c>
      <c r="C1581" s="2" t="inlineStr">
        <is>
          <t>S085</t>
        </is>
      </c>
      <c r="D1581" s="2" t="inlineStr">
        <is>
          <t>'Danisa biscuits'!C16,D16</t>
        </is>
      </c>
      <c r="E1581" s="2" t="inlineStr">
        <is>
          <t>honey</t>
        </is>
      </c>
      <c r="F1581" s="3" t="n">
        <v>700</v>
      </c>
      <c r="G1581" s="2" t="inlineStr">
        <is>
          <t>700</t>
        </is>
      </c>
      <c r="H1581" s="2" t="inlineStr">
        <is>
          <t>H05</t>
        </is>
      </c>
    </row>
    <row r="1582">
      <c r="A1582" s="2" t="inlineStr">
        <is>
          <t>L168</t>
        </is>
      </c>
      <c r="B1582" s="2" t="inlineStr">
        <is>
          <t>Danisa biscuits</t>
        </is>
      </c>
      <c r="C1582" s="2" t="inlineStr">
        <is>
          <t>S085</t>
        </is>
      </c>
      <c r="D1582" s="2" t="inlineStr">
        <is>
          <t>'Danisa biscuits'!C17,D17</t>
        </is>
      </c>
      <c r="E1582" s="2" t="inlineStr">
        <is>
          <t>EDC</t>
        </is>
      </c>
      <c r="F1582" s="3" t="n">
        <v>50</v>
      </c>
      <c r="G1582" s="2" t="inlineStr">
        <is>
          <t>50</t>
        </is>
      </c>
      <c r="H1582" s="2" t="inlineStr">
        <is>
          <t>H05</t>
        </is>
      </c>
    </row>
    <row r="1583">
      <c r="A1583" s="2" t="inlineStr">
        <is>
          <t>L169</t>
        </is>
      </c>
      <c r="B1583" s="2" t="inlineStr">
        <is>
          <t>Danisa biscuits</t>
        </is>
      </c>
      <c r="C1583" s="2" t="inlineStr">
        <is>
          <t>S085</t>
        </is>
      </c>
      <c r="D1583" s="2" t="inlineStr">
        <is>
          <t>'Danisa biscuits'!C5,H5</t>
        </is>
      </c>
      <c r="E1583" s="2" t="inlineStr">
        <is>
          <t>flour</t>
        </is>
      </c>
      <c r="F1583" s="3" t="n">
        <v>9000</v>
      </c>
      <c r="G1583" s="2" t="inlineStr">
        <is>
          <t>9000</t>
        </is>
      </c>
      <c r="H1583" s="2" t="inlineStr">
        <is>
          <t>H05</t>
        </is>
      </c>
    </row>
    <row r="1584">
      <c r="A1584" s="2" t="inlineStr">
        <is>
          <t>L169</t>
        </is>
      </c>
      <c r="B1584" s="2" t="inlineStr">
        <is>
          <t>Danisa biscuits</t>
        </is>
      </c>
      <c r="C1584" s="2" t="inlineStr">
        <is>
          <t>S085</t>
        </is>
      </c>
      <c r="D1584" s="2" t="inlineStr">
        <is>
          <t>'Danisa biscuits'!C6,H6</t>
        </is>
      </c>
      <c r="E1584" s="2" t="inlineStr">
        <is>
          <t>Butter</t>
        </is>
      </c>
      <c r="F1584" s="3" t="n">
        <v>1000</v>
      </c>
      <c r="G1584" s="2" t="inlineStr">
        <is>
          <t>1000</t>
        </is>
      </c>
      <c r="H1584" s="2" t="inlineStr">
        <is>
          <t>H05</t>
        </is>
      </c>
    </row>
    <row r="1585">
      <c r="A1585" s="2" t="inlineStr">
        <is>
          <t>L169</t>
        </is>
      </c>
      <c r="B1585" s="2" t="inlineStr">
        <is>
          <t>Danisa biscuits</t>
        </is>
      </c>
      <c r="C1585" s="2" t="inlineStr">
        <is>
          <t>S085</t>
        </is>
      </c>
      <c r="D1585" s="2" t="inlineStr">
        <is>
          <t>'Danisa biscuits'!C7,H7</t>
        </is>
      </c>
      <c r="E1585" s="2" t="inlineStr">
        <is>
          <t>sugar</t>
        </is>
      </c>
      <c r="F1585" s="3" t="n">
        <v>1000</v>
      </c>
      <c r="G1585" s="2" t="inlineStr">
        <is>
          <t>1000</t>
        </is>
      </c>
      <c r="H1585" s="2" t="inlineStr">
        <is>
          <t>H05</t>
        </is>
      </c>
    </row>
    <row r="1586">
      <c r="A1586" s="2" t="inlineStr">
        <is>
          <t>L169</t>
        </is>
      </c>
      <c r="B1586" s="2" t="inlineStr">
        <is>
          <t>Danisa biscuits</t>
        </is>
      </c>
      <c r="C1586" s="2" t="inlineStr">
        <is>
          <t>S085</t>
        </is>
      </c>
      <c r="D1586" s="2" t="inlineStr">
        <is>
          <t>'Danisa biscuits'!C8,H8</t>
        </is>
      </c>
      <c r="E1586" s="2" t="inlineStr">
        <is>
          <t>Milk</t>
        </is>
      </c>
      <c r="F1586" s="3" t="n">
        <v>750</v>
      </c>
      <c r="G1586" s="2" t="inlineStr">
        <is>
          <t>750</t>
        </is>
      </c>
      <c r="H1586" s="2" t="inlineStr">
        <is>
          <t>H05</t>
        </is>
      </c>
    </row>
    <row r="1587">
      <c r="A1587" s="2" t="inlineStr">
        <is>
          <t>L169</t>
        </is>
      </c>
      <c r="B1587" s="2" t="inlineStr">
        <is>
          <t>Danisa biscuits</t>
        </is>
      </c>
      <c r="C1587" s="2" t="inlineStr">
        <is>
          <t>S085</t>
        </is>
      </c>
      <c r="D1587" s="2" t="inlineStr">
        <is>
          <t>'Danisa biscuits'!C9,H9</t>
        </is>
      </c>
      <c r="E1587" s="2" t="inlineStr">
        <is>
          <t>egg</t>
        </is>
      </c>
      <c r="F1587" s="3" t="n">
        <v>750</v>
      </c>
      <c r="G1587" s="2" t="inlineStr">
        <is>
          <t>750</t>
        </is>
      </c>
      <c r="H1587" s="2" t="inlineStr">
        <is>
          <t>H05</t>
        </is>
      </c>
    </row>
    <row r="1588">
      <c r="A1588" s="2" t="inlineStr">
        <is>
          <t>L169</t>
        </is>
      </c>
      <c r="B1588" s="2" t="inlineStr">
        <is>
          <t>Danisa biscuits</t>
        </is>
      </c>
      <c r="C1588" s="2" t="inlineStr">
        <is>
          <t>S085</t>
        </is>
      </c>
      <c r="D1588" s="2" t="inlineStr">
        <is>
          <t>'Danisa biscuits'!C10,H10</t>
        </is>
      </c>
      <c r="E1588" s="2" t="inlineStr">
        <is>
          <t>salt</t>
        </is>
      </c>
      <c r="F1588" s="3" t="n">
        <v>120</v>
      </c>
      <c r="G1588" s="2" t="inlineStr">
        <is>
          <t>120</t>
        </is>
      </c>
      <c r="H1588" s="2" t="inlineStr">
        <is>
          <t>H05</t>
        </is>
      </c>
    </row>
    <row r="1589">
      <c r="A1589" s="2" t="inlineStr">
        <is>
          <t>L169</t>
        </is>
      </c>
      <c r="B1589" s="2" t="inlineStr">
        <is>
          <t>Danisa biscuits</t>
        </is>
      </c>
      <c r="C1589" s="2" t="inlineStr">
        <is>
          <t>S085</t>
        </is>
      </c>
      <c r="D1589" s="2" t="inlineStr">
        <is>
          <t>'Danisa biscuits'!C11,H11</t>
        </is>
      </c>
      <c r="E1589" s="2" t="inlineStr">
        <is>
          <t>improver</t>
        </is>
      </c>
      <c r="F1589" s="3" t="n">
        <v>120</v>
      </c>
      <c r="G1589" s="2" t="inlineStr">
        <is>
          <t>120</t>
        </is>
      </c>
      <c r="H1589" s="2" t="inlineStr">
        <is>
          <t>H05</t>
        </is>
      </c>
    </row>
    <row r="1590">
      <c r="A1590" s="2" t="inlineStr">
        <is>
          <t>L169</t>
        </is>
      </c>
      <c r="B1590" s="2" t="inlineStr">
        <is>
          <t>Danisa biscuits</t>
        </is>
      </c>
      <c r="C1590" s="2" t="inlineStr">
        <is>
          <t>S085</t>
        </is>
      </c>
      <c r="D1590" s="2" t="inlineStr">
        <is>
          <t>'Danisa biscuits'!C12,H12</t>
        </is>
      </c>
      <c r="E1590" s="2" t="inlineStr">
        <is>
          <t>yeast</t>
        </is>
      </c>
      <c r="F1590" s="3" t="n">
        <v>60</v>
      </c>
      <c r="G1590" s="2" t="inlineStr">
        <is>
          <t>60</t>
        </is>
      </c>
      <c r="H1590" s="2" t="inlineStr">
        <is>
          <t>H05</t>
        </is>
      </c>
    </row>
    <row r="1591">
      <c r="A1591" s="2" t="inlineStr">
        <is>
          <t>L169</t>
        </is>
      </c>
      <c r="B1591" s="2" t="inlineStr">
        <is>
          <t>Danisa biscuits</t>
        </is>
      </c>
      <c r="C1591" s="2" t="inlineStr">
        <is>
          <t>S085</t>
        </is>
      </c>
      <c r="D1591" s="2" t="inlineStr">
        <is>
          <t>'Danisa biscuits'!C13,H13</t>
        </is>
      </c>
      <c r="E1591" s="2" t="inlineStr">
        <is>
          <t>water</t>
        </is>
      </c>
      <c r="F1591" s="3" t="n">
        <v>2500</v>
      </c>
      <c r="G1591" s="2" t="inlineStr">
        <is>
          <t>2500</t>
        </is>
      </c>
      <c r="H1591" s="2" t="inlineStr">
        <is>
          <t>H05</t>
        </is>
      </c>
    </row>
    <row r="1592">
      <c r="A1592" s="2" t="inlineStr">
        <is>
          <t>L169</t>
        </is>
      </c>
      <c r="B1592" s="2" t="inlineStr">
        <is>
          <t>Danisa biscuits</t>
        </is>
      </c>
      <c r="C1592" s="2" t="inlineStr">
        <is>
          <t>S085</t>
        </is>
      </c>
      <c r="D1592" s="2" t="inlineStr">
        <is>
          <t>'Danisa biscuits'!C14,H14</t>
        </is>
      </c>
      <c r="E1592" s="2" t="inlineStr">
        <is>
          <t>baking powder</t>
        </is>
      </c>
      <c r="F1592" s="3" t="n">
        <v>90</v>
      </c>
      <c r="G1592" s="2" t="inlineStr">
        <is>
          <t>90</t>
        </is>
      </c>
      <c r="H1592" s="2" t="inlineStr">
        <is>
          <t>H05</t>
        </is>
      </c>
    </row>
    <row r="1593">
      <c r="A1593" s="2" t="inlineStr">
        <is>
          <t>L169</t>
        </is>
      </c>
      <c r="B1593" s="2" t="inlineStr">
        <is>
          <t>Danisa biscuits</t>
        </is>
      </c>
      <c r="C1593" s="2" t="inlineStr">
        <is>
          <t>S085</t>
        </is>
      </c>
      <c r="D1593" s="2" t="inlineStr">
        <is>
          <t>'Danisa biscuits'!C15,H15</t>
        </is>
      </c>
      <c r="E1593" s="2" t="inlineStr">
        <is>
          <t>Chocolate</t>
        </is>
      </c>
      <c r="F1593" s="3" t="n">
        <v>1000</v>
      </c>
      <c r="G1593" s="2" t="inlineStr">
        <is>
          <t>1000</t>
        </is>
      </c>
      <c r="H1593" s="2" t="inlineStr">
        <is>
          <t>H05</t>
        </is>
      </c>
    </row>
    <row r="1594">
      <c r="A1594" s="2" t="inlineStr">
        <is>
          <t>L169</t>
        </is>
      </c>
      <c r="B1594" s="2" t="inlineStr">
        <is>
          <t>Danisa biscuits</t>
        </is>
      </c>
      <c r="C1594" s="2" t="inlineStr">
        <is>
          <t>S085</t>
        </is>
      </c>
      <c r="D1594" s="2" t="inlineStr">
        <is>
          <t>'Danisa biscuits'!C17,H17</t>
        </is>
      </c>
      <c r="E1594" s="2" t="inlineStr">
        <is>
          <t>EDC</t>
        </is>
      </c>
      <c r="F1594" s="3" t="n">
        <v>100</v>
      </c>
      <c r="G1594" s="2" t="inlineStr">
        <is>
          <t>100</t>
        </is>
      </c>
      <c r="H1594" s="2" t="inlineStr">
        <is>
          <t>H05</t>
        </is>
      </c>
    </row>
    <row r="1595">
      <c r="A1595" s="2" t="inlineStr">
        <is>
          <t>L170</t>
        </is>
      </c>
      <c r="B1595" s="2" t="inlineStr">
        <is>
          <t>Donuts</t>
        </is>
      </c>
      <c r="C1595" s="2" t="inlineStr">
        <is>
          <t>S085</t>
        </is>
      </c>
      <c r="D1595" s="2" t="inlineStr">
        <is>
          <t>'Donuts'!C5,D5</t>
        </is>
      </c>
      <c r="E1595" s="2" t="inlineStr">
        <is>
          <t>flour</t>
        </is>
      </c>
      <c r="F1595" s="3" t="n">
        <v>11000</v>
      </c>
      <c r="G1595" s="2" t="inlineStr">
        <is>
          <t>11000</t>
        </is>
      </c>
      <c r="H1595" s="2" t="inlineStr">
        <is>
          <t>T01 for cake / O-P04 for yeast</t>
        </is>
      </c>
    </row>
    <row r="1596">
      <c r="A1596" s="2" t="inlineStr">
        <is>
          <t>L170</t>
        </is>
      </c>
      <c r="B1596" s="2" t="inlineStr">
        <is>
          <t>Donuts</t>
        </is>
      </c>
      <c r="C1596" s="2" t="inlineStr">
        <is>
          <t>S085</t>
        </is>
      </c>
      <c r="D1596" s="2" t="inlineStr">
        <is>
          <t>'Donuts'!C6,D6</t>
        </is>
      </c>
      <c r="E1596" s="2" t="inlineStr">
        <is>
          <t>baking powder</t>
        </is>
      </c>
      <c r="F1596" s="3" t="n">
        <v>190</v>
      </c>
      <c r="G1596" s="2" t="inlineStr">
        <is>
          <t>190</t>
        </is>
      </c>
      <c r="H1596" s="2" t="inlineStr">
        <is>
          <t>T01 for cake / O-P04 for yeast</t>
        </is>
      </c>
    </row>
    <row r="1597">
      <c r="A1597" s="2" t="inlineStr">
        <is>
          <t>L170</t>
        </is>
      </c>
      <c r="B1597" s="2" t="inlineStr">
        <is>
          <t>Donuts</t>
        </is>
      </c>
      <c r="C1597" s="2" t="inlineStr">
        <is>
          <t>S085</t>
        </is>
      </c>
      <c r="D1597" s="2" t="inlineStr">
        <is>
          <t>'Donuts'!C7,D7</t>
        </is>
      </c>
      <c r="E1597" s="2" t="inlineStr">
        <is>
          <t>milk</t>
        </is>
      </c>
      <c r="F1597" s="3" t="n">
        <v>500</v>
      </c>
      <c r="G1597" s="2" t="inlineStr">
        <is>
          <t>500</t>
        </is>
      </c>
      <c r="H1597" s="2" t="inlineStr">
        <is>
          <t>T01 for cake / O-P04 for yeast</t>
        </is>
      </c>
    </row>
    <row r="1598">
      <c r="A1598" s="2" t="inlineStr">
        <is>
          <t>L170</t>
        </is>
      </c>
      <c r="B1598" s="2" t="inlineStr">
        <is>
          <t>Donuts</t>
        </is>
      </c>
      <c r="C1598" s="2" t="inlineStr">
        <is>
          <t>S085</t>
        </is>
      </c>
      <c r="D1598" s="2" t="inlineStr">
        <is>
          <t>'Donuts'!C8,D8</t>
        </is>
      </c>
      <c r="E1598" s="2" t="inlineStr">
        <is>
          <t>salt</t>
        </is>
      </c>
      <c r="F1598" s="3" t="n">
        <v>110</v>
      </c>
      <c r="G1598" s="2" t="inlineStr">
        <is>
          <t>110</t>
        </is>
      </c>
      <c r="H1598" s="2" t="inlineStr">
        <is>
          <t>T01 for cake / O-P04 for yeast</t>
        </is>
      </c>
    </row>
    <row r="1599">
      <c r="A1599" s="2" t="inlineStr">
        <is>
          <t>L170</t>
        </is>
      </c>
      <c r="B1599" s="2" t="inlineStr">
        <is>
          <t>Donuts</t>
        </is>
      </c>
      <c r="C1599" s="2" t="inlineStr">
        <is>
          <t>S085</t>
        </is>
      </c>
      <c r="D1599" s="2" t="inlineStr">
        <is>
          <t>'Donuts'!C9,D9</t>
        </is>
      </c>
      <c r="E1599" s="2" t="inlineStr">
        <is>
          <t>Sugar</t>
        </is>
      </c>
      <c r="F1599" s="3" t="n">
        <v>1100</v>
      </c>
      <c r="G1599" s="2" t="inlineStr">
        <is>
          <t>1100</t>
        </is>
      </c>
      <c r="H1599" s="2" t="inlineStr">
        <is>
          <t>T01 for cake / O-P04 for yeast</t>
        </is>
      </c>
    </row>
    <row r="1600">
      <c r="A1600" s="2" t="inlineStr">
        <is>
          <t>L170</t>
        </is>
      </c>
      <c r="B1600" s="2" t="inlineStr">
        <is>
          <t>Donuts</t>
        </is>
      </c>
      <c r="C1600" s="2" t="inlineStr">
        <is>
          <t>S085</t>
        </is>
      </c>
      <c r="D1600" s="2" t="inlineStr">
        <is>
          <t>'Donuts'!C10,D10</t>
        </is>
      </c>
      <c r="E1600" s="2" t="inlineStr">
        <is>
          <t>Improver</t>
        </is>
      </c>
      <c r="F1600" s="3" t="n">
        <v>90</v>
      </c>
      <c r="G1600" s="2" t="inlineStr">
        <is>
          <t>90</t>
        </is>
      </c>
      <c r="H1600" s="2" t="inlineStr">
        <is>
          <t>T01 for cake / O-P04 for yeast</t>
        </is>
      </c>
    </row>
    <row r="1601">
      <c r="A1601" s="2" t="inlineStr">
        <is>
          <t>L170</t>
        </is>
      </c>
      <c r="B1601" s="2" t="inlineStr">
        <is>
          <t>Donuts</t>
        </is>
      </c>
      <c r="C1601" s="2" t="inlineStr">
        <is>
          <t>S085</t>
        </is>
      </c>
      <c r="D1601" s="2" t="inlineStr">
        <is>
          <t>'Donuts'!C11,D11</t>
        </is>
      </c>
      <c r="E1601" s="2" t="inlineStr">
        <is>
          <t>eggs</t>
        </is>
      </c>
      <c r="F1601" s="3" t="n">
        <v>1000</v>
      </c>
      <c r="G1601" s="2" t="inlineStr">
        <is>
          <t>1000</t>
        </is>
      </c>
      <c r="H1601" s="2" t="inlineStr">
        <is>
          <t>T01 for cake / O-P04 for yeast</t>
        </is>
      </c>
    </row>
    <row r="1602">
      <c r="A1602" s="2" t="inlineStr">
        <is>
          <t>L170</t>
        </is>
      </c>
      <c r="B1602" s="2" t="inlineStr">
        <is>
          <t>Donuts</t>
        </is>
      </c>
      <c r="C1602" s="2" t="inlineStr">
        <is>
          <t>S085</t>
        </is>
      </c>
      <c r="D1602" s="2" t="inlineStr">
        <is>
          <t>'Donuts'!C12,D12</t>
        </is>
      </c>
      <c r="E1602" s="2" t="inlineStr">
        <is>
          <t>water</t>
        </is>
      </c>
      <c r="F1602" s="3" t="n">
        <v>7500</v>
      </c>
      <c r="G1602" s="2" t="inlineStr">
        <is>
          <t>7500</t>
        </is>
      </c>
      <c r="H1602" s="2" t="inlineStr">
        <is>
          <t>T01 for cake / O-P04 for yeast</t>
        </is>
      </c>
    </row>
    <row r="1603">
      <c r="A1603" s="2" t="inlineStr">
        <is>
          <t>L170</t>
        </is>
      </c>
      <c r="B1603" s="2" t="inlineStr">
        <is>
          <t>Donuts</t>
        </is>
      </c>
      <c r="C1603" s="2" t="inlineStr">
        <is>
          <t>S085</t>
        </is>
      </c>
      <c r="D1603" s="2" t="inlineStr">
        <is>
          <t>'Donuts'!C13,D13</t>
        </is>
      </c>
      <c r="E1603" s="2" t="inlineStr">
        <is>
          <t>oil</t>
        </is>
      </c>
      <c r="F1603" s="3" t="n">
        <v>5000</v>
      </c>
      <c r="G1603" s="2" t="inlineStr">
        <is>
          <t>5000</t>
        </is>
      </c>
      <c r="H1603" s="2" t="inlineStr">
        <is>
          <t>T01 for cake / O-P04 for yeast</t>
        </is>
      </c>
    </row>
    <row r="1604">
      <c r="A1604" s="2" t="inlineStr">
        <is>
          <t>L171</t>
        </is>
      </c>
      <c r="B1604" s="2" t="inlineStr">
        <is>
          <t>Fish Pie</t>
        </is>
      </c>
      <c r="C1604" s="2" t="inlineStr">
        <is>
          <t>S085</t>
        </is>
      </c>
      <c r="D1604" s="2" t="inlineStr">
        <is>
          <t>'Fish Pie'!C5,D5</t>
        </is>
      </c>
      <c r="E1604" s="2" t="inlineStr">
        <is>
          <t>flour</t>
        </is>
      </c>
      <c r="F1604" s="3" t="n">
        <v>6000</v>
      </c>
      <c r="G1604" s="2" t="inlineStr">
        <is>
          <t>6000</t>
        </is>
      </c>
      <c r="H1604" s="2" t="inlineStr">
        <is>
          <t>O-P06 / O-P09; filling differs</t>
        </is>
      </c>
    </row>
    <row r="1605">
      <c r="A1605" s="2" t="inlineStr">
        <is>
          <t>L171</t>
        </is>
      </c>
      <c r="B1605" s="2" t="inlineStr">
        <is>
          <t>Fish Pie</t>
        </is>
      </c>
      <c r="C1605" s="2" t="inlineStr">
        <is>
          <t>S085</t>
        </is>
      </c>
      <c r="D1605" s="2" t="inlineStr">
        <is>
          <t>'Fish Pie'!C6,D6</t>
        </is>
      </c>
      <c r="E1605" s="2" t="inlineStr">
        <is>
          <t>baking powder</t>
        </is>
      </c>
      <c r="F1605" s="3" t="n">
        <v>140</v>
      </c>
      <c r="G1605" s="2" t="inlineStr">
        <is>
          <t>140</t>
        </is>
      </c>
      <c r="H1605" s="2" t="inlineStr">
        <is>
          <t>O-P06 / O-P09; filling differs</t>
        </is>
      </c>
    </row>
    <row r="1606">
      <c r="A1606" s="2" t="inlineStr">
        <is>
          <t>L171</t>
        </is>
      </c>
      <c r="B1606" s="2" t="inlineStr">
        <is>
          <t>Fish Pie</t>
        </is>
      </c>
      <c r="C1606" s="2" t="inlineStr">
        <is>
          <t>S085</t>
        </is>
      </c>
      <c r="D1606" s="2" t="inlineStr">
        <is>
          <t>'Fish Pie'!C7,D7</t>
        </is>
      </c>
      <c r="E1606" s="2" t="inlineStr">
        <is>
          <t>sugar</t>
        </is>
      </c>
      <c r="F1606" s="3" t="n">
        <v>200</v>
      </c>
      <c r="G1606" s="2" t="inlineStr">
        <is>
          <t>200</t>
        </is>
      </c>
      <c r="H1606" s="2" t="inlineStr">
        <is>
          <t>O-P06 / O-P09; filling differs</t>
        </is>
      </c>
    </row>
    <row r="1607">
      <c r="A1607" s="2" t="inlineStr">
        <is>
          <t>L171</t>
        </is>
      </c>
      <c r="B1607" s="2" t="inlineStr">
        <is>
          <t>Fish Pie</t>
        </is>
      </c>
      <c r="C1607" s="2" t="inlineStr">
        <is>
          <t>S085</t>
        </is>
      </c>
      <c r="D1607" s="2" t="inlineStr">
        <is>
          <t>'Fish Pie'!C8,D8</t>
        </is>
      </c>
      <c r="E1607" s="2" t="inlineStr">
        <is>
          <t>Butter</t>
        </is>
      </c>
      <c r="F1607" s="3" t="n">
        <v>2500</v>
      </c>
      <c r="G1607" s="2" t="inlineStr">
        <is>
          <t>2500</t>
        </is>
      </c>
      <c r="H1607" s="2" t="inlineStr">
        <is>
          <t>O-P06 / O-P09; filling differs</t>
        </is>
      </c>
    </row>
    <row r="1608">
      <c r="A1608" s="2" t="inlineStr">
        <is>
          <t>L171</t>
        </is>
      </c>
      <c r="B1608" s="2" t="inlineStr">
        <is>
          <t>Fish Pie</t>
        </is>
      </c>
      <c r="C1608" s="2" t="inlineStr">
        <is>
          <t>S085</t>
        </is>
      </c>
      <c r="D1608" s="2" t="inlineStr">
        <is>
          <t>'Fish Pie'!C9,D9</t>
        </is>
      </c>
      <c r="E1608" s="2" t="inlineStr">
        <is>
          <t>Improver</t>
        </is>
      </c>
      <c r="F1608" s="3" t="n">
        <v>120</v>
      </c>
      <c r="G1608" s="2" t="inlineStr">
        <is>
          <t>120</t>
        </is>
      </c>
      <c r="H1608" s="2" t="inlineStr">
        <is>
          <t>O-P06 / O-P09; filling differs</t>
        </is>
      </c>
    </row>
    <row r="1609">
      <c r="A1609" s="2" t="inlineStr">
        <is>
          <t>L171</t>
        </is>
      </c>
      <c r="B1609" s="2" t="inlineStr">
        <is>
          <t>Fish Pie</t>
        </is>
      </c>
      <c r="C1609" s="2" t="inlineStr">
        <is>
          <t>S085</t>
        </is>
      </c>
      <c r="D1609" s="2" t="inlineStr">
        <is>
          <t>'Fish Pie'!C10,D10</t>
        </is>
      </c>
      <c r="E1609" s="2" t="inlineStr">
        <is>
          <t>egg</t>
        </is>
      </c>
      <c r="F1609" s="3" t="n">
        <v>1000</v>
      </c>
      <c r="G1609" s="2" t="inlineStr">
        <is>
          <t>1000</t>
        </is>
      </c>
      <c r="H1609" s="2" t="inlineStr">
        <is>
          <t>O-P06 / O-P09; filling differs</t>
        </is>
      </c>
    </row>
    <row r="1610">
      <c r="A1610" s="2" t="inlineStr">
        <is>
          <t>L171</t>
        </is>
      </c>
      <c r="B1610" s="2" t="inlineStr">
        <is>
          <t>Fish Pie</t>
        </is>
      </c>
      <c r="C1610" s="2" t="inlineStr">
        <is>
          <t>S085</t>
        </is>
      </c>
      <c r="D1610" s="2" t="inlineStr">
        <is>
          <t>'Fish Pie'!C11,D11</t>
        </is>
      </c>
      <c r="E1610" s="2" t="inlineStr">
        <is>
          <t>fish</t>
        </is>
      </c>
      <c r="F1610" s="3" t="n">
        <v>1500</v>
      </c>
      <c r="G1610" s="2" t="inlineStr">
        <is>
          <t>1500</t>
        </is>
      </c>
      <c r="H1610" s="2" t="inlineStr">
        <is>
          <t>O-P06 / O-P09; filling differs</t>
        </is>
      </c>
    </row>
    <row r="1611">
      <c r="A1611" s="2" t="inlineStr">
        <is>
          <t>L171</t>
        </is>
      </c>
      <c r="B1611" s="2" t="inlineStr">
        <is>
          <t>Fish Pie</t>
        </is>
      </c>
      <c r="C1611" s="2" t="inlineStr">
        <is>
          <t>S085</t>
        </is>
      </c>
      <c r="D1611" s="2" t="inlineStr">
        <is>
          <t>'Fish Pie'!C12,D12</t>
        </is>
      </c>
      <c r="E1611" s="2" t="inlineStr">
        <is>
          <t>carrots</t>
        </is>
      </c>
      <c r="F1611" s="3" t="n">
        <v>700</v>
      </c>
      <c r="G1611" s="2" t="inlineStr">
        <is>
          <t>700</t>
        </is>
      </c>
      <c r="H1611" s="2" t="inlineStr">
        <is>
          <t>O-P06 / O-P09; filling differs</t>
        </is>
      </c>
    </row>
    <row r="1612">
      <c r="A1612" s="2" t="inlineStr">
        <is>
          <t>L171</t>
        </is>
      </c>
      <c r="B1612" s="2" t="inlineStr">
        <is>
          <t>Fish Pie</t>
        </is>
      </c>
      <c r="C1612" s="2" t="inlineStr">
        <is>
          <t>S085</t>
        </is>
      </c>
      <c r="D1612" s="2" t="inlineStr">
        <is>
          <t>'Fish Pie'!C13,D13</t>
        </is>
      </c>
      <c r="E1612" s="2" t="inlineStr">
        <is>
          <t>Green beans</t>
        </is>
      </c>
      <c r="F1612" s="3" t="n">
        <v>200</v>
      </c>
      <c r="G1612" s="2" t="inlineStr">
        <is>
          <t>200</t>
        </is>
      </c>
      <c r="H1612" s="2" t="inlineStr">
        <is>
          <t>O-P06 / O-P09; filling differs</t>
        </is>
      </c>
    </row>
    <row r="1613">
      <c r="A1613" s="2" t="inlineStr">
        <is>
          <t>L171</t>
        </is>
      </c>
      <c r="B1613" s="2" t="inlineStr">
        <is>
          <t>Fish Pie</t>
        </is>
      </c>
      <c r="C1613" s="2" t="inlineStr">
        <is>
          <t>S085</t>
        </is>
      </c>
      <c r="D1613" s="2" t="inlineStr">
        <is>
          <t>'Fish Pie'!C14,D14</t>
        </is>
      </c>
      <c r="E1613" s="2" t="inlineStr">
        <is>
          <t>peppers</t>
        </is>
      </c>
      <c r="F1613" s="3" t="n">
        <v>10</v>
      </c>
      <c r="G1613" s="2" t="inlineStr">
        <is>
          <t>10</t>
        </is>
      </c>
      <c r="H1613" s="2" t="inlineStr">
        <is>
          <t>O-P06 / O-P09; filling differs</t>
        </is>
      </c>
    </row>
    <row r="1614">
      <c r="A1614" s="2" t="inlineStr">
        <is>
          <t>L171</t>
        </is>
      </c>
      <c r="B1614" s="2" t="inlineStr">
        <is>
          <t>Fish Pie</t>
        </is>
      </c>
      <c r="C1614" s="2" t="inlineStr">
        <is>
          <t>S085</t>
        </is>
      </c>
      <c r="D1614" s="2" t="inlineStr">
        <is>
          <t>'Fish Pie'!C15,D15</t>
        </is>
      </c>
      <c r="E1614" s="2" t="inlineStr">
        <is>
          <t>onions</t>
        </is>
      </c>
      <c r="F1614" s="3" t="n">
        <v>200</v>
      </c>
      <c r="G1614" s="2" t="inlineStr">
        <is>
          <t>200</t>
        </is>
      </c>
      <c r="H1614" s="2" t="inlineStr">
        <is>
          <t>O-P06 / O-P09; filling differs</t>
        </is>
      </c>
    </row>
    <row r="1615">
      <c r="A1615" s="2" t="inlineStr">
        <is>
          <t>L171</t>
        </is>
      </c>
      <c r="B1615" s="2" t="inlineStr">
        <is>
          <t>Fish Pie</t>
        </is>
      </c>
      <c r="C1615" s="2" t="inlineStr">
        <is>
          <t>S085</t>
        </is>
      </c>
      <c r="D1615" s="2" t="inlineStr">
        <is>
          <t>'Fish Pie'!C16,D16</t>
        </is>
      </c>
      <c r="E1615" s="2" t="inlineStr">
        <is>
          <t>irish</t>
        </is>
      </c>
      <c r="F1615" s="3" t="n">
        <v>1000</v>
      </c>
      <c r="G1615" s="2" t="inlineStr">
        <is>
          <t>1000</t>
        </is>
      </c>
      <c r="H1615" s="2" t="inlineStr">
        <is>
          <t>O-P06 / O-P09; filling differs</t>
        </is>
      </c>
    </row>
    <row r="1616">
      <c r="A1616" s="2" t="inlineStr">
        <is>
          <t>L171</t>
        </is>
      </c>
      <c r="B1616" s="2" t="inlineStr">
        <is>
          <t>Fish Pie</t>
        </is>
      </c>
      <c r="C1616" s="2" t="inlineStr">
        <is>
          <t>S085</t>
        </is>
      </c>
      <c r="D1616" s="2" t="inlineStr">
        <is>
          <t>'Fish Pie'!C17,D17</t>
        </is>
      </c>
      <c r="E1616" s="2" t="inlineStr">
        <is>
          <t>oil</t>
        </is>
      </c>
      <c r="F1616" s="3" t="n">
        <v>250</v>
      </c>
      <c r="G1616" s="2" t="inlineStr">
        <is>
          <t>250</t>
        </is>
      </c>
      <c r="H1616" s="2" t="inlineStr">
        <is>
          <t>O-P06 / O-P09; filling differs</t>
        </is>
      </c>
    </row>
    <row r="1617">
      <c r="A1617" s="2" t="inlineStr">
        <is>
          <t>L171</t>
        </is>
      </c>
      <c r="B1617" s="2" t="inlineStr">
        <is>
          <t>Fish Pie</t>
        </is>
      </c>
      <c r="C1617" s="2" t="inlineStr">
        <is>
          <t>S085</t>
        </is>
      </c>
      <c r="D1617" s="2" t="inlineStr">
        <is>
          <t>'Fish Pie'!C18,D18</t>
        </is>
      </c>
      <c r="E1617" s="2" t="inlineStr">
        <is>
          <t>cabbage</t>
        </is>
      </c>
      <c r="F1617" s="3" t="n">
        <v>700</v>
      </c>
      <c r="G1617" s="2" t="inlineStr">
        <is>
          <t>700</t>
        </is>
      </c>
      <c r="H1617" s="2" t="inlineStr">
        <is>
          <t>O-P06 / O-P09; filling differs</t>
        </is>
      </c>
    </row>
    <row r="1618">
      <c r="A1618" s="2" t="inlineStr">
        <is>
          <t>L172</t>
        </is>
      </c>
      <c r="B1618" s="2" t="inlineStr">
        <is>
          <t>Fish Pie</t>
        </is>
      </c>
      <c r="C1618" s="2" t="inlineStr">
        <is>
          <t>S085</t>
        </is>
      </c>
      <c r="D1618" s="2" t="inlineStr">
        <is>
          <t>'Fish Pie'!C5,L5</t>
        </is>
      </c>
      <c r="E1618" s="2" t="inlineStr">
        <is>
          <t>flour</t>
        </is>
      </c>
      <c r="F1618" s="3" t="n">
        <v>4999.999998</v>
      </c>
      <c r="G1618" s="2" t="inlineStr">
        <is>
          <t>=F5/10 [cached: 4999.999998]</t>
        </is>
      </c>
      <c r="H1618" s="2" t="inlineStr">
        <is>
          <t>O-P06 / O-P09; filling differs</t>
        </is>
      </c>
    </row>
    <row r="1619">
      <c r="A1619" s="2" t="inlineStr">
        <is>
          <t>L172</t>
        </is>
      </c>
      <c r="B1619" s="2" t="inlineStr">
        <is>
          <t>Fish Pie</t>
        </is>
      </c>
      <c r="C1619" s="2" t="inlineStr">
        <is>
          <t>S085</t>
        </is>
      </c>
      <c r="D1619" s="2" t="inlineStr">
        <is>
          <t>'Fish Pie'!C6,L6</t>
        </is>
      </c>
      <c r="E1619" s="2" t="inlineStr">
        <is>
          <t>baking powder</t>
        </is>
      </c>
      <c r="F1619" s="3" t="n">
        <v>116.66666662</v>
      </c>
      <c r="G1619" s="2" t="inlineStr">
        <is>
          <t>=F6/10 [cached: 116.66666662]</t>
        </is>
      </c>
      <c r="H1619" s="2" t="inlineStr">
        <is>
          <t>O-P06 / O-P09; filling differs</t>
        </is>
      </c>
    </row>
    <row r="1620">
      <c r="A1620" s="2" t="inlineStr">
        <is>
          <t>L172</t>
        </is>
      </c>
      <c r="B1620" s="2" t="inlineStr">
        <is>
          <t>Fish Pie</t>
        </is>
      </c>
      <c r="C1620" s="2" t="inlineStr">
        <is>
          <t>S085</t>
        </is>
      </c>
      <c r="D1620" s="2" t="inlineStr">
        <is>
          <t>'Fish Pie'!C7,L7</t>
        </is>
      </c>
      <c r="E1620" s="2" t="inlineStr">
        <is>
          <t>sugar</t>
        </is>
      </c>
      <c r="F1620" s="3" t="n">
        <v>166.6666666</v>
      </c>
      <c r="G1620" s="2" t="inlineStr">
        <is>
          <t>=F7/10 [cached: 166.6666666]</t>
        </is>
      </c>
      <c r="H1620" s="2" t="inlineStr">
        <is>
          <t>O-P06 / O-P09; filling differs</t>
        </is>
      </c>
    </row>
    <row r="1621">
      <c r="A1621" s="2" t="inlineStr">
        <is>
          <t>L172</t>
        </is>
      </c>
      <c r="B1621" s="2" t="inlineStr">
        <is>
          <t>Fish Pie</t>
        </is>
      </c>
      <c r="C1621" s="2" t="inlineStr">
        <is>
          <t>S085</t>
        </is>
      </c>
      <c r="D1621" s="2" t="inlineStr">
        <is>
          <t>'Fish Pie'!C8,L8</t>
        </is>
      </c>
      <c r="E1621" s="2" t="inlineStr">
        <is>
          <t>Butter</t>
        </is>
      </c>
      <c r="F1621" s="3" t="n">
        <v>2083.3333325</v>
      </c>
      <c r="G1621" s="2" t="inlineStr">
        <is>
          <t>=F8/10 [cached: 2083.3333325]</t>
        </is>
      </c>
      <c r="H1621" s="2" t="inlineStr">
        <is>
          <t>O-P06 / O-P09; filling differs</t>
        </is>
      </c>
    </row>
    <row r="1622">
      <c r="A1622" s="2" t="inlineStr">
        <is>
          <t>L172</t>
        </is>
      </c>
      <c r="B1622" s="2" t="inlineStr">
        <is>
          <t>Fish Pie</t>
        </is>
      </c>
      <c r="C1622" s="2" t="inlineStr">
        <is>
          <t>S085</t>
        </is>
      </c>
      <c r="D1622" s="2" t="inlineStr">
        <is>
          <t>'Fish Pie'!C9,L9</t>
        </is>
      </c>
      <c r="E1622" s="2" t="inlineStr">
        <is>
          <t>Improver</t>
        </is>
      </c>
      <c r="F1622" s="3" t="n">
        <v>99.99999996</v>
      </c>
      <c r="G1622" s="2" t="inlineStr">
        <is>
          <t>=F9/10 [cached: 99.99999996]</t>
        </is>
      </c>
      <c r="H1622" s="2" t="inlineStr">
        <is>
          <t>O-P06 / O-P09; filling differs</t>
        </is>
      </c>
    </row>
    <row r="1623">
      <c r="A1623" s="2" t="inlineStr">
        <is>
          <t>L172</t>
        </is>
      </c>
      <c r="B1623" s="2" t="inlineStr">
        <is>
          <t>Fish Pie</t>
        </is>
      </c>
      <c r="C1623" s="2" t="inlineStr">
        <is>
          <t>S085</t>
        </is>
      </c>
      <c r="D1623" s="2" t="inlineStr">
        <is>
          <t>'Fish Pie'!C10,L10</t>
        </is>
      </c>
      <c r="E1623" s="2" t="inlineStr">
        <is>
          <t>egg</t>
        </is>
      </c>
      <c r="F1623" s="3" t="n">
        <v>833.333333</v>
      </c>
      <c r="G1623" s="2" t="inlineStr">
        <is>
          <t>=F10/10 [cached: 833.333333]</t>
        </is>
      </c>
      <c r="H1623" s="2" t="inlineStr">
        <is>
          <t>O-P06 / O-P09; filling differs</t>
        </is>
      </c>
    </row>
    <row r="1624">
      <c r="A1624" s="2" t="inlineStr">
        <is>
          <t>L173</t>
        </is>
      </c>
      <c r="B1624" s="2" t="inlineStr">
        <is>
          <t>Galette</t>
        </is>
      </c>
      <c r="C1624" s="2" t="inlineStr">
        <is>
          <t>S085</t>
        </is>
      </c>
      <c r="D1624" s="2" t="inlineStr">
        <is>
          <t>'Galette'!C5,D5</t>
        </is>
      </c>
      <c r="E1624" s="2" t="inlineStr">
        <is>
          <t>flour</t>
        </is>
      </c>
      <c r="F1624" s="3" t="n">
        <v>10000</v>
      </c>
      <c r="G1624" s="2" t="inlineStr">
        <is>
          <t>10000</t>
        </is>
      </c>
      <c r="H1624" s="2" t="inlineStr">
        <is>
          <t>H14</t>
        </is>
      </c>
    </row>
    <row r="1625">
      <c r="A1625" s="2" t="inlineStr">
        <is>
          <t>L173</t>
        </is>
      </c>
      <c r="B1625" s="2" t="inlineStr">
        <is>
          <t>Galette</t>
        </is>
      </c>
      <c r="C1625" s="2" t="inlineStr">
        <is>
          <t>S085</t>
        </is>
      </c>
      <c r="D1625" s="2" t="inlineStr">
        <is>
          <t>'Galette'!C6,D6</t>
        </is>
      </c>
      <c r="E1625" s="2" t="inlineStr">
        <is>
          <t>Butter</t>
        </is>
      </c>
      <c r="F1625" s="3" t="n">
        <v>1000</v>
      </c>
      <c r="G1625" s="2" t="inlineStr">
        <is>
          <t>1000</t>
        </is>
      </c>
      <c r="H1625" s="2" t="inlineStr">
        <is>
          <t>H14</t>
        </is>
      </c>
    </row>
    <row r="1626">
      <c r="A1626" s="2" t="inlineStr">
        <is>
          <t>L173</t>
        </is>
      </c>
      <c r="B1626" s="2" t="inlineStr">
        <is>
          <t>Galette</t>
        </is>
      </c>
      <c r="C1626" s="2" t="inlineStr">
        <is>
          <t>S085</t>
        </is>
      </c>
      <c r="D1626" s="2" t="inlineStr">
        <is>
          <t>'Galette'!C7,D7</t>
        </is>
      </c>
      <c r="E1626" s="2" t="inlineStr">
        <is>
          <t>sugar</t>
        </is>
      </c>
      <c r="F1626" s="3" t="n">
        <v>1000</v>
      </c>
      <c r="G1626" s="2" t="inlineStr">
        <is>
          <t>1000</t>
        </is>
      </c>
      <c r="H1626" s="2" t="inlineStr">
        <is>
          <t>H14</t>
        </is>
      </c>
    </row>
    <row r="1627">
      <c r="A1627" s="2" t="inlineStr">
        <is>
          <t>L173</t>
        </is>
      </c>
      <c r="B1627" s="2" t="inlineStr">
        <is>
          <t>Galette</t>
        </is>
      </c>
      <c r="C1627" s="2" t="inlineStr">
        <is>
          <t>S085</t>
        </is>
      </c>
      <c r="D1627" s="2" t="inlineStr">
        <is>
          <t>'Galette'!C8,D8</t>
        </is>
      </c>
      <c r="E1627" s="2" t="inlineStr">
        <is>
          <t>Milk</t>
        </is>
      </c>
      <c r="F1627" s="3" t="n">
        <v>800</v>
      </c>
      <c r="G1627" s="2" t="inlineStr">
        <is>
          <t>800</t>
        </is>
      </c>
      <c r="H1627" s="2" t="inlineStr">
        <is>
          <t>H14</t>
        </is>
      </c>
    </row>
    <row r="1628">
      <c r="A1628" s="2" t="inlineStr">
        <is>
          <t>L173</t>
        </is>
      </c>
      <c r="B1628" s="2" t="inlineStr">
        <is>
          <t>Galette</t>
        </is>
      </c>
      <c r="C1628" s="2" t="inlineStr">
        <is>
          <t>S085</t>
        </is>
      </c>
      <c r="D1628" s="2" t="inlineStr">
        <is>
          <t>'Galette'!C9,D9</t>
        </is>
      </c>
      <c r="E1628" s="2" t="inlineStr">
        <is>
          <t>egg</t>
        </is>
      </c>
      <c r="F1628" s="3" t="n">
        <v>750</v>
      </c>
      <c r="G1628" s="2" t="inlineStr">
        <is>
          <t>750</t>
        </is>
      </c>
      <c r="H1628" s="2" t="inlineStr">
        <is>
          <t>H14</t>
        </is>
      </c>
    </row>
    <row r="1629">
      <c r="A1629" s="2" t="inlineStr">
        <is>
          <t>L173</t>
        </is>
      </c>
      <c r="B1629" s="2" t="inlineStr">
        <is>
          <t>Galette</t>
        </is>
      </c>
      <c r="C1629" s="2" t="inlineStr">
        <is>
          <t>S085</t>
        </is>
      </c>
      <c r="D1629" s="2" t="inlineStr">
        <is>
          <t>'Galette'!C10,D10</t>
        </is>
      </c>
      <c r="E1629" s="2" t="inlineStr">
        <is>
          <t>salt</t>
        </is>
      </c>
      <c r="F1629" s="3" t="n">
        <v>110</v>
      </c>
      <c r="G1629" s="2" t="inlineStr">
        <is>
          <t>110</t>
        </is>
      </c>
      <c r="H1629" s="2" t="inlineStr">
        <is>
          <t>H14</t>
        </is>
      </c>
    </row>
    <row r="1630">
      <c r="A1630" s="2" t="inlineStr">
        <is>
          <t>L173</t>
        </is>
      </c>
      <c r="B1630" s="2" t="inlineStr">
        <is>
          <t>Galette</t>
        </is>
      </c>
      <c r="C1630" s="2" t="inlineStr">
        <is>
          <t>S085</t>
        </is>
      </c>
      <c r="D1630" s="2" t="inlineStr">
        <is>
          <t>'Galette'!C11,D11</t>
        </is>
      </c>
      <c r="E1630" s="2" t="inlineStr">
        <is>
          <t>improver</t>
        </is>
      </c>
      <c r="F1630" s="3" t="n">
        <v>100</v>
      </c>
      <c r="G1630" s="2" t="inlineStr">
        <is>
          <t>100</t>
        </is>
      </c>
      <c r="H1630" s="2" t="inlineStr">
        <is>
          <t>H14</t>
        </is>
      </c>
    </row>
    <row r="1631">
      <c r="A1631" s="2" t="inlineStr">
        <is>
          <t>L173</t>
        </is>
      </c>
      <c r="B1631" s="2" t="inlineStr">
        <is>
          <t>Galette</t>
        </is>
      </c>
      <c r="C1631" s="2" t="inlineStr">
        <is>
          <t>S085</t>
        </is>
      </c>
      <c r="D1631" s="2" t="inlineStr">
        <is>
          <t>'Galette'!C12,D12</t>
        </is>
      </c>
      <c r="E1631" s="2" t="inlineStr">
        <is>
          <t>yeast</t>
        </is>
      </c>
      <c r="F1631" s="3" t="n">
        <v>80</v>
      </c>
      <c r="G1631" s="2" t="inlineStr">
        <is>
          <t>80</t>
        </is>
      </c>
      <c r="H1631" s="2" t="inlineStr">
        <is>
          <t>H14</t>
        </is>
      </c>
    </row>
    <row r="1632">
      <c r="A1632" s="2" t="inlineStr">
        <is>
          <t>L173</t>
        </is>
      </c>
      <c r="B1632" s="2" t="inlineStr">
        <is>
          <t>Galette</t>
        </is>
      </c>
      <c r="C1632" s="2" t="inlineStr">
        <is>
          <t>S085</t>
        </is>
      </c>
      <c r="D1632" s="2" t="inlineStr">
        <is>
          <t>'Galette'!C13,D13</t>
        </is>
      </c>
      <c r="E1632" s="2" t="inlineStr">
        <is>
          <t>water</t>
        </is>
      </c>
      <c r="F1632" s="3" t="n">
        <v>3500</v>
      </c>
      <c r="G1632" s="2" t="inlineStr">
        <is>
          <t>3500</t>
        </is>
      </c>
      <c r="H1632" s="2" t="inlineStr">
        <is>
          <t>H14</t>
        </is>
      </c>
    </row>
    <row r="1633">
      <c r="A1633" s="2" t="inlineStr">
        <is>
          <t>L173</t>
        </is>
      </c>
      <c r="B1633" s="2" t="inlineStr">
        <is>
          <t>Galette</t>
        </is>
      </c>
      <c r="C1633" s="2" t="inlineStr">
        <is>
          <t>S085</t>
        </is>
      </c>
      <c r="D1633" s="2" t="inlineStr">
        <is>
          <t>'Galette'!C14,D14</t>
        </is>
      </c>
      <c r="E1633" s="2" t="inlineStr">
        <is>
          <t>baking powder</t>
        </is>
      </c>
      <c r="F1633" s="3" t="n">
        <v>80</v>
      </c>
      <c r="G1633" s="2" t="inlineStr">
        <is>
          <t>80</t>
        </is>
      </c>
      <c r="H1633" s="2" t="inlineStr">
        <is>
          <t>H14</t>
        </is>
      </c>
    </row>
    <row r="1634">
      <c r="A1634" s="2" t="inlineStr">
        <is>
          <t>L173</t>
        </is>
      </c>
      <c r="B1634" s="2" t="inlineStr">
        <is>
          <t>Galette</t>
        </is>
      </c>
      <c r="C1634" s="2" t="inlineStr">
        <is>
          <t>S085</t>
        </is>
      </c>
      <c r="D1634" s="2" t="inlineStr">
        <is>
          <t>'Galette'!C15,D15</t>
        </is>
      </c>
      <c r="E1634" s="2" t="inlineStr">
        <is>
          <t>Chocolate</t>
        </is>
      </c>
      <c r="F1634" s="3" t="n">
        <v>1000</v>
      </c>
      <c r="G1634" s="2" t="inlineStr">
        <is>
          <t>1000</t>
        </is>
      </c>
      <c r="H1634" s="2" t="inlineStr">
        <is>
          <t>H14</t>
        </is>
      </c>
    </row>
    <row r="1635">
      <c r="A1635" s="2" t="inlineStr">
        <is>
          <t>L173</t>
        </is>
      </c>
      <c r="B1635" s="2" t="inlineStr">
        <is>
          <t>Galette</t>
        </is>
      </c>
      <c r="C1635" s="2" t="inlineStr">
        <is>
          <t>S085</t>
        </is>
      </c>
      <c r="D1635" s="2" t="inlineStr">
        <is>
          <t>'Galette'!C16,D16</t>
        </is>
      </c>
      <c r="E1635" s="2" t="inlineStr">
        <is>
          <t>EDC</t>
        </is>
      </c>
      <c r="F1635" s="3" t="n">
        <v>75</v>
      </c>
      <c r="G1635" s="2" t="inlineStr">
        <is>
          <t>75</t>
        </is>
      </c>
      <c r="H1635" s="2" t="inlineStr">
        <is>
          <t>H14</t>
        </is>
      </c>
    </row>
    <row r="1636">
      <c r="A1636" s="2" t="inlineStr">
        <is>
          <t>L174</t>
        </is>
      </c>
      <c r="B1636" s="2" t="inlineStr">
        <is>
          <t>Kouatchoua gato</t>
        </is>
      </c>
      <c r="C1636" s="2" t="inlineStr">
        <is>
          <t>S085</t>
        </is>
      </c>
      <c r="D1636" s="2" t="inlineStr">
        <is>
          <t>'Kouatchoua gato'!C5,D5</t>
        </is>
      </c>
      <c r="E1636" s="2" t="inlineStr">
        <is>
          <t>flour</t>
        </is>
      </c>
      <c r="F1636" s="3" t="n">
        <v>26000</v>
      </c>
      <c r="G1636" s="2" t="inlineStr">
        <is>
          <t>26000</t>
        </is>
      </c>
      <c r="H1636" s="2" t="inlineStr">
        <is>
          <t>Retain unique variant; no equivalent operating card selected</t>
        </is>
      </c>
    </row>
    <row r="1637">
      <c r="A1637" s="2" t="inlineStr">
        <is>
          <t>L174</t>
        </is>
      </c>
      <c r="B1637" s="2" t="inlineStr">
        <is>
          <t>Kouatchoua gato</t>
        </is>
      </c>
      <c r="C1637" s="2" t="inlineStr">
        <is>
          <t>S085</t>
        </is>
      </c>
      <c r="D1637" s="2" t="inlineStr">
        <is>
          <t>'Kouatchoua gato'!C6,D6</t>
        </is>
      </c>
      <c r="E1637" s="2" t="inlineStr">
        <is>
          <t>Butter</t>
        </is>
      </c>
      <c r="F1637" s="3" t="n">
        <v>1300</v>
      </c>
      <c r="G1637" s="2" t="inlineStr">
        <is>
          <t>1300</t>
        </is>
      </c>
      <c r="H1637" s="2" t="inlineStr">
        <is>
          <t>Retain unique variant; no equivalent operating card selected</t>
        </is>
      </c>
    </row>
    <row r="1638">
      <c r="A1638" s="2" t="inlineStr">
        <is>
          <t>L174</t>
        </is>
      </c>
      <c r="B1638" s="2" t="inlineStr">
        <is>
          <t>Kouatchoua gato</t>
        </is>
      </c>
      <c r="C1638" s="2" t="inlineStr">
        <is>
          <t>S085</t>
        </is>
      </c>
      <c r="D1638" s="2" t="inlineStr">
        <is>
          <t>'Kouatchoua gato'!C7,D7</t>
        </is>
      </c>
      <c r="E1638" s="2" t="inlineStr">
        <is>
          <t>sugar</t>
        </is>
      </c>
      <c r="F1638" s="3" t="n">
        <v>1700</v>
      </c>
      <c r="G1638" s="2" t="inlineStr">
        <is>
          <t>1700</t>
        </is>
      </c>
      <c r="H1638" s="2" t="inlineStr">
        <is>
          <t>Retain unique variant; no equivalent operating card selected</t>
        </is>
      </c>
    </row>
    <row r="1639">
      <c r="A1639" s="2" t="inlineStr">
        <is>
          <t>L174</t>
        </is>
      </c>
      <c r="B1639" s="2" t="inlineStr">
        <is>
          <t>Kouatchoua gato</t>
        </is>
      </c>
      <c r="C1639" s="2" t="inlineStr">
        <is>
          <t>S085</t>
        </is>
      </c>
      <c r="D1639" s="2" t="inlineStr">
        <is>
          <t>'Kouatchoua gato'!C8,D8</t>
        </is>
      </c>
      <c r="E1639" s="2" t="inlineStr">
        <is>
          <t>Conc Milk</t>
        </is>
      </c>
      <c r="F1639" s="3" t="n">
        <v>800</v>
      </c>
      <c r="G1639" s="2" t="inlineStr">
        <is>
          <t>800</t>
        </is>
      </c>
      <c r="H1639" s="2" t="inlineStr">
        <is>
          <t>Retain unique variant; no equivalent operating card selected</t>
        </is>
      </c>
    </row>
    <row r="1640">
      <c r="A1640" s="2" t="inlineStr">
        <is>
          <t>L174</t>
        </is>
      </c>
      <c r="B1640" s="2" t="inlineStr">
        <is>
          <t>Kouatchoua gato</t>
        </is>
      </c>
      <c r="C1640" s="2" t="inlineStr">
        <is>
          <t>S085</t>
        </is>
      </c>
      <c r="D1640" s="2" t="inlineStr">
        <is>
          <t>'Kouatchoua gato'!C9,D9</t>
        </is>
      </c>
      <c r="E1640" s="2" t="inlineStr">
        <is>
          <t>egg</t>
        </is>
      </c>
      <c r="F1640" s="3" t="n">
        <v>750</v>
      </c>
      <c r="G1640" s="2" t="inlineStr">
        <is>
          <t>750</t>
        </is>
      </c>
      <c r="H1640" s="2" t="inlineStr">
        <is>
          <t>Retain unique variant; no equivalent operating card selected</t>
        </is>
      </c>
    </row>
    <row r="1641">
      <c r="A1641" s="2" t="inlineStr">
        <is>
          <t>L174</t>
        </is>
      </c>
      <c r="B1641" s="2" t="inlineStr">
        <is>
          <t>Kouatchoua gato</t>
        </is>
      </c>
      <c r="C1641" s="2" t="inlineStr">
        <is>
          <t>S085</t>
        </is>
      </c>
      <c r="D1641" s="2" t="inlineStr">
        <is>
          <t>'Kouatchoua gato'!C10,D10</t>
        </is>
      </c>
      <c r="E1641" s="2" t="inlineStr">
        <is>
          <t>salt</t>
        </is>
      </c>
      <c r="F1641" s="3" t="n">
        <v>290</v>
      </c>
      <c r="G1641" s="2" t="inlineStr">
        <is>
          <t>290</t>
        </is>
      </c>
      <c r="H1641" s="2" t="inlineStr">
        <is>
          <t>Retain unique variant; no equivalent operating card selected</t>
        </is>
      </c>
    </row>
    <row r="1642">
      <c r="A1642" s="2" t="inlineStr">
        <is>
          <t>L174</t>
        </is>
      </c>
      <c r="B1642" s="2" t="inlineStr">
        <is>
          <t>Kouatchoua gato</t>
        </is>
      </c>
      <c r="C1642" s="2" t="inlineStr">
        <is>
          <t>S085</t>
        </is>
      </c>
      <c r="D1642" s="2" t="inlineStr">
        <is>
          <t>'Kouatchoua gato'!C11,D11</t>
        </is>
      </c>
      <c r="E1642" s="2" t="inlineStr">
        <is>
          <t>improver</t>
        </is>
      </c>
      <c r="F1642" s="3" t="n">
        <v>130</v>
      </c>
      <c r="G1642" s="2" t="inlineStr">
        <is>
          <t>130</t>
        </is>
      </c>
      <c r="H1642" s="2" t="inlineStr">
        <is>
          <t>Retain unique variant; no equivalent operating card selected</t>
        </is>
      </c>
    </row>
    <row r="1643">
      <c r="A1643" s="2" t="inlineStr">
        <is>
          <t>L174</t>
        </is>
      </c>
      <c r="B1643" s="2" t="inlineStr">
        <is>
          <t>Kouatchoua gato</t>
        </is>
      </c>
      <c r="C1643" s="2" t="inlineStr">
        <is>
          <t>S085</t>
        </is>
      </c>
      <c r="D1643" s="2" t="inlineStr">
        <is>
          <t>'Kouatchoua gato'!C12,D12</t>
        </is>
      </c>
      <c r="E1643" s="2" t="inlineStr">
        <is>
          <t>yeast</t>
        </is>
      </c>
      <c r="F1643" s="3" t="n">
        <v>170</v>
      </c>
      <c r="G1643" s="2" t="inlineStr">
        <is>
          <t>170</t>
        </is>
      </c>
      <c r="H1643" s="2" t="inlineStr">
        <is>
          <t>Retain unique variant; no equivalent operating card selected</t>
        </is>
      </c>
    </row>
    <row r="1644">
      <c r="A1644" s="2" t="inlineStr">
        <is>
          <t>L174</t>
        </is>
      </c>
      <c r="B1644" s="2" t="inlineStr">
        <is>
          <t>Kouatchoua gato</t>
        </is>
      </c>
      <c r="C1644" s="2" t="inlineStr">
        <is>
          <t>S085</t>
        </is>
      </c>
      <c r="D1644" s="2" t="inlineStr">
        <is>
          <t>'Kouatchoua gato'!C13,D13</t>
        </is>
      </c>
      <c r="E1644" s="2" t="inlineStr">
        <is>
          <t>water</t>
        </is>
      </c>
      <c r="F1644" s="3" t="n">
        <v>10000</v>
      </c>
      <c r="G1644" s="2" t="inlineStr">
        <is>
          <t>10000</t>
        </is>
      </c>
      <c r="H1644" s="2" t="inlineStr">
        <is>
          <t>Retain unique variant; no equivalent operating card selected</t>
        </is>
      </c>
    </row>
    <row r="1645">
      <c r="A1645" s="2" t="inlineStr">
        <is>
          <t>L174</t>
        </is>
      </c>
      <c r="B1645" s="2" t="inlineStr">
        <is>
          <t>Kouatchoua gato</t>
        </is>
      </c>
      <c r="C1645" s="2" t="inlineStr">
        <is>
          <t>S085</t>
        </is>
      </c>
      <c r="D1645" s="2" t="inlineStr">
        <is>
          <t>'Kouatchoua gato'!C14,D14</t>
        </is>
      </c>
      <c r="E1645" s="2" t="inlineStr">
        <is>
          <t>baking powder</t>
        </is>
      </c>
      <c r="F1645" s="3" t="n">
        <v>180</v>
      </c>
      <c r="G1645" s="2" t="inlineStr">
        <is>
          <t>180</t>
        </is>
      </c>
      <c r="H1645" s="2" t="inlineStr">
        <is>
          <t>Retain unique variant; no equivalent operating card selected</t>
        </is>
      </c>
    </row>
    <row r="1646">
      <c r="A1646" s="2" t="inlineStr">
        <is>
          <t>L174</t>
        </is>
      </c>
      <c r="B1646" s="2" t="inlineStr">
        <is>
          <t>Kouatchoua gato</t>
        </is>
      </c>
      <c r="C1646" s="2" t="inlineStr">
        <is>
          <t>S085</t>
        </is>
      </c>
      <c r="D1646" s="2" t="inlineStr">
        <is>
          <t>'Kouatchoua gato'!C15,D15</t>
        </is>
      </c>
      <c r="E1646" s="2" t="inlineStr">
        <is>
          <t>frying oil</t>
        </is>
      </c>
      <c r="F1646" s="3" t="n">
        <v>8000</v>
      </c>
      <c r="G1646" s="2" t="inlineStr">
        <is>
          <t>8000</t>
        </is>
      </c>
      <c r="H1646" s="2" t="inlineStr">
        <is>
          <t>Retain unique variant; no equivalent operating card selected</t>
        </is>
      </c>
    </row>
    <row r="1647">
      <c r="A1647" s="2" t="inlineStr">
        <is>
          <t>L175</t>
        </is>
      </c>
      <c r="B1647" s="2" t="inlineStr">
        <is>
          <t>Kouatchoua gato</t>
        </is>
      </c>
      <c r="C1647" s="2" t="inlineStr">
        <is>
          <t>S085</t>
        </is>
      </c>
      <c r="D1647" s="2" t="inlineStr">
        <is>
          <t>'Kouatchoua gato'!C5,J5</t>
        </is>
      </c>
      <c r="E1647" s="2" t="inlineStr">
        <is>
          <t>flour</t>
        </is>
      </c>
      <c r="F1647" s="3" t="n">
        <v>20000</v>
      </c>
      <c r="G1647" s="2" t="inlineStr">
        <is>
          <t>20000</t>
        </is>
      </c>
      <c r="H1647" s="2" t="inlineStr">
        <is>
          <t>Retain unique variant; no equivalent operating card selected</t>
        </is>
      </c>
    </row>
    <row r="1648">
      <c r="A1648" s="2" t="inlineStr">
        <is>
          <t>L175</t>
        </is>
      </c>
      <c r="B1648" s="2" t="inlineStr">
        <is>
          <t>Kouatchoua gato</t>
        </is>
      </c>
      <c r="C1648" s="2" t="inlineStr">
        <is>
          <t>S085</t>
        </is>
      </c>
      <c r="D1648" s="2" t="inlineStr">
        <is>
          <t>'Kouatchoua gato'!C6,J6</t>
        </is>
      </c>
      <c r="E1648" s="2" t="inlineStr">
        <is>
          <t>Butter</t>
        </is>
      </c>
      <c r="F1648" s="3" t="n">
        <v>560</v>
      </c>
      <c r="G1648" s="2" t="inlineStr">
        <is>
          <t>560</t>
        </is>
      </c>
      <c r="H1648" s="2" t="inlineStr">
        <is>
          <t>Retain unique variant; no equivalent operating card selected</t>
        </is>
      </c>
    </row>
    <row r="1649">
      <c r="A1649" s="2" t="inlineStr">
        <is>
          <t>L175</t>
        </is>
      </c>
      <c r="B1649" s="2" t="inlineStr">
        <is>
          <t>Kouatchoua gato</t>
        </is>
      </c>
      <c r="C1649" s="2" t="inlineStr">
        <is>
          <t>S085</t>
        </is>
      </c>
      <c r="D1649" s="2" t="inlineStr">
        <is>
          <t>'Kouatchoua gato'!C7,J7</t>
        </is>
      </c>
      <c r="E1649" s="2" t="inlineStr">
        <is>
          <t>sugar</t>
        </is>
      </c>
      <c r="F1649" s="3" t="n">
        <v>800</v>
      </c>
      <c r="G1649" s="2" t="inlineStr">
        <is>
          <t>800</t>
        </is>
      </c>
      <c r="H1649" s="2" t="inlineStr">
        <is>
          <t>Retain unique variant; no equivalent operating card selected</t>
        </is>
      </c>
    </row>
    <row r="1650">
      <c r="A1650" s="2" t="inlineStr">
        <is>
          <t>L175</t>
        </is>
      </c>
      <c r="B1650" s="2" t="inlineStr">
        <is>
          <t>Kouatchoua gato</t>
        </is>
      </c>
      <c r="C1650" s="2" t="inlineStr">
        <is>
          <t>S085</t>
        </is>
      </c>
      <c r="D1650" s="2" t="inlineStr">
        <is>
          <t>'Kouatchoua gato'!C8,J8</t>
        </is>
      </c>
      <c r="E1650" s="2" t="inlineStr">
        <is>
          <t>Conc Milk</t>
        </is>
      </c>
      <c r="F1650" s="3" t="n">
        <v>500</v>
      </c>
      <c r="G1650" s="2" t="inlineStr">
        <is>
          <t>500</t>
        </is>
      </c>
      <c r="H1650" s="2" t="inlineStr">
        <is>
          <t>Retain unique variant; no equivalent operating card selected</t>
        </is>
      </c>
    </row>
    <row r="1651">
      <c r="A1651" s="2" t="inlineStr">
        <is>
          <t>L175</t>
        </is>
      </c>
      <c r="B1651" s="2" t="inlineStr">
        <is>
          <t>Kouatchoua gato</t>
        </is>
      </c>
      <c r="C1651" s="2" t="inlineStr">
        <is>
          <t>S085</t>
        </is>
      </c>
      <c r="D1651" s="2" t="inlineStr">
        <is>
          <t>'Kouatchoua gato'!C9,J9</t>
        </is>
      </c>
      <c r="E1651" s="2" t="inlineStr">
        <is>
          <t>egg</t>
        </is>
      </c>
      <c r="F1651" s="3" t="n">
        <v>144</v>
      </c>
      <c r="G1651" s="2" t="inlineStr">
        <is>
          <t>144</t>
        </is>
      </c>
      <c r="H1651" s="2" t="inlineStr">
        <is>
          <t>Retain unique variant; no equivalent operating card selected</t>
        </is>
      </c>
    </row>
    <row r="1652">
      <c r="A1652" s="2" t="inlineStr">
        <is>
          <t>L175</t>
        </is>
      </c>
      <c r="B1652" s="2" t="inlineStr">
        <is>
          <t>Kouatchoua gato</t>
        </is>
      </c>
      <c r="C1652" s="2" t="inlineStr">
        <is>
          <t>S085</t>
        </is>
      </c>
      <c r="D1652" s="2" t="inlineStr">
        <is>
          <t>'Kouatchoua gato'!C10,J10</t>
        </is>
      </c>
      <c r="E1652" s="2" t="inlineStr">
        <is>
          <t>salt</t>
        </is>
      </c>
      <c r="F1652" s="3" t="n">
        <v>166</v>
      </c>
      <c r="G1652" s="2" t="inlineStr">
        <is>
          <t>166</t>
        </is>
      </c>
      <c r="H1652" s="2" t="inlineStr">
        <is>
          <t>Retain unique variant; no equivalent operating card selected</t>
        </is>
      </c>
    </row>
    <row r="1653">
      <c r="A1653" s="2" t="inlineStr">
        <is>
          <t>L175</t>
        </is>
      </c>
      <c r="B1653" s="2" t="inlineStr">
        <is>
          <t>Kouatchoua gato</t>
        </is>
      </c>
      <c r="C1653" s="2" t="inlineStr">
        <is>
          <t>S085</t>
        </is>
      </c>
      <c r="D1653" s="2" t="inlineStr">
        <is>
          <t>'Kouatchoua gato'!C11,J11</t>
        </is>
      </c>
      <c r="E1653" s="2" t="inlineStr">
        <is>
          <t>improver</t>
        </is>
      </c>
      <c r="F1653" s="3" t="n">
        <v>130</v>
      </c>
      <c r="G1653" s="2" t="inlineStr">
        <is>
          <t>=D11 [cached: 130]</t>
        </is>
      </c>
      <c r="H1653" s="2" t="inlineStr">
        <is>
          <t>Retain unique variant; no equivalent operating card selected</t>
        </is>
      </c>
    </row>
    <row r="1654">
      <c r="A1654" s="2" t="inlineStr">
        <is>
          <t>L175</t>
        </is>
      </c>
      <c r="B1654" s="2" t="inlineStr">
        <is>
          <t>Kouatchoua gato</t>
        </is>
      </c>
      <c r="C1654" s="2" t="inlineStr">
        <is>
          <t>S085</t>
        </is>
      </c>
      <c r="D1654" s="2" t="inlineStr">
        <is>
          <t>'Kouatchoua gato'!C12,J12</t>
        </is>
      </c>
      <c r="E1654" s="2" t="inlineStr">
        <is>
          <t>yeast</t>
        </is>
      </c>
      <c r="F1654" s="3" t="n">
        <v>70</v>
      </c>
      <c r="G1654" s="2" t="inlineStr">
        <is>
          <t>70</t>
        </is>
      </c>
      <c r="H1654" s="2" t="inlineStr">
        <is>
          <t>Retain unique variant; no equivalent operating card selected</t>
        </is>
      </c>
    </row>
    <row r="1655">
      <c r="A1655" s="2" t="inlineStr">
        <is>
          <t>L175</t>
        </is>
      </c>
      <c r="B1655" s="2" t="inlineStr">
        <is>
          <t>Kouatchoua gato</t>
        </is>
      </c>
      <c r="C1655" s="2" t="inlineStr">
        <is>
          <t>S085</t>
        </is>
      </c>
      <c r="D1655" s="2" t="inlineStr">
        <is>
          <t>'Kouatchoua gato'!C13,J13</t>
        </is>
      </c>
      <c r="E1655" s="2" t="inlineStr">
        <is>
          <t>water</t>
        </is>
      </c>
      <c r="F1655" s="3" t="n">
        <v>7000</v>
      </c>
      <c r="G1655" s="2" t="inlineStr">
        <is>
          <t>7000</t>
        </is>
      </c>
      <c r="H1655" s="2" t="inlineStr">
        <is>
          <t>Retain unique variant; no equivalent operating card selected</t>
        </is>
      </c>
    </row>
    <row r="1656">
      <c r="A1656" s="2" t="inlineStr">
        <is>
          <t>L175</t>
        </is>
      </c>
      <c r="B1656" s="2" t="inlineStr">
        <is>
          <t>Kouatchoua gato</t>
        </is>
      </c>
      <c r="C1656" s="2" t="inlineStr">
        <is>
          <t>S085</t>
        </is>
      </c>
      <c r="D1656" s="2" t="inlineStr">
        <is>
          <t>'Kouatchoua gato'!C14,J14</t>
        </is>
      </c>
      <c r="E1656" s="2" t="inlineStr">
        <is>
          <t>baking powder</t>
        </is>
      </c>
      <c r="F1656" s="3" t="n">
        <v>20</v>
      </c>
      <c r="G1656" s="2" t="inlineStr">
        <is>
          <t>20</t>
        </is>
      </c>
      <c r="H1656" s="2" t="inlineStr">
        <is>
          <t>Retain unique variant; no equivalent operating card selected</t>
        </is>
      </c>
    </row>
    <row r="1657">
      <c r="A1657" s="2" t="inlineStr">
        <is>
          <t>L175</t>
        </is>
      </c>
      <c r="B1657" s="2" t="inlineStr">
        <is>
          <t>Kouatchoua gato</t>
        </is>
      </c>
      <c r="C1657" s="2" t="inlineStr">
        <is>
          <t>S085</t>
        </is>
      </c>
      <c r="D1657" s="2" t="inlineStr">
        <is>
          <t>'Kouatchoua gato'!C15,J15</t>
        </is>
      </c>
      <c r="E1657" s="2" t="inlineStr">
        <is>
          <t>frying oil</t>
        </is>
      </c>
      <c r="F1657" s="3" t="n">
        <v>8000</v>
      </c>
      <c r="G1657" s="2" t="inlineStr">
        <is>
          <t>=D15 [cached: 8000]</t>
        </is>
      </c>
      <c r="H1657" s="2" t="inlineStr">
        <is>
          <t>Retain unique variant; no equivalent operating card selected</t>
        </is>
      </c>
    </row>
    <row r="1658">
      <c r="A1658" s="2" t="inlineStr">
        <is>
          <t>L176</t>
        </is>
      </c>
      <c r="B1658" s="2" t="inlineStr">
        <is>
          <t>Melto</t>
        </is>
      </c>
      <c r="C1658" s="2" t="inlineStr">
        <is>
          <t>S085</t>
        </is>
      </c>
      <c r="D1658" s="2" t="inlineStr">
        <is>
          <t>'Melto'!C5,D5</t>
        </is>
      </c>
      <c r="E1658" s="2" t="inlineStr">
        <is>
          <t>flour</t>
        </is>
      </c>
      <c r="F1658" s="3" t="n">
        <v>2000</v>
      </c>
      <c r="G1658" s="2" t="inlineStr">
        <is>
          <t>2000</t>
        </is>
      </c>
      <c r="H1658" s="2" t="inlineStr">
        <is>
          <t>H06</t>
        </is>
      </c>
    </row>
    <row r="1659">
      <c r="A1659" s="2" t="inlineStr">
        <is>
          <t>L176</t>
        </is>
      </c>
      <c r="B1659" s="2" t="inlineStr">
        <is>
          <t>Melto</t>
        </is>
      </c>
      <c r="C1659" s="2" t="inlineStr">
        <is>
          <t>S085</t>
        </is>
      </c>
      <c r="D1659" s="2" t="inlineStr">
        <is>
          <t>'Melto'!C6,D6</t>
        </is>
      </c>
      <c r="E1659" s="2" t="inlineStr">
        <is>
          <t>Butter</t>
        </is>
      </c>
      <c r="F1659" s="3" t="n">
        <v>1000</v>
      </c>
      <c r="G1659" s="2" t="inlineStr">
        <is>
          <t>1000</t>
        </is>
      </c>
      <c r="H1659" s="2" t="inlineStr">
        <is>
          <t>H06</t>
        </is>
      </c>
    </row>
    <row r="1660">
      <c r="A1660" s="2" t="inlineStr">
        <is>
          <t>L176</t>
        </is>
      </c>
      <c r="B1660" s="2" t="inlineStr">
        <is>
          <t>Melto</t>
        </is>
      </c>
      <c r="C1660" s="2" t="inlineStr">
        <is>
          <t>S085</t>
        </is>
      </c>
      <c r="D1660" s="2" t="inlineStr">
        <is>
          <t>'Melto'!C7,D7</t>
        </is>
      </c>
      <c r="E1660" s="2" t="inlineStr">
        <is>
          <t>icing sugar</t>
        </is>
      </c>
      <c r="F1660" s="3" t="n">
        <v>100</v>
      </c>
      <c r="G1660" s="2" t="inlineStr">
        <is>
          <t>100</t>
        </is>
      </c>
      <c r="H1660" s="2" t="inlineStr">
        <is>
          <t>H06</t>
        </is>
      </c>
    </row>
    <row r="1661">
      <c r="A1661" s="2" t="inlineStr">
        <is>
          <t>L176</t>
        </is>
      </c>
      <c r="B1661" s="2" t="inlineStr">
        <is>
          <t>Melto</t>
        </is>
      </c>
      <c r="C1661" s="2" t="inlineStr">
        <is>
          <t>S085</t>
        </is>
      </c>
      <c r="D1661" s="2" t="inlineStr">
        <is>
          <t>'Melto'!C8,D8</t>
        </is>
      </c>
      <c r="E1661" s="2" t="inlineStr">
        <is>
          <t>egg</t>
        </is>
      </c>
      <c r="F1661" s="3" t="n">
        <v>2</v>
      </c>
      <c r="G1661" s="2" t="inlineStr">
        <is>
          <t>2</t>
        </is>
      </c>
      <c r="H1661" s="2" t="inlineStr">
        <is>
          <t>H06</t>
        </is>
      </c>
    </row>
    <row r="1662">
      <c r="A1662" s="2" t="inlineStr">
        <is>
          <t>L176</t>
        </is>
      </c>
      <c r="B1662" s="2" t="inlineStr">
        <is>
          <t>Melto</t>
        </is>
      </c>
      <c r="C1662" s="2" t="inlineStr">
        <is>
          <t>S085</t>
        </is>
      </c>
      <c r="D1662" s="2" t="inlineStr">
        <is>
          <t>'Melto'!C9,D9</t>
        </is>
      </c>
      <c r="E1662" s="2" t="inlineStr">
        <is>
          <t>sugar</t>
        </is>
      </c>
      <c r="F1662" s="3" t="n">
        <v>400</v>
      </c>
      <c r="G1662" s="2" t="inlineStr">
        <is>
          <t>400</t>
        </is>
      </c>
      <c r="H1662" s="2" t="inlineStr">
        <is>
          <t>H06</t>
        </is>
      </c>
    </row>
    <row r="1663">
      <c r="A1663" s="2" t="inlineStr">
        <is>
          <t>L176</t>
        </is>
      </c>
      <c r="B1663" s="2" t="inlineStr">
        <is>
          <t>Melto</t>
        </is>
      </c>
      <c r="C1663" s="2" t="inlineStr">
        <is>
          <t>S085</t>
        </is>
      </c>
      <c r="D1663" s="2" t="inlineStr">
        <is>
          <t>'Melto'!C10,D10</t>
        </is>
      </c>
      <c r="E1663" s="2" t="inlineStr">
        <is>
          <t>salt</t>
        </is>
      </c>
      <c r="F1663" s="3" t="n">
        <v>150</v>
      </c>
      <c r="G1663" s="2" t="inlineStr">
        <is>
          <t>150</t>
        </is>
      </c>
      <c r="H1663" s="2" t="inlineStr">
        <is>
          <t>H06</t>
        </is>
      </c>
    </row>
    <row r="1664">
      <c r="A1664" s="2" t="inlineStr">
        <is>
          <t>L177</t>
        </is>
      </c>
      <c r="B1664" s="2" t="inlineStr">
        <is>
          <t>Melto</t>
        </is>
      </c>
      <c r="C1664" s="2" t="inlineStr">
        <is>
          <t>S085</t>
        </is>
      </c>
      <c r="D1664" s="2" t="inlineStr">
        <is>
          <t>'Melto'!C5,F5</t>
        </is>
      </c>
      <c r="E1664" s="2" t="inlineStr">
        <is>
          <t>flour</t>
        </is>
      </c>
      <c r="F1664" s="3" t="n">
        <v>50000</v>
      </c>
      <c r="G1664" s="2" t="inlineStr">
        <is>
          <t>=H5*12.5 [cached: 50000]</t>
        </is>
      </c>
      <c r="H1664" s="2" t="inlineStr">
        <is>
          <t>H06</t>
        </is>
      </c>
    </row>
    <row r="1665">
      <c r="A1665" s="2" t="inlineStr">
        <is>
          <t>L177</t>
        </is>
      </c>
      <c r="B1665" s="2" t="inlineStr">
        <is>
          <t>Melto</t>
        </is>
      </c>
      <c r="C1665" s="2" t="inlineStr">
        <is>
          <t>S085</t>
        </is>
      </c>
      <c r="D1665" s="2" t="inlineStr">
        <is>
          <t>'Melto'!C6,F6</t>
        </is>
      </c>
      <c r="E1665" s="2" t="inlineStr">
        <is>
          <t>Butter</t>
        </is>
      </c>
      <c r="F1665" s="3" t="n">
        <v>23750</v>
      </c>
      <c r="G1665" s="2" t="inlineStr">
        <is>
          <t>=H6*12.5 [cached: 23750]</t>
        </is>
      </c>
      <c r="H1665" s="2" t="inlineStr">
        <is>
          <t>H06</t>
        </is>
      </c>
    </row>
    <row r="1666">
      <c r="A1666" s="2" t="inlineStr">
        <is>
          <t>L177</t>
        </is>
      </c>
      <c r="B1666" s="2" t="inlineStr">
        <is>
          <t>Melto</t>
        </is>
      </c>
      <c r="C1666" s="2" t="inlineStr">
        <is>
          <t>S085</t>
        </is>
      </c>
      <c r="D1666" s="2" t="inlineStr">
        <is>
          <t>'Melto'!C7,F7</t>
        </is>
      </c>
      <c r="E1666" s="2" t="inlineStr">
        <is>
          <t>icing sugar</t>
        </is>
      </c>
      <c r="F1666" s="3" t="n">
        <v>4375</v>
      </c>
      <c r="G1666" s="2" t="inlineStr">
        <is>
          <t>=H7*12.5 [cached: 4375]</t>
        </is>
      </c>
      <c r="H1666" s="2" t="inlineStr">
        <is>
          <t>H06</t>
        </is>
      </c>
    </row>
    <row r="1667">
      <c r="A1667" s="2" t="inlineStr">
        <is>
          <t>L177</t>
        </is>
      </c>
      <c r="B1667" s="2" t="inlineStr">
        <is>
          <t>Melto</t>
        </is>
      </c>
      <c r="C1667" s="2" t="inlineStr">
        <is>
          <t>S085</t>
        </is>
      </c>
      <c r="D1667" s="2" t="inlineStr">
        <is>
          <t>'Melto'!C8,F8</t>
        </is>
      </c>
      <c r="E1667" s="2" t="inlineStr">
        <is>
          <t>egg</t>
        </is>
      </c>
      <c r="F1667" s="3" t="n">
        <v>5000</v>
      </c>
      <c r="G1667" s="2" t="inlineStr">
        <is>
          <t>=H8*12.5 [cached: 5000]</t>
        </is>
      </c>
      <c r="H1667" s="2" t="inlineStr">
        <is>
          <t>H06</t>
        </is>
      </c>
    </row>
    <row r="1668">
      <c r="A1668" s="2" t="inlineStr">
        <is>
          <t>L177</t>
        </is>
      </c>
      <c r="B1668" s="2" t="inlineStr">
        <is>
          <t>Melto</t>
        </is>
      </c>
      <c r="C1668" s="2" t="inlineStr">
        <is>
          <t>S085</t>
        </is>
      </c>
      <c r="D1668" s="2" t="inlineStr">
        <is>
          <t>'Melto'!C9,F9</t>
        </is>
      </c>
      <c r="E1668" s="2" t="inlineStr">
        <is>
          <t>sugar</t>
        </is>
      </c>
      <c r="F1668" s="3" t="n">
        <v>5000</v>
      </c>
      <c r="G1668" s="2" t="inlineStr">
        <is>
          <t>=H9*12.5 [cached: 5000]</t>
        </is>
      </c>
      <c r="H1668" s="2" t="inlineStr">
        <is>
          <t>H06</t>
        </is>
      </c>
    </row>
    <row r="1669">
      <c r="A1669" s="2" t="inlineStr">
        <is>
          <t>L177</t>
        </is>
      </c>
      <c r="B1669" s="2" t="inlineStr">
        <is>
          <t>Melto</t>
        </is>
      </c>
      <c r="C1669" s="2" t="inlineStr">
        <is>
          <t>S085</t>
        </is>
      </c>
      <c r="D1669" s="2" t="inlineStr">
        <is>
          <t>'Melto'!C10,F10</t>
        </is>
      </c>
      <c r="E1669" s="2" t="inlineStr">
        <is>
          <t>salt</t>
        </is>
      </c>
      <c r="F1669" s="3" t="n">
        <v>500</v>
      </c>
      <c r="G1669" s="2" t="inlineStr">
        <is>
          <t>=H10*12.5 [cached: 500]</t>
        </is>
      </c>
      <c r="H1669" s="2" t="inlineStr">
        <is>
          <t>H06</t>
        </is>
      </c>
    </row>
    <row r="1670">
      <c r="A1670" s="2" t="inlineStr">
        <is>
          <t>L178</t>
        </is>
      </c>
      <c r="B1670" s="2" t="inlineStr">
        <is>
          <t>YUMMY BREAD</t>
        </is>
      </c>
      <c r="C1670" s="2" t="inlineStr">
        <is>
          <t>S085</t>
        </is>
      </c>
      <c r="D1670" s="2" t="inlineStr">
        <is>
          <t>'YUMMY BREAD'!C5,D5</t>
        </is>
      </c>
      <c r="E1670" s="2" t="inlineStr">
        <is>
          <t>flour</t>
        </is>
      </c>
      <c r="F1670" s="3" t="n">
        <v>15000</v>
      </c>
      <c r="G1670" s="2" t="inlineStr">
        <is>
          <t>15000</t>
        </is>
      </c>
      <c r="H1670" s="2" t="inlineStr">
        <is>
          <t>M1-B01–B13</t>
        </is>
      </c>
    </row>
    <row r="1671">
      <c r="A1671" s="2" t="inlineStr">
        <is>
          <t>L178</t>
        </is>
      </c>
      <c r="B1671" s="2" t="inlineStr">
        <is>
          <t>YUMMY BREAD</t>
        </is>
      </c>
      <c r="C1671" s="2" t="inlineStr">
        <is>
          <t>S085</t>
        </is>
      </c>
      <c r="D1671" s="2" t="inlineStr">
        <is>
          <t>'YUMMY BREAD'!C6,D6</t>
        </is>
      </c>
      <c r="E1671" s="2" t="inlineStr">
        <is>
          <t>Butter</t>
        </is>
      </c>
      <c r="F1671" s="3" t="n">
        <v>1500</v>
      </c>
      <c r="G1671" s="2" t="inlineStr">
        <is>
          <t>1500</t>
        </is>
      </c>
      <c r="H1671" s="2" t="inlineStr">
        <is>
          <t>M1-B01–B13</t>
        </is>
      </c>
    </row>
    <row r="1672">
      <c r="A1672" s="2" t="inlineStr">
        <is>
          <t>L178</t>
        </is>
      </c>
      <c r="B1672" s="2" t="inlineStr">
        <is>
          <t>YUMMY BREAD</t>
        </is>
      </c>
      <c r="C1672" s="2" t="inlineStr">
        <is>
          <t>S085</t>
        </is>
      </c>
      <c r="D1672" s="2" t="inlineStr">
        <is>
          <t>'YUMMY BREAD'!C7,D7</t>
        </is>
      </c>
      <c r="E1672" s="2" t="inlineStr">
        <is>
          <t>sugar</t>
        </is>
      </c>
      <c r="F1672" s="3" t="n">
        <v>1500</v>
      </c>
      <c r="G1672" s="2" t="inlineStr">
        <is>
          <t>1500</t>
        </is>
      </c>
      <c r="H1672" s="2" t="inlineStr">
        <is>
          <t>M1-B01–B13</t>
        </is>
      </c>
    </row>
    <row r="1673">
      <c r="A1673" s="2" t="inlineStr">
        <is>
          <t>L178</t>
        </is>
      </c>
      <c r="B1673" s="2" t="inlineStr">
        <is>
          <t>YUMMY BREAD</t>
        </is>
      </c>
      <c r="C1673" s="2" t="inlineStr">
        <is>
          <t>S085</t>
        </is>
      </c>
      <c r="D1673" s="2" t="inlineStr">
        <is>
          <t>'YUMMY BREAD'!C8,D8</t>
        </is>
      </c>
      <c r="E1673" s="2" t="inlineStr">
        <is>
          <t>Milk</t>
        </is>
      </c>
      <c r="F1673" s="3" t="n">
        <v>1000</v>
      </c>
      <c r="G1673" s="2" t="inlineStr">
        <is>
          <t>1000</t>
        </is>
      </c>
      <c r="H1673" s="2" t="inlineStr">
        <is>
          <t>M1-B01–B13</t>
        </is>
      </c>
    </row>
    <row r="1674">
      <c r="A1674" s="2" t="inlineStr">
        <is>
          <t>L178</t>
        </is>
      </c>
      <c r="B1674" s="2" t="inlineStr">
        <is>
          <t>YUMMY BREAD</t>
        </is>
      </c>
      <c r="C1674" s="2" t="inlineStr">
        <is>
          <t>S085</t>
        </is>
      </c>
      <c r="D1674" s="2" t="inlineStr">
        <is>
          <t>'YUMMY BREAD'!C9,D9</t>
        </is>
      </c>
      <c r="E1674" s="2" t="inlineStr">
        <is>
          <t>egg</t>
        </is>
      </c>
      <c r="F1674" s="3" t="n">
        <v>750</v>
      </c>
      <c r="G1674" s="2" t="inlineStr">
        <is>
          <t>750</t>
        </is>
      </c>
      <c r="H1674" s="2" t="inlineStr">
        <is>
          <t>M1-B01–B13</t>
        </is>
      </c>
    </row>
    <row r="1675">
      <c r="A1675" s="2" t="inlineStr">
        <is>
          <t>L178</t>
        </is>
      </c>
      <c r="B1675" s="2" t="inlineStr">
        <is>
          <t>YUMMY BREAD</t>
        </is>
      </c>
      <c r="C1675" s="2" t="inlineStr">
        <is>
          <t>S085</t>
        </is>
      </c>
      <c r="D1675" s="2" t="inlineStr">
        <is>
          <t>'YUMMY BREAD'!C10,D10</t>
        </is>
      </c>
      <c r="E1675" s="2" t="inlineStr">
        <is>
          <t>salt</t>
        </is>
      </c>
      <c r="F1675" s="3" t="n">
        <v>120</v>
      </c>
      <c r="G1675" s="2" t="inlineStr">
        <is>
          <t>120</t>
        </is>
      </c>
      <c r="H1675" s="2" t="inlineStr">
        <is>
          <t>M1-B01–B13</t>
        </is>
      </c>
    </row>
    <row r="1676">
      <c r="A1676" s="2" t="inlineStr">
        <is>
          <t>L178</t>
        </is>
      </c>
      <c r="B1676" s="2" t="inlineStr">
        <is>
          <t>YUMMY BREAD</t>
        </is>
      </c>
      <c r="C1676" s="2" t="inlineStr">
        <is>
          <t>S085</t>
        </is>
      </c>
      <c r="D1676" s="2" t="inlineStr">
        <is>
          <t>'YUMMY BREAD'!C11,D11</t>
        </is>
      </c>
      <c r="E1676" s="2" t="inlineStr">
        <is>
          <t>improver</t>
        </is>
      </c>
      <c r="F1676" s="3" t="n">
        <v>120</v>
      </c>
      <c r="G1676" s="2" t="inlineStr">
        <is>
          <t>120</t>
        </is>
      </c>
      <c r="H1676" s="2" t="inlineStr">
        <is>
          <t>M1-B01–B13</t>
        </is>
      </c>
    </row>
    <row r="1677">
      <c r="A1677" s="2" t="inlineStr">
        <is>
          <t>L178</t>
        </is>
      </c>
      <c r="B1677" s="2" t="inlineStr">
        <is>
          <t>YUMMY BREAD</t>
        </is>
      </c>
      <c r="C1677" s="2" t="inlineStr">
        <is>
          <t>S085</t>
        </is>
      </c>
      <c r="D1677" s="2" t="inlineStr">
        <is>
          <t>'YUMMY BREAD'!C12,D12</t>
        </is>
      </c>
      <c r="E1677" s="2" t="inlineStr">
        <is>
          <t>yeast</t>
        </is>
      </c>
      <c r="F1677" s="3" t="n">
        <v>160</v>
      </c>
      <c r="G1677" s="2" t="inlineStr">
        <is>
          <t>160</t>
        </is>
      </c>
      <c r="H1677" s="2" t="inlineStr">
        <is>
          <t>M1-B01–B13</t>
        </is>
      </c>
    </row>
    <row r="1678">
      <c r="A1678" s="2" t="inlineStr">
        <is>
          <t>L178</t>
        </is>
      </c>
      <c r="B1678" s="2" t="inlineStr">
        <is>
          <t>YUMMY BREAD</t>
        </is>
      </c>
      <c r="C1678" s="2" t="inlineStr">
        <is>
          <t>S085</t>
        </is>
      </c>
      <c r="D1678" s="2" t="inlineStr">
        <is>
          <t>'YUMMY BREAD'!C13,D13</t>
        </is>
      </c>
      <c r="E1678" s="2" t="inlineStr">
        <is>
          <t>water</t>
        </is>
      </c>
      <c r="F1678" s="3" t="n">
        <v>6000</v>
      </c>
      <c r="G1678" s="2" t="inlineStr">
        <is>
          <t>6000</t>
        </is>
      </c>
      <c r="H1678" s="2" t="inlineStr">
        <is>
          <t>M1-B01–B13</t>
        </is>
      </c>
    </row>
    <row r="1679">
      <c r="A1679" s="2" t="inlineStr">
        <is>
          <t>L178</t>
        </is>
      </c>
      <c r="B1679" s="2" t="inlineStr">
        <is>
          <t>YUMMY BREAD</t>
        </is>
      </c>
      <c r="C1679" s="2" t="inlineStr">
        <is>
          <t>S085</t>
        </is>
      </c>
      <c r="D1679" s="2" t="inlineStr">
        <is>
          <t>'YUMMY BREAD'!C14,D14</t>
        </is>
      </c>
      <c r="E1679" s="2" t="inlineStr">
        <is>
          <t>Oil</t>
        </is>
      </c>
      <c r="F1679" s="3" t="n">
        <v>400</v>
      </c>
      <c r="G1679" s="2" t="inlineStr">
        <is>
          <t>400</t>
        </is>
      </c>
      <c r="H1679" s="2" t="inlineStr">
        <is>
          <t>M1-B01–B13</t>
        </is>
      </c>
    </row>
    <row r="1680">
      <c r="A1680" s="2" t="inlineStr">
        <is>
          <t>L178</t>
        </is>
      </c>
      <c r="B1680" s="2" t="inlineStr">
        <is>
          <t>YUMMY BREAD</t>
        </is>
      </c>
      <c r="C1680" s="2" t="inlineStr">
        <is>
          <t>S085</t>
        </is>
      </c>
      <c r="D1680" s="2" t="inlineStr">
        <is>
          <t>'YUMMY BREAD'!C15,D15</t>
        </is>
      </c>
      <c r="E1680" s="2" t="inlineStr">
        <is>
          <t>EDC</t>
        </is>
      </c>
      <c r="F1680" s="3" t="n">
        <v>100</v>
      </c>
      <c r="G1680" s="2" t="inlineStr">
        <is>
          <t>100</t>
        </is>
      </c>
      <c r="H1680" s="2" t="inlineStr">
        <is>
          <t>M1-B01–B13</t>
        </is>
      </c>
    </row>
    <row r="1681">
      <c r="A1681" s="2" t="inlineStr">
        <is>
          <t>L179</t>
        </is>
      </c>
      <c r="B1681" s="2" t="inlineStr">
        <is>
          <t>YUMMY BREAD</t>
        </is>
      </c>
      <c r="C1681" s="2" t="inlineStr">
        <is>
          <t>S085</t>
        </is>
      </c>
      <c r="D1681" s="2" t="inlineStr">
        <is>
          <t>'YUMMY BREAD'!C5,F5</t>
        </is>
      </c>
      <c r="E1681" s="2" t="inlineStr">
        <is>
          <t>flour</t>
        </is>
      </c>
      <c r="F1681" s="3" t="n">
        <v>10000</v>
      </c>
      <c r="G1681" s="2" t="inlineStr">
        <is>
          <t>10000</t>
        </is>
      </c>
      <c r="H1681" s="2" t="inlineStr">
        <is>
          <t>M1-B01–B13</t>
        </is>
      </c>
    </row>
    <row r="1682">
      <c r="A1682" s="2" t="inlineStr">
        <is>
          <t>L179</t>
        </is>
      </c>
      <c r="B1682" s="2" t="inlineStr">
        <is>
          <t>YUMMY BREAD</t>
        </is>
      </c>
      <c r="C1682" s="2" t="inlineStr">
        <is>
          <t>S085</t>
        </is>
      </c>
      <c r="D1682" s="2" t="inlineStr">
        <is>
          <t>'YUMMY BREAD'!C6,F6</t>
        </is>
      </c>
      <c r="E1682" s="2" t="inlineStr">
        <is>
          <t>Butter</t>
        </is>
      </c>
      <c r="F1682" s="3" t="n">
        <v>1100</v>
      </c>
      <c r="G1682" s="2" t="inlineStr">
        <is>
          <t>1100</t>
        </is>
      </c>
      <c r="H1682" s="2" t="inlineStr">
        <is>
          <t>M1-B01–B13</t>
        </is>
      </c>
    </row>
    <row r="1683">
      <c r="A1683" s="2" t="inlineStr">
        <is>
          <t>L179</t>
        </is>
      </c>
      <c r="B1683" s="2" t="inlineStr">
        <is>
          <t>YUMMY BREAD</t>
        </is>
      </c>
      <c r="C1683" s="2" t="inlineStr">
        <is>
          <t>S085</t>
        </is>
      </c>
      <c r="D1683" s="2" t="inlineStr">
        <is>
          <t>'YUMMY BREAD'!C7,F7</t>
        </is>
      </c>
      <c r="E1683" s="2" t="inlineStr">
        <is>
          <t>sugar</t>
        </is>
      </c>
      <c r="F1683" s="3" t="n">
        <v>1000</v>
      </c>
      <c r="G1683" s="2" t="inlineStr">
        <is>
          <t>1000</t>
        </is>
      </c>
      <c r="H1683" s="2" t="inlineStr">
        <is>
          <t>M1-B01–B13</t>
        </is>
      </c>
    </row>
    <row r="1684">
      <c r="A1684" s="2" t="inlineStr">
        <is>
          <t>L179</t>
        </is>
      </c>
      <c r="B1684" s="2" t="inlineStr">
        <is>
          <t>YUMMY BREAD</t>
        </is>
      </c>
      <c r="C1684" s="2" t="inlineStr">
        <is>
          <t>S085</t>
        </is>
      </c>
      <c r="D1684" s="2" t="inlineStr">
        <is>
          <t>'YUMMY BREAD'!C8,F8</t>
        </is>
      </c>
      <c r="E1684" s="2" t="inlineStr">
        <is>
          <t>Milk</t>
        </is>
      </c>
      <c r="F1684" s="3" t="n">
        <v>700</v>
      </c>
      <c r="G1684" s="2" t="inlineStr">
        <is>
          <t>700</t>
        </is>
      </c>
      <c r="H1684" s="2" t="inlineStr">
        <is>
          <t>M1-B01–B13</t>
        </is>
      </c>
    </row>
    <row r="1685">
      <c r="A1685" s="2" t="inlineStr">
        <is>
          <t>L179</t>
        </is>
      </c>
      <c r="B1685" s="2" t="inlineStr">
        <is>
          <t>YUMMY BREAD</t>
        </is>
      </c>
      <c r="C1685" s="2" t="inlineStr">
        <is>
          <t>S085</t>
        </is>
      </c>
      <c r="D1685" s="2" t="inlineStr">
        <is>
          <t>'YUMMY BREAD'!C9,F9</t>
        </is>
      </c>
      <c r="E1685" s="2" t="inlineStr">
        <is>
          <t>egg</t>
        </is>
      </c>
      <c r="F1685" s="3" t="n">
        <v>600</v>
      </c>
      <c r="G1685" s="2" t="inlineStr">
        <is>
          <t>600</t>
        </is>
      </c>
      <c r="H1685" s="2" t="inlineStr">
        <is>
          <t>M1-B01–B13</t>
        </is>
      </c>
    </row>
    <row r="1686">
      <c r="A1686" s="2" t="inlineStr">
        <is>
          <t>L179</t>
        </is>
      </c>
      <c r="B1686" s="2" t="inlineStr">
        <is>
          <t>YUMMY BREAD</t>
        </is>
      </c>
      <c r="C1686" s="2" t="inlineStr">
        <is>
          <t>S085</t>
        </is>
      </c>
      <c r="D1686" s="2" t="inlineStr">
        <is>
          <t>'YUMMY BREAD'!C10,F10</t>
        </is>
      </c>
      <c r="E1686" s="2" t="inlineStr">
        <is>
          <t>salt</t>
        </is>
      </c>
      <c r="F1686" s="3" t="n">
        <v>100</v>
      </c>
      <c r="G1686" s="2" t="inlineStr">
        <is>
          <t>100</t>
        </is>
      </c>
      <c r="H1686" s="2" t="inlineStr">
        <is>
          <t>M1-B01–B13</t>
        </is>
      </c>
    </row>
    <row r="1687">
      <c r="A1687" s="2" t="inlineStr">
        <is>
          <t>L179</t>
        </is>
      </c>
      <c r="B1687" s="2" t="inlineStr">
        <is>
          <t>YUMMY BREAD</t>
        </is>
      </c>
      <c r="C1687" s="2" t="inlineStr">
        <is>
          <t>S085</t>
        </is>
      </c>
      <c r="D1687" s="2" t="inlineStr">
        <is>
          <t>'YUMMY BREAD'!C11,F11</t>
        </is>
      </c>
      <c r="E1687" s="2" t="inlineStr">
        <is>
          <t>improver</t>
        </is>
      </c>
      <c r="F1687" s="3" t="n">
        <v>100</v>
      </c>
      <c r="G1687" s="2" t="inlineStr">
        <is>
          <t>100</t>
        </is>
      </c>
      <c r="H1687" s="2" t="inlineStr">
        <is>
          <t>M1-B01–B13</t>
        </is>
      </c>
    </row>
    <row r="1688">
      <c r="A1688" s="2" t="inlineStr">
        <is>
          <t>L179</t>
        </is>
      </c>
      <c r="B1688" s="2" t="inlineStr">
        <is>
          <t>YUMMY BREAD</t>
        </is>
      </c>
      <c r="C1688" s="2" t="inlineStr">
        <is>
          <t>S085</t>
        </is>
      </c>
      <c r="D1688" s="2" t="inlineStr">
        <is>
          <t>'YUMMY BREAD'!C12,F12</t>
        </is>
      </c>
      <c r="E1688" s="2" t="inlineStr">
        <is>
          <t>yeast</t>
        </is>
      </c>
      <c r="F1688" s="3" t="n">
        <v>140</v>
      </c>
      <c r="G1688" s="2" t="inlineStr">
        <is>
          <t>140</t>
        </is>
      </c>
      <c r="H1688" s="2" t="inlineStr">
        <is>
          <t>M1-B01–B13</t>
        </is>
      </c>
    </row>
    <row r="1689">
      <c r="A1689" s="2" t="inlineStr">
        <is>
          <t>L179</t>
        </is>
      </c>
      <c r="B1689" s="2" t="inlineStr">
        <is>
          <t>YUMMY BREAD</t>
        </is>
      </c>
      <c r="C1689" s="2" t="inlineStr">
        <is>
          <t>S085</t>
        </is>
      </c>
      <c r="D1689" s="2" t="inlineStr">
        <is>
          <t>'YUMMY BREAD'!C13,F13</t>
        </is>
      </c>
      <c r="E1689" s="2" t="inlineStr">
        <is>
          <t>water</t>
        </is>
      </c>
      <c r="F1689" s="3" t="n">
        <v>4600</v>
      </c>
      <c r="G1689" s="2" t="inlineStr">
        <is>
          <t>4600</t>
        </is>
      </c>
      <c r="H1689" s="2" t="inlineStr">
        <is>
          <t>M1-B01–B13</t>
        </is>
      </c>
    </row>
    <row r="1690">
      <c r="A1690" s="2" t="inlineStr">
        <is>
          <t>L179</t>
        </is>
      </c>
      <c r="B1690" s="2" t="inlineStr">
        <is>
          <t>YUMMY BREAD</t>
        </is>
      </c>
      <c r="C1690" s="2" t="inlineStr">
        <is>
          <t>S085</t>
        </is>
      </c>
      <c r="D1690" s="2" t="inlineStr">
        <is>
          <t>'YUMMY BREAD'!C14,F14</t>
        </is>
      </c>
      <c r="E1690" s="2" t="inlineStr">
        <is>
          <t>Oil</t>
        </is>
      </c>
      <c r="F1690" s="3" t="n">
        <v>220</v>
      </c>
      <c r="G1690" s="2" t="inlineStr">
        <is>
          <t>220</t>
        </is>
      </c>
      <c r="H1690" s="2" t="inlineStr">
        <is>
          <t>M1-B01–B13</t>
        </is>
      </c>
    </row>
    <row r="1691">
      <c r="A1691" s="2" t="inlineStr">
        <is>
          <t>L179</t>
        </is>
      </c>
      <c r="B1691" s="2" t="inlineStr">
        <is>
          <t>YUMMY BREAD</t>
        </is>
      </c>
      <c r="C1691" s="2" t="inlineStr">
        <is>
          <t>S085</t>
        </is>
      </c>
      <c r="D1691" s="2" t="inlineStr">
        <is>
          <t>'YUMMY BREAD'!C15,F15</t>
        </is>
      </c>
      <c r="E1691" s="2" t="inlineStr">
        <is>
          <t>EDC</t>
        </is>
      </c>
      <c r="F1691" s="3" t="n">
        <v>25</v>
      </c>
      <c r="G1691" s="2" t="inlineStr">
        <is>
          <t>25</t>
        </is>
      </c>
      <c r="H1691" s="2" t="inlineStr">
        <is>
          <t>M1-B01–B13</t>
        </is>
      </c>
    </row>
    <row r="1692">
      <c r="A1692" s="2" t="inlineStr">
        <is>
          <t>L180</t>
        </is>
      </c>
      <c r="B1692" s="2" t="inlineStr">
        <is>
          <t>buns new look</t>
        </is>
      </c>
      <c r="C1692" s="2" t="inlineStr">
        <is>
          <t>S085</t>
        </is>
      </c>
      <c r="D1692" s="2" t="inlineStr">
        <is>
          <t>'buns new look'!C5,D5</t>
        </is>
      </c>
      <c r="E1692" s="2" t="inlineStr">
        <is>
          <t>flour</t>
        </is>
      </c>
      <c r="F1692" s="3" t="n">
        <v>6000</v>
      </c>
      <c r="G1692" s="2" t="inlineStr">
        <is>
          <t>6000</t>
        </is>
      </c>
      <c r="H1692" s="2" t="inlineStr">
        <is>
          <t>M1-B04 / M1-B09</t>
        </is>
      </c>
    </row>
    <row r="1693">
      <c r="A1693" s="2" t="inlineStr">
        <is>
          <t>L180</t>
        </is>
      </c>
      <c r="B1693" s="2" t="inlineStr">
        <is>
          <t>buns new look</t>
        </is>
      </c>
      <c r="C1693" s="2" t="inlineStr">
        <is>
          <t>S085</t>
        </is>
      </c>
      <c r="D1693" s="2" t="inlineStr">
        <is>
          <t>'buns new look'!C6,D6</t>
        </is>
      </c>
      <c r="E1693" s="2" t="inlineStr">
        <is>
          <t>Butter</t>
        </is>
      </c>
      <c r="F1693" s="3" t="n">
        <v>300</v>
      </c>
      <c r="G1693" s="2" t="inlineStr">
        <is>
          <t>300</t>
        </is>
      </c>
      <c r="H1693" s="2" t="inlineStr">
        <is>
          <t>M1-B04 / M1-B09</t>
        </is>
      </c>
    </row>
    <row r="1694">
      <c r="A1694" s="2" t="inlineStr">
        <is>
          <t>L180</t>
        </is>
      </c>
      <c r="B1694" s="2" t="inlineStr">
        <is>
          <t>buns new look</t>
        </is>
      </c>
      <c r="C1694" s="2" t="inlineStr">
        <is>
          <t>S085</t>
        </is>
      </c>
      <c r="D1694" s="2" t="inlineStr">
        <is>
          <t>'buns new look'!C7,D7</t>
        </is>
      </c>
      <c r="E1694" s="2" t="inlineStr">
        <is>
          <t>sugar</t>
        </is>
      </c>
      <c r="F1694" s="3" t="n">
        <v>50</v>
      </c>
      <c r="G1694" s="2" t="inlineStr">
        <is>
          <t>50</t>
        </is>
      </c>
      <c r="H1694" s="2" t="inlineStr">
        <is>
          <t>M1-B04 / M1-B09</t>
        </is>
      </c>
    </row>
    <row r="1695">
      <c r="A1695" s="2" t="inlineStr">
        <is>
          <t>L180</t>
        </is>
      </c>
      <c r="B1695" s="2" t="inlineStr">
        <is>
          <t>buns new look</t>
        </is>
      </c>
      <c r="C1695" s="2" t="inlineStr">
        <is>
          <t>S085</t>
        </is>
      </c>
      <c r="D1695" s="2" t="inlineStr">
        <is>
          <t>'buns new look'!C8,D8</t>
        </is>
      </c>
      <c r="E1695" s="2" t="inlineStr">
        <is>
          <t>conc milk</t>
        </is>
      </c>
      <c r="F1695" s="3" t="n">
        <v>500</v>
      </c>
      <c r="G1695" s="2" t="inlineStr">
        <is>
          <t>500</t>
        </is>
      </c>
      <c r="H1695" s="2" t="inlineStr">
        <is>
          <t>M1-B04 / M1-B09</t>
        </is>
      </c>
    </row>
    <row r="1696">
      <c r="A1696" s="2" t="inlineStr">
        <is>
          <t>L180</t>
        </is>
      </c>
      <c r="B1696" s="2" t="inlineStr">
        <is>
          <t>buns new look</t>
        </is>
      </c>
      <c r="C1696" s="2" t="inlineStr">
        <is>
          <t>S085</t>
        </is>
      </c>
      <c r="D1696" s="2" t="inlineStr">
        <is>
          <t>'buns new look'!C9,D9</t>
        </is>
      </c>
      <c r="E1696" s="2" t="inlineStr">
        <is>
          <t>egg</t>
        </is>
      </c>
      <c r="F1696" s="3" t="n">
        <v>220</v>
      </c>
      <c r="G1696" s="2" t="inlineStr">
        <is>
          <t>220</t>
        </is>
      </c>
      <c r="H1696" s="2" t="inlineStr">
        <is>
          <t>M1-B04 / M1-B09</t>
        </is>
      </c>
    </row>
    <row r="1697">
      <c r="A1697" s="2" t="inlineStr">
        <is>
          <t>L180</t>
        </is>
      </c>
      <c r="B1697" s="2" t="inlineStr">
        <is>
          <t>buns new look</t>
        </is>
      </c>
      <c r="C1697" s="2" t="inlineStr">
        <is>
          <t>S085</t>
        </is>
      </c>
      <c r="D1697" s="2" t="inlineStr">
        <is>
          <t>'buns new look'!C10,D10</t>
        </is>
      </c>
      <c r="E1697" s="2" t="inlineStr">
        <is>
          <t>salt</t>
        </is>
      </c>
      <c r="F1697" s="3" t="n">
        <v>100</v>
      </c>
      <c r="G1697" s="2" t="inlineStr">
        <is>
          <t>100</t>
        </is>
      </c>
      <c r="H1697" s="2" t="inlineStr">
        <is>
          <t>M1-B04 / M1-B09</t>
        </is>
      </c>
    </row>
    <row r="1698">
      <c r="A1698" s="2" t="inlineStr">
        <is>
          <t>L180</t>
        </is>
      </c>
      <c r="B1698" s="2" t="inlineStr">
        <is>
          <t>buns new look</t>
        </is>
      </c>
      <c r="C1698" s="2" t="inlineStr">
        <is>
          <t>S085</t>
        </is>
      </c>
      <c r="D1698" s="2" t="inlineStr">
        <is>
          <t>'buns new look'!C11,D11</t>
        </is>
      </c>
      <c r="E1698" s="2" t="inlineStr">
        <is>
          <t>improver</t>
        </is>
      </c>
      <c r="F1698" s="3" t="n">
        <v>100</v>
      </c>
      <c r="G1698" s="2" t="inlineStr">
        <is>
          <t>100</t>
        </is>
      </c>
      <c r="H1698" s="2" t="inlineStr">
        <is>
          <t>M1-B04 / M1-B09</t>
        </is>
      </c>
    </row>
    <row r="1699">
      <c r="A1699" s="2" t="inlineStr">
        <is>
          <t>L180</t>
        </is>
      </c>
      <c r="B1699" s="2" t="inlineStr">
        <is>
          <t>buns new look</t>
        </is>
      </c>
      <c r="C1699" s="2" t="inlineStr">
        <is>
          <t>S085</t>
        </is>
      </c>
      <c r="D1699" s="2" t="inlineStr">
        <is>
          <t>'buns new look'!C12,D12</t>
        </is>
      </c>
      <c r="E1699" s="2" t="inlineStr">
        <is>
          <t>yeast</t>
        </is>
      </c>
      <c r="F1699" s="3" t="n">
        <v>100</v>
      </c>
      <c r="G1699" s="2" t="inlineStr">
        <is>
          <t>100</t>
        </is>
      </c>
      <c r="H1699" s="2" t="inlineStr">
        <is>
          <t>M1-B04 / M1-B09</t>
        </is>
      </c>
    </row>
    <row r="1700">
      <c r="A1700" s="2" t="inlineStr">
        <is>
          <t>L180</t>
        </is>
      </c>
      <c r="B1700" s="2" t="inlineStr">
        <is>
          <t>buns new look</t>
        </is>
      </c>
      <c r="C1700" s="2" t="inlineStr">
        <is>
          <t>S085</t>
        </is>
      </c>
      <c r="D1700" s="2" t="inlineStr">
        <is>
          <t>'buns new look'!C13,D13</t>
        </is>
      </c>
      <c r="E1700" s="2" t="inlineStr">
        <is>
          <t>water</t>
        </is>
      </c>
      <c r="F1700" s="3" t="n">
        <v>2500</v>
      </c>
      <c r="G1700" s="2" t="inlineStr">
        <is>
          <t>2500</t>
        </is>
      </c>
      <c r="H1700" s="2" t="inlineStr">
        <is>
          <t>M1-B04 / M1-B09</t>
        </is>
      </c>
    </row>
    <row r="1701">
      <c r="A1701" s="2" t="inlineStr">
        <is>
          <t>L181</t>
        </is>
      </c>
      <c r="B1701" s="2" t="inlineStr">
        <is>
          <t>Best Chinchin</t>
        </is>
      </c>
      <c r="C1701" s="2" t="inlineStr">
        <is>
          <t>S086</t>
        </is>
      </c>
      <c r="D1701" s="2" t="inlineStr">
        <is>
          <t>'Best Chinchin'!C5,D5</t>
        </is>
      </c>
      <c r="E1701" s="2" t="inlineStr">
        <is>
          <t>flour</t>
        </is>
      </c>
      <c r="F1701" s="3" t="n">
        <v>25000</v>
      </c>
      <c r="G1701" s="2" t="inlineStr">
        <is>
          <t>25000</t>
        </is>
      </c>
      <c r="H1701" s="2" t="inlineStr">
        <is>
          <t>H10</t>
        </is>
      </c>
    </row>
    <row r="1702">
      <c r="A1702" s="2" t="inlineStr">
        <is>
          <t>L181</t>
        </is>
      </c>
      <c r="B1702" s="2" t="inlineStr">
        <is>
          <t>Best Chinchin</t>
        </is>
      </c>
      <c r="C1702" s="2" t="inlineStr">
        <is>
          <t>S086</t>
        </is>
      </c>
      <c r="D1702" s="2" t="inlineStr">
        <is>
          <t>'Best Chinchin'!C6,D6</t>
        </is>
      </c>
      <c r="E1702" s="2" t="inlineStr">
        <is>
          <t>baking powder</t>
        </is>
      </c>
      <c r="F1702" s="3" t="n">
        <v>500</v>
      </c>
      <c r="G1702" s="2" t="inlineStr">
        <is>
          <t>500</t>
        </is>
      </c>
      <c r="H1702" s="2" t="inlineStr">
        <is>
          <t>H10</t>
        </is>
      </c>
    </row>
    <row r="1703">
      <c r="A1703" s="2" t="inlineStr">
        <is>
          <t>L181</t>
        </is>
      </c>
      <c r="B1703" s="2" t="inlineStr">
        <is>
          <t>Best Chinchin</t>
        </is>
      </c>
      <c r="C1703" s="2" t="inlineStr">
        <is>
          <t>S086</t>
        </is>
      </c>
      <c r="D1703" s="2" t="inlineStr">
        <is>
          <t>'Best Chinchin'!C7,D7</t>
        </is>
      </c>
      <c r="E1703" s="2" t="inlineStr">
        <is>
          <t>nut meg</t>
        </is>
      </c>
      <c r="F1703" s="3" t="n">
        <v>50</v>
      </c>
      <c r="G1703" s="2" t="inlineStr">
        <is>
          <t>50</t>
        </is>
      </c>
      <c r="H1703" s="2" t="inlineStr">
        <is>
          <t>H10</t>
        </is>
      </c>
    </row>
    <row r="1704">
      <c r="A1704" s="2" t="inlineStr">
        <is>
          <t>L181</t>
        </is>
      </c>
      <c r="B1704" s="2" t="inlineStr">
        <is>
          <t>Best Chinchin</t>
        </is>
      </c>
      <c r="C1704" s="2" t="inlineStr">
        <is>
          <t>S086</t>
        </is>
      </c>
      <c r="D1704" s="2" t="inlineStr">
        <is>
          <t>'Best Chinchin'!C8,D8</t>
        </is>
      </c>
      <c r="E1704" s="2" t="inlineStr">
        <is>
          <t>sugar</t>
        </is>
      </c>
      <c r="F1704" s="3" t="n">
        <v>4500</v>
      </c>
      <c r="G1704" s="2" t="inlineStr">
        <is>
          <t>4500</t>
        </is>
      </c>
      <c r="H1704" s="2" t="inlineStr">
        <is>
          <t>H10</t>
        </is>
      </c>
    </row>
    <row r="1705">
      <c r="A1705" s="2" t="inlineStr">
        <is>
          <t>L181</t>
        </is>
      </c>
      <c r="B1705" s="2" t="inlineStr">
        <is>
          <t>Best Chinchin</t>
        </is>
      </c>
      <c r="C1705" s="2" t="inlineStr">
        <is>
          <t>S086</t>
        </is>
      </c>
      <c r="D1705" s="2" t="inlineStr">
        <is>
          <t>'Best Chinchin'!C9,D9</t>
        </is>
      </c>
      <c r="E1705" s="2" t="inlineStr">
        <is>
          <t>Butter</t>
        </is>
      </c>
      <c r="F1705" s="3" t="n">
        <v>4000</v>
      </c>
      <c r="G1705" s="2" t="inlineStr">
        <is>
          <t>4000</t>
        </is>
      </c>
      <c r="H1705" s="2" t="inlineStr">
        <is>
          <t>H10</t>
        </is>
      </c>
    </row>
    <row r="1706">
      <c r="A1706" s="2" t="inlineStr">
        <is>
          <t>L181</t>
        </is>
      </c>
      <c r="B1706" s="2" t="inlineStr">
        <is>
          <t>Best Chinchin</t>
        </is>
      </c>
      <c r="C1706" s="2" t="inlineStr">
        <is>
          <t>S086</t>
        </is>
      </c>
      <c r="D1706" s="2" t="inlineStr">
        <is>
          <t>'Best Chinchin'!C10,D10</t>
        </is>
      </c>
      <c r="E1706" s="2" t="inlineStr">
        <is>
          <t>egg</t>
        </is>
      </c>
      <c r="F1706" s="3" t="n">
        <v>11000</v>
      </c>
      <c r="G1706" s="2" t="inlineStr">
        <is>
          <t>11000</t>
        </is>
      </c>
      <c r="H1706" s="2" t="inlineStr">
        <is>
          <t>H10</t>
        </is>
      </c>
    </row>
    <row r="1707">
      <c r="A1707" s="2" t="inlineStr">
        <is>
          <t>L181</t>
        </is>
      </c>
      <c r="B1707" s="2" t="inlineStr">
        <is>
          <t>Best Chinchin</t>
        </is>
      </c>
      <c r="C1707" s="2" t="inlineStr">
        <is>
          <t>S086</t>
        </is>
      </c>
      <c r="D1707" s="2" t="inlineStr">
        <is>
          <t>'Best Chinchin'!C11,D11</t>
        </is>
      </c>
      <c r="E1707" s="2" t="inlineStr">
        <is>
          <t>salt</t>
        </is>
      </c>
      <c r="F1707" s="3" t="n">
        <v>200</v>
      </c>
      <c r="G1707" s="2" t="inlineStr">
        <is>
          <t>200</t>
        </is>
      </c>
      <c r="H1707" s="2" t="inlineStr">
        <is>
          <t>H10</t>
        </is>
      </c>
    </row>
    <row r="1708">
      <c r="A1708" s="2" t="inlineStr">
        <is>
          <t>L181</t>
        </is>
      </c>
      <c r="B1708" s="2" t="inlineStr">
        <is>
          <t>Best Chinchin</t>
        </is>
      </c>
      <c r="C1708" s="2" t="inlineStr">
        <is>
          <t>S086</t>
        </is>
      </c>
      <c r="D1708" s="2" t="inlineStr">
        <is>
          <t>'Best Chinchin'!C12,D12</t>
        </is>
      </c>
      <c r="E1708" s="2" t="inlineStr">
        <is>
          <t>Improver</t>
        </is>
      </c>
      <c r="F1708" s="3" t="n">
        <v>200</v>
      </c>
      <c r="G1708" s="2" t="inlineStr">
        <is>
          <t>200</t>
        </is>
      </c>
      <c r="H1708" s="2" t="inlineStr">
        <is>
          <t>H10</t>
        </is>
      </c>
    </row>
    <row r="1709">
      <c r="A1709" s="2" t="inlineStr">
        <is>
          <t>L181</t>
        </is>
      </c>
      <c r="B1709" s="2" t="inlineStr">
        <is>
          <t>Best Chinchin</t>
        </is>
      </c>
      <c r="C1709" s="2" t="inlineStr">
        <is>
          <t>S086</t>
        </is>
      </c>
      <c r="D1709" s="2" t="inlineStr">
        <is>
          <t>'Best Chinchin'!C13,D13</t>
        </is>
      </c>
      <c r="E1709" s="2" t="inlineStr">
        <is>
          <t>oil</t>
        </is>
      </c>
      <c r="F1709" s="3" t="n">
        <v>400</v>
      </c>
      <c r="G1709" s="2" t="inlineStr">
        <is>
          <t>400</t>
        </is>
      </c>
      <c r="H1709" s="2" t="inlineStr">
        <is>
          <t>H10</t>
        </is>
      </c>
    </row>
    <row r="1710">
      <c r="A1710" s="2" t="inlineStr">
        <is>
          <t>L181</t>
        </is>
      </c>
      <c r="B1710" s="2" t="inlineStr">
        <is>
          <t>Best Chinchin</t>
        </is>
      </c>
      <c r="C1710" s="2" t="inlineStr">
        <is>
          <t>S086</t>
        </is>
      </c>
      <c r="D1710" s="2" t="inlineStr">
        <is>
          <t>'Best Chinchin'!C14,D14</t>
        </is>
      </c>
      <c r="E1710" s="2" t="inlineStr">
        <is>
          <t>oil</t>
        </is>
      </c>
      <c r="F1710" s="3" t="n">
        <v>15000</v>
      </c>
      <c r="G1710" s="2" t="inlineStr">
        <is>
          <t>15000</t>
        </is>
      </c>
      <c r="H1710" s="2" t="inlineStr">
        <is>
          <t>H10</t>
        </is>
      </c>
    </row>
    <row r="1711">
      <c r="A1711" s="2" t="inlineStr">
        <is>
          <t>L182</t>
        </is>
      </c>
      <c r="B1711" s="2" t="inlineStr">
        <is>
          <t>Donuts</t>
        </is>
      </c>
      <c r="C1711" s="2" t="inlineStr">
        <is>
          <t>S086</t>
        </is>
      </c>
      <c r="D1711" s="2" t="inlineStr">
        <is>
          <t>'Donuts'!C5,D5</t>
        </is>
      </c>
      <c r="E1711" s="2" t="inlineStr">
        <is>
          <t>flour</t>
        </is>
      </c>
      <c r="F1711" s="3" t="n">
        <v>11000</v>
      </c>
      <c r="G1711" s="2" t="inlineStr">
        <is>
          <t>11000</t>
        </is>
      </c>
      <c r="H1711" s="2" t="inlineStr">
        <is>
          <t>T01 for cake / O-P04 for yeast</t>
        </is>
      </c>
    </row>
    <row r="1712">
      <c r="A1712" s="2" t="inlineStr">
        <is>
          <t>L182</t>
        </is>
      </c>
      <c r="B1712" s="2" t="inlineStr">
        <is>
          <t>Donuts</t>
        </is>
      </c>
      <c r="C1712" s="2" t="inlineStr">
        <is>
          <t>S086</t>
        </is>
      </c>
      <c r="D1712" s="2" t="inlineStr">
        <is>
          <t>'Donuts'!C6,D6</t>
        </is>
      </c>
      <c r="E1712" s="2" t="inlineStr">
        <is>
          <t>baking powder</t>
        </is>
      </c>
      <c r="F1712" s="3" t="n">
        <v>190</v>
      </c>
      <c r="G1712" s="2" t="inlineStr">
        <is>
          <t>190</t>
        </is>
      </c>
      <c r="H1712" s="2" t="inlineStr">
        <is>
          <t>T01 for cake / O-P04 for yeast</t>
        </is>
      </c>
    </row>
    <row r="1713">
      <c r="A1713" s="2" t="inlineStr">
        <is>
          <t>L182</t>
        </is>
      </c>
      <c r="B1713" s="2" t="inlineStr">
        <is>
          <t>Donuts</t>
        </is>
      </c>
      <c r="C1713" s="2" t="inlineStr">
        <is>
          <t>S086</t>
        </is>
      </c>
      <c r="D1713" s="2" t="inlineStr">
        <is>
          <t>'Donuts'!C7,D7</t>
        </is>
      </c>
      <c r="E1713" s="2" t="inlineStr">
        <is>
          <t>milk</t>
        </is>
      </c>
      <c r="F1713" s="3" t="n">
        <v>500</v>
      </c>
      <c r="G1713" s="2" t="inlineStr">
        <is>
          <t>500</t>
        </is>
      </c>
      <c r="H1713" s="2" t="inlineStr">
        <is>
          <t>T01 for cake / O-P04 for yeast</t>
        </is>
      </c>
    </row>
    <row r="1714">
      <c r="A1714" s="2" t="inlineStr">
        <is>
          <t>L182</t>
        </is>
      </c>
      <c r="B1714" s="2" t="inlineStr">
        <is>
          <t>Donuts</t>
        </is>
      </c>
      <c r="C1714" s="2" t="inlineStr">
        <is>
          <t>S086</t>
        </is>
      </c>
      <c r="D1714" s="2" t="inlineStr">
        <is>
          <t>'Donuts'!C8,D8</t>
        </is>
      </c>
      <c r="E1714" s="2" t="inlineStr">
        <is>
          <t>salt</t>
        </is>
      </c>
      <c r="F1714" s="3" t="n">
        <v>110</v>
      </c>
      <c r="G1714" s="2" t="inlineStr">
        <is>
          <t>110</t>
        </is>
      </c>
      <c r="H1714" s="2" t="inlineStr">
        <is>
          <t>T01 for cake / O-P04 for yeast</t>
        </is>
      </c>
    </row>
    <row r="1715">
      <c r="A1715" s="2" t="inlineStr">
        <is>
          <t>L182</t>
        </is>
      </c>
      <c r="B1715" s="2" t="inlineStr">
        <is>
          <t>Donuts</t>
        </is>
      </c>
      <c r="C1715" s="2" t="inlineStr">
        <is>
          <t>S086</t>
        </is>
      </c>
      <c r="D1715" s="2" t="inlineStr">
        <is>
          <t>'Donuts'!C9,D9</t>
        </is>
      </c>
      <c r="E1715" s="2" t="inlineStr">
        <is>
          <t>Sugar</t>
        </is>
      </c>
      <c r="F1715" s="3" t="n">
        <v>1000</v>
      </c>
      <c r="G1715" s="2" t="inlineStr">
        <is>
          <t>1000</t>
        </is>
      </c>
      <c r="H1715" s="2" t="inlineStr">
        <is>
          <t>T01 for cake / O-P04 for yeast</t>
        </is>
      </c>
    </row>
    <row r="1716">
      <c r="A1716" s="2" t="inlineStr">
        <is>
          <t>L182</t>
        </is>
      </c>
      <c r="B1716" s="2" t="inlineStr">
        <is>
          <t>Donuts</t>
        </is>
      </c>
      <c r="C1716" s="2" t="inlineStr">
        <is>
          <t>S086</t>
        </is>
      </c>
      <c r="D1716" s="2" t="inlineStr">
        <is>
          <t>'Donuts'!C10,D10</t>
        </is>
      </c>
      <c r="E1716" s="2" t="inlineStr">
        <is>
          <t>Improver</t>
        </is>
      </c>
      <c r="F1716" s="3" t="n">
        <v>90</v>
      </c>
      <c r="G1716" s="2" t="inlineStr">
        <is>
          <t>90</t>
        </is>
      </c>
      <c r="H1716" s="2" t="inlineStr">
        <is>
          <t>T01 for cake / O-P04 for yeast</t>
        </is>
      </c>
    </row>
    <row r="1717">
      <c r="A1717" s="2" t="inlineStr">
        <is>
          <t>L182</t>
        </is>
      </c>
      <c r="B1717" s="2" t="inlineStr">
        <is>
          <t>Donuts</t>
        </is>
      </c>
      <c r="C1717" s="2" t="inlineStr">
        <is>
          <t>S086</t>
        </is>
      </c>
      <c r="D1717" s="2" t="inlineStr">
        <is>
          <t>'Donuts'!C11,D11</t>
        </is>
      </c>
      <c r="E1717" s="2" t="inlineStr">
        <is>
          <t>eggs</t>
        </is>
      </c>
      <c r="F1717" s="3" t="n">
        <v>900</v>
      </c>
      <c r="G1717" s="2" t="inlineStr">
        <is>
          <t>900</t>
        </is>
      </c>
      <c r="H1717" s="2" t="inlineStr">
        <is>
          <t>T01 for cake / O-P04 for yeast</t>
        </is>
      </c>
    </row>
    <row r="1718">
      <c r="A1718" s="2" t="inlineStr">
        <is>
          <t>L182</t>
        </is>
      </c>
      <c r="B1718" s="2" t="inlineStr">
        <is>
          <t>Donuts</t>
        </is>
      </c>
      <c r="C1718" s="2" t="inlineStr">
        <is>
          <t>S086</t>
        </is>
      </c>
      <c r="D1718" s="2" t="inlineStr">
        <is>
          <t>'Donuts'!C12,D12</t>
        </is>
      </c>
      <c r="E1718" s="2" t="inlineStr">
        <is>
          <t>water</t>
        </is>
      </c>
      <c r="F1718" s="3" t="n">
        <v>7500</v>
      </c>
      <c r="G1718" s="2" t="inlineStr">
        <is>
          <t>7500</t>
        </is>
      </c>
      <c r="H1718" s="2" t="inlineStr">
        <is>
          <t>T01 for cake / O-P04 for yeast</t>
        </is>
      </c>
    </row>
    <row r="1719">
      <c r="A1719" s="2" t="inlineStr">
        <is>
          <t>L182</t>
        </is>
      </c>
      <c r="B1719" s="2" t="inlineStr">
        <is>
          <t>Donuts</t>
        </is>
      </c>
      <c r="C1719" s="2" t="inlineStr">
        <is>
          <t>S086</t>
        </is>
      </c>
      <c r="D1719" s="2" t="inlineStr">
        <is>
          <t>'Donuts'!C13,D13</t>
        </is>
      </c>
      <c r="E1719" s="2" t="inlineStr">
        <is>
          <t>oil</t>
        </is>
      </c>
      <c r="F1719" s="3" t="n">
        <v>5000</v>
      </c>
      <c r="G1719" s="2" t="inlineStr">
        <is>
          <t>5000</t>
        </is>
      </c>
      <c r="H1719" s="2" t="inlineStr">
        <is>
          <t>T01 for cake / O-P04 for yeast</t>
        </is>
      </c>
    </row>
    <row r="1720">
      <c r="A1720" s="2" t="inlineStr">
        <is>
          <t>L183</t>
        </is>
      </c>
      <c r="B1720" s="2" t="inlineStr">
        <is>
          <t>Galette</t>
        </is>
      </c>
      <c r="C1720" s="2" t="inlineStr">
        <is>
          <t>S086</t>
        </is>
      </c>
      <c r="D1720" s="2" t="inlineStr">
        <is>
          <t>'Galette'!C5,D5</t>
        </is>
      </c>
      <c r="E1720" s="2" t="inlineStr">
        <is>
          <t>flour</t>
        </is>
      </c>
      <c r="F1720" s="3" t="n">
        <v>10000</v>
      </c>
      <c r="G1720" s="2" t="inlineStr">
        <is>
          <t>10000</t>
        </is>
      </c>
      <c r="H1720" s="2" t="inlineStr">
        <is>
          <t>H14</t>
        </is>
      </c>
    </row>
    <row r="1721">
      <c r="A1721" s="2" t="inlineStr">
        <is>
          <t>L183</t>
        </is>
      </c>
      <c r="B1721" s="2" t="inlineStr">
        <is>
          <t>Galette</t>
        </is>
      </c>
      <c r="C1721" s="2" t="inlineStr">
        <is>
          <t>S086</t>
        </is>
      </c>
      <c r="D1721" s="2" t="inlineStr">
        <is>
          <t>'Galette'!C6,D6</t>
        </is>
      </c>
      <c r="E1721" s="2" t="inlineStr">
        <is>
          <t>Butter</t>
        </is>
      </c>
      <c r="F1721" s="3" t="n">
        <v>1000</v>
      </c>
      <c r="G1721" s="2" t="inlineStr">
        <is>
          <t>1000</t>
        </is>
      </c>
      <c r="H1721" s="2" t="inlineStr">
        <is>
          <t>H14</t>
        </is>
      </c>
    </row>
    <row r="1722">
      <c r="A1722" s="2" t="inlineStr">
        <is>
          <t>L183</t>
        </is>
      </c>
      <c r="B1722" s="2" t="inlineStr">
        <is>
          <t>Galette</t>
        </is>
      </c>
      <c r="C1722" s="2" t="inlineStr">
        <is>
          <t>S086</t>
        </is>
      </c>
      <c r="D1722" s="2" t="inlineStr">
        <is>
          <t>'Galette'!C7,D7</t>
        </is>
      </c>
      <c r="E1722" s="2" t="inlineStr">
        <is>
          <t>sugar</t>
        </is>
      </c>
      <c r="F1722" s="3" t="n">
        <v>1000</v>
      </c>
      <c r="G1722" s="2" t="inlineStr">
        <is>
          <t>1000</t>
        </is>
      </c>
      <c r="H1722" s="2" t="inlineStr">
        <is>
          <t>H14</t>
        </is>
      </c>
    </row>
    <row r="1723">
      <c r="A1723" s="2" t="inlineStr">
        <is>
          <t>L183</t>
        </is>
      </c>
      <c r="B1723" s="2" t="inlineStr">
        <is>
          <t>Galette</t>
        </is>
      </c>
      <c r="C1723" s="2" t="inlineStr">
        <is>
          <t>S086</t>
        </is>
      </c>
      <c r="D1723" s="2" t="inlineStr">
        <is>
          <t>'Galette'!C8,D8</t>
        </is>
      </c>
      <c r="E1723" s="2" t="inlineStr">
        <is>
          <t>Milk</t>
        </is>
      </c>
      <c r="F1723" s="3" t="n">
        <v>800</v>
      </c>
      <c r="G1723" s="2" t="inlineStr">
        <is>
          <t>800</t>
        </is>
      </c>
      <c r="H1723" s="2" t="inlineStr">
        <is>
          <t>H14</t>
        </is>
      </c>
    </row>
    <row r="1724">
      <c r="A1724" s="2" t="inlineStr">
        <is>
          <t>L183</t>
        </is>
      </c>
      <c r="B1724" s="2" t="inlineStr">
        <is>
          <t>Galette</t>
        </is>
      </c>
      <c r="C1724" s="2" t="inlineStr">
        <is>
          <t>S086</t>
        </is>
      </c>
      <c r="D1724" s="2" t="inlineStr">
        <is>
          <t>'Galette'!C9,D9</t>
        </is>
      </c>
      <c r="E1724" s="2" t="inlineStr">
        <is>
          <t>egg</t>
        </is>
      </c>
      <c r="F1724" s="3" t="n">
        <v>500</v>
      </c>
      <c r="G1724" s="2" t="inlineStr">
        <is>
          <t>500</t>
        </is>
      </c>
      <c r="H1724" s="2" t="inlineStr">
        <is>
          <t>H14</t>
        </is>
      </c>
    </row>
    <row r="1725">
      <c r="A1725" s="2" t="inlineStr">
        <is>
          <t>L183</t>
        </is>
      </c>
      <c r="B1725" s="2" t="inlineStr">
        <is>
          <t>Galette</t>
        </is>
      </c>
      <c r="C1725" s="2" t="inlineStr">
        <is>
          <t>S086</t>
        </is>
      </c>
      <c r="D1725" s="2" t="inlineStr">
        <is>
          <t>'Galette'!C10,D10</t>
        </is>
      </c>
      <c r="E1725" s="2" t="inlineStr">
        <is>
          <t>salt</t>
        </is>
      </c>
      <c r="F1725" s="3" t="n">
        <v>110</v>
      </c>
      <c r="G1725" s="2" t="inlineStr">
        <is>
          <t>110</t>
        </is>
      </c>
      <c r="H1725" s="2" t="inlineStr">
        <is>
          <t>H14</t>
        </is>
      </c>
    </row>
    <row r="1726">
      <c r="A1726" s="2" t="inlineStr">
        <is>
          <t>L183</t>
        </is>
      </c>
      <c r="B1726" s="2" t="inlineStr">
        <is>
          <t>Galette</t>
        </is>
      </c>
      <c r="C1726" s="2" t="inlineStr">
        <is>
          <t>S086</t>
        </is>
      </c>
      <c r="D1726" s="2" t="inlineStr">
        <is>
          <t>'Galette'!C11,D11</t>
        </is>
      </c>
      <c r="E1726" s="2" t="inlineStr">
        <is>
          <t>improver</t>
        </is>
      </c>
      <c r="F1726" s="3" t="n">
        <v>100</v>
      </c>
      <c r="G1726" s="2" t="inlineStr">
        <is>
          <t>100</t>
        </is>
      </c>
      <c r="H1726" s="2" t="inlineStr">
        <is>
          <t>H14</t>
        </is>
      </c>
    </row>
    <row r="1727">
      <c r="A1727" s="2" t="inlineStr">
        <is>
          <t>L183</t>
        </is>
      </c>
      <c r="B1727" s="2" t="inlineStr">
        <is>
          <t>Galette</t>
        </is>
      </c>
      <c r="C1727" s="2" t="inlineStr">
        <is>
          <t>S086</t>
        </is>
      </c>
      <c r="D1727" s="2" t="inlineStr">
        <is>
          <t>'Galette'!C12,D12</t>
        </is>
      </c>
      <c r="E1727" s="2" t="inlineStr">
        <is>
          <t>yeast</t>
        </is>
      </c>
      <c r="F1727" s="3" t="n">
        <v>80</v>
      </c>
      <c r="G1727" s="2" t="inlineStr">
        <is>
          <t>80</t>
        </is>
      </c>
      <c r="H1727" s="2" t="inlineStr">
        <is>
          <t>H14</t>
        </is>
      </c>
    </row>
    <row r="1728">
      <c r="A1728" s="2" t="inlineStr">
        <is>
          <t>L183</t>
        </is>
      </c>
      <c r="B1728" s="2" t="inlineStr">
        <is>
          <t>Galette</t>
        </is>
      </c>
      <c r="C1728" s="2" t="inlineStr">
        <is>
          <t>S086</t>
        </is>
      </c>
      <c r="D1728" s="2" t="inlineStr">
        <is>
          <t>'Galette'!C13,D13</t>
        </is>
      </c>
      <c r="E1728" s="2" t="inlineStr">
        <is>
          <t>water</t>
        </is>
      </c>
      <c r="F1728" s="3" t="n">
        <v>3500</v>
      </c>
      <c r="G1728" s="2" t="inlineStr">
        <is>
          <t>3500</t>
        </is>
      </c>
      <c r="H1728" s="2" t="inlineStr">
        <is>
          <t>H14</t>
        </is>
      </c>
    </row>
    <row r="1729">
      <c r="A1729" s="2" t="inlineStr">
        <is>
          <t>L183</t>
        </is>
      </c>
      <c r="B1729" s="2" t="inlineStr">
        <is>
          <t>Galette</t>
        </is>
      </c>
      <c r="C1729" s="2" t="inlineStr">
        <is>
          <t>S086</t>
        </is>
      </c>
      <c r="D1729" s="2" t="inlineStr">
        <is>
          <t>'Galette'!C14,D14</t>
        </is>
      </c>
      <c r="E1729" s="2" t="inlineStr">
        <is>
          <t>baking powder</t>
        </is>
      </c>
      <c r="F1729" s="3" t="n">
        <v>80</v>
      </c>
      <c r="G1729" s="2" t="inlineStr">
        <is>
          <t>80</t>
        </is>
      </c>
      <c r="H1729" s="2" t="inlineStr">
        <is>
          <t>H14</t>
        </is>
      </c>
    </row>
    <row r="1730">
      <c r="A1730" s="2" t="inlineStr">
        <is>
          <t>L183</t>
        </is>
      </c>
      <c r="B1730" s="2" t="inlineStr">
        <is>
          <t>Galette</t>
        </is>
      </c>
      <c r="C1730" s="2" t="inlineStr">
        <is>
          <t>S086</t>
        </is>
      </c>
      <c r="D1730" s="2" t="inlineStr">
        <is>
          <t>'Galette'!C15,D15</t>
        </is>
      </c>
      <c r="E1730" s="2" t="inlineStr">
        <is>
          <t>Chocolate</t>
        </is>
      </c>
      <c r="F1730" s="3" t="n">
        <v>1000</v>
      </c>
      <c r="G1730" s="2" t="inlineStr">
        <is>
          <t>1000</t>
        </is>
      </c>
      <c r="H1730" s="2" t="inlineStr">
        <is>
          <t>H14</t>
        </is>
      </c>
    </row>
    <row r="1731">
      <c r="A1731" s="2" t="inlineStr">
        <is>
          <t>L183</t>
        </is>
      </c>
      <c r="B1731" s="2" t="inlineStr">
        <is>
          <t>Galette</t>
        </is>
      </c>
      <c r="C1731" s="2" t="inlineStr">
        <is>
          <t>S086</t>
        </is>
      </c>
      <c r="D1731" s="2" t="inlineStr">
        <is>
          <t>'Galette'!C16,D16</t>
        </is>
      </c>
      <c r="E1731" s="2" t="inlineStr">
        <is>
          <t>EDC</t>
        </is>
      </c>
      <c r="F1731" s="3" t="n">
        <v>75</v>
      </c>
      <c r="G1731" s="2" t="inlineStr">
        <is>
          <t>75</t>
        </is>
      </c>
      <c r="H1731" s="2" t="inlineStr">
        <is>
          <t>H14</t>
        </is>
      </c>
    </row>
    <row r="1732">
      <c r="A1732" s="2" t="inlineStr">
        <is>
          <t>L184</t>
        </is>
      </c>
      <c r="B1732" s="2" t="inlineStr">
        <is>
          <t>Melto</t>
        </is>
      </c>
      <c r="C1732" s="2" t="inlineStr">
        <is>
          <t>S086</t>
        </is>
      </c>
      <c r="D1732" s="2" t="inlineStr">
        <is>
          <t>'Melto'!C5,H5</t>
        </is>
      </c>
      <c r="E1732" s="2" t="inlineStr">
        <is>
          <t>flour</t>
        </is>
      </c>
      <c r="F1732" s="3" t="n">
        <v>3500</v>
      </c>
      <c r="G1732" s="2" t="inlineStr">
        <is>
          <t>3500</t>
        </is>
      </c>
      <c r="H1732" s="2" t="inlineStr">
        <is>
          <t>H06</t>
        </is>
      </c>
    </row>
    <row r="1733">
      <c r="A1733" s="2" t="inlineStr">
        <is>
          <t>L184</t>
        </is>
      </c>
      <c r="B1733" s="2" t="inlineStr">
        <is>
          <t>Melto</t>
        </is>
      </c>
      <c r="C1733" s="2" t="inlineStr">
        <is>
          <t>S086</t>
        </is>
      </c>
      <c r="D1733" s="2" t="inlineStr">
        <is>
          <t>'Melto'!C6,H6</t>
        </is>
      </c>
      <c r="E1733" s="2" t="inlineStr">
        <is>
          <t>Butter</t>
        </is>
      </c>
      <c r="F1733" s="3" t="n">
        <v>1700</v>
      </c>
      <c r="G1733" s="2" t="inlineStr">
        <is>
          <t>1700</t>
        </is>
      </c>
      <c r="H1733" s="2" t="inlineStr">
        <is>
          <t>H06</t>
        </is>
      </c>
    </row>
    <row r="1734">
      <c r="A1734" s="2" t="inlineStr">
        <is>
          <t>L184</t>
        </is>
      </c>
      <c r="B1734" s="2" t="inlineStr">
        <is>
          <t>Melto</t>
        </is>
      </c>
      <c r="C1734" s="2" t="inlineStr">
        <is>
          <t>S086</t>
        </is>
      </c>
      <c r="D1734" s="2" t="inlineStr">
        <is>
          <t>'Melto'!C7,H7</t>
        </is>
      </c>
      <c r="E1734" s="2" t="inlineStr">
        <is>
          <t>icing sugar</t>
        </is>
      </c>
      <c r="F1734" s="3" t="n">
        <v>200</v>
      </c>
      <c r="G1734" s="2" t="inlineStr">
        <is>
          <t>200</t>
        </is>
      </c>
      <c r="H1734" s="2" t="inlineStr">
        <is>
          <t>H06</t>
        </is>
      </c>
    </row>
    <row r="1735">
      <c r="A1735" s="2" t="inlineStr">
        <is>
          <t>L184</t>
        </is>
      </c>
      <c r="B1735" s="2" t="inlineStr">
        <is>
          <t>Melto</t>
        </is>
      </c>
      <c r="C1735" s="2" t="inlineStr">
        <is>
          <t>S086</t>
        </is>
      </c>
      <c r="D1735" s="2" t="inlineStr">
        <is>
          <t>'Melto'!C8,H8</t>
        </is>
      </c>
      <c r="E1735" s="2" t="inlineStr">
        <is>
          <t>egg</t>
        </is>
      </c>
      <c r="F1735" s="3" t="n">
        <v>50</v>
      </c>
      <c r="G1735" s="2" t="inlineStr">
        <is>
          <t>50</t>
        </is>
      </c>
      <c r="H1735" s="2" t="inlineStr">
        <is>
          <t>H06</t>
        </is>
      </c>
    </row>
    <row r="1736">
      <c r="A1736" s="2" t="inlineStr">
        <is>
          <t>L184</t>
        </is>
      </c>
      <c r="B1736" s="2" t="inlineStr">
        <is>
          <t>Melto</t>
        </is>
      </c>
      <c r="C1736" s="2" t="inlineStr">
        <is>
          <t>S086</t>
        </is>
      </c>
      <c r="D1736" s="2" t="inlineStr">
        <is>
          <t>'Melto'!C9,H9</t>
        </is>
      </c>
      <c r="E1736" s="2" t="inlineStr">
        <is>
          <t>milk</t>
        </is>
      </c>
      <c r="F1736" s="3" t="n">
        <v>100</v>
      </c>
      <c r="G1736" s="2" t="inlineStr">
        <is>
          <t>100</t>
        </is>
      </c>
      <c r="H1736" s="2" t="inlineStr">
        <is>
          <t>H06</t>
        </is>
      </c>
    </row>
    <row r="1737">
      <c r="A1737" s="2" t="inlineStr">
        <is>
          <t>L184</t>
        </is>
      </c>
      <c r="B1737" s="2" t="inlineStr">
        <is>
          <t>Melto</t>
        </is>
      </c>
      <c r="C1737" s="2" t="inlineStr">
        <is>
          <t>S086</t>
        </is>
      </c>
      <c r="D1737" s="2" t="inlineStr">
        <is>
          <t>'Melto'!C10,H10</t>
        </is>
      </c>
      <c r="E1737" s="2" t="inlineStr">
        <is>
          <t>sugar</t>
        </is>
      </c>
      <c r="F1737" s="3" t="n">
        <v>500</v>
      </c>
      <c r="G1737" s="2" t="inlineStr">
        <is>
          <t>500</t>
        </is>
      </c>
      <c r="H1737" s="2" t="inlineStr">
        <is>
          <t>H06</t>
        </is>
      </c>
    </row>
    <row r="1738">
      <c r="A1738" s="2" t="inlineStr">
        <is>
          <t>L184</t>
        </is>
      </c>
      <c r="B1738" s="2" t="inlineStr">
        <is>
          <t>Melto</t>
        </is>
      </c>
      <c r="C1738" s="2" t="inlineStr">
        <is>
          <t>S086</t>
        </is>
      </c>
      <c r="D1738" s="2" t="inlineStr">
        <is>
          <t>'Melto'!C11,H11</t>
        </is>
      </c>
      <c r="E1738" s="2" t="inlineStr">
        <is>
          <t>salt</t>
        </is>
      </c>
      <c r="F1738" s="3" t="n">
        <v>250</v>
      </c>
      <c r="G1738" s="2" t="inlineStr">
        <is>
          <t>250</t>
        </is>
      </c>
      <c r="H1738" s="2" t="inlineStr">
        <is>
          <t>H06</t>
        </is>
      </c>
    </row>
    <row r="1739">
      <c r="A1739" s="2" t="inlineStr">
        <is>
          <t>L185</t>
        </is>
      </c>
      <c r="B1739" s="2" t="inlineStr">
        <is>
          <t>YUMMY BREAD</t>
        </is>
      </c>
      <c r="C1739" s="2" t="inlineStr">
        <is>
          <t>S086</t>
        </is>
      </c>
      <c r="D1739" s="2" t="inlineStr">
        <is>
          <t>'YUMMY BREAD'!C5,D5</t>
        </is>
      </c>
      <c r="E1739" s="2" t="inlineStr">
        <is>
          <t>flour</t>
        </is>
      </c>
      <c r="F1739" s="3" t="n">
        <v>15000</v>
      </c>
      <c r="G1739" s="2" t="inlineStr">
        <is>
          <t>15000</t>
        </is>
      </c>
      <c r="H1739" s="2" t="inlineStr">
        <is>
          <t>M1-B01–B13</t>
        </is>
      </c>
    </row>
    <row r="1740">
      <c r="A1740" s="2" t="inlineStr">
        <is>
          <t>L185</t>
        </is>
      </c>
      <c r="B1740" s="2" t="inlineStr">
        <is>
          <t>YUMMY BREAD</t>
        </is>
      </c>
      <c r="C1740" s="2" t="inlineStr">
        <is>
          <t>S086</t>
        </is>
      </c>
      <c r="D1740" s="2" t="inlineStr">
        <is>
          <t>'YUMMY BREAD'!C6,D6</t>
        </is>
      </c>
      <c r="E1740" s="2" t="inlineStr">
        <is>
          <t>Butter</t>
        </is>
      </c>
      <c r="F1740" s="3" t="n">
        <v>1500</v>
      </c>
      <c r="G1740" s="2" t="inlineStr">
        <is>
          <t>1500</t>
        </is>
      </c>
      <c r="H1740" s="2" t="inlineStr">
        <is>
          <t>M1-B01–B13</t>
        </is>
      </c>
    </row>
    <row r="1741">
      <c r="A1741" s="2" t="inlineStr">
        <is>
          <t>L185</t>
        </is>
      </c>
      <c r="B1741" s="2" t="inlineStr">
        <is>
          <t>YUMMY BREAD</t>
        </is>
      </c>
      <c r="C1741" s="2" t="inlineStr">
        <is>
          <t>S086</t>
        </is>
      </c>
      <c r="D1741" s="2" t="inlineStr">
        <is>
          <t>'YUMMY BREAD'!C7,D7</t>
        </is>
      </c>
      <c r="E1741" s="2" t="inlineStr">
        <is>
          <t>sugar</t>
        </is>
      </c>
      <c r="F1741" s="3" t="n">
        <v>1500</v>
      </c>
      <c r="G1741" s="2" t="inlineStr">
        <is>
          <t>1500</t>
        </is>
      </c>
      <c r="H1741" s="2" t="inlineStr">
        <is>
          <t>M1-B01–B13</t>
        </is>
      </c>
    </row>
    <row r="1742">
      <c r="A1742" s="2" t="inlineStr">
        <is>
          <t>L185</t>
        </is>
      </c>
      <c r="B1742" s="2" t="inlineStr">
        <is>
          <t>YUMMY BREAD</t>
        </is>
      </c>
      <c r="C1742" s="2" t="inlineStr">
        <is>
          <t>S086</t>
        </is>
      </c>
      <c r="D1742" s="2" t="inlineStr">
        <is>
          <t>'YUMMY BREAD'!C8,D8</t>
        </is>
      </c>
      <c r="E1742" s="2" t="inlineStr">
        <is>
          <t>Milk</t>
        </is>
      </c>
      <c r="F1742" s="3" t="n">
        <v>1000</v>
      </c>
      <c r="G1742" s="2" t="inlineStr">
        <is>
          <t>1000</t>
        </is>
      </c>
      <c r="H1742" s="2" t="inlineStr">
        <is>
          <t>M1-B01–B13</t>
        </is>
      </c>
    </row>
    <row r="1743">
      <c r="A1743" s="2" t="inlineStr">
        <is>
          <t>L185</t>
        </is>
      </c>
      <c r="B1743" s="2" t="inlineStr">
        <is>
          <t>YUMMY BREAD</t>
        </is>
      </c>
      <c r="C1743" s="2" t="inlineStr">
        <is>
          <t>S086</t>
        </is>
      </c>
      <c r="D1743" s="2" t="inlineStr">
        <is>
          <t>'YUMMY BREAD'!C9,D9</t>
        </is>
      </c>
      <c r="E1743" s="2" t="inlineStr">
        <is>
          <t>egg</t>
        </is>
      </c>
      <c r="F1743" s="3" t="n">
        <v>750</v>
      </c>
      <c r="G1743" s="2" t="inlineStr">
        <is>
          <t>750</t>
        </is>
      </c>
      <c r="H1743" s="2" t="inlineStr">
        <is>
          <t>M1-B01–B13</t>
        </is>
      </c>
    </row>
    <row r="1744">
      <c r="A1744" s="2" t="inlineStr">
        <is>
          <t>L185</t>
        </is>
      </c>
      <c r="B1744" s="2" t="inlineStr">
        <is>
          <t>YUMMY BREAD</t>
        </is>
      </c>
      <c r="C1744" s="2" t="inlineStr">
        <is>
          <t>S086</t>
        </is>
      </c>
      <c r="D1744" s="2" t="inlineStr">
        <is>
          <t>'YUMMY BREAD'!C10,D10</t>
        </is>
      </c>
      <c r="E1744" s="2" t="inlineStr">
        <is>
          <t>salt</t>
        </is>
      </c>
      <c r="F1744" s="3" t="n">
        <v>120</v>
      </c>
      <c r="G1744" s="2" t="inlineStr">
        <is>
          <t>120</t>
        </is>
      </c>
      <c r="H1744" s="2" t="inlineStr">
        <is>
          <t>M1-B01–B13</t>
        </is>
      </c>
    </row>
    <row r="1745">
      <c r="A1745" s="2" t="inlineStr">
        <is>
          <t>L185</t>
        </is>
      </c>
      <c r="B1745" s="2" t="inlineStr">
        <is>
          <t>YUMMY BREAD</t>
        </is>
      </c>
      <c r="C1745" s="2" t="inlineStr">
        <is>
          <t>S086</t>
        </is>
      </c>
      <c r="D1745" s="2" t="inlineStr">
        <is>
          <t>'YUMMY BREAD'!C11,D11</t>
        </is>
      </c>
      <c r="E1745" s="2" t="inlineStr">
        <is>
          <t>improver</t>
        </is>
      </c>
      <c r="F1745" s="3" t="n">
        <v>120</v>
      </c>
      <c r="G1745" s="2" t="inlineStr">
        <is>
          <t>120</t>
        </is>
      </c>
      <c r="H1745" s="2" t="inlineStr">
        <is>
          <t>M1-B01–B13</t>
        </is>
      </c>
    </row>
    <row r="1746">
      <c r="A1746" s="2" t="inlineStr">
        <is>
          <t>L185</t>
        </is>
      </c>
      <c r="B1746" s="2" t="inlineStr">
        <is>
          <t>YUMMY BREAD</t>
        </is>
      </c>
      <c r="C1746" s="2" t="inlineStr">
        <is>
          <t>S086</t>
        </is>
      </c>
      <c r="D1746" s="2" t="inlineStr">
        <is>
          <t>'YUMMY BREAD'!C12,D12</t>
        </is>
      </c>
      <c r="E1746" s="2" t="inlineStr">
        <is>
          <t>yeast</t>
        </is>
      </c>
      <c r="F1746" s="3" t="n">
        <v>160</v>
      </c>
      <c r="G1746" s="2" t="inlineStr">
        <is>
          <t>160</t>
        </is>
      </c>
      <c r="H1746" s="2" t="inlineStr">
        <is>
          <t>M1-B01–B13</t>
        </is>
      </c>
    </row>
    <row r="1747">
      <c r="A1747" s="2" t="inlineStr">
        <is>
          <t>L185</t>
        </is>
      </c>
      <c r="B1747" s="2" t="inlineStr">
        <is>
          <t>YUMMY BREAD</t>
        </is>
      </c>
      <c r="C1747" s="2" t="inlineStr">
        <is>
          <t>S086</t>
        </is>
      </c>
      <c r="D1747" s="2" t="inlineStr">
        <is>
          <t>'YUMMY BREAD'!C13,D13</t>
        </is>
      </c>
      <c r="E1747" s="2" t="inlineStr">
        <is>
          <t>water</t>
        </is>
      </c>
      <c r="F1747" s="3" t="n">
        <v>5000</v>
      </c>
      <c r="G1747" s="2" t="inlineStr">
        <is>
          <t>5000</t>
        </is>
      </c>
      <c r="H1747" s="2" t="inlineStr">
        <is>
          <t>M1-B01–B13</t>
        </is>
      </c>
    </row>
    <row r="1748">
      <c r="A1748" s="2" t="inlineStr">
        <is>
          <t>L185</t>
        </is>
      </c>
      <c r="B1748" s="2" t="inlineStr">
        <is>
          <t>YUMMY BREAD</t>
        </is>
      </c>
      <c r="C1748" s="2" t="inlineStr">
        <is>
          <t>S086</t>
        </is>
      </c>
      <c r="D1748" s="2" t="inlineStr">
        <is>
          <t>'YUMMY BREAD'!C14,D14</t>
        </is>
      </c>
      <c r="E1748" s="2" t="inlineStr">
        <is>
          <t>Oil</t>
        </is>
      </c>
      <c r="F1748" s="3" t="n">
        <v>400</v>
      </c>
      <c r="G1748" s="2" t="inlineStr">
        <is>
          <t>400</t>
        </is>
      </c>
      <c r="H1748" s="2" t="inlineStr">
        <is>
          <t>M1-B01–B13</t>
        </is>
      </c>
    </row>
    <row r="1749">
      <c r="A1749" s="2" t="inlineStr">
        <is>
          <t>L185</t>
        </is>
      </c>
      <c r="B1749" s="2" t="inlineStr">
        <is>
          <t>YUMMY BREAD</t>
        </is>
      </c>
      <c r="C1749" s="2" t="inlineStr">
        <is>
          <t>S086</t>
        </is>
      </c>
      <c r="D1749" s="2" t="inlineStr">
        <is>
          <t>'YUMMY BREAD'!C15,D15</t>
        </is>
      </c>
      <c r="E1749" s="2" t="inlineStr">
        <is>
          <t>EDC</t>
        </is>
      </c>
      <c r="F1749" s="3" t="n">
        <v>100</v>
      </c>
      <c r="G1749" s="2" t="inlineStr">
        <is>
          <t>100</t>
        </is>
      </c>
      <c r="H1749" s="2" t="inlineStr">
        <is>
          <t>M1-B01–B13</t>
        </is>
      </c>
    </row>
    <row r="1750">
      <c r="A1750" s="2" t="inlineStr">
        <is>
          <t>L186</t>
        </is>
      </c>
      <c r="B1750" s="2" t="inlineStr">
        <is>
          <t>Best Chinchin</t>
        </is>
      </c>
      <c r="C1750" s="2" t="inlineStr">
        <is>
          <t>S093</t>
        </is>
      </c>
      <c r="D1750" s="2" t="inlineStr">
        <is>
          <t>'Best Chinchin'!C5,D5</t>
        </is>
      </c>
      <c r="E1750" s="2" t="inlineStr">
        <is>
          <t>flour</t>
        </is>
      </c>
      <c r="F1750" s="3" t="n">
        <v>25000</v>
      </c>
      <c r="G1750" s="2" t="inlineStr">
        <is>
          <t>25000</t>
        </is>
      </c>
      <c r="H1750" s="2" t="inlineStr">
        <is>
          <t>H10</t>
        </is>
      </c>
    </row>
    <row r="1751">
      <c r="A1751" s="2" t="inlineStr">
        <is>
          <t>L186</t>
        </is>
      </c>
      <c r="B1751" s="2" t="inlineStr">
        <is>
          <t>Best Chinchin</t>
        </is>
      </c>
      <c r="C1751" s="2" t="inlineStr">
        <is>
          <t>S093</t>
        </is>
      </c>
      <c r="D1751" s="2" t="inlineStr">
        <is>
          <t>'Best Chinchin'!C6,D6</t>
        </is>
      </c>
      <c r="E1751" s="2" t="inlineStr">
        <is>
          <t>baking powder</t>
        </is>
      </c>
      <c r="F1751" s="3" t="n">
        <v>500</v>
      </c>
      <c r="G1751" s="2" t="inlineStr">
        <is>
          <t>500</t>
        </is>
      </c>
      <c r="H1751" s="2" t="inlineStr">
        <is>
          <t>H10</t>
        </is>
      </c>
    </row>
    <row r="1752">
      <c r="A1752" s="2" t="inlineStr">
        <is>
          <t>L186</t>
        </is>
      </c>
      <c r="B1752" s="2" t="inlineStr">
        <is>
          <t>Best Chinchin</t>
        </is>
      </c>
      <c r="C1752" s="2" t="inlineStr">
        <is>
          <t>S093</t>
        </is>
      </c>
      <c r="D1752" s="2" t="inlineStr">
        <is>
          <t>'Best Chinchin'!C7,D7</t>
        </is>
      </c>
      <c r="E1752" s="2" t="inlineStr">
        <is>
          <t>nut meg</t>
        </is>
      </c>
      <c r="F1752" s="3" t="n">
        <v>50</v>
      </c>
      <c r="G1752" s="2" t="inlineStr">
        <is>
          <t>50</t>
        </is>
      </c>
      <c r="H1752" s="2" t="inlineStr">
        <is>
          <t>H10</t>
        </is>
      </c>
    </row>
    <row r="1753">
      <c r="A1753" s="2" t="inlineStr">
        <is>
          <t>L186</t>
        </is>
      </c>
      <c r="B1753" s="2" t="inlineStr">
        <is>
          <t>Best Chinchin</t>
        </is>
      </c>
      <c r="C1753" s="2" t="inlineStr">
        <is>
          <t>S093</t>
        </is>
      </c>
      <c r="D1753" s="2" t="inlineStr">
        <is>
          <t>'Best Chinchin'!C8,D8</t>
        </is>
      </c>
      <c r="E1753" s="2" t="inlineStr">
        <is>
          <t>sugar</t>
        </is>
      </c>
      <c r="F1753" s="3" t="n">
        <v>4500</v>
      </c>
      <c r="G1753" s="2" t="inlineStr">
        <is>
          <t>4500</t>
        </is>
      </c>
      <c r="H1753" s="2" t="inlineStr">
        <is>
          <t>H10</t>
        </is>
      </c>
    </row>
    <row r="1754">
      <c r="A1754" s="2" t="inlineStr">
        <is>
          <t>L186</t>
        </is>
      </c>
      <c r="B1754" s="2" t="inlineStr">
        <is>
          <t>Best Chinchin</t>
        </is>
      </c>
      <c r="C1754" s="2" t="inlineStr">
        <is>
          <t>S093</t>
        </is>
      </c>
      <c r="D1754" s="2" t="inlineStr">
        <is>
          <t>'Best Chinchin'!C9,D9</t>
        </is>
      </c>
      <c r="E1754" s="2" t="inlineStr">
        <is>
          <t>Butter</t>
        </is>
      </c>
      <c r="F1754" s="3" t="n">
        <v>4000</v>
      </c>
      <c r="G1754" s="2" t="inlineStr">
        <is>
          <t>4000</t>
        </is>
      </c>
      <c r="H1754" s="2" t="inlineStr">
        <is>
          <t>H10</t>
        </is>
      </c>
    </row>
    <row r="1755">
      <c r="A1755" s="2" t="inlineStr">
        <is>
          <t>L186</t>
        </is>
      </c>
      <c r="B1755" s="2" t="inlineStr">
        <is>
          <t>Best Chinchin</t>
        </is>
      </c>
      <c r="C1755" s="2" t="inlineStr">
        <is>
          <t>S093</t>
        </is>
      </c>
      <c r="D1755" s="2" t="inlineStr">
        <is>
          <t>'Best Chinchin'!C10,D10</t>
        </is>
      </c>
      <c r="E1755" s="2" t="inlineStr">
        <is>
          <t>egg</t>
        </is>
      </c>
      <c r="F1755" s="3" t="n">
        <v>7500</v>
      </c>
      <c r="G1755" s="2" t="inlineStr">
        <is>
          <t>7500</t>
        </is>
      </c>
      <c r="H1755" s="2" t="inlineStr">
        <is>
          <t>H10</t>
        </is>
      </c>
    </row>
    <row r="1756">
      <c r="A1756" s="2" t="inlineStr">
        <is>
          <t>L186</t>
        </is>
      </c>
      <c r="B1756" s="2" t="inlineStr">
        <is>
          <t>Best Chinchin</t>
        </is>
      </c>
      <c r="C1756" s="2" t="inlineStr">
        <is>
          <t>S093</t>
        </is>
      </c>
      <c r="D1756" s="2" t="inlineStr">
        <is>
          <t>'Best Chinchin'!C11,D11</t>
        </is>
      </c>
      <c r="E1756" s="2" t="inlineStr">
        <is>
          <t>salt</t>
        </is>
      </c>
      <c r="F1756" s="3" t="n">
        <v>100</v>
      </c>
      <c r="G1756" s="2" t="inlineStr">
        <is>
          <t>100</t>
        </is>
      </c>
      <c r="H1756" s="2" t="inlineStr">
        <is>
          <t>H10</t>
        </is>
      </c>
    </row>
    <row r="1757">
      <c r="A1757" s="2" t="inlineStr">
        <is>
          <t>L186</t>
        </is>
      </c>
      <c r="B1757" s="2" t="inlineStr">
        <is>
          <t>Best Chinchin</t>
        </is>
      </c>
      <c r="C1757" s="2" t="inlineStr">
        <is>
          <t>S093</t>
        </is>
      </c>
      <c r="D1757" s="2" t="inlineStr">
        <is>
          <t>'Best Chinchin'!C12,D12</t>
        </is>
      </c>
      <c r="E1757" s="2" t="inlineStr">
        <is>
          <t>Improver</t>
        </is>
      </c>
      <c r="F1757" s="3" t="n">
        <v>200</v>
      </c>
      <c r="G1757" s="2" t="inlineStr">
        <is>
          <t>200</t>
        </is>
      </c>
      <c r="H1757" s="2" t="inlineStr">
        <is>
          <t>H10</t>
        </is>
      </c>
    </row>
    <row r="1758">
      <c r="A1758" s="2" t="inlineStr">
        <is>
          <t>L186</t>
        </is>
      </c>
      <c r="B1758" s="2" t="inlineStr">
        <is>
          <t>Best Chinchin</t>
        </is>
      </c>
      <c r="C1758" s="2" t="inlineStr">
        <is>
          <t>S093</t>
        </is>
      </c>
      <c r="D1758" s="2" t="inlineStr">
        <is>
          <t>'Best Chinchin'!C13,D13</t>
        </is>
      </c>
      <c r="E1758" s="2" t="inlineStr">
        <is>
          <t>oil</t>
        </is>
      </c>
      <c r="F1758" s="3" t="n">
        <v>400</v>
      </c>
      <c r="G1758" s="2" t="inlineStr">
        <is>
          <t>400</t>
        </is>
      </c>
      <c r="H1758" s="2" t="inlineStr">
        <is>
          <t>H10</t>
        </is>
      </c>
    </row>
    <row r="1759">
      <c r="A1759" s="2" t="inlineStr">
        <is>
          <t>L187</t>
        </is>
      </c>
      <c r="B1759" s="2" t="inlineStr">
        <is>
          <t>Cake Prof</t>
        </is>
      </c>
      <c r="C1759" s="2" t="inlineStr">
        <is>
          <t>S093</t>
        </is>
      </c>
      <c r="D1759" s="2" t="inlineStr">
        <is>
          <t>'Cake Prof'!C5,D5</t>
        </is>
      </c>
      <c r="E1759" s="2" t="inlineStr">
        <is>
          <t>flour</t>
        </is>
      </c>
      <c r="F1759" s="3" t="n">
        <v>2500</v>
      </c>
      <c r="G1759" s="2" t="inlineStr">
        <is>
          <t>2500</t>
        </is>
      </c>
      <c r="H1759" s="2" t="inlineStr">
        <is>
          <t>H08 / H09; exact style differs</t>
        </is>
      </c>
    </row>
    <row r="1760">
      <c r="A1760" s="2" t="inlineStr">
        <is>
          <t>L187</t>
        </is>
      </c>
      <c r="B1760" s="2" t="inlineStr">
        <is>
          <t>Cake Prof</t>
        </is>
      </c>
      <c r="C1760" s="2" t="inlineStr">
        <is>
          <t>S093</t>
        </is>
      </c>
      <c r="D1760" s="2" t="inlineStr">
        <is>
          <t>'Cake Prof'!C6,D6</t>
        </is>
      </c>
      <c r="E1760" s="2" t="inlineStr">
        <is>
          <t>baking powder</t>
        </is>
      </c>
      <c r="F1760" s="3" t="n">
        <v>80</v>
      </c>
      <c r="G1760" s="2" t="inlineStr">
        <is>
          <t>80</t>
        </is>
      </c>
      <c r="H1760" s="2" t="inlineStr">
        <is>
          <t>H08 / H09; exact style differs</t>
        </is>
      </c>
    </row>
    <row r="1761">
      <c r="A1761" s="2" t="inlineStr">
        <is>
          <t>L187</t>
        </is>
      </c>
      <c r="B1761" s="2" t="inlineStr">
        <is>
          <t>Cake Prof</t>
        </is>
      </c>
      <c r="C1761" s="2" t="inlineStr">
        <is>
          <t>S093</t>
        </is>
      </c>
      <c r="D1761" s="2" t="inlineStr">
        <is>
          <t>'Cake Prof'!C7,D7</t>
        </is>
      </c>
      <c r="E1761" s="2" t="inlineStr">
        <is>
          <t>salt</t>
        </is>
      </c>
      <c r="F1761" s="3" t="n">
        <v>50</v>
      </c>
      <c r="G1761" s="2" t="inlineStr">
        <is>
          <t>50</t>
        </is>
      </c>
      <c r="H1761" s="2" t="inlineStr">
        <is>
          <t>H08 / H09; exact style differs</t>
        </is>
      </c>
    </row>
    <row r="1762">
      <c r="A1762" s="2" t="inlineStr">
        <is>
          <t>L187</t>
        </is>
      </c>
      <c r="B1762" s="2" t="inlineStr">
        <is>
          <t>Cake Prof</t>
        </is>
      </c>
      <c r="C1762" s="2" t="inlineStr">
        <is>
          <t>S093</t>
        </is>
      </c>
      <c r="D1762" s="2" t="inlineStr">
        <is>
          <t>'Cake Prof'!C8,D8</t>
        </is>
      </c>
      <c r="E1762" s="2" t="inlineStr">
        <is>
          <t>Nut Meg</t>
        </is>
      </c>
      <c r="F1762" s="3" t="n">
        <v>45</v>
      </c>
      <c r="G1762" s="2" t="inlineStr">
        <is>
          <t>45</t>
        </is>
      </c>
      <c r="H1762" s="2" t="inlineStr">
        <is>
          <t>H08 / H09; exact style differs</t>
        </is>
      </c>
    </row>
    <row r="1763">
      <c r="A1763" s="2" t="inlineStr">
        <is>
          <t>L187</t>
        </is>
      </c>
      <c r="B1763" s="2" t="inlineStr">
        <is>
          <t>Cake Prof</t>
        </is>
      </c>
      <c r="C1763" s="2" t="inlineStr">
        <is>
          <t>S093</t>
        </is>
      </c>
      <c r="D1763" s="2" t="inlineStr">
        <is>
          <t>'Cake Prof'!C9,D9</t>
        </is>
      </c>
      <c r="E1763" s="2" t="inlineStr">
        <is>
          <t>Egg</t>
        </is>
      </c>
      <c r="F1763" s="3" t="n">
        <v>1600</v>
      </c>
      <c r="G1763" s="2" t="inlineStr">
        <is>
          <t>1600</t>
        </is>
      </c>
      <c r="H1763" s="2" t="inlineStr">
        <is>
          <t>H08 / H09; exact style differs</t>
        </is>
      </c>
    </row>
    <row r="1764">
      <c r="A1764" s="2" t="inlineStr">
        <is>
          <t>L187</t>
        </is>
      </c>
      <c r="B1764" s="2" t="inlineStr">
        <is>
          <t>Cake Prof</t>
        </is>
      </c>
      <c r="C1764" s="2" t="inlineStr">
        <is>
          <t>S093</t>
        </is>
      </c>
      <c r="D1764" s="2" t="inlineStr">
        <is>
          <t>'Cake Prof'!C10,D10</t>
        </is>
      </c>
      <c r="E1764" s="2" t="inlineStr">
        <is>
          <t>Butter</t>
        </is>
      </c>
      <c r="F1764" s="3" t="n">
        <v>1500</v>
      </c>
      <c r="G1764" s="2" t="inlineStr">
        <is>
          <t>1500</t>
        </is>
      </c>
      <c r="H1764" s="2" t="inlineStr">
        <is>
          <t>H08 / H09; exact style differs</t>
        </is>
      </c>
    </row>
    <row r="1765">
      <c r="A1765" s="2" t="inlineStr">
        <is>
          <t>L187</t>
        </is>
      </c>
      <c r="B1765" s="2" t="inlineStr">
        <is>
          <t>Cake Prof</t>
        </is>
      </c>
      <c r="C1765" s="2" t="inlineStr">
        <is>
          <t>S093</t>
        </is>
      </c>
      <c r="D1765" s="2" t="inlineStr">
        <is>
          <t>'Cake Prof'!C11,D11</t>
        </is>
      </c>
      <c r="E1765" s="2" t="inlineStr">
        <is>
          <t>sugar</t>
        </is>
      </c>
      <c r="F1765" s="3" t="n">
        <v>800</v>
      </c>
      <c r="G1765" s="2" t="inlineStr">
        <is>
          <t>800</t>
        </is>
      </c>
      <c r="H1765" s="2" t="inlineStr">
        <is>
          <t>H08 / H09; exact style differs</t>
        </is>
      </c>
    </row>
    <row r="1766">
      <c r="A1766" s="2" t="inlineStr">
        <is>
          <t>L188</t>
        </is>
      </c>
      <c r="B1766" s="2" t="inlineStr">
        <is>
          <t>Kouatchoua gato</t>
        </is>
      </c>
      <c r="C1766" s="2" t="inlineStr">
        <is>
          <t>S093</t>
        </is>
      </c>
      <c r="D1766" s="2" t="inlineStr">
        <is>
          <t>'Kouatchoua gato'!C5,D5</t>
        </is>
      </c>
      <c r="E1766" s="2" t="inlineStr">
        <is>
          <t>flour</t>
        </is>
      </c>
      <c r="F1766" s="3" t="n">
        <v>25000</v>
      </c>
      <c r="G1766" s="2" t="inlineStr">
        <is>
          <t>25000</t>
        </is>
      </c>
      <c r="H1766" s="2" t="inlineStr">
        <is>
          <t>Retain unique variant; no equivalent operating card selected</t>
        </is>
      </c>
    </row>
    <row r="1767">
      <c r="A1767" s="2" t="inlineStr">
        <is>
          <t>L188</t>
        </is>
      </c>
      <c r="B1767" s="2" t="inlineStr">
        <is>
          <t>Kouatchoua gato</t>
        </is>
      </c>
      <c r="C1767" s="2" t="inlineStr">
        <is>
          <t>S093</t>
        </is>
      </c>
      <c r="D1767" s="2" t="inlineStr">
        <is>
          <t>'Kouatchoua gato'!C6,D6</t>
        </is>
      </c>
      <c r="E1767" s="2" t="inlineStr">
        <is>
          <t>Butter</t>
        </is>
      </c>
      <c r="F1767" s="3" t="n">
        <v>1300</v>
      </c>
      <c r="G1767" s="2" t="inlineStr">
        <is>
          <t>1300</t>
        </is>
      </c>
      <c r="H1767" s="2" t="inlineStr">
        <is>
          <t>Retain unique variant; no equivalent operating card selected</t>
        </is>
      </c>
    </row>
    <row r="1768">
      <c r="A1768" s="2" t="inlineStr">
        <is>
          <t>L188</t>
        </is>
      </c>
      <c r="B1768" s="2" t="inlineStr">
        <is>
          <t>Kouatchoua gato</t>
        </is>
      </c>
      <c r="C1768" s="2" t="inlineStr">
        <is>
          <t>S093</t>
        </is>
      </c>
      <c r="D1768" s="2" t="inlineStr">
        <is>
          <t>'Kouatchoua gato'!C7,D7</t>
        </is>
      </c>
      <c r="E1768" s="2" t="inlineStr">
        <is>
          <t>sugar</t>
        </is>
      </c>
      <c r="F1768" s="3" t="n">
        <v>1700</v>
      </c>
      <c r="G1768" s="2" t="inlineStr">
        <is>
          <t>1700</t>
        </is>
      </c>
      <c r="H1768" s="2" t="inlineStr">
        <is>
          <t>Retain unique variant; no equivalent operating card selected</t>
        </is>
      </c>
    </row>
    <row r="1769">
      <c r="A1769" s="2" t="inlineStr">
        <is>
          <t>L188</t>
        </is>
      </c>
      <c r="B1769" s="2" t="inlineStr">
        <is>
          <t>Kouatchoua gato</t>
        </is>
      </c>
      <c r="C1769" s="2" t="inlineStr">
        <is>
          <t>S093</t>
        </is>
      </c>
      <c r="D1769" s="2" t="inlineStr">
        <is>
          <t>'Kouatchoua gato'!C8,D8</t>
        </is>
      </c>
      <c r="E1769" s="2" t="inlineStr">
        <is>
          <t>Conc Milk</t>
        </is>
      </c>
      <c r="F1769" s="3" t="n">
        <v>500</v>
      </c>
      <c r="G1769" s="2" t="inlineStr">
        <is>
          <t>500</t>
        </is>
      </c>
      <c r="H1769" s="2" t="inlineStr">
        <is>
          <t>Retain unique variant; no equivalent operating card selected</t>
        </is>
      </c>
    </row>
    <row r="1770">
      <c r="A1770" s="2" t="inlineStr">
        <is>
          <t>L188</t>
        </is>
      </c>
      <c r="B1770" s="2" t="inlineStr">
        <is>
          <t>Kouatchoua gato</t>
        </is>
      </c>
      <c r="C1770" s="2" t="inlineStr">
        <is>
          <t>S093</t>
        </is>
      </c>
      <c r="D1770" s="2" t="inlineStr">
        <is>
          <t>'Kouatchoua gato'!C9,D9</t>
        </is>
      </c>
      <c r="E1770" s="2" t="inlineStr">
        <is>
          <t>egg</t>
        </is>
      </c>
      <c r="F1770" s="3" t="n">
        <v>750</v>
      </c>
      <c r="G1770" s="2" t="inlineStr">
        <is>
          <t>750</t>
        </is>
      </c>
      <c r="H1770" s="2" t="inlineStr">
        <is>
          <t>Retain unique variant; no equivalent operating card selected</t>
        </is>
      </c>
    </row>
    <row r="1771">
      <c r="A1771" s="2" t="inlineStr">
        <is>
          <t>L188</t>
        </is>
      </c>
      <c r="B1771" s="2" t="inlineStr">
        <is>
          <t>Kouatchoua gato</t>
        </is>
      </c>
      <c r="C1771" s="2" t="inlineStr">
        <is>
          <t>S093</t>
        </is>
      </c>
      <c r="D1771" s="2" t="inlineStr">
        <is>
          <t>'Kouatchoua gato'!C10,D10</t>
        </is>
      </c>
      <c r="E1771" s="2" t="inlineStr">
        <is>
          <t>salt</t>
        </is>
      </c>
      <c r="F1771" s="3" t="n">
        <v>270</v>
      </c>
      <c r="G1771" s="2" t="inlineStr">
        <is>
          <t>270</t>
        </is>
      </c>
      <c r="H1771" s="2" t="inlineStr">
        <is>
          <t>Retain unique variant; no equivalent operating card selected</t>
        </is>
      </c>
    </row>
    <row r="1772">
      <c r="A1772" s="2" t="inlineStr">
        <is>
          <t>L188</t>
        </is>
      </c>
      <c r="B1772" s="2" t="inlineStr">
        <is>
          <t>Kouatchoua gato</t>
        </is>
      </c>
      <c r="C1772" s="2" t="inlineStr">
        <is>
          <t>S093</t>
        </is>
      </c>
      <c r="D1772" s="2" t="inlineStr">
        <is>
          <t>'Kouatchoua gato'!C11,D11</t>
        </is>
      </c>
      <c r="E1772" s="2" t="inlineStr">
        <is>
          <t>improver</t>
        </is>
      </c>
      <c r="F1772" s="3" t="n">
        <v>150</v>
      </c>
      <c r="G1772" s="2" t="inlineStr">
        <is>
          <t>150</t>
        </is>
      </c>
      <c r="H1772" s="2" t="inlineStr">
        <is>
          <t>Retain unique variant; no equivalent operating card selected</t>
        </is>
      </c>
    </row>
    <row r="1773">
      <c r="A1773" s="2" t="inlineStr">
        <is>
          <t>L188</t>
        </is>
      </c>
      <c r="B1773" s="2" t="inlineStr">
        <is>
          <t>Kouatchoua gato</t>
        </is>
      </c>
      <c r="C1773" s="2" t="inlineStr">
        <is>
          <t>S093</t>
        </is>
      </c>
      <c r="D1773" s="2" t="inlineStr">
        <is>
          <t>'Kouatchoua gato'!C12,D12</t>
        </is>
      </c>
      <c r="E1773" s="2" t="inlineStr">
        <is>
          <t>yeast</t>
        </is>
      </c>
      <c r="F1773" s="3" t="n">
        <v>170</v>
      </c>
      <c r="G1773" s="2" t="inlineStr">
        <is>
          <t>170</t>
        </is>
      </c>
      <c r="H1773" s="2" t="inlineStr">
        <is>
          <t>Retain unique variant; no equivalent operating card selected</t>
        </is>
      </c>
    </row>
    <row r="1774">
      <c r="A1774" s="2" t="inlineStr">
        <is>
          <t>L188</t>
        </is>
      </c>
      <c r="B1774" s="2" t="inlineStr">
        <is>
          <t>Kouatchoua gato</t>
        </is>
      </c>
      <c r="C1774" s="2" t="inlineStr">
        <is>
          <t>S093</t>
        </is>
      </c>
      <c r="D1774" s="2" t="inlineStr">
        <is>
          <t>'Kouatchoua gato'!C13,D13</t>
        </is>
      </c>
      <c r="E1774" s="2" t="inlineStr">
        <is>
          <t>water</t>
        </is>
      </c>
      <c r="F1774" s="3" t="n">
        <v>10000</v>
      </c>
      <c r="G1774" s="2" t="inlineStr">
        <is>
          <t>10000</t>
        </is>
      </c>
      <c r="H1774" s="2" t="inlineStr">
        <is>
          <t>Retain unique variant; no equivalent operating card selected</t>
        </is>
      </c>
    </row>
    <row r="1775">
      <c r="A1775" s="2" t="inlineStr">
        <is>
          <t>L188</t>
        </is>
      </c>
      <c r="B1775" s="2" t="inlineStr">
        <is>
          <t>Kouatchoua gato</t>
        </is>
      </c>
      <c r="C1775" s="2" t="inlineStr">
        <is>
          <t>S093</t>
        </is>
      </c>
      <c r="D1775" s="2" t="inlineStr">
        <is>
          <t>'Kouatchoua gato'!C14,D14</t>
        </is>
      </c>
      <c r="E1775" s="2" t="inlineStr">
        <is>
          <t>Nutmeg</t>
        </is>
      </c>
      <c r="F1775" s="3" t="n">
        <v>40</v>
      </c>
      <c r="G1775" s="2" t="inlineStr">
        <is>
          <t>40</t>
        </is>
      </c>
      <c r="H1775" s="2" t="inlineStr">
        <is>
          <t>Retain unique variant; no equivalent operating card selected</t>
        </is>
      </c>
    </row>
    <row r="1776">
      <c r="A1776" s="2" t="inlineStr">
        <is>
          <t>L188</t>
        </is>
      </c>
      <c r="B1776" s="2" t="inlineStr">
        <is>
          <t>Kouatchoua gato</t>
        </is>
      </c>
      <c r="C1776" s="2" t="inlineStr">
        <is>
          <t>S093</t>
        </is>
      </c>
      <c r="D1776" s="2" t="inlineStr">
        <is>
          <t>'Kouatchoua gato'!C15,D15</t>
        </is>
      </c>
      <c r="E1776" s="2" t="inlineStr">
        <is>
          <t>baking powder</t>
        </is>
      </c>
      <c r="F1776" s="3" t="n">
        <v>170</v>
      </c>
      <c r="G1776" s="2" t="inlineStr">
        <is>
          <t>170</t>
        </is>
      </c>
      <c r="H1776" s="2" t="inlineStr">
        <is>
          <t>Retain unique variant; no equivalent operating card selected</t>
        </is>
      </c>
    </row>
    <row r="1777">
      <c r="A1777" s="2" t="inlineStr">
        <is>
          <t>L188</t>
        </is>
      </c>
      <c r="B1777" s="2" t="inlineStr">
        <is>
          <t>Kouatchoua gato</t>
        </is>
      </c>
      <c r="C1777" s="2" t="inlineStr">
        <is>
          <t>S093</t>
        </is>
      </c>
      <c r="D1777" s="2" t="inlineStr">
        <is>
          <t>'Kouatchoua gato'!C16,D16</t>
        </is>
      </c>
      <c r="E1777" s="2" t="inlineStr">
        <is>
          <t>frying oil</t>
        </is>
      </c>
      <c r="F1777" s="3" t="n">
        <v>9000</v>
      </c>
      <c r="G1777" s="2" t="inlineStr">
        <is>
          <t>9000</t>
        </is>
      </c>
      <c r="H1777" s="2" t="inlineStr">
        <is>
          <t>Retain unique variant; no equivalent operating card selected</t>
        </is>
      </c>
    </row>
    <row r="1778">
      <c r="A1778" s="2" t="inlineStr">
        <is>
          <t>L189</t>
        </is>
      </c>
      <c r="B1778" s="2" t="inlineStr">
        <is>
          <t>Kouatchoua gato</t>
        </is>
      </c>
      <c r="C1778" s="2" t="inlineStr">
        <is>
          <t>S093</t>
        </is>
      </c>
      <c r="D1778" s="2" t="inlineStr">
        <is>
          <t>'Kouatchoua gato'!C5,J5</t>
        </is>
      </c>
      <c r="E1778" s="2" t="inlineStr">
        <is>
          <t>flour</t>
        </is>
      </c>
      <c r="F1778" s="3" t="n">
        <v>20000</v>
      </c>
      <c r="G1778" s="2" t="inlineStr">
        <is>
          <t>20000</t>
        </is>
      </c>
      <c r="H1778" s="2" t="inlineStr">
        <is>
          <t>Retain unique variant; no equivalent operating card selected</t>
        </is>
      </c>
    </row>
    <row r="1779">
      <c r="A1779" s="2" t="inlineStr">
        <is>
          <t>L189</t>
        </is>
      </c>
      <c r="B1779" s="2" t="inlineStr">
        <is>
          <t>Kouatchoua gato</t>
        </is>
      </c>
      <c r="C1779" s="2" t="inlineStr">
        <is>
          <t>S093</t>
        </is>
      </c>
      <c r="D1779" s="2" t="inlineStr">
        <is>
          <t>'Kouatchoua gato'!C6,J6</t>
        </is>
      </c>
      <c r="E1779" s="2" t="inlineStr">
        <is>
          <t>Butter</t>
        </is>
      </c>
      <c r="F1779" s="3" t="n">
        <v>560</v>
      </c>
      <c r="G1779" s="2" t="inlineStr">
        <is>
          <t>560</t>
        </is>
      </c>
      <c r="H1779" s="2" t="inlineStr">
        <is>
          <t>Retain unique variant; no equivalent operating card selected</t>
        </is>
      </c>
    </row>
    <row r="1780">
      <c r="A1780" s="2" t="inlineStr">
        <is>
          <t>L189</t>
        </is>
      </c>
      <c r="B1780" s="2" t="inlineStr">
        <is>
          <t>Kouatchoua gato</t>
        </is>
      </c>
      <c r="C1780" s="2" t="inlineStr">
        <is>
          <t>S093</t>
        </is>
      </c>
      <c r="D1780" s="2" t="inlineStr">
        <is>
          <t>'Kouatchoua gato'!C7,J7</t>
        </is>
      </c>
      <c r="E1780" s="2" t="inlineStr">
        <is>
          <t>sugar</t>
        </is>
      </c>
      <c r="F1780" s="3" t="n">
        <v>800</v>
      </c>
      <c r="G1780" s="2" t="inlineStr">
        <is>
          <t>800</t>
        </is>
      </c>
      <c r="H1780" s="2" t="inlineStr">
        <is>
          <t>Retain unique variant; no equivalent operating card selected</t>
        </is>
      </c>
    </row>
    <row r="1781">
      <c r="A1781" s="2" t="inlineStr">
        <is>
          <t>L189</t>
        </is>
      </c>
      <c r="B1781" s="2" t="inlineStr">
        <is>
          <t>Kouatchoua gato</t>
        </is>
      </c>
      <c r="C1781" s="2" t="inlineStr">
        <is>
          <t>S093</t>
        </is>
      </c>
      <c r="D1781" s="2" t="inlineStr">
        <is>
          <t>'Kouatchoua gato'!C8,J8</t>
        </is>
      </c>
      <c r="E1781" s="2" t="inlineStr">
        <is>
          <t>Conc Milk</t>
        </is>
      </c>
      <c r="F1781" s="3" t="n">
        <v>500</v>
      </c>
      <c r="G1781" s="2" t="inlineStr">
        <is>
          <t>500</t>
        </is>
      </c>
      <c r="H1781" s="2" t="inlineStr">
        <is>
          <t>Retain unique variant; no equivalent operating card selected</t>
        </is>
      </c>
    </row>
    <row r="1782">
      <c r="A1782" s="2" t="inlineStr">
        <is>
          <t>L189</t>
        </is>
      </c>
      <c r="B1782" s="2" t="inlineStr">
        <is>
          <t>Kouatchoua gato</t>
        </is>
      </c>
      <c r="C1782" s="2" t="inlineStr">
        <is>
          <t>S093</t>
        </is>
      </c>
      <c r="D1782" s="2" t="inlineStr">
        <is>
          <t>'Kouatchoua gato'!C9,J9</t>
        </is>
      </c>
      <c r="E1782" s="2" t="inlineStr">
        <is>
          <t>egg</t>
        </is>
      </c>
      <c r="F1782" s="3" t="n">
        <v>144</v>
      </c>
      <c r="G1782" s="2" t="inlineStr">
        <is>
          <t>144</t>
        </is>
      </c>
      <c r="H1782" s="2" t="inlineStr">
        <is>
          <t>Retain unique variant; no equivalent operating card selected</t>
        </is>
      </c>
    </row>
    <row r="1783">
      <c r="A1783" s="2" t="inlineStr">
        <is>
          <t>L189</t>
        </is>
      </c>
      <c r="B1783" s="2" t="inlineStr">
        <is>
          <t>Kouatchoua gato</t>
        </is>
      </c>
      <c r="C1783" s="2" t="inlineStr">
        <is>
          <t>S093</t>
        </is>
      </c>
      <c r="D1783" s="2" t="inlineStr">
        <is>
          <t>'Kouatchoua gato'!C10,J10</t>
        </is>
      </c>
      <c r="E1783" s="2" t="inlineStr">
        <is>
          <t>salt</t>
        </is>
      </c>
      <c r="F1783" s="3" t="n">
        <v>166</v>
      </c>
      <c r="G1783" s="2" t="inlineStr">
        <is>
          <t>166</t>
        </is>
      </c>
      <c r="H1783" s="2" t="inlineStr">
        <is>
          <t>Retain unique variant; no equivalent operating card selected</t>
        </is>
      </c>
    </row>
    <row r="1784">
      <c r="A1784" s="2" t="inlineStr">
        <is>
          <t>L189</t>
        </is>
      </c>
      <c r="B1784" s="2" t="inlineStr">
        <is>
          <t>Kouatchoua gato</t>
        </is>
      </c>
      <c r="C1784" s="2" t="inlineStr">
        <is>
          <t>S093</t>
        </is>
      </c>
      <c r="D1784" s="2" t="inlineStr">
        <is>
          <t>'Kouatchoua gato'!C11,J11</t>
        </is>
      </c>
      <c r="E1784" s="2" t="inlineStr">
        <is>
          <t>improver</t>
        </is>
      </c>
      <c r="F1784" s="3" t="n">
        <v>150</v>
      </c>
      <c r="G1784" s="2" t="inlineStr">
        <is>
          <t>=D11 [cached: 150]</t>
        </is>
      </c>
      <c r="H1784" s="2" t="inlineStr">
        <is>
          <t>Retain unique variant; no equivalent operating card selected</t>
        </is>
      </c>
    </row>
    <row r="1785">
      <c r="A1785" s="2" t="inlineStr">
        <is>
          <t>L189</t>
        </is>
      </c>
      <c r="B1785" s="2" t="inlineStr">
        <is>
          <t>Kouatchoua gato</t>
        </is>
      </c>
      <c r="C1785" s="2" t="inlineStr">
        <is>
          <t>S093</t>
        </is>
      </c>
      <c r="D1785" s="2" t="inlineStr">
        <is>
          <t>'Kouatchoua gato'!C12,J12</t>
        </is>
      </c>
      <c r="E1785" s="2" t="inlineStr">
        <is>
          <t>yeast</t>
        </is>
      </c>
      <c r="F1785" s="3" t="n">
        <v>70</v>
      </c>
      <c r="G1785" s="2" t="inlineStr">
        <is>
          <t>70</t>
        </is>
      </c>
      <c r="H1785" s="2" t="inlineStr">
        <is>
          <t>Retain unique variant; no equivalent operating card selected</t>
        </is>
      </c>
    </row>
    <row r="1786">
      <c r="A1786" s="2" t="inlineStr">
        <is>
          <t>L189</t>
        </is>
      </c>
      <c r="B1786" s="2" t="inlineStr">
        <is>
          <t>Kouatchoua gato</t>
        </is>
      </c>
      <c r="C1786" s="2" t="inlineStr">
        <is>
          <t>S093</t>
        </is>
      </c>
      <c r="D1786" s="2" t="inlineStr">
        <is>
          <t>'Kouatchoua gato'!C13,J13</t>
        </is>
      </c>
      <c r="E1786" s="2" t="inlineStr">
        <is>
          <t>water</t>
        </is>
      </c>
      <c r="F1786" s="3" t="n">
        <v>7000</v>
      </c>
      <c r="G1786" s="2" t="inlineStr">
        <is>
          <t>7000</t>
        </is>
      </c>
      <c r="H1786" s="2" t="inlineStr">
        <is>
          <t>Retain unique variant; no equivalent operating card selected</t>
        </is>
      </c>
    </row>
    <row r="1787">
      <c r="A1787" s="2" t="inlineStr">
        <is>
          <t>L189</t>
        </is>
      </c>
      <c r="B1787" s="2" t="inlineStr">
        <is>
          <t>Kouatchoua gato</t>
        </is>
      </c>
      <c r="C1787" s="2" t="inlineStr">
        <is>
          <t>S093</t>
        </is>
      </c>
      <c r="D1787" s="2" t="inlineStr">
        <is>
          <t>'Kouatchoua gato'!C14,J14</t>
        </is>
      </c>
      <c r="E1787" s="2" t="inlineStr">
        <is>
          <t>Nutmeg</t>
        </is>
      </c>
      <c r="F1787" s="3" t="n">
        <v>40</v>
      </c>
      <c r="G1787" s="2" t="inlineStr">
        <is>
          <t>=D14 [cached: 40]</t>
        </is>
      </c>
      <c r="H1787" s="2" t="inlineStr">
        <is>
          <t>Retain unique variant; no equivalent operating card selected</t>
        </is>
      </c>
    </row>
    <row r="1788">
      <c r="A1788" s="2" t="inlineStr">
        <is>
          <t>L189</t>
        </is>
      </c>
      <c r="B1788" s="2" t="inlineStr">
        <is>
          <t>Kouatchoua gato</t>
        </is>
      </c>
      <c r="C1788" s="2" t="inlineStr">
        <is>
          <t>S093</t>
        </is>
      </c>
      <c r="D1788" s="2" t="inlineStr">
        <is>
          <t>'Kouatchoua gato'!C15,J15</t>
        </is>
      </c>
      <c r="E1788" s="2" t="inlineStr">
        <is>
          <t>baking powder</t>
        </is>
      </c>
      <c r="F1788" s="3" t="n">
        <v>20</v>
      </c>
      <c r="G1788" s="2" t="inlineStr">
        <is>
          <t>20</t>
        </is>
      </c>
      <c r="H1788" s="2" t="inlineStr">
        <is>
          <t>Retain unique variant; no equivalent operating card selected</t>
        </is>
      </c>
    </row>
    <row r="1789">
      <c r="A1789" s="2" t="inlineStr">
        <is>
          <t>L189</t>
        </is>
      </c>
      <c r="B1789" s="2" t="inlineStr">
        <is>
          <t>Kouatchoua gato</t>
        </is>
      </c>
      <c r="C1789" s="2" t="inlineStr">
        <is>
          <t>S093</t>
        </is>
      </c>
      <c r="D1789" s="2" t="inlineStr">
        <is>
          <t>'Kouatchoua gato'!C16,J16</t>
        </is>
      </c>
      <c r="E1789" s="2" t="inlineStr">
        <is>
          <t>frying oil</t>
        </is>
      </c>
      <c r="F1789" s="3" t="n">
        <v>9000</v>
      </c>
      <c r="G1789" s="2" t="inlineStr">
        <is>
          <t>=D16 [cached: 9000]</t>
        </is>
      </c>
      <c r="H1789" s="2" t="inlineStr">
        <is>
          <t>Retain unique variant; no equivalent operating card selected</t>
        </is>
      </c>
    </row>
    <row r="1790">
      <c r="A1790" s="2" t="inlineStr">
        <is>
          <t>L190</t>
        </is>
      </c>
      <c r="B1790" s="2" t="inlineStr">
        <is>
          <t>Sugar Balls</t>
        </is>
      </c>
      <c r="C1790" s="2" t="inlineStr">
        <is>
          <t>S093</t>
        </is>
      </c>
      <c r="D1790" s="2" t="inlineStr">
        <is>
          <t>'Sugar Balls'!C5,D5</t>
        </is>
      </c>
      <c r="E1790" s="2" t="inlineStr">
        <is>
          <t>flour</t>
        </is>
      </c>
      <c r="F1790" s="3" t="n">
        <v>5000</v>
      </c>
      <c r="G1790" s="2" t="inlineStr">
        <is>
          <t>5000</t>
        </is>
      </c>
      <c r="H1790" s="2" t="inlineStr">
        <is>
          <t>Retain unique variant; no equivalent operating card selected</t>
        </is>
      </c>
    </row>
    <row r="1791">
      <c r="A1791" s="2" t="inlineStr">
        <is>
          <t>L190</t>
        </is>
      </c>
      <c r="B1791" s="2" t="inlineStr">
        <is>
          <t>Sugar Balls</t>
        </is>
      </c>
      <c r="C1791" s="2" t="inlineStr">
        <is>
          <t>S093</t>
        </is>
      </c>
      <c r="D1791" s="2" t="inlineStr">
        <is>
          <t>'Sugar Balls'!C6,D6</t>
        </is>
      </c>
      <c r="E1791" s="2" t="inlineStr">
        <is>
          <t>baking powder</t>
        </is>
      </c>
      <c r="F1791" s="3" t="n">
        <v>70</v>
      </c>
      <c r="G1791" s="2" t="inlineStr">
        <is>
          <t>70</t>
        </is>
      </c>
      <c r="H1791" s="2" t="inlineStr">
        <is>
          <t>Retain unique variant; no equivalent operating card selected</t>
        </is>
      </c>
    </row>
    <row r="1792">
      <c r="A1792" s="2" t="inlineStr">
        <is>
          <t>L190</t>
        </is>
      </c>
      <c r="B1792" s="2" t="inlineStr">
        <is>
          <t>Sugar Balls</t>
        </is>
      </c>
      <c r="C1792" s="2" t="inlineStr">
        <is>
          <t>S093</t>
        </is>
      </c>
      <c r="D1792" s="2" t="inlineStr">
        <is>
          <t>'Sugar Balls'!C7,D7</t>
        </is>
      </c>
      <c r="E1792" s="2" t="inlineStr">
        <is>
          <t>sugar</t>
        </is>
      </c>
      <c r="F1792" s="3" t="n">
        <v>600</v>
      </c>
      <c r="G1792" s="2" t="inlineStr">
        <is>
          <t>600</t>
        </is>
      </c>
      <c r="H1792" s="2" t="inlineStr">
        <is>
          <t>Retain unique variant; no equivalent operating card selected</t>
        </is>
      </c>
    </row>
    <row r="1793">
      <c r="A1793" s="2" t="inlineStr">
        <is>
          <t>L190</t>
        </is>
      </c>
      <c r="B1793" s="2" t="inlineStr">
        <is>
          <t>Sugar Balls</t>
        </is>
      </c>
      <c r="C1793" s="2" t="inlineStr">
        <is>
          <t>S093</t>
        </is>
      </c>
      <c r="D1793" s="2" t="inlineStr">
        <is>
          <t>'Sugar Balls'!C8,D8</t>
        </is>
      </c>
      <c r="E1793" s="2" t="inlineStr">
        <is>
          <t>Butter</t>
        </is>
      </c>
      <c r="F1793" s="3" t="n">
        <v>550</v>
      </c>
      <c r="G1793" s="2" t="inlineStr">
        <is>
          <t>550</t>
        </is>
      </c>
      <c r="H1793" s="2" t="inlineStr">
        <is>
          <t>Retain unique variant; no equivalent operating card selected</t>
        </is>
      </c>
    </row>
    <row r="1794">
      <c r="A1794" s="2" t="inlineStr">
        <is>
          <t>L190</t>
        </is>
      </c>
      <c r="B1794" s="2" t="inlineStr">
        <is>
          <t>Sugar Balls</t>
        </is>
      </c>
      <c r="C1794" s="2" t="inlineStr">
        <is>
          <t>S093</t>
        </is>
      </c>
      <c r="D1794" s="2" t="inlineStr">
        <is>
          <t>'Sugar Balls'!C9,D9</t>
        </is>
      </c>
      <c r="E1794" s="2" t="inlineStr">
        <is>
          <t>salt</t>
        </is>
      </c>
      <c r="F1794" s="3" t="n">
        <v>100</v>
      </c>
      <c r="G1794" s="2" t="inlineStr">
        <is>
          <t>100</t>
        </is>
      </c>
      <c r="H1794" s="2" t="inlineStr">
        <is>
          <t>Retain unique variant; no equivalent operating card selected</t>
        </is>
      </c>
    </row>
    <row r="1795">
      <c r="A1795" s="2" t="inlineStr">
        <is>
          <t>L190</t>
        </is>
      </c>
      <c r="B1795" s="2" t="inlineStr">
        <is>
          <t>Sugar Balls</t>
        </is>
      </c>
      <c r="C1795" s="2" t="inlineStr">
        <is>
          <t>S093</t>
        </is>
      </c>
      <c r="D1795" s="2" t="inlineStr">
        <is>
          <t>'Sugar Balls'!C10,D10</t>
        </is>
      </c>
      <c r="E1795" s="2" t="inlineStr">
        <is>
          <t>Cold Water</t>
        </is>
      </c>
      <c r="F1795" s="3" t="n">
        <v>2000</v>
      </c>
      <c r="G1795" s="2" t="inlineStr">
        <is>
          <t>2000</t>
        </is>
      </c>
      <c r="H1795" s="2" t="inlineStr">
        <is>
          <t>Retain unique variant; no equivalent operating card selected</t>
        </is>
      </c>
    </row>
    <row r="1796">
      <c r="A1796" s="2" t="inlineStr">
        <is>
          <t>L190</t>
        </is>
      </c>
      <c r="B1796" s="2" t="inlineStr">
        <is>
          <t>Sugar Balls</t>
        </is>
      </c>
      <c r="C1796" s="2" t="inlineStr">
        <is>
          <t>S093</t>
        </is>
      </c>
      <c r="D1796" s="2" t="inlineStr">
        <is>
          <t>'Sugar Balls'!C11,D11</t>
        </is>
      </c>
      <c r="E1796" s="2" t="inlineStr">
        <is>
          <t>Improver</t>
        </is>
      </c>
      <c r="F1796" s="3" t="n">
        <v>100</v>
      </c>
      <c r="G1796" s="2" t="inlineStr">
        <is>
          <t>100</t>
        </is>
      </c>
      <c r="H1796" s="2" t="inlineStr">
        <is>
          <t>Retain unique variant; no equivalent operating card selected</t>
        </is>
      </c>
    </row>
    <row r="1797">
      <c r="A1797" s="2" t="inlineStr">
        <is>
          <t>L190</t>
        </is>
      </c>
      <c r="B1797" s="2" t="inlineStr">
        <is>
          <t>Sugar Balls</t>
        </is>
      </c>
      <c r="C1797" s="2" t="inlineStr">
        <is>
          <t>S093</t>
        </is>
      </c>
      <c r="D1797" s="2" t="inlineStr">
        <is>
          <t>'Sugar Balls'!C12,D12</t>
        </is>
      </c>
      <c r="E1797" s="2" t="inlineStr">
        <is>
          <t>yeast</t>
        </is>
      </c>
      <c r="F1797" s="3" t="n">
        <v>140</v>
      </c>
      <c r="G1797" s="2" t="inlineStr">
        <is>
          <t>140</t>
        </is>
      </c>
      <c r="H1797" s="2" t="inlineStr">
        <is>
          <t>Retain unique variant; no equivalent operating card selected</t>
        </is>
      </c>
    </row>
    <row r="1798">
      <c r="A1798" s="2" t="inlineStr">
        <is>
          <t>L191</t>
        </is>
      </c>
      <c r="B1798" s="2" t="inlineStr">
        <is>
          <t>Sugar Balls</t>
        </is>
      </c>
      <c r="C1798" s="2" t="inlineStr">
        <is>
          <t>S093</t>
        </is>
      </c>
      <c r="D1798" s="2" t="inlineStr">
        <is>
          <t>'Sugar Balls'!C5,H5</t>
        </is>
      </c>
      <c r="E1798" s="2" t="inlineStr">
        <is>
          <t>flour</t>
        </is>
      </c>
      <c r="F1798" s="3" t="n">
        <v>25000</v>
      </c>
      <c r="G1798" s="2" t="inlineStr">
        <is>
          <t>=D5*5 [cached: 25000]</t>
        </is>
      </c>
      <c r="H1798" s="2" t="inlineStr">
        <is>
          <t>Retain unique variant; no equivalent operating card selected</t>
        </is>
      </c>
    </row>
    <row r="1799">
      <c r="A1799" s="2" t="inlineStr">
        <is>
          <t>L191</t>
        </is>
      </c>
      <c r="B1799" s="2" t="inlineStr">
        <is>
          <t>Sugar Balls</t>
        </is>
      </c>
      <c r="C1799" s="2" t="inlineStr">
        <is>
          <t>S093</t>
        </is>
      </c>
      <c r="D1799" s="2" t="inlineStr">
        <is>
          <t>'Sugar Balls'!C6,H6</t>
        </is>
      </c>
      <c r="E1799" s="2" t="inlineStr">
        <is>
          <t>baking powder</t>
        </is>
      </c>
      <c r="F1799" s="3" t="n">
        <v>350</v>
      </c>
      <c r="G1799" s="2" t="inlineStr">
        <is>
          <t>=D6*5 [cached: 350]</t>
        </is>
      </c>
      <c r="H1799" s="2" t="inlineStr">
        <is>
          <t>Retain unique variant; no equivalent operating card selected</t>
        </is>
      </c>
    </row>
    <row r="1800">
      <c r="A1800" s="2" t="inlineStr">
        <is>
          <t>L191</t>
        </is>
      </c>
      <c r="B1800" s="2" t="inlineStr">
        <is>
          <t>Sugar Balls</t>
        </is>
      </c>
      <c r="C1800" s="2" t="inlineStr">
        <is>
          <t>S093</t>
        </is>
      </c>
      <c r="D1800" s="2" t="inlineStr">
        <is>
          <t>'Sugar Balls'!C7,H7</t>
        </is>
      </c>
      <c r="E1800" s="2" t="inlineStr">
        <is>
          <t>sugar</t>
        </is>
      </c>
      <c r="F1800" s="3" t="n">
        <v>3000</v>
      </c>
      <c r="G1800" s="2" t="inlineStr">
        <is>
          <t>=D7*5 [cached: 3000]</t>
        </is>
      </c>
      <c r="H1800" s="2" t="inlineStr">
        <is>
          <t>Retain unique variant; no equivalent operating card selected</t>
        </is>
      </c>
    </row>
    <row r="1801">
      <c r="A1801" s="2" t="inlineStr">
        <is>
          <t>L191</t>
        </is>
      </c>
      <c r="B1801" s="2" t="inlineStr">
        <is>
          <t>Sugar Balls</t>
        </is>
      </c>
      <c r="C1801" s="2" t="inlineStr">
        <is>
          <t>S093</t>
        </is>
      </c>
      <c r="D1801" s="2" t="inlineStr">
        <is>
          <t>'Sugar Balls'!C8,H8</t>
        </is>
      </c>
      <c r="E1801" s="2" t="inlineStr">
        <is>
          <t>Butter</t>
        </is>
      </c>
      <c r="F1801" s="3" t="n">
        <v>2750</v>
      </c>
      <c r="G1801" s="2" t="inlineStr">
        <is>
          <t>=D8*5 [cached: 2750]</t>
        </is>
      </c>
      <c r="H1801" s="2" t="inlineStr">
        <is>
          <t>Retain unique variant; no equivalent operating card selected</t>
        </is>
      </c>
    </row>
    <row r="1802">
      <c r="A1802" s="2" t="inlineStr">
        <is>
          <t>L191</t>
        </is>
      </c>
      <c r="B1802" s="2" t="inlineStr">
        <is>
          <t>Sugar Balls</t>
        </is>
      </c>
      <c r="C1802" s="2" t="inlineStr">
        <is>
          <t>S093</t>
        </is>
      </c>
      <c r="D1802" s="2" t="inlineStr">
        <is>
          <t>'Sugar Balls'!C9,H9</t>
        </is>
      </c>
      <c r="E1802" s="2" t="inlineStr">
        <is>
          <t>salt</t>
        </is>
      </c>
      <c r="F1802" s="3" t="n">
        <v>500</v>
      </c>
      <c r="G1802" s="2" t="inlineStr">
        <is>
          <t>=D9*5 [cached: 500]</t>
        </is>
      </c>
      <c r="H1802" s="2" t="inlineStr">
        <is>
          <t>Retain unique variant; no equivalent operating card selected</t>
        </is>
      </c>
    </row>
    <row r="1803">
      <c r="A1803" s="2" t="inlineStr">
        <is>
          <t>L191</t>
        </is>
      </c>
      <c r="B1803" s="2" t="inlineStr">
        <is>
          <t>Sugar Balls</t>
        </is>
      </c>
      <c r="C1803" s="2" t="inlineStr">
        <is>
          <t>S093</t>
        </is>
      </c>
      <c r="D1803" s="2" t="inlineStr">
        <is>
          <t>'Sugar Balls'!C10,H10</t>
        </is>
      </c>
      <c r="E1803" s="2" t="inlineStr">
        <is>
          <t>Cold Water</t>
        </is>
      </c>
      <c r="F1803" s="3" t="n">
        <v>10000</v>
      </c>
      <c r="G1803" s="2" t="inlineStr">
        <is>
          <t>=D10*5 [cached: 10000]</t>
        </is>
      </c>
      <c r="H1803" s="2" t="inlineStr">
        <is>
          <t>Retain unique variant; no equivalent operating card selected</t>
        </is>
      </c>
    </row>
    <row r="1804">
      <c r="A1804" s="2" t="inlineStr">
        <is>
          <t>L191</t>
        </is>
      </c>
      <c r="B1804" s="2" t="inlineStr">
        <is>
          <t>Sugar Balls</t>
        </is>
      </c>
      <c r="C1804" s="2" t="inlineStr">
        <is>
          <t>S093</t>
        </is>
      </c>
      <c r="D1804" s="2" t="inlineStr">
        <is>
          <t>'Sugar Balls'!C11,H11</t>
        </is>
      </c>
      <c r="E1804" s="2" t="inlineStr">
        <is>
          <t>Improver</t>
        </is>
      </c>
      <c r="F1804" s="3" t="n">
        <v>500</v>
      </c>
      <c r="G1804" s="2" t="inlineStr">
        <is>
          <t>=D11*5 [cached: 500]</t>
        </is>
      </c>
      <c r="H1804" s="2" t="inlineStr">
        <is>
          <t>Retain unique variant; no equivalent operating card selected</t>
        </is>
      </c>
    </row>
    <row r="1805">
      <c r="A1805" s="2" t="inlineStr">
        <is>
          <t>L191</t>
        </is>
      </c>
      <c r="B1805" s="2" t="inlineStr">
        <is>
          <t>Sugar Balls</t>
        </is>
      </c>
      <c r="C1805" s="2" t="inlineStr">
        <is>
          <t>S093</t>
        </is>
      </c>
      <c r="D1805" s="2" t="inlineStr">
        <is>
          <t>'Sugar Balls'!C12,H12</t>
        </is>
      </c>
      <c r="E1805" s="2" t="inlineStr">
        <is>
          <t>yeast</t>
        </is>
      </c>
      <c r="F1805" s="3" t="n">
        <v>233.8</v>
      </c>
      <c r="G1805" s="2" t="inlineStr">
        <is>
          <t>=D12*1.67 [cached: 233.8]</t>
        </is>
      </c>
      <c r="H1805" s="2" t="inlineStr">
        <is>
          <t>Retain unique variant; no equivalent operating card selected</t>
        </is>
      </c>
    </row>
    <row r="1806">
      <c r="A1806" s="2" t="inlineStr">
        <is>
          <t>L192</t>
        </is>
      </c>
      <c r="B1806" s="2" t="inlineStr">
        <is>
          <t>YUMMY BREAD</t>
        </is>
      </c>
      <c r="C1806" s="2" t="inlineStr">
        <is>
          <t>S093</t>
        </is>
      </c>
      <c r="D1806" s="2" t="inlineStr">
        <is>
          <t>'YUMMY BREAD'!C5,D5</t>
        </is>
      </c>
      <c r="E1806" s="2" t="inlineStr">
        <is>
          <t>flour</t>
        </is>
      </c>
      <c r="F1806" s="3" t="n">
        <v>12000</v>
      </c>
      <c r="G1806" s="2" t="inlineStr">
        <is>
          <t>12000</t>
        </is>
      </c>
      <c r="H1806" s="2" t="inlineStr">
        <is>
          <t>M1-B01–B13</t>
        </is>
      </c>
    </row>
    <row r="1807">
      <c r="A1807" s="2" t="inlineStr">
        <is>
          <t>L192</t>
        </is>
      </c>
      <c r="B1807" s="2" t="inlineStr">
        <is>
          <t>YUMMY BREAD</t>
        </is>
      </c>
      <c r="C1807" s="2" t="inlineStr">
        <is>
          <t>S093</t>
        </is>
      </c>
      <c r="D1807" s="2" t="inlineStr">
        <is>
          <t>'YUMMY BREAD'!C6,D6</t>
        </is>
      </c>
      <c r="E1807" s="2" t="inlineStr">
        <is>
          <t>Butter</t>
        </is>
      </c>
      <c r="F1807" s="3" t="n">
        <v>1300</v>
      </c>
      <c r="G1807" s="2" t="inlineStr">
        <is>
          <t>1300</t>
        </is>
      </c>
      <c r="H1807" s="2" t="inlineStr">
        <is>
          <t>M1-B01–B13</t>
        </is>
      </c>
    </row>
    <row r="1808">
      <c r="A1808" s="2" t="inlineStr">
        <is>
          <t>L192</t>
        </is>
      </c>
      <c r="B1808" s="2" t="inlineStr">
        <is>
          <t>YUMMY BREAD</t>
        </is>
      </c>
      <c r="C1808" s="2" t="inlineStr">
        <is>
          <t>S093</t>
        </is>
      </c>
      <c r="D1808" s="2" t="inlineStr">
        <is>
          <t>'YUMMY BREAD'!C7,D7</t>
        </is>
      </c>
      <c r="E1808" s="2" t="inlineStr">
        <is>
          <t>sugar</t>
        </is>
      </c>
      <c r="F1808" s="3" t="n">
        <v>1300</v>
      </c>
      <c r="G1808" s="2" t="inlineStr">
        <is>
          <t>1300</t>
        </is>
      </c>
      <c r="H1808" s="2" t="inlineStr">
        <is>
          <t>M1-B01–B13</t>
        </is>
      </c>
    </row>
    <row r="1809">
      <c r="A1809" s="2" t="inlineStr">
        <is>
          <t>L192</t>
        </is>
      </c>
      <c r="B1809" s="2" t="inlineStr">
        <is>
          <t>YUMMY BREAD</t>
        </is>
      </c>
      <c r="C1809" s="2" t="inlineStr">
        <is>
          <t>S093</t>
        </is>
      </c>
      <c r="D1809" s="2" t="inlineStr">
        <is>
          <t>'YUMMY BREAD'!C8,D8</t>
        </is>
      </c>
      <c r="E1809" s="2" t="inlineStr">
        <is>
          <t>Milk</t>
        </is>
      </c>
      <c r="F1809" s="3" t="n">
        <v>1000</v>
      </c>
      <c r="G1809" s="2" t="inlineStr">
        <is>
          <t>1000</t>
        </is>
      </c>
      <c r="H1809" s="2" t="inlineStr">
        <is>
          <t>M1-B01–B13</t>
        </is>
      </c>
    </row>
    <row r="1810">
      <c r="A1810" s="2" t="inlineStr">
        <is>
          <t>L192</t>
        </is>
      </c>
      <c r="B1810" s="2" t="inlineStr">
        <is>
          <t>YUMMY BREAD</t>
        </is>
      </c>
      <c r="C1810" s="2" t="inlineStr">
        <is>
          <t>S093</t>
        </is>
      </c>
      <c r="D1810" s="2" t="inlineStr">
        <is>
          <t>'YUMMY BREAD'!C9,D9</t>
        </is>
      </c>
      <c r="E1810" s="2" t="inlineStr">
        <is>
          <t>egg</t>
        </is>
      </c>
      <c r="F1810" s="3" t="n">
        <v>600</v>
      </c>
      <c r="G1810" s="2" t="inlineStr">
        <is>
          <t>600</t>
        </is>
      </c>
      <c r="H1810" s="2" t="inlineStr">
        <is>
          <t>M1-B01–B13</t>
        </is>
      </c>
    </row>
    <row r="1811">
      <c r="A1811" s="2" t="inlineStr">
        <is>
          <t>L192</t>
        </is>
      </c>
      <c r="B1811" s="2" t="inlineStr">
        <is>
          <t>YUMMY BREAD</t>
        </is>
      </c>
      <c r="C1811" s="2" t="inlineStr">
        <is>
          <t>S093</t>
        </is>
      </c>
      <c r="D1811" s="2" t="inlineStr">
        <is>
          <t>'YUMMY BREAD'!C10,D10</t>
        </is>
      </c>
      <c r="E1811" s="2" t="inlineStr">
        <is>
          <t>salt</t>
        </is>
      </c>
      <c r="F1811" s="3" t="n">
        <v>120</v>
      </c>
      <c r="G1811" s="2" t="inlineStr">
        <is>
          <t>120</t>
        </is>
      </c>
      <c r="H1811" s="2" t="inlineStr">
        <is>
          <t>M1-B01–B13</t>
        </is>
      </c>
    </row>
    <row r="1812">
      <c r="A1812" s="2" t="inlineStr">
        <is>
          <t>L192</t>
        </is>
      </c>
      <c r="B1812" s="2" t="inlineStr">
        <is>
          <t>YUMMY BREAD</t>
        </is>
      </c>
      <c r="C1812" s="2" t="inlineStr">
        <is>
          <t>S093</t>
        </is>
      </c>
      <c r="D1812" s="2" t="inlineStr">
        <is>
          <t>'YUMMY BREAD'!C11,D11</t>
        </is>
      </c>
      <c r="E1812" s="2" t="inlineStr">
        <is>
          <t>improver</t>
        </is>
      </c>
      <c r="F1812" s="3" t="n">
        <v>120</v>
      </c>
      <c r="G1812" s="2" t="inlineStr">
        <is>
          <t>120</t>
        </is>
      </c>
      <c r="H1812" s="2" t="inlineStr">
        <is>
          <t>M1-B01–B13</t>
        </is>
      </c>
    </row>
    <row r="1813">
      <c r="A1813" s="2" t="inlineStr">
        <is>
          <t>L192</t>
        </is>
      </c>
      <c r="B1813" s="2" t="inlineStr">
        <is>
          <t>YUMMY BREAD</t>
        </is>
      </c>
      <c r="C1813" s="2" t="inlineStr">
        <is>
          <t>S093</t>
        </is>
      </c>
      <c r="D1813" s="2" t="inlineStr">
        <is>
          <t>'YUMMY BREAD'!C12,D12</t>
        </is>
      </c>
      <c r="E1813" s="2" t="inlineStr">
        <is>
          <t>yeast</t>
        </is>
      </c>
      <c r="F1813" s="3" t="n">
        <v>160</v>
      </c>
      <c r="G1813" s="2" t="inlineStr">
        <is>
          <t>160</t>
        </is>
      </c>
      <c r="H1813" s="2" t="inlineStr">
        <is>
          <t>M1-B01–B13</t>
        </is>
      </c>
    </row>
    <row r="1814">
      <c r="A1814" s="2" t="inlineStr">
        <is>
          <t>L192</t>
        </is>
      </c>
      <c r="B1814" s="2" t="inlineStr">
        <is>
          <t>YUMMY BREAD</t>
        </is>
      </c>
      <c r="C1814" s="2" t="inlineStr">
        <is>
          <t>S093</t>
        </is>
      </c>
      <c r="D1814" s="2" t="inlineStr">
        <is>
          <t>'YUMMY BREAD'!C13,D13</t>
        </is>
      </c>
      <c r="E1814" s="2" t="inlineStr">
        <is>
          <t>water</t>
        </is>
      </c>
      <c r="F1814" s="3" t="n">
        <v>3200</v>
      </c>
      <c r="G1814" s="2" t="inlineStr">
        <is>
          <t>3200</t>
        </is>
      </c>
      <c r="H1814" s="2" t="inlineStr">
        <is>
          <t>M1-B01–B13</t>
        </is>
      </c>
    </row>
    <row r="1815">
      <c r="A1815" s="2" t="inlineStr">
        <is>
          <t>L192</t>
        </is>
      </c>
      <c r="B1815" s="2" t="inlineStr">
        <is>
          <t>YUMMY BREAD</t>
        </is>
      </c>
      <c r="C1815" s="2" t="inlineStr">
        <is>
          <t>S093</t>
        </is>
      </c>
      <c r="D1815" s="2" t="inlineStr">
        <is>
          <t>'YUMMY BREAD'!C14,D14</t>
        </is>
      </c>
      <c r="E1815" s="2" t="inlineStr">
        <is>
          <t>Oil</t>
        </is>
      </c>
      <c r="F1815" s="3" t="n">
        <v>400</v>
      </c>
      <c r="G1815" s="2" t="inlineStr">
        <is>
          <t>400</t>
        </is>
      </c>
      <c r="H1815" s="2" t="inlineStr">
        <is>
          <t>M1-B01–B13</t>
        </is>
      </c>
    </row>
    <row r="1816">
      <c r="A1816" s="2" t="inlineStr">
        <is>
          <t>L192</t>
        </is>
      </c>
      <c r="B1816" s="2" t="inlineStr">
        <is>
          <t>YUMMY BREAD</t>
        </is>
      </c>
      <c r="C1816" s="2" t="inlineStr">
        <is>
          <t>S093</t>
        </is>
      </c>
      <c r="D1816" s="2" t="inlineStr">
        <is>
          <t>'YUMMY BREAD'!C15,D15</t>
        </is>
      </c>
      <c r="E1816" s="2" t="inlineStr">
        <is>
          <t>Milk tantalizer</t>
        </is>
      </c>
      <c r="F1816" s="3" t="n">
        <v>20</v>
      </c>
      <c r="G1816" s="2" t="inlineStr">
        <is>
          <t>20</t>
        </is>
      </c>
      <c r="H1816" s="2" t="inlineStr">
        <is>
          <t>M1-B01–B13</t>
        </is>
      </c>
    </row>
    <row r="1817">
      <c r="A1817" s="2" t="inlineStr">
        <is>
          <t>L192</t>
        </is>
      </c>
      <c r="B1817" s="2" t="inlineStr">
        <is>
          <t>YUMMY BREAD</t>
        </is>
      </c>
      <c r="C1817" s="2" t="inlineStr">
        <is>
          <t>S093</t>
        </is>
      </c>
      <c r="D1817" s="2" t="inlineStr">
        <is>
          <t>'YUMMY BREAD'!C16,D16</t>
        </is>
      </c>
      <c r="E1817" s="2" t="inlineStr">
        <is>
          <t>EDC</t>
        </is>
      </c>
      <c r="F1817" s="3" t="n">
        <v>50</v>
      </c>
      <c r="G1817" s="2" t="inlineStr">
        <is>
          <t>50</t>
        </is>
      </c>
      <c r="H1817" s="2" t="inlineStr">
        <is>
          <t>M1-B01–B13</t>
        </is>
      </c>
    </row>
    <row r="1818">
      <c r="A1818" s="2" t="inlineStr">
        <is>
          <t>L193</t>
        </is>
      </c>
      <c r="B1818" s="2" t="inlineStr">
        <is>
          <t>YUMMY BREAD</t>
        </is>
      </c>
      <c r="C1818" s="2" t="inlineStr">
        <is>
          <t>S094</t>
        </is>
      </c>
      <c r="D1818" s="2" t="inlineStr">
        <is>
          <t>'YUMMY BREAD'!C5,D5</t>
        </is>
      </c>
      <c r="E1818" s="2" t="inlineStr">
        <is>
          <t>flour</t>
        </is>
      </c>
      <c r="F1818" s="3" t="n">
        <v>13000</v>
      </c>
      <c r="G1818" s="2" t="inlineStr">
        <is>
          <t>13000</t>
        </is>
      </c>
      <c r="H1818" s="2" t="inlineStr">
        <is>
          <t>M1-B01–B13</t>
        </is>
      </c>
    </row>
    <row r="1819">
      <c r="A1819" s="2" t="inlineStr">
        <is>
          <t>L193</t>
        </is>
      </c>
      <c r="B1819" s="2" t="inlineStr">
        <is>
          <t>YUMMY BREAD</t>
        </is>
      </c>
      <c r="C1819" s="2" t="inlineStr">
        <is>
          <t>S094</t>
        </is>
      </c>
      <c r="D1819" s="2" t="inlineStr">
        <is>
          <t>'YUMMY BREAD'!C6,D6</t>
        </is>
      </c>
      <c r="E1819" s="2" t="inlineStr">
        <is>
          <t>Butter</t>
        </is>
      </c>
      <c r="F1819" s="3" t="n">
        <v>1500</v>
      </c>
      <c r="G1819" s="2" t="inlineStr">
        <is>
          <t>1500</t>
        </is>
      </c>
      <c r="H1819" s="2" t="inlineStr">
        <is>
          <t>M1-B01–B13</t>
        </is>
      </c>
    </row>
    <row r="1820">
      <c r="A1820" s="2" t="inlineStr">
        <is>
          <t>L193</t>
        </is>
      </c>
      <c r="B1820" s="2" t="inlineStr">
        <is>
          <t>YUMMY BREAD</t>
        </is>
      </c>
      <c r="C1820" s="2" t="inlineStr">
        <is>
          <t>S094</t>
        </is>
      </c>
      <c r="D1820" s="2" t="inlineStr">
        <is>
          <t>'YUMMY BREAD'!C7,D7</t>
        </is>
      </c>
      <c r="E1820" s="2" t="inlineStr">
        <is>
          <t>sugar</t>
        </is>
      </c>
      <c r="F1820" s="3" t="n">
        <v>1500</v>
      </c>
      <c r="G1820" s="2" t="inlineStr">
        <is>
          <t>1500</t>
        </is>
      </c>
      <c r="H1820" s="2" t="inlineStr">
        <is>
          <t>M1-B01–B13</t>
        </is>
      </c>
    </row>
    <row r="1821">
      <c r="A1821" s="2" t="inlineStr">
        <is>
          <t>L193</t>
        </is>
      </c>
      <c r="B1821" s="2" t="inlineStr">
        <is>
          <t>YUMMY BREAD</t>
        </is>
      </c>
      <c r="C1821" s="2" t="inlineStr">
        <is>
          <t>S094</t>
        </is>
      </c>
      <c r="D1821" s="2" t="inlineStr">
        <is>
          <t>'YUMMY BREAD'!C8,D8</t>
        </is>
      </c>
      <c r="E1821" s="2" t="inlineStr">
        <is>
          <t>Milk</t>
        </is>
      </c>
      <c r="F1821" s="3" t="n">
        <v>1000</v>
      </c>
      <c r="G1821" s="2" t="inlineStr">
        <is>
          <t>1000</t>
        </is>
      </c>
      <c r="H1821" s="2" t="inlineStr">
        <is>
          <t>M1-B01–B13</t>
        </is>
      </c>
    </row>
    <row r="1822">
      <c r="A1822" s="2" t="inlineStr">
        <is>
          <t>L193</t>
        </is>
      </c>
      <c r="B1822" s="2" t="inlineStr">
        <is>
          <t>YUMMY BREAD</t>
        </is>
      </c>
      <c r="C1822" s="2" t="inlineStr">
        <is>
          <t>S094</t>
        </is>
      </c>
      <c r="D1822" s="2" t="inlineStr">
        <is>
          <t>'YUMMY BREAD'!C9,D9</t>
        </is>
      </c>
      <c r="E1822" s="2" t="inlineStr">
        <is>
          <t>egg</t>
        </is>
      </c>
      <c r="F1822" s="3" t="n">
        <v>750</v>
      </c>
      <c r="G1822" s="2" t="inlineStr">
        <is>
          <t>750</t>
        </is>
      </c>
      <c r="H1822" s="2" t="inlineStr">
        <is>
          <t>M1-B01–B13</t>
        </is>
      </c>
    </row>
    <row r="1823">
      <c r="A1823" s="2" t="inlineStr">
        <is>
          <t>L193</t>
        </is>
      </c>
      <c r="B1823" s="2" t="inlineStr">
        <is>
          <t>YUMMY BREAD</t>
        </is>
      </c>
      <c r="C1823" s="2" t="inlineStr">
        <is>
          <t>S094</t>
        </is>
      </c>
      <c r="D1823" s="2" t="inlineStr">
        <is>
          <t>'YUMMY BREAD'!C10,D10</t>
        </is>
      </c>
      <c r="E1823" s="2" t="inlineStr">
        <is>
          <t>salt</t>
        </is>
      </c>
      <c r="F1823" s="3" t="n">
        <v>120</v>
      </c>
      <c r="G1823" s="2" t="inlineStr">
        <is>
          <t>120</t>
        </is>
      </c>
      <c r="H1823" s="2" t="inlineStr">
        <is>
          <t>M1-B01–B13</t>
        </is>
      </c>
    </row>
    <row r="1824">
      <c r="A1824" s="2" t="inlineStr">
        <is>
          <t>L193</t>
        </is>
      </c>
      <c r="B1824" s="2" t="inlineStr">
        <is>
          <t>YUMMY BREAD</t>
        </is>
      </c>
      <c r="C1824" s="2" t="inlineStr">
        <is>
          <t>S094</t>
        </is>
      </c>
      <c r="D1824" s="2" t="inlineStr">
        <is>
          <t>'YUMMY BREAD'!C11,D11</t>
        </is>
      </c>
      <c r="E1824" s="2" t="inlineStr">
        <is>
          <t>improver</t>
        </is>
      </c>
      <c r="F1824" s="3" t="n">
        <v>120</v>
      </c>
      <c r="G1824" s="2" t="inlineStr">
        <is>
          <t>120</t>
        </is>
      </c>
      <c r="H1824" s="2" t="inlineStr">
        <is>
          <t>M1-B01–B13</t>
        </is>
      </c>
    </row>
    <row r="1825">
      <c r="A1825" s="2" t="inlineStr">
        <is>
          <t>L193</t>
        </is>
      </c>
      <c r="B1825" s="2" t="inlineStr">
        <is>
          <t>YUMMY BREAD</t>
        </is>
      </c>
      <c r="C1825" s="2" t="inlineStr">
        <is>
          <t>S094</t>
        </is>
      </c>
      <c r="D1825" s="2" t="inlineStr">
        <is>
          <t>'YUMMY BREAD'!C12,D12</t>
        </is>
      </c>
      <c r="E1825" s="2" t="inlineStr">
        <is>
          <t>yeast</t>
        </is>
      </c>
      <c r="F1825" s="3" t="n">
        <v>160</v>
      </c>
      <c r="G1825" s="2" t="inlineStr">
        <is>
          <t>160</t>
        </is>
      </c>
      <c r="H1825" s="2" t="inlineStr">
        <is>
          <t>M1-B01–B13</t>
        </is>
      </c>
    </row>
    <row r="1826">
      <c r="A1826" s="2" t="inlineStr">
        <is>
          <t>L193</t>
        </is>
      </c>
      <c r="B1826" s="2" t="inlineStr">
        <is>
          <t>YUMMY BREAD</t>
        </is>
      </c>
      <c r="C1826" s="2" t="inlineStr">
        <is>
          <t>S094</t>
        </is>
      </c>
      <c r="D1826" s="2" t="inlineStr">
        <is>
          <t>'YUMMY BREAD'!C13,D13</t>
        </is>
      </c>
      <c r="E1826" s="2" t="inlineStr">
        <is>
          <t>water</t>
        </is>
      </c>
      <c r="F1826" s="3" t="n">
        <v>3600</v>
      </c>
      <c r="G1826" s="2" t="inlineStr">
        <is>
          <t>3600</t>
        </is>
      </c>
      <c r="H1826" s="2" t="inlineStr">
        <is>
          <t>M1-B01–B13</t>
        </is>
      </c>
    </row>
    <row r="1827">
      <c r="A1827" s="2" t="inlineStr">
        <is>
          <t>L193</t>
        </is>
      </c>
      <c r="B1827" s="2" t="inlineStr">
        <is>
          <t>YUMMY BREAD</t>
        </is>
      </c>
      <c r="C1827" s="2" t="inlineStr">
        <is>
          <t>S094</t>
        </is>
      </c>
      <c r="D1827" s="2" t="inlineStr">
        <is>
          <t>'YUMMY BREAD'!C14,D14</t>
        </is>
      </c>
      <c r="E1827" s="2" t="inlineStr">
        <is>
          <t>Oil</t>
        </is>
      </c>
      <c r="F1827" s="3" t="n">
        <v>300</v>
      </c>
      <c r="G1827" s="2" t="inlineStr">
        <is>
          <t>300</t>
        </is>
      </c>
      <c r="H1827" s="2" t="inlineStr">
        <is>
          <t>M1-B01–B13</t>
        </is>
      </c>
    </row>
    <row r="1828">
      <c r="A1828" s="2" t="inlineStr">
        <is>
          <t>L193</t>
        </is>
      </c>
      <c r="B1828" s="2" t="inlineStr">
        <is>
          <t>YUMMY BREAD</t>
        </is>
      </c>
      <c r="C1828" s="2" t="inlineStr">
        <is>
          <t>S094</t>
        </is>
      </c>
      <c r="D1828" s="2" t="inlineStr">
        <is>
          <t>'YUMMY BREAD'!C15,D15</t>
        </is>
      </c>
      <c r="E1828" s="2" t="inlineStr">
        <is>
          <t>EDC</t>
        </is>
      </c>
      <c r="F1828" s="3" t="n">
        <v>50</v>
      </c>
      <c r="G1828" s="2" t="inlineStr">
        <is>
          <t>50</t>
        </is>
      </c>
      <c r="H1828" s="2" t="inlineStr">
        <is>
          <t>M1-B01–B13</t>
        </is>
      </c>
    </row>
    <row r="1829">
      <c r="A1829" s="2" t="inlineStr">
        <is>
          <t>L194</t>
        </is>
      </c>
      <c r="B1829" s="2" t="inlineStr">
        <is>
          <t>Best Chinchin</t>
        </is>
      </c>
      <c r="C1829" s="2" t="inlineStr">
        <is>
          <t>S102</t>
        </is>
      </c>
      <c r="D1829" s="2" t="inlineStr">
        <is>
          <t>'Best Chinchin'!C5,D5</t>
        </is>
      </c>
      <c r="E1829" s="2" t="inlineStr">
        <is>
          <t>flour</t>
        </is>
      </c>
      <c r="F1829" s="3" t="n">
        <v>25000</v>
      </c>
      <c r="G1829" s="2" t="inlineStr">
        <is>
          <t>25000</t>
        </is>
      </c>
      <c r="H1829" s="2" t="inlineStr">
        <is>
          <t>H10</t>
        </is>
      </c>
    </row>
    <row r="1830">
      <c r="A1830" s="2" t="inlineStr">
        <is>
          <t>L194</t>
        </is>
      </c>
      <c r="B1830" s="2" t="inlineStr">
        <is>
          <t>Best Chinchin</t>
        </is>
      </c>
      <c r="C1830" s="2" t="inlineStr">
        <is>
          <t>S102</t>
        </is>
      </c>
      <c r="D1830" s="2" t="inlineStr">
        <is>
          <t>'Best Chinchin'!C6,D6</t>
        </is>
      </c>
      <c r="E1830" s="2" t="inlineStr">
        <is>
          <t>baking powder</t>
        </is>
      </c>
      <c r="F1830" s="3" t="n">
        <v>500</v>
      </c>
      <c r="G1830" s="2" t="inlineStr">
        <is>
          <t>500</t>
        </is>
      </c>
      <c r="H1830" s="2" t="inlineStr">
        <is>
          <t>H10</t>
        </is>
      </c>
    </row>
    <row r="1831">
      <c r="A1831" s="2" t="inlineStr">
        <is>
          <t>L194</t>
        </is>
      </c>
      <c r="B1831" s="2" t="inlineStr">
        <is>
          <t>Best Chinchin</t>
        </is>
      </c>
      <c r="C1831" s="2" t="inlineStr">
        <is>
          <t>S102</t>
        </is>
      </c>
      <c r="D1831" s="2" t="inlineStr">
        <is>
          <t>'Best Chinchin'!C7,D7</t>
        </is>
      </c>
      <c r="E1831" s="2" t="inlineStr">
        <is>
          <t>nut meg</t>
        </is>
      </c>
      <c r="F1831" s="3" t="n">
        <v>50</v>
      </c>
      <c r="G1831" s="2" t="inlineStr">
        <is>
          <t>50</t>
        </is>
      </c>
      <c r="H1831" s="2" t="inlineStr">
        <is>
          <t>H10</t>
        </is>
      </c>
    </row>
    <row r="1832">
      <c r="A1832" s="2" t="inlineStr">
        <is>
          <t>L194</t>
        </is>
      </c>
      <c r="B1832" s="2" t="inlineStr">
        <is>
          <t>Best Chinchin</t>
        </is>
      </c>
      <c r="C1832" s="2" t="inlineStr">
        <is>
          <t>S102</t>
        </is>
      </c>
      <c r="D1832" s="2" t="inlineStr">
        <is>
          <t>'Best Chinchin'!C8,D8</t>
        </is>
      </c>
      <c r="E1832" s="2" t="inlineStr">
        <is>
          <t>sugar</t>
        </is>
      </c>
      <c r="F1832" s="3" t="n">
        <v>4500</v>
      </c>
      <c r="G1832" s="2" t="inlineStr">
        <is>
          <t>4500</t>
        </is>
      </c>
      <c r="H1832" s="2" t="inlineStr">
        <is>
          <t>H10</t>
        </is>
      </c>
    </row>
    <row r="1833">
      <c r="A1833" s="2" t="inlineStr">
        <is>
          <t>L194</t>
        </is>
      </c>
      <c r="B1833" s="2" t="inlineStr">
        <is>
          <t>Best Chinchin</t>
        </is>
      </c>
      <c r="C1833" s="2" t="inlineStr">
        <is>
          <t>S102</t>
        </is>
      </c>
      <c r="D1833" s="2" t="inlineStr">
        <is>
          <t>'Best Chinchin'!C9,D9</t>
        </is>
      </c>
      <c r="E1833" s="2" t="inlineStr">
        <is>
          <t>Butter</t>
        </is>
      </c>
      <c r="F1833" s="3" t="n">
        <v>4000</v>
      </c>
      <c r="G1833" s="2" t="inlineStr">
        <is>
          <t>4000</t>
        </is>
      </c>
      <c r="H1833" s="2" t="inlineStr">
        <is>
          <t>H10</t>
        </is>
      </c>
    </row>
    <row r="1834">
      <c r="A1834" s="2" t="inlineStr">
        <is>
          <t>L194</t>
        </is>
      </c>
      <c r="B1834" s="2" t="inlineStr">
        <is>
          <t>Best Chinchin</t>
        </is>
      </c>
      <c r="C1834" s="2" t="inlineStr">
        <is>
          <t>S102</t>
        </is>
      </c>
      <c r="D1834" s="2" t="inlineStr">
        <is>
          <t>'Best Chinchin'!C10,D10</t>
        </is>
      </c>
      <c r="E1834" s="2" t="inlineStr">
        <is>
          <t>egg</t>
        </is>
      </c>
      <c r="F1834" s="3" t="n">
        <v>13500</v>
      </c>
      <c r="G1834" s="2" t="inlineStr">
        <is>
          <t>13500</t>
        </is>
      </c>
      <c r="H1834" s="2" t="inlineStr">
        <is>
          <t>H10</t>
        </is>
      </c>
    </row>
    <row r="1835">
      <c r="A1835" s="2" t="inlineStr">
        <is>
          <t>L194</t>
        </is>
      </c>
      <c r="B1835" s="2" t="inlineStr">
        <is>
          <t>Best Chinchin</t>
        </is>
      </c>
      <c r="C1835" s="2" t="inlineStr">
        <is>
          <t>S102</t>
        </is>
      </c>
      <c r="D1835" s="2" t="inlineStr">
        <is>
          <t>'Best Chinchin'!C11,D11</t>
        </is>
      </c>
      <c r="E1835" s="2" t="inlineStr">
        <is>
          <t>salt</t>
        </is>
      </c>
      <c r="F1835" s="3" t="n">
        <v>90</v>
      </c>
      <c r="G1835" s="2" t="inlineStr">
        <is>
          <t>90</t>
        </is>
      </c>
      <c r="H1835" s="2" t="inlineStr">
        <is>
          <t>H10</t>
        </is>
      </c>
    </row>
    <row r="1836">
      <c r="A1836" s="2" t="inlineStr">
        <is>
          <t>L194</t>
        </is>
      </c>
      <c r="B1836" s="2" t="inlineStr">
        <is>
          <t>Best Chinchin</t>
        </is>
      </c>
      <c r="C1836" s="2" t="inlineStr">
        <is>
          <t>S102</t>
        </is>
      </c>
      <c r="D1836" s="2" t="inlineStr">
        <is>
          <t>'Best Chinchin'!C12,D12</t>
        </is>
      </c>
      <c r="E1836" s="2" t="inlineStr">
        <is>
          <t>Improver</t>
        </is>
      </c>
      <c r="F1836" s="3" t="n">
        <v>200</v>
      </c>
      <c r="G1836" s="2" t="inlineStr">
        <is>
          <t>200</t>
        </is>
      </c>
      <c r="H1836" s="2" t="inlineStr">
        <is>
          <t>H10</t>
        </is>
      </c>
    </row>
    <row r="1837">
      <c r="A1837" s="2" t="inlineStr">
        <is>
          <t>L194</t>
        </is>
      </c>
      <c r="B1837" s="2" t="inlineStr">
        <is>
          <t>Best Chinchin</t>
        </is>
      </c>
      <c r="C1837" s="2" t="inlineStr">
        <is>
          <t>S102</t>
        </is>
      </c>
      <c r="D1837" s="2" t="inlineStr">
        <is>
          <t>'Best Chinchin'!C13,D13</t>
        </is>
      </c>
      <c r="E1837" s="2" t="inlineStr">
        <is>
          <t>oil</t>
        </is>
      </c>
      <c r="F1837" s="3" t="n">
        <v>20</v>
      </c>
      <c r="G1837" s="2" t="inlineStr">
        <is>
          <t>20</t>
        </is>
      </c>
      <c r="H1837" s="2" t="inlineStr">
        <is>
          <t>H10</t>
        </is>
      </c>
    </row>
    <row r="1838">
      <c r="A1838" s="2" t="inlineStr">
        <is>
          <t>L195</t>
        </is>
      </c>
      <c r="B1838" s="2" t="inlineStr">
        <is>
          <t>Cake Prof</t>
        </is>
      </c>
      <c r="C1838" s="2" t="inlineStr">
        <is>
          <t>S102</t>
        </is>
      </c>
      <c r="D1838" s="2" t="inlineStr">
        <is>
          <t>'Cake Prof'!C5,D5</t>
        </is>
      </c>
      <c r="E1838" s="2" t="inlineStr">
        <is>
          <t>flour</t>
        </is>
      </c>
      <c r="F1838" s="3" t="n">
        <v>2500</v>
      </c>
      <c r="G1838" s="2" t="inlineStr">
        <is>
          <t>2500</t>
        </is>
      </c>
      <c r="H1838" s="2" t="inlineStr">
        <is>
          <t>H08 / H09; exact style differs</t>
        </is>
      </c>
    </row>
    <row r="1839">
      <c r="A1839" s="2" t="inlineStr">
        <is>
          <t>L195</t>
        </is>
      </c>
      <c r="B1839" s="2" t="inlineStr">
        <is>
          <t>Cake Prof</t>
        </is>
      </c>
      <c r="C1839" s="2" t="inlineStr">
        <is>
          <t>S102</t>
        </is>
      </c>
      <c r="D1839" s="2" t="inlineStr">
        <is>
          <t>'Cake Prof'!C6,D6</t>
        </is>
      </c>
      <c r="E1839" s="2" t="inlineStr">
        <is>
          <t>baking powder</t>
        </is>
      </c>
      <c r="F1839" s="3" t="n">
        <v>80</v>
      </c>
      <c r="G1839" s="2" t="inlineStr">
        <is>
          <t>80</t>
        </is>
      </c>
      <c r="H1839" s="2" t="inlineStr">
        <is>
          <t>H08 / H09; exact style differs</t>
        </is>
      </c>
    </row>
    <row r="1840">
      <c r="A1840" s="2" t="inlineStr">
        <is>
          <t>L195</t>
        </is>
      </c>
      <c r="B1840" s="2" t="inlineStr">
        <is>
          <t>Cake Prof</t>
        </is>
      </c>
      <c r="C1840" s="2" t="inlineStr">
        <is>
          <t>S102</t>
        </is>
      </c>
      <c r="D1840" s="2" t="inlineStr">
        <is>
          <t>'Cake Prof'!C7,D7</t>
        </is>
      </c>
      <c r="E1840" s="2" t="inlineStr">
        <is>
          <t>salt</t>
        </is>
      </c>
      <c r="F1840" s="3" t="n">
        <v>30</v>
      </c>
      <c r="G1840" s="2" t="inlineStr">
        <is>
          <t>30</t>
        </is>
      </c>
      <c r="H1840" s="2" t="inlineStr">
        <is>
          <t>H08 / H09; exact style differs</t>
        </is>
      </c>
    </row>
    <row r="1841">
      <c r="A1841" s="2" t="inlineStr">
        <is>
          <t>L195</t>
        </is>
      </c>
      <c r="B1841" s="2" t="inlineStr">
        <is>
          <t>Cake Prof</t>
        </is>
      </c>
      <c r="C1841" s="2" t="inlineStr">
        <is>
          <t>S102</t>
        </is>
      </c>
      <c r="D1841" s="2" t="inlineStr">
        <is>
          <t>'Cake Prof'!C8,D8</t>
        </is>
      </c>
      <c r="E1841" s="2" t="inlineStr">
        <is>
          <t>Nut Meg</t>
        </is>
      </c>
      <c r="F1841" s="3" t="n">
        <v>45</v>
      </c>
      <c r="G1841" s="2" t="inlineStr">
        <is>
          <t>45</t>
        </is>
      </c>
      <c r="H1841" s="2" t="inlineStr">
        <is>
          <t>H08 / H09; exact style differs</t>
        </is>
      </c>
    </row>
    <row r="1842">
      <c r="A1842" s="2" t="inlineStr">
        <is>
          <t>L195</t>
        </is>
      </c>
      <c r="B1842" s="2" t="inlineStr">
        <is>
          <t>Cake Prof</t>
        </is>
      </c>
      <c r="C1842" s="2" t="inlineStr">
        <is>
          <t>S102</t>
        </is>
      </c>
      <c r="D1842" s="2" t="inlineStr">
        <is>
          <t>'Cake Prof'!C9,D9</t>
        </is>
      </c>
      <c r="E1842" s="2" t="inlineStr">
        <is>
          <t>Egg</t>
        </is>
      </c>
      <c r="F1842" s="3" t="n">
        <v>1500</v>
      </c>
      <c r="G1842" s="2" t="inlineStr">
        <is>
          <t>1500</t>
        </is>
      </c>
      <c r="H1842" s="2" t="inlineStr">
        <is>
          <t>H08 / H09; exact style differs</t>
        </is>
      </c>
    </row>
    <row r="1843">
      <c r="A1843" s="2" t="inlineStr">
        <is>
          <t>L195</t>
        </is>
      </c>
      <c r="B1843" s="2" t="inlineStr">
        <is>
          <t>Cake Prof</t>
        </is>
      </c>
      <c r="C1843" s="2" t="inlineStr">
        <is>
          <t>S102</t>
        </is>
      </c>
      <c r="D1843" s="2" t="inlineStr">
        <is>
          <t>'Cake Prof'!C10,D10</t>
        </is>
      </c>
      <c r="E1843" s="2" t="inlineStr">
        <is>
          <t>Butter</t>
        </is>
      </c>
      <c r="F1843" s="3" t="n">
        <v>1500</v>
      </c>
      <c r="G1843" s="2" t="inlineStr">
        <is>
          <t>1500</t>
        </is>
      </c>
      <c r="H1843" s="2" t="inlineStr">
        <is>
          <t>H08 / H09; exact style differs</t>
        </is>
      </c>
    </row>
    <row r="1844">
      <c r="A1844" s="2" t="inlineStr">
        <is>
          <t>L195</t>
        </is>
      </c>
      <c r="B1844" s="2" t="inlineStr">
        <is>
          <t>Cake Prof</t>
        </is>
      </c>
      <c r="C1844" s="2" t="inlineStr">
        <is>
          <t>S102</t>
        </is>
      </c>
      <c r="D1844" s="2" t="inlineStr">
        <is>
          <t>'Cake Prof'!C11,D11</t>
        </is>
      </c>
      <c r="E1844" s="2" t="inlineStr">
        <is>
          <t>sugar</t>
        </is>
      </c>
      <c r="F1844" s="3" t="n">
        <v>800</v>
      </c>
      <c r="G1844" s="2" t="inlineStr">
        <is>
          <t>800</t>
        </is>
      </c>
      <c r="H1844" s="2" t="inlineStr">
        <is>
          <t>H08 / H09; exact style differs</t>
        </is>
      </c>
    </row>
    <row r="1845">
      <c r="A1845" s="2" t="inlineStr">
        <is>
          <t>L196</t>
        </is>
      </c>
      <c r="B1845" s="2" t="inlineStr">
        <is>
          <t>NEW BRIOCHE</t>
        </is>
      </c>
      <c r="C1845" s="2" t="inlineStr">
        <is>
          <t>S102</t>
        </is>
      </c>
      <c r="D1845" s="2" t="inlineStr">
        <is>
          <t>'NEW BRIOCHE'!C5,D5</t>
        </is>
      </c>
      <c r="E1845" s="2" t="inlineStr">
        <is>
          <t>flour</t>
        </is>
      </c>
      <c r="F1845" s="3" t="n">
        <v>6700</v>
      </c>
      <c r="G1845" s="2" t="inlineStr">
        <is>
          <t>6700</t>
        </is>
      </c>
      <c r="H1845" s="2" t="inlineStr">
        <is>
          <t>S-B06; richer true-butter variant</t>
        </is>
      </c>
    </row>
    <row r="1846">
      <c r="A1846" s="2" t="inlineStr">
        <is>
          <t>L196</t>
        </is>
      </c>
      <c r="B1846" s="2" t="inlineStr">
        <is>
          <t>NEW BRIOCHE</t>
        </is>
      </c>
      <c r="C1846" s="2" t="inlineStr">
        <is>
          <t>S102</t>
        </is>
      </c>
      <c r="D1846" s="2" t="inlineStr">
        <is>
          <t>'NEW BRIOCHE'!C6,D6</t>
        </is>
      </c>
      <c r="E1846" s="2" t="inlineStr">
        <is>
          <t>Butter</t>
        </is>
      </c>
      <c r="F1846" s="3" t="n">
        <v>2500</v>
      </c>
      <c r="G1846" s="2" t="inlineStr">
        <is>
          <t>2500</t>
        </is>
      </c>
      <c r="H1846" s="2" t="inlineStr">
        <is>
          <t>S-B06; richer true-butter variant</t>
        </is>
      </c>
    </row>
    <row r="1847">
      <c r="A1847" s="2" t="inlineStr">
        <is>
          <t>L196</t>
        </is>
      </c>
      <c r="B1847" s="2" t="inlineStr">
        <is>
          <t>NEW BRIOCHE</t>
        </is>
      </c>
      <c r="C1847" s="2" t="inlineStr">
        <is>
          <t>S102</t>
        </is>
      </c>
      <c r="D1847" s="2" t="inlineStr">
        <is>
          <t>'NEW BRIOCHE'!C7,D7</t>
        </is>
      </c>
      <c r="E1847" s="2" t="inlineStr">
        <is>
          <t>sugar</t>
        </is>
      </c>
      <c r="F1847" s="3" t="n">
        <v>950</v>
      </c>
      <c r="G1847" s="2" t="inlineStr">
        <is>
          <t>950</t>
        </is>
      </c>
      <c r="H1847" s="2" t="inlineStr">
        <is>
          <t>S-B06; richer true-butter variant</t>
        </is>
      </c>
    </row>
    <row r="1848">
      <c r="A1848" s="2" t="inlineStr">
        <is>
          <t>L196</t>
        </is>
      </c>
      <c r="B1848" s="2" t="inlineStr">
        <is>
          <t>NEW BRIOCHE</t>
        </is>
      </c>
      <c r="C1848" s="2" t="inlineStr">
        <is>
          <t>S102</t>
        </is>
      </c>
      <c r="D1848" s="2" t="inlineStr">
        <is>
          <t>'NEW BRIOCHE'!C8,D8</t>
        </is>
      </c>
      <c r="E1848" s="2" t="inlineStr">
        <is>
          <t>Milk</t>
        </is>
      </c>
      <c r="F1848" s="3" t="n">
        <v>650</v>
      </c>
      <c r="G1848" s="2" t="inlineStr">
        <is>
          <t>650</t>
        </is>
      </c>
      <c r="H1848" s="2" t="inlineStr">
        <is>
          <t>S-B06; richer true-butter variant</t>
        </is>
      </c>
    </row>
    <row r="1849">
      <c r="A1849" s="2" t="inlineStr">
        <is>
          <t>L196</t>
        </is>
      </c>
      <c r="B1849" s="2" t="inlineStr">
        <is>
          <t>NEW BRIOCHE</t>
        </is>
      </c>
      <c r="C1849" s="2" t="inlineStr">
        <is>
          <t>S102</t>
        </is>
      </c>
      <c r="D1849" s="2" t="inlineStr">
        <is>
          <t>'NEW BRIOCHE'!C9,D9</t>
        </is>
      </c>
      <c r="E1849" s="2" t="inlineStr">
        <is>
          <t>egg</t>
        </is>
      </c>
      <c r="F1849" s="3" t="n">
        <v>700</v>
      </c>
      <c r="G1849" s="2" t="inlineStr">
        <is>
          <t>700</t>
        </is>
      </c>
      <c r="H1849" s="2" t="inlineStr">
        <is>
          <t>S-B06; richer true-butter variant</t>
        </is>
      </c>
    </row>
    <row r="1850">
      <c r="A1850" s="2" t="inlineStr">
        <is>
          <t>L196</t>
        </is>
      </c>
      <c r="B1850" s="2" t="inlineStr">
        <is>
          <t>NEW BRIOCHE</t>
        </is>
      </c>
      <c r="C1850" s="2" t="inlineStr">
        <is>
          <t>S102</t>
        </is>
      </c>
      <c r="D1850" s="2" t="inlineStr">
        <is>
          <t>'NEW BRIOCHE'!C10,D10</t>
        </is>
      </c>
      <c r="E1850" s="2" t="inlineStr">
        <is>
          <t>salt</t>
        </is>
      </c>
      <c r="F1850" s="3" t="n">
        <v>60</v>
      </c>
      <c r="G1850" s="2" t="inlineStr">
        <is>
          <t>60</t>
        </is>
      </c>
      <c r="H1850" s="2" t="inlineStr">
        <is>
          <t>S-B06; richer true-butter variant</t>
        </is>
      </c>
    </row>
    <row r="1851">
      <c r="A1851" s="2" t="inlineStr">
        <is>
          <t>L196</t>
        </is>
      </c>
      <c r="B1851" s="2" t="inlineStr">
        <is>
          <t>NEW BRIOCHE</t>
        </is>
      </c>
      <c r="C1851" s="2" t="inlineStr">
        <is>
          <t>S102</t>
        </is>
      </c>
      <c r="D1851" s="2" t="inlineStr">
        <is>
          <t>'NEW BRIOCHE'!C11,D11</t>
        </is>
      </c>
      <c r="E1851" s="2" t="inlineStr">
        <is>
          <t>improver</t>
        </is>
      </c>
      <c r="F1851" s="3" t="n">
        <v>100</v>
      </c>
      <c r="G1851" s="2" t="inlineStr">
        <is>
          <t>100</t>
        </is>
      </c>
      <c r="H1851" s="2" t="inlineStr">
        <is>
          <t>S-B06; richer true-butter variant</t>
        </is>
      </c>
    </row>
    <row r="1852">
      <c r="A1852" s="2" t="inlineStr">
        <is>
          <t>L196</t>
        </is>
      </c>
      <c r="B1852" s="2" t="inlineStr">
        <is>
          <t>NEW BRIOCHE</t>
        </is>
      </c>
      <c r="C1852" s="2" t="inlineStr">
        <is>
          <t>S102</t>
        </is>
      </c>
      <c r="D1852" s="2" t="inlineStr">
        <is>
          <t>'NEW BRIOCHE'!C12,D12</t>
        </is>
      </c>
      <c r="E1852" s="2" t="inlineStr">
        <is>
          <t>yeast</t>
        </is>
      </c>
      <c r="F1852" s="3" t="n">
        <v>65</v>
      </c>
      <c r="G1852" s="2" t="inlineStr">
        <is>
          <t>65</t>
        </is>
      </c>
      <c r="H1852" s="2" t="inlineStr">
        <is>
          <t>S-B06; richer true-butter variant</t>
        </is>
      </c>
    </row>
    <row r="1853">
      <c r="A1853" s="2" t="inlineStr">
        <is>
          <t>L196</t>
        </is>
      </c>
      <c r="B1853" s="2" t="inlineStr">
        <is>
          <t>NEW BRIOCHE</t>
        </is>
      </c>
      <c r="C1853" s="2" t="inlineStr">
        <is>
          <t>S102</t>
        </is>
      </c>
      <c r="D1853" s="2" t="inlineStr">
        <is>
          <t>'NEW BRIOCHE'!C13,D13</t>
        </is>
      </c>
      <c r="E1853" s="2" t="inlineStr">
        <is>
          <t>water</t>
        </is>
      </c>
      <c r="F1853" s="3" t="n">
        <v>1300</v>
      </c>
      <c r="G1853" s="2" t="inlineStr">
        <is>
          <t>1300</t>
        </is>
      </c>
      <c r="H1853" s="2" t="inlineStr">
        <is>
          <t>S-B06; richer true-butter variant</t>
        </is>
      </c>
    </row>
    <row r="1854">
      <c r="A1854" s="2" t="inlineStr">
        <is>
          <t>L196</t>
        </is>
      </c>
      <c r="B1854" s="2" t="inlineStr">
        <is>
          <t>NEW BRIOCHE</t>
        </is>
      </c>
      <c r="C1854" s="2" t="inlineStr">
        <is>
          <t>S102</t>
        </is>
      </c>
      <c r="D1854" s="2" t="inlineStr">
        <is>
          <t>'NEW BRIOCHE'!C14,D14</t>
        </is>
      </c>
      <c r="E1854" s="2" t="inlineStr">
        <is>
          <t>Milk tantalizer</t>
        </is>
      </c>
      <c r="F1854" s="3" t="n">
        <v>2</v>
      </c>
      <c r="G1854" s="2" t="inlineStr">
        <is>
          <t>2</t>
        </is>
      </c>
      <c r="H1854" s="2" t="inlineStr">
        <is>
          <t>S-B06; richer true-butter variant</t>
        </is>
      </c>
    </row>
    <row r="1855">
      <c r="A1855" s="2" t="inlineStr">
        <is>
          <t>L196</t>
        </is>
      </c>
      <c r="B1855" s="2" t="inlineStr">
        <is>
          <t>NEW BRIOCHE</t>
        </is>
      </c>
      <c r="C1855" s="2" t="inlineStr">
        <is>
          <t>S102</t>
        </is>
      </c>
      <c r="D1855" s="2" t="inlineStr">
        <is>
          <t>'NEW BRIOCHE'!C15,D15</t>
        </is>
      </c>
      <c r="E1855" s="2" t="inlineStr">
        <is>
          <t>EDC</t>
        </is>
      </c>
      <c r="F1855" s="3" t="n">
        <v>25</v>
      </c>
      <c r="G1855" s="2" t="inlineStr">
        <is>
          <t>25</t>
        </is>
      </c>
      <c r="H1855" s="2" t="inlineStr">
        <is>
          <t>S-B06; richer true-butter variant</t>
        </is>
      </c>
    </row>
    <row r="1856">
      <c r="A1856" s="2" t="inlineStr">
        <is>
          <t>L196</t>
        </is>
      </c>
      <c r="B1856" s="2" t="inlineStr">
        <is>
          <t>NEW BRIOCHE</t>
        </is>
      </c>
      <c r="C1856" s="2" t="inlineStr">
        <is>
          <t>S102</t>
        </is>
      </c>
      <c r="D1856" s="2" t="inlineStr">
        <is>
          <t>'NEW BRIOCHE'!C16,D16</t>
        </is>
      </c>
      <c r="E1856" s="2" t="inlineStr">
        <is>
          <t>Nutmeg</t>
        </is>
      </c>
      <c r="F1856" s="3" t="n">
        <v>15</v>
      </c>
      <c r="G1856" s="2" t="inlineStr">
        <is>
          <t>15</t>
        </is>
      </c>
      <c r="H1856" s="2" t="inlineStr">
        <is>
          <t>S-B06; richer true-butter variant</t>
        </is>
      </c>
    </row>
    <row r="1857">
      <c r="A1857" s="2" t="inlineStr">
        <is>
          <t>L197</t>
        </is>
      </c>
      <c r="B1857" s="2" t="inlineStr">
        <is>
          <t>New bageutte</t>
        </is>
      </c>
      <c r="C1857" s="2" t="inlineStr">
        <is>
          <t>S102</t>
        </is>
      </c>
      <c r="D1857" s="2" t="inlineStr">
        <is>
          <t>'New bageutte'!C5,D5</t>
        </is>
      </c>
      <c r="E1857" s="2" t="inlineStr">
        <is>
          <t>flour</t>
        </is>
      </c>
      <c r="F1857" s="3" t="n">
        <v>500</v>
      </c>
      <c r="G1857" s="2" t="inlineStr">
        <is>
          <t>500</t>
        </is>
      </c>
      <c r="H1857" s="2" t="inlineStr">
        <is>
          <t>Retain unique variant; no equivalent operating card selected</t>
        </is>
      </c>
    </row>
    <row r="1858">
      <c r="A1858" s="2" t="inlineStr">
        <is>
          <t>L197</t>
        </is>
      </c>
      <c r="B1858" s="2" t="inlineStr">
        <is>
          <t>New bageutte</t>
        </is>
      </c>
      <c r="C1858" s="2" t="inlineStr">
        <is>
          <t>S102</t>
        </is>
      </c>
      <c r="D1858" s="2" t="inlineStr">
        <is>
          <t>'New bageutte'!C6,D6</t>
        </is>
      </c>
      <c r="E1858" s="2" t="inlineStr">
        <is>
          <t>yeast</t>
        </is>
      </c>
      <c r="F1858" s="3" t="n">
        <v>2</v>
      </c>
      <c r="G1858" s="2" t="inlineStr">
        <is>
          <t>2</t>
        </is>
      </c>
      <c r="H1858" s="2" t="inlineStr">
        <is>
          <t>Retain unique variant; no equivalent operating card selected</t>
        </is>
      </c>
    </row>
    <row r="1859">
      <c r="A1859" s="2" t="inlineStr">
        <is>
          <t>L197</t>
        </is>
      </c>
      <c r="B1859" s="2" t="inlineStr">
        <is>
          <t>New bageutte</t>
        </is>
      </c>
      <c r="C1859" s="2" t="inlineStr">
        <is>
          <t>S102</t>
        </is>
      </c>
      <c r="D1859" s="2" t="inlineStr">
        <is>
          <t>'New bageutte'!C7,D7</t>
        </is>
      </c>
      <c r="E1859" s="2" t="inlineStr">
        <is>
          <t>salt</t>
        </is>
      </c>
      <c r="F1859" s="3" t="n">
        <v>10</v>
      </c>
      <c r="G1859" s="2" t="inlineStr">
        <is>
          <t>10</t>
        </is>
      </c>
      <c r="H1859" s="2" t="inlineStr">
        <is>
          <t>Retain unique variant; no equivalent operating card selected</t>
        </is>
      </c>
    </row>
    <row r="1860">
      <c r="A1860" s="2" t="inlineStr">
        <is>
          <t>L197</t>
        </is>
      </c>
      <c r="B1860" s="2" t="inlineStr">
        <is>
          <t>New bageutte</t>
        </is>
      </c>
      <c r="C1860" s="2" t="inlineStr">
        <is>
          <t>S102</t>
        </is>
      </c>
      <c r="D1860" s="2" t="inlineStr">
        <is>
          <t>'New bageutte'!C8,D8</t>
        </is>
      </c>
      <c r="E1860" s="2" t="inlineStr">
        <is>
          <t>water</t>
        </is>
      </c>
      <c r="F1860" s="3" t="n">
        <v>320</v>
      </c>
      <c r="G1860" s="2" t="inlineStr">
        <is>
          <t>320</t>
        </is>
      </c>
      <c r="H1860" s="2" t="inlineStr">
        <is>
          <t>Retain unique variant; no equivalent operating card selected</t>
        </is>
      </c>
    </row>
    <row r="1861">
      <c r="A1861" s="2" t="inlineStr">
        <is>
          <t>L197</t>
        </is>
      </c>
      <c r="B1861" s="2" t="inlineStr">
        <is>
          <t>New bageutte</t>
        </is>
      </c>
      <c r="C1861" s="2" t="inlineStr">
        <is>
          <t>S102</t>
        </is>
      </c>
      <c r="D1861" s="2" t="inlineStr">
        <is>
          <t>'New bageutte'!C9,D9</t>
        </is>
      </c>
      <c r="E1861" s="2" t="inlineStr">
        <is>
          <t>improver</t>
        </is>
      </c>
      <c r="F1861" s="3" t="n">
        <v>20</v>
      </c>
      <c r="G1861" s="2" t="inlineStr">
        <is>
          <t>20</t>
        </is>
      </c>
      <c r="H1861" s="2" t="inlineStr">
        <is>
          <t>Retain unique variant; no equivalent operating card selected</t>
        </is>
      </c>
    </row>
    <row r="1862">
      <c r="A1862" s="2" t="inlineStr">
        <is>
          <t>L198</t>
        </is>
      </c>
      <c r="B1862" s="2" t="inlineStr">
        <is>
          <t>Pain au lait</t>
        </is>
      </c>
      <c r="C1862" s="2" t="inlineStr">
        <is>
          <t>S102</t>
        </is>
      </c>
      <c r="D1862" s="2" t="inlineStr">
        <is>
          <t>'Pain au lait'!C5,D5</t>
        </is>
      </c>
      <c r="E1862" s="2" t="inlineStr">
        <is>
          <t>flour</t>
        </is>
      </c>
      <c r="F1862" s="3" t="n">
        <v>12000</v>
      </c>
      <c r="G1862" s="2" t="inlineStr">
        <is>
          <t>12000</t>
        </is>
      </c>
      <c r="H1862" s="2" t="inlineStr">
        <is>
          <t>S-B07 / M1-B04</t>
        </is>
      </c>
    </row>
    <row r="1863">
      <c r="A1863" s="2" t="inlineStr">
        <is>
          <t>L198</t>
        </is>
      </c>
      <c r="B1863" s="2" t="inlineStr">
        <is>
          <t>Pain au lait</t>
        </is>
      </c>
      <c r="C1863" s="2" t="inlineStr">
        <is>
          <t>S102</t>
        </is>
      </c>
      <c r="D1863" s="2" t="inlineStr">
        <is>
          <t>'Pain au lait'!C6,D6</t>
        </is>
      </c>
      <c r="E1863" s="2" t="inlineStr">
        <is>
          <t>Butter</t>
        </is>
      </c>
      <c r="F1863" s="3" t="n">
        <v>1000</v>
      </c>
      <c r="G1863" s="2" t="inlineStr">
        <is>
          <t>1000</t>
        </is>
      </c>
      <c r="H1863" s="2" t="inlineStr">
        <is>
          <t>S-B07 / M1-B04</t>
        </is>
      </c>
    </row>
    <row r="1864">
      <c r="A1864" s="2" t="inlineStr">
        <is>
          <t>L198</t>
        </is>
      </c>
      <c r="B1864" s="2" t="inlineStr">
        <is>
          <t>Pain au lait</t>
        </is>
      </c>
      <c r="C1864" s="2" t="inlineStr">
        <is>
          <t>S102</t>
        </is>
      </c>
      <c r="D1864" s="2" t="inlineStr">
        <is>
          <t>'Pain au lait'!C7,D7</t>
        </is>
      </c>
      <c r="E1864" s="2" t="inlineStr">
        <is>
          <t>sugar</t>
        </is>
      </c>
      <c r="F1864" s="3" t="n">
        <v>1100</v>
      </c>
      <c r="G1864" s="2" t="inlineStr">
        <is>
          <t>1100</t>
        </is>
      </c>
      <c r="H1864" s="2" t="inlineStr">
        <is>
          <t>S-B07 / M1-B04</t>
        </is>
      </c>
    </row>
    <row r="1865">
      <c r="A1865" s="2" t="inlineStr">
        <is>
          <t>L198</t>
        </is>
      </c>
      <c r="B1865" s="2" t="inlineStr">
        <is>
          <t>Pain au lait</t>
        </is>
      </c>
      <c r="C1865" s="2" t="inlineStr">
        <is>
          <t>S102</t>
        </is>
      </c>
      <c r="D1865" s="2" t="inlineStr">
        <is>
          <t>'Pain au lait'!C8,D8</t>
        </is>
      </c>
      <c r="E1865" s="2" t="inlineStr">
        <is>
          <t>Milk</t>
        </is>
      </c>
      <c r="F1865" s="3" t="n">
        <v>950</v>
      </c>
      <c r="G1865" s="2" t="inlineStr">
        <is>
          <t>950</t>
        </is>
      </c>
      <c r="H1865" s="2" t="inlineStr">
        <is>
          <t>S-B07 / M1-B04</t>
        </is>
      </c>
    </row>
    <row r="1866">
      <c r="A1866" s="2" t="inlineStr">
        <is>
          <t>L198</t>
        </is>
      </c>
      <c r="B1866" s="2" t="inlineStr">
        <is>
          <t>Pain au lait</t>
        </is>
      </c>
      <c r="C1866" s="2" t="inlineStr">
        <is>
          <t>S102</t>
        </is>
      </c>
      <c r="D1866" s="2" t="inlineStr">
        <is>
          <t>'Pain au lait'!C9,D9</t>
        </is>
      </c>
      <c r="E1866" s="2" t="inlineStr">
        <is>
          <t>egg</t>
        </is>
      </c>
      <c r="F1866" s="3" t="n">
        <v>300</v>
      </c>
      <c r="G1866" s="2" t="inlineStr">
        <is>
          <t>300</t>
        </is>
      </c>
      <c r="H1866" s="2" t="inlineStr">
        <is>
          <t>S-B07 / M1-B04</t>
        </is>
      </c>
    </row>
    <row r="1867">
      <c r="A1867" s="2" t="inlineStr">
        <is>
          <t>L198</t>
        </is>
      </c>
      <c r="B1867" s="2" t="inlineStr">
        <is>
          <t>Pain au lait</t>
        </is>
      </c>
      <c r="C1867" s="2" t="inlineStr">
        <is>
          <t>S102</t>
        </is>
      </c>
      <c r="D1867" s="2" t="inlineStr">
        <is>
          <t>'Pain au lait'!C10,D10</t>
        </is>
      </c>
      <c r="E1867" s="2" t="inlineStr">
        <is>
          <t>salt</t>
        </is>
      </c>
      <c r="F1867" s="3" t="n">
        <v>85</v>
      </c>
      <c r="G1867" s="2" t="inlineStr">
        <is>
          <t>85</t>
        </is>
      </c>
      <c r="H1867" s="2" t="inlineStr">
        <is>
          <t>S-B07 / M1-B04</t>
        </is>
      </c>
    </row>
    <row r="1868">
      <c r="A1868" s="2" t="inlineStr">
        <is>
          <t>L198</t>
        </is>
      </c>
      <c r="B1868" s="2" t="inlineStr">
        <is>
          <t>Pain au lait</t>
        </is>
      </c>
      <c r="C1868" s="2" t="inlineStr">
        <is>
          <t>S102</t>
        </is>
      </c>
      <c r="D1868" s="2" t="inlineStr">
        <is>
          <t>'Pain au lait'!C11,D11</t>
        </is>
      </c>
      <c r="E1868" s="2" t="inlineStr">
        <is>
          <t>improver</t>
        </is>
      </c>
      <c r="F1868" s="3" t="n">
        <v>100</v>
      </c>
      <c r="G1868" s="2" t="inlineStr">
        <is>
          <t>100</t>
        </is>
      </c>
      <c r="H1868" s="2" t="inlineStr">
        <is>
          <t>S-B07 / M1-B04</t>
        </is>
      </c>
    </row>
    <row r="1869">
      <c r="A1869" s="2" t="inlineStr">
        <is>
          <t>L198</t>
        </is>
      </c>
      <c r="B1869" s="2" t="inlineStr">
        <is>
          <t>Pain au lait</t>
        </is>
      </c>
      <c r="C1869" s="2" t="inlineStr">
        <is>
          <t>S102</t>
        </is>
      </c>
      <c r="D1869" s="2" t="inlineStr">
        <is>
          <t>'Pain au lait'!C12,D12</t>
        </is>
      </c>
      <c r="E1869" s="2" t="inlineStr">
        <is>
          <t>yeast</t>
        </is>
      </c>
      <c r="F1869" s="3" t="n">
        <v>80</v>
      </c>
      <c r="G1869" s="2" t="inlineStr">
        <is>
          <t>80</t>
        </is>
      </c>
      <c r="H1869" s="2" t="inlineStr">
        <is>
          <t>S-B07 / M1-B04</t>
        </is>
      </c>
    </row>
    <row r="1870">
      <c r="A1870" s="2" t="inlineStr">
        <is>
          <t>L198</t>
        </is>
      </c>
      <c r="B1870" s="2" t="inlineStr">
        <is>
          <t>Pain au lait</t>
        </is>
      </c>
      <c r="C1870" s="2" t="inlineStr">
        <is>
          <t>S102</t>
        </is>
      </c>
      <c r="D1870" s="2" t="inlineStr">
        <is>
          <t>'Pain au lait'!C13,D13</t>
        </is>
      </c>
      <c r="E1870" s="2" t="inlineStr">
        <is>
          <t>water</t>
        </is>
      </c>
      <c r="F1870" s="3" t="n">
        <v>4500</v>
      </c>
      <c r="G1870" s="2" t="inlineStr">
        <is>
          <t>4500</t>
        </is>
      </c>
      <c r="H1870" s="2" t="inlineStr">
        <is>
          <t>S-B07 / M1-B04</t>
        </is>
      </c>
    </row>
    <row r="1871">
      <c r="A1871" s="2" t="inlineStr">
        <is>
          <t>L198</t>
        </is>
      </c>
      <c r="B1871" s="2" t="inlineStr">
        <is>
          <t>Pain au lait</t>
        </is>
      </c>
      <c r="C1871" s="2" t="inlineStr">
        <is>
          <t>S102</t>
        </is>
      </c>
      <c r="D1871" s="2" t="inlineStr">
        <is>
          <t>'Pain au lait'!C14,D14</t>
        </is>
      </c>
      <c r="E1871" s="2" t="inlineStr">
        <is>
          <t>Oil</t>
        </is>
      </c>
      <c r="F1871" s="3" t="n">
        <v>0.15</v>
      </c>
      <c r="G1871" s="2" t="inlineStr">
        <is>
          <t>0.15</t>
        </is>
      </c>
      <c r="H1871" s="2" t="inlineStr">
        <is>
          <t>S-B07 / M1-B04</t>
        </is>
      </c>
    </row>
    <row r="1872">
      <c r="A1872" s="2" t="inlineStr">
        <is>
          <t>L198</t>
        </is>
      </c>
      <c r="B1872" s="2" t="inlineStr">
        <is>
          <t>Pain au lait</t>
        </is>
      </c>
      <c r="C1872" s="2" t="inlineStr">
        <is>
          <t>S102</t>
        </is>
      </c>
      <c r="D1872" s="2" t="inlineStr">
        <is>
          <t>'Pain au lait'!C15,D15</t>
        </is>
      </c>
      <c r="E1872" s="2" t="inlineStr">
        <is>
          <t>Milk tantalizer</t>
        </is>
      </c>
      <c r="F1872" s="3" t="n">
        <v>5</v>
      </c>
      <c r="G1872" s="2" t="inlineStr">
        <is>
          <t>5</t>
        </is>
      </c>
      <c r="H1872" s="2" t="inlineStr">
        <is>
          <t>S-B07 / M1-B04</t>
        </is>
      </c>
    </row>
    <row r="1873">
      <c r="A1873" s="2" t="inlineStr">
        <is>
          <t>L198</t>
        </is>
      </c>
      <c r="B1873" s="2" t="inlineStr">
        <is>
          <t>Pain au lait</t>
        </is>
      </c>
      <c r="C1873" s="2" t="inlineStr">
        <is>
          <t>S102</t>
        </is>
      </c>
      <c r="D1873" s="2" t="inlineStr">
        <is>
          <t>'Pain au lait'!C16,D16</t>
        </is>
      </c>
      <c r="E1873" s="2" t="inlineStr">
        <is>
          <t>EDC</t>
        </is>
      </c>
      <c r="F1873" s="3" t="n">
        <v>25</v>
      </c>
      <c r="G1873" s="2" t="inlineStr">
        <is>
          <t>25</t>
        </is>
      </c>
      <c r="H1873" s="2" t="inlineStr">
        <is>
          <t>S-B07 / M1-B04</t>
        </is>
      </c>
    </row>
    <row r="1874">
      <c r="A1874" s="2" t="inlineStr">
        <is>
          <t>L198</t>
        </is>
      </c>
      <c r="B1874" s="2" t="inlineStr">
        <is>
          <t>Pain au lait</t>
        </is>
      </c>
      <c r="C1874" s="2" t="inlineStr">
        <is>
          <t>S102</t>
        </is>
      </c>
      <c r="D1874" s="2" t="inlineStr">
        <is>
          <t>'Pain au lait'!C17,D17</t>
        </is>
      </c>
      <c r="E1874" s="2" t="inlineStr">
        <is>
          <t>Nutmeg</t>
        </is>
      </c>
      <c r="F1874" s="3" t="n">
        <v>12</v>
      </c>
      <c r="G1874" s="2" t="inlineStr">
        <is>
          <t>12</t>
        </is>
      </c>
      <c r="H1874" s="2" t="inlineStr">
        <is>
          <t>S-B07 / M1-B04</t>
        </is>
      </c>
    </row>
    <row r="1875">
      <c r="A1875" s="2" t="inlineStr">
        <is>
          <t>L199</t>
        </is>
      </c>
      <c r="B1875" s="2" t="inlineStr">
        <is>
          <t>Sugar Balls</t>
        </is>
      </c>
      <c r="C1875" s="2" t="inlineStr">
        <is>
          <t>S102</t>
        </is>
      </c>
      <c r="D1875" s="2" t="inlineStr">
        <is>
          <t>'Sugar Balls'!C5,D5</t>
        </is>
      </c>
      <c r="E1875" s="2" t="inlineStr">
        <is>
          <t>flour</t>
        </is>
      </c>
      <c r="F1875" s="3" t="n">
        <v>2000</v>
      </c>
      <c r="G1875" s="2" t="inlineStr">
        <is>
          <t>2000</t>
        </is>
      </c>
      <c r="H1875" s="2" t="inlineStr">
        <is>
          <t>Retain unique variant; no equivalent operating card selected</t>
        </is>
      </c>
    </row>
    <row r="1876">
      <c r="A1876" s="2" t="inlineStr">
        <is>
          <t>L199</t>
        </is>
      </c>
      <c r="B1876" s="2" t="inlineStr">
        <is>
          <t>Sugar Balls</t>
        </is>
      </c>
      <c r="C1876" s="2" t="inlineStr">
        <is>
          <t>S102</t>
        </is>
      </c>
      <c r="D1876" s="2" t="inlineStr">
        <is>
          <t>'Sugar Balls'!C6,D6</t>
        </is>
      </c>
      <c r="E1876" s="2" t="inlineStr">
        <is>
          <t>baking powder</t>
        </is>
      </c>
      <c r="F1876" s="3" t="n">
        <v>20</v>
      </c>
      <c r="G1876" s="2" t="inlineStr">
        <is>
          <t>20</t>
        </is>
      </c>
      <c r="H1876" s="2" t="inlineStr">
        <is>
          <t>Retain unique variant; no equivalent operating card selected</t>
        </is>
      </c>
    </row>
    <row r="1877">
      <c r="A1877" s="2" t="inlineStr">
        <is>
          <t>L199</t>
        </is>
      </c>
      <c r="B1877" s="2" t="inlineStr">
        <is>
          <t>Sugar Balls</t>
        </is>
      </c>
      <c r="C1877" s="2" t="inlineStr">
        <is>
          <t>S102</t>
        </is>
      </c>
      <c r="D1877" s="2" t="inlineStr">
        <is>
          <t>'Sugar Balls'!C7,D7</t>
        </is>
      </c>
      <c r="E1877" s="2" t="inlineStr">
        <is>
          <t>sugar</t>
        </is>
      </c>
      <c r="F1877" s="3" t="n">
        <v>200</v>
      </c>
      <c r="G1877" s="2" t="inlineStr">
        <is>
          <t>200</t>
        </is>
      </c>
      <c r="H1877" s="2" t="inlineStr">
        <is>
          <t>Retain unique variant; no equivalent operating card selected</t>
        </is>
      </c>
    </row>
    <row r="1878">
      <c r="A1878" s="2" t="inlineStr">
        <is>
          <t>L199</t>
        </is>
      </c>
      <c r="B1878" s="2" t="inlineStr">
        <is>
          <t>Sugar Balls</t>
        </is>
      </c>
      <c r="C1878" s="2" t="inlineStr">
        <is>
          <t>S102</t>
        </is>
      </c>
      <c r="D1878" s="2" t="inlineStr">
        <is>
          <t>'Sugar Balls'!C8,D8</t>
        </is>
      </c>
      <c r="E1878" s="2" t="inlineStr">
        <is>
          <t>Butter</t>
        </is>
      </c>
      <c r="F1878" s="3" t="n">
        <v>200</v>
      </c>
      <c r="G1878" s="2" t="inlineStr">
        <is>
          <t>200</t>
        </is>
      </c>
      <c r="H1878" s="2" t="inlineStr">
        <is>
          <t>Retain unique variant; no equivalent operating card selected</t>
        </is>
      </c>
    </row>
    <row r="1879">
      <c r="A1879" s="2" t="inlineStr">
        <is>
          <t>L199</t>
        </is>
      </c>
      <c r="B1879" s="2" t="inlineStr">
        <is>
          <t>Sugar Balls</t>
        </is>
      </c>
      <c r="C1879" s="2" t="inlineStr">
        <is>
          <t>S102</t>
        </is>
      </c>
      <c r="D1879" s="2" t="inlineStr">
        <is>
          <t>'Sugar Balls'!C9,D9</t>
        </is>
      </c>
      <c r="E1879" s="2" t="inlineStr">
        <is>
          <t>salt</t>
        </is>
      </c>
      <c r="F1879" s="3" t="n">
        <v>15</v>
      </c>
      <c r="G1879" s="2" t="inlineStr">
        <is>
          <t>15</t>
        </is>
      </c>
      <c r="H1879" s="2" t="inlineStr">
        <is>
          <t>Retain unique variant; no equivalent operating card selected</t>
        </is>
      </c>
    </row>
    <row r="1880">
      <c r="A1880" s="2" t="inlineStr">
        <is>
          <t>L199</t>
        </is>
      </c>
      <c r="B1880" s="2" t="inlineStr">
        <is>
          <t>Sugar Balls</t>
        </is>
      </c>
      <c r="C1880" s="2" t="inlineStr">
        <is>
          <t>S102</t>
        </is>
      </c>
      <c r="D1880" s="2" t="inlineStr">
        <is>
          <t>'Sugar Balls'!C10,D10</t>
        </is>
      </c>
      <c r="E1880" s="2" t="inlineStr">
        <is>
          <t>Cold Water</t>
        </is>
      </c>
      <c r="F1880" s="3" t="n">
        <v>900</v>
      </c>
      <c r="G1880" s="2" t="inlineStr">
        <is>
          <t>900</t>
        </is>
      </c>
      <c r="H1880" s="2" t="inlineStr">
        <is>
          <t>Retain unique variant; no equivalent operating card selected</t>
        </is>
      </c>
    </row>
    <row r="1881">
      <c r="A1881" s="2" t="inlineStr">
        <is>
          <t>L199</t>
        </is>
      </c>
      <c r="B1881" s="2" t="inlineStr">
        <is>
          <t>Sugar Balls</t>
        </is>
      </c>
      <c r="C1881" s="2" t="inlineStr">
        <is>
          <t>S102</t>
        </is>
      </c>
      <c r="D1881" s="2" t="inlineStr">
        <is>
          <t>'Sugar Balls'!C11,D11</t>
        </is>
      </c>
      <c r="E1881" s="2" t="inlineStr">
        <is>
          <t>Improver</t>
        </is>
      </c>
      <c r="F1881" s="3" t="n">
        <v>10</v>
      </c>
      <c r="G1881" s="2" t="inlineStr">
        <is>
          <t>10</t>
        </is>
      </c>
      <c r="H1881" s="2" t="inlineStr">
        <is>
          <t>Retain unique variant; no equivalent operating card selected</t>
        </is>
      </c>
    </row>
    <row r="1882">
      <c r="A1882" s="2" t="inlineStr">
        <is>
          <t>L199</t>
        </is>
      </c>
      <c r="B1882" s="2" t="inlineStr">
        <is>
          <t>Sugar Balls</t>
        </is>
      </c>
      <c r="C1882" s="2" t="inlineStr">
        <is>
          <t>S102</t>
        </is>
      </c>
      <c r="D1882" s="2" t="inlineStr">
        <is>
          <t>'Sugar Balls'!C12,D12</t>
        </is>
      </c>
      <c r="E1882" s="2" t="inlineStr">
        <is>
          <t>yeast</t>
        </is>
      </c>
      <c r="F1882" s="3" t="n">
        <v>60</v>
      </c>
      <c r="G1882" s="2" t="inlineStr">
        <is>
          <t>60</t>
        </is>
      </c>
      <c r="H1882" s="2" t="inlineStr">
        <is>
          <t>Retain unique variant; no equivalent operating card selected</t>
        </is>
      </c>
    </row>
    <row r="1883">
      <c r="A1883" s="2" t="inlineStr">
        <is>
          <t>L200</t>
        </is>
      </c>
      <c r="B1883" s="2" t="inlineStr">
        <is>
          <t>Sugar Balls</t>
        </is>
      </c>
      <c r="C1883" s="2" t="inlineStr">
        <is>
          <t>S102</t>
        </is>
      </c>
      <c r="D1883" s="2" t="inlineStr">
        <is>
          <t>'Sugar Balls'!C5,H5</t>
        </is>
      </c>
      <c r="E1883" s="2" t="inlineStr">
        <is>
          <t>flour</t>
        </is>
      </c>
      <c r="F1883" s="3" t="n">
        <v>10000</v>
      </c>
      <c r="G1883" s="2" t="inlineStr">
        <is>
          <t>=D5*5 [cached: 10000]</t>
        </is>
      </c>
      <c r="H1883" s="2" t="inlineStr">
        <is>
          <t>Retain unique variant; no equivalent operating card selected</t>
        </is>
      </c>
    </row>
    <row r="1884">
      <c r="A1884" s="2" t="inlineStr">
        <is>
          <t>L200</t>
        </is>
      </c>
      <c r="B1884" s="2" t="inlineStr">
        <is>
          <t>Sugar Balls</t>
        </is>
      </c>
      <c r="C1884" s="2" t="inlineStr">
        <is>
          <t>S102</t>
        </is>
      </c>
      <c r="D1884" s="2" t="inlineStr">
        <is>
          <t>'Sugar Balls'!C6,H6</t>
        </is>
      </c>
      <c r="E1884" s="2" t="inlineStr">
        <is>
          <t>baking powder</t>
        </is>
      </c>
      <c r="F1884" s="3" t="n">
        <v>100</v>
      </c>
      <c r="G1884" s="2" t="inlineStr">
        <is>
          <t>=D6*5 [cached: 100]</t>
        </is>
      </c>
      <c r="H1884" s="2" t="inlineStr">
        <is>
          <t>Retain unique variant; no equivalent operating card selected</t>
        </is>
      </c>
    </row>
    <row r="1885">
      <c r="A1885" s="2" t="inlineStr">
        <is>
          <t>L200</t>
        </is>
      </c>
      <c r="B1885" s="2" t="inlineStr">
        <is>
          <t>Sugar Balls</t>
        </is>
      </c>
      <c r="C1885" s="2" t="inlineStr">
        <is>
          <t>S102</t>
        </is>
      </c>
      <c r="D1885" s="2" t="inlineStr">
        <is>
          <t>'Sugar Balls'!C7,H7</t>
        </is>
      </c>
      <c r="E1885" s="2" t="inlineStr">
        <is>
          <t>sugar</t>
        </is>
      </c>
      <c r="F1885" s="3" t="n">
        <v>1000</v>
      </c>
      <c r="G1885" s="2" t="inlineStr">
        <is>
          <t>=D7*5 [cached: 1000]</t>
        </is>
      </c>
      <c r="H1885" s="2" t="inlineStr">
        <is>
          <t>Retain unique variant; no equivalent operating card selected</t>
        </is>
      </c>
    </row>
    <row r="1886">
      <c r="A1886" s="2" t="inlineStr">
        <is>
          <t>L200</t>
        </is>
      </c>
      <c r="B1886" s="2" t="inlineStr">
        <is>
          <t>Sugar Balls</t>
        </is>
      </c>
      <c r="C1886" s="2" t="inlineStr">
        <is>
          <t>S102</t>
        </is>
      </c>
      <c r="D1886" s="2" t="inlineStr">
        <is>
          <t>'Sugar Balls'!C8,H8</t>
        </is>
      </c>
      <c r="E1886" s="2" t="inlineStr">
        <is>
          <t>Butter</t>
        </is>
      </c>
      <c r="F1886" s="3" t="n">
        <v>1000</v>
      </c>
      <c r="G1886" s="2" t="inlineStr">
        <is>
          <t>=D8*5 [cached: 1000]</t>
        </is>
      </c>
      <c r="H1886" s="2" t="inlineStr">
        <is>
          <t>Retain unique variant; no equivalent operating card selected</t>
        </is>
      </c>
    </row>
    <row r="1887">
      <c r="A1887" s="2" t="inlineStr">
        <is>
          <t>L200</t>
        </is>
      </c>
      <c r="B1887" s="2" t="inlineStr">
        <is>
          <t>Sugar Balls</t>
        </is>
      </c>
      <c r="C1887" s="2" t="inlineStr">
        <is>
          <t>S102</t>
        </is>
      </c>
      <c r="D1887" s="2" t="inlineStr">
        <is>
          <t>'Sugar Balls'!C9,H9</t>
        </is>
      </c>
      <c r="E1887" s="2" t="inlineStr">
        <is>
          <t>salt</t>
        </is>
      </c>
      <c r="F1887" s="3" t="n">
        <v>75</v>
      </c>
      <c r="G1887" s="2" t="inlineStr">
        <is>
          <t>=D9*5 [cached: 75]</t>
        </is>
      </c>
      <c r="H1887" s="2" t="inlineStr">
        <is>
          <t>Retain unique variant; no equivalent operating card selected</t>
        </is>
      </c>
    </row>
    <row r="1888">
      <c r="A1888" s="2" t="inlineStr">
        <is>
          <t>L200</t>
        </is>
      </c>
      <c r="B1888" s="2" t="inlineStr">
        <is>
          <t>Sugar Balls</t>
        </is>
      </c>
      <c r="C1888" s="2" t="inlineStr">
        <is>
          <t>S102</t>
        </is>
      </c>
      <c r="D1888" s="2" t="inlineStr">
        <is>
          <t>'Sugar Balls'!C10,H10</t>
        </is>
      </c>
      <c r="E1888" s="2" t="inlineStr">
        <is>
          <t>Cold Water</t>
        </is>
      </c>
      <c r="F1888" s="3" t="n">
        <v>4500</v>
      </c>
      <c r="G1888" s="2" t="inlineStr">
        <is>
          <t>=D10*5 [cached: 4500]</t>
        </is>
      </c>
      <c r="H1888" s="2" t="inlineStr">
        <is>
          <t>Retain unique variant; no equivalent operating card selected</t>
        </is>
      </c>
    </row>
    <row r="1889">
      <c r="A1889" s="2" t="inlineStr">
        <is>
          <t>L200</t>
        </is>
      </c>
      <c r="B1889" s="2" t="inlineStr">
        <is>
          <t>Sugar Balls</t>
        </is>
      </c>
      <c r="C1889" s="2" t="inlineStr">
        <is>
          <t>S102</t>
        </is>
      </c>
      <c r="D1889" s="2" t="inlineStr">
        <is>
          <t>'Sugar Balls'!C11,H11</t>
        </is>
      </c>
      <c r="E1889" s="2" t="inlineStr">
        <is>
          <t>Improver</t>
        </is>
      </c>
      <c r="F1889" s="3" t="n">
        <v>50</v>
      </c>
      <c r="G1889" s="2" t="inlineStr">
        <is>
          <t>=D11*5 [cached: 50]</t>
        </is>
      </c>
      <c r="H1889" s="2" t="inlineStr">
        <is>
          <t>Retain unique variant; no equivalent operating card selected</t>
        </is>
      </c>
    </row>
    <row r="1890">
      <c r="A1890" s="2" t="inlineStr">
        <is>
          <t>L200</t>
        </is>
      </c>
      <c r="B1890" s="2" t="inlineStr">
        <is>
          <t>Sugar Balls</t>
        </is>
      </c>
      <c r="C1890" s="2" t="inlineStr">
        <is>
          <t>S102</t>
        </is>
      </c>
      <c r="D1890" s="2" t="inlineStr">
        <is>
          <t>'Sugar Balls'!C12,H12</t>
        </is>
      </c>
      <c r="E1890" s="2" t="inlineStr">
        <is>
          <t>yeast</t>
        </is>
      </c>
      <c r="F1890" s="3" t="n">
        <v>100.2</v>
      </c>
      <c r="G1890" s="2" t="inlineStr">
        <is>
          <t>=D12*1.67 [cached: 100.19999999999999]</t>
        </is>
      </c>
      <c r="H1890" s="2" t="inlineStr">
        <is>
          <t>Retain unique variant; no equivalent operating card selected</t>
        </is>
      </c>
    </row>
    <row r="1891">
      <c r="A1891" s="2" t="inlineStr">
        <is>
          <t>L201</t>
        </is>
      </c>
      <c r="B1891" s="2" t="inlineStr">
        <is>
          <t>brioche</t>
        </is>
      </c>
      <c r="C1891" s="2" t="inlineStr">
        <is>
          <t>S102</t>
        </is>
      </c>
      <c r="D1891" s="2" t="inlineStr">
        <is>
          <t>'brioche'!C5,D5</t>
        </is>
      </c>
      <c r="E1891" s="2" t="inlineStr">
        <is>
          <t>flour</t>
        </is>
      </c>
      <c r="F1891" s="3" t="n">
        <v>750</v>
      </c>
      <c r="G1891" s="2" t="inlineStr">
        <is>
          <t>750</t>
        </is>
      </c>
      <c r="H1891" s="2" t="inlineStr">
        <is>
          <t>S-B06; richer true-butter variant</t>
        </is>
      </c>
    </row>
    <row r="1892">
      <c r="A1892" s="2" t="inlineStr">
        <is>
          <t>L201</t>
        </is>
      </c>
      <c r="B1892" s="2" t="inlineStr">
        <is>
          <t>brioche</t>
        </is>
      </c>
      <c r="C1892" s="2" t="inlineStr">
        <is>
          <t>S102</t>
        </is>
      </c>
      <c r="D1892" s="2" t="inlineStr">
        <is>
          <t>'brioche'!C6,D6</t>
        </is>
      </c>
      <c r="E1892" s="2" t="inlineStr">
        <is>
          <t>Butter</t>
        </is>
      </c>
      <c r="F1892" s="3" t="n">
        <v>250</v>
      </c>
      <c r="G1892" s="2" t="inlineStr">
        <is>
          <t>250</t>
        </is>
      </c>
      <c r="H1892" s="2" t="inlineStr">
        <is>
          <t>S-B06; richer true-butter variant</t>
        </is>
      </c>
    </row>
    <row r="1893">
      <c r="A1893" s="2" t="inlineStr">
        <is>
          <t>L201</t>
        </is>
      </c>
      <c r="B1893" s="2" t="inlineStr">
        <is>
          <t>brioche</t>
        </is>
      </c>
      <c r="C1893" s="2" t="inlineStr">
        <is>
          <t>S102</t>
        </is>
      </c>
      <c r="D1893" s="2" t="inlineStr">
        <is>
          <t>'brioche'!C7,D7</t>
        </is>
      </c>
      <c r="E1893" s="2" t="inlineStr">
        <is>
          <t>sugar</t>
        </is>
      </c>
      <c r="F1893" s="3" t="n">
        <v>100</v>
      </c>
      <c r="G1893" s="2" t="inlineStr">
        <is>
          <t>100</t>
        </is>
      </c>
      <c r="H1893" s="2" t="inlineStr">
        <is>
          <t>S-B06; richer true-butter variant</t>
        </is>
      </c>
    </row>
    <row r="1894">
      <c r="A1894" s="2" t="inlineStr">
        <is>
          <t>L201</t>
        </is>
      </c>
      <c r="B1894" s="2" t="inlineStr">
        <is>
          <t>brioche</t>
        </is>
      </c>
      <c r="C1894" s="2" t="inlineStr">
        <is>
          <t>S102</t>
        </is>
      </c>
      <c r="D1894" s="2" t="inlineStr">
        <is>
          <t>'brioche'!C8,D8</t>
        </is>
      </c>
      <c r="E1894" s="2" t="inlineStr">
        <is>
          <t>egg</t>
        </is>
      </c>
      <c r="F1894" s="3" t="n">
        <v>130</v>
      </c>
      <c r="G1894" s="2" t="inlineStr">
        <is>
          <t>130</t>
        </is>
      </c>
      <c r="H1894" s="2" t="inlineStr">
        <is>
          <t>S-B06; richer true-butter variant</t>
        </is>
      </c>
    </row>
    <row r="1895">
      <c r="A1895" s="2" t="inlineStr">
        <is>
          <t>L201</t>
        </is>
      </c>
      <c r="B1895" s="2" t="inlineStr">
        <is>
          <t>brioche</t>
        </is>
      </c>
      <c r="C1895" s="2" t="inlineStr">
        <is>
          <t>S102</t>
        </is>
      </c>
      <c r="D1895" s="2" t="inlineStr">
        <is>
          <t>'brioche'!C9,D9</t>
        </is>
      </c>
      <c r="E1895" s="2" t="inlineStr">
        <is>
          <t>salt</t>
        </is>
      </c>
      <c r="F1895" s="3" t="n">
        <v>15</v>
      </c>
      <c r="G1895" s="2" t="inlineStr">
        <is>
          <t>15</t>
        </is>
      </c>
      <c r="H1895" s="2" t="inlineStr">
        <is>
          <t>S-B06; richer true-butter variant</t>
        </is>
      </c>
    </row>
    <row r="1896">
      <c r="A1896" s="2" t="inlineStr">
        <is>
          <t>L201</t>
        </is>
      </c>
      <c r="B1896" s="2" t="inlineStr">
        <is>
          <t>brioche</t>
        </is>
      </c>
      <c r="C1896" s="2" t="inlineStr">
        <is>
          <t>S102</t>
        </is>
      </c>
      <c r="D1896" s="2" t="inlineStr">
        <is>
          <t>'brioche'!C10,D10</t>
        </is>
      </c>
      <c r="E1896" s="2" t="inlineStr">
        <is>
          <t>improver</t>
        </is>
      </c>
      <c r="F1896" s="3" t="n">
        <v>10</v>
      </c>
      <c r="G1896" s="2" t="inlineStr">
        <is>
          <t>10</t>
        </is>
      </c>
      <c r="H1896" s="2" t="inlineStr">
        <is>
          <t>S-B06; richer true-butter variant</t>
        </is>
      </c>
    </row>
    <row r="1897">
      <c r="A1897" s="2" t="inlineStr">
        <is>
          <t>L201</t>
        </is>
      </c>
      <c r="B1897" s="2" t="inlineStr">
        <is>
          <t>brioche</t>
        </is>
      </c>
      <c r="C1897" s="2" t="inlineStr">
        <is>
          <t>S102</t>
        </is>
      </c>
      <c r="D1897" s="2" t="inlineStr">
        <is>
          <t>'brioche'!C11,D11</t>
        </is>
      </c>
      <c r="E1897" s="2" t="inlineStr">
        <is>
          <t>yeast</t>
        </is>
      </c>
      <c r="F1897" s="3" t="n">
        <v>10</v>
      </c>
      <c r="G1897" s="2" t="inlineStr">
        <is>
          <t>10</t>
        </is>
      </c>
      <c r="H1897" s="2" t="inlineStr">
        <is>
          <t>S-B06; richer true-butter variant</t>
        </is>
      </c>
    </row>
    <row r="1898">
      <c r="A1898" s="2" t="inlineStr">
        <is>
          <t>L202</t>
        </is>
      </c>
      <c r="B1898" s="2" t="inlineStr">
        <is>
          <t>gateau new look</t>
        </is>
      </c>
      <c r="C1898" s="2" t="inlineStr">
        <is>
          <t>S102</t>
        </is>
      </c>
      <c r="D1898" s="2" t="inlineStr">
        <is>
          <t>'gateau new look'!C5,D5</t>
        </is>
      </c>
      <c r="E1898" s="2" t="inlineStr">
        <is>
          <t>flour</t>
        </is>
      </c>
      <c r="F1898" s="3" t="n">
        <v>25000</v>
      </c>
      <c r="G1898" s="2" t="inlineStr">
        <is>
          <t>25000</t>
        </is>
      </c>
      <c r="H1898" s="2" t="inlineStr">
        <is>
          <t>Retain unique variant; no equivalent operating card selected</t>
        </is>
      </c>
    </row>
    <row r="1899">
      <c r="A1899" s="2" t="inlineStr">
        <is>
          <t>L202</t>
        </is>
      </c>
      <c r="B1899" s="2" t="inlineStr">
        <is>
          <t>gateau new look</t>
        </is>
      </c>
      <c r="C1899" s="2" t="inlineStr">
        <is>
          <t>S102</t>
        </is>
      </c>
      <c r="D1899" s="2" t="inlineStr">
        <is>
          <t>'gateau new look'!C6,D6</t>
        </is>
      </c>
      <c r="E1899" s="2" t="inlineStr">
        <is>
          <t>Butter</t>
        </is>
      </c>
      <c r="F1899" s="3" t="n">
        <v>1350</v>
      </c>
      <c r="G1899" s="2" t="inlineStr">
        <is>
          <t>1350</t>
        </is>
      </c>
      <c r="H1899" s="2" t="inlineStr">
        <is>
          <t>Retain unique variant; no equivalent operating card selected</t>
        </is>
      </c>
    </row>
    <row r="1900">
      <c r="A1900" s="2" t="inlineStr">
        <is>
          <t>L202</t>
        </is>
      </c>
      <c r="B1900" s="2" t="inlineStr">
        <is>
          <t>gateau new look</t>
        </is>
      </c>
      <c r="C1900" s="2" t="inlineStr">
        <is>
          <t>S102</t>
        </is>
      </c>
      <c r="D1900" s="2" t="inlineStr">
        <is>
          <t>'gateau new look'!C7,D7</t>
        </is>
      </c>
      <c r="E1900" s="2" t="inlineStr">
        <is>
          <t>sugar</t>
        </is>
      </c>
      <c r="F1900" s="3" t="n">
        <v>1650</v>
      </c>
      <c r="G1900" s="2" t="inlineStr">
        <is>
          <t>1650</t>
        </is>
      </c>
      <c r="H1900" s="2" t="inlineStr">
        <is>
          <t>Retain unique variant; no equivalent operating card selected</t>
        </is>
      </c>
    </row>
    <row r="1901">
      <c r="A1901" s="2" t="inlineStr">
        <is>
          <t>L202</t>
        </is>
      </c>
      <c r="B1901" s="2" t="inlineStr">
        <is>
          <t>gateau new look</t>
        </is>
      </c>
      <c r="C1901" s="2" t="inlineStr">
        <is>
          <t>S102</t>
        </is>
      </c>
      <c r="D1901" s="2" t="inlineStr">
        <is>
          <t>'gateau new look'!C8,D8</t>
        </is>
      </c>
      <c r="E1901" s="2" t="inlineStr">
        <is>
          <t>Conc Milk</t>
        </is>
      </c>
      <c r="F1901" s="3" t="n">
        <v>950</v>
      </c>
      <c r="G1901" s="2" t="inlineStr">
        <is>
          <t>950</t>
        </is>
      </c>
      <c r="H1901" s="2" t="inlineStr">
        <is>
          <t>Retain unique variant; no equivalent operating card selected</t>
        </is>
      </c>
    </row>
    <row r="1902">
      <c r="A1902" s="2" t="inlineStr">
        <is>
          <t>L202</t>
        </is>
      </c>
      <c r="B1902" s="2" t="inlineStr">
        <is>
          <t>gateau new look</t>
        </is>
      </c>
      <c r="C1902" s="2" t="inlineStr">
        <is>
          <t>S102</t>
        </is>
      </c>
      <c r="D1902" s="2" t="inlineStr">
        <is>
          <t>'gateau new look'!C9,D9</t>
        </is>
      </c>
      <c r="E1902" s="2" t="inlineStr">
        <is>
          <t>egg</t>
        </is>
      </c>
      <c r="F1902" s="3" t="n">
        <v>750</v>
      </c>
      <c r="G1902" s="2" t="inlineStr">
        <is>
          <t>750</t>
        </is>
      </c>
      <c r="H1902" s="2" t="inlineStr">
        <is>
          <t>Retain unique variant; no equivalent operating card selected</t>
        </is>
      </c>
    </row>
    <row r="1903">
      <c r="A1903" s="2" t="inlineStr">
        <is>
          <t>L202</t>
        </is>
      </c>
      <c r="B1903" s="2" t="inlineStr">
        <is>
          <t>gateau new look</t>
        </is>
      </c>
      <c r="C1903" s="2" t="inlineStr">
        <is>
          <t>S102</t>
        </is>
      </c>
      <c r="D1903" s="2" t="inlineStr">
        <is>
          <t>'gateau new look'!C10,D10</t>
        </is>
      </c>
      <c r="E1903" s="2" t="inlineStr">
        <is>
          <t>salt</t>
        </is>
      </c>
      <c r="F1903" s="3" t="n">
        <v>270</v>
      </c>
      <c r="G1903" s="2" t="inlineStr">
        <is>
          <t>270</t>
        </is>
      </c>
      <c r="H1903" s="2" t="inlineStr">
        <is>
          <t>Retain unique variant; no equivalent operating card selected</t>
        </is>
      </c>
    </row>
    <row r="1904">
      <c r="A1904" s="2" t="inlineStr">
        <is>
          <t>L202</t>
        </is>
      </c>
      <c r="B1904" s="2" t="inlineStr">
        <is>
          <t>gateau new look</t>
        </is>
      </c>
      <c r="C1904" s="2" t="inlineStr">
        <is>
          <t>S102</t>
        </is>
      </c>
      <c r="D1904" s="2" t="inlineStr">
        <is>
          <t>'gateau new look'!C11,D11</t>
        </is>
      </c>
      <c r="E1904" s="2" t="inlineStr">
        <is>
          <t>improver</t>
        </is>
      </c>
      <c r="F1904" s="3" t="n">
        <v>100</v>
      </c>
      <c r="G1904" s="2" t="inlineStr">
        <is>
          <t>100</t>
        </is>
      </c>
      <c r="H1904" s="2" t="inlineStr">
        <is>
          <t>Retain unique variant; no equivalent operating card selected</t>
        </is>
      </c>
    </row>
    <row r="1905">
      <c r="A1905" s="2" t="inlineStr">
        <is>
          <t>L202</t>
        </is>
      </c>
      <c r="B1905" s="2" t="inlineStr">
        <is>
          <t>gateau new look</t>
        </is>
      </c>
      <c r="C1905" s="2" t="inlineStr">
        <is>
          <t>S102</t>
        </is>
      </c>
      <c r="D1905" s="2" t="inlineStr">
        <is>
          <t>'gateau new look'!C12,D12</t>
        </is>
      </c>
      <c r="E1905" s="2" t="inlineStr">
        <is>
          <t>yeast</t>
        </is>
      </c>
      <c r="F1905" s="3" t="n">
        <v>90</v>
      </c>
      <c r="G1905" s="2" t="inlineStr">
        <is>
          <t>90</t>
        </is>
      </c>
      <c r="H1905" s="2" t="inlineStr">
        <is>
          <t>Retain unique variant; no equivalent operating card selected</t>
        </is>
      </c>
    </row>
    <row r="1906">
      <c r="A1906" s="2" t="inlineStr">
        <is>
          <t>L202</t>
        </is>
      </c>
      <c r="B1906" s="2" t="inlineStr">
        <is>
          <t>gateau new look</t>
        </is>
      </c>
      <c r="C1906" s="2" t="inlineStr">
        <is>
          <t>S102</t>
        </is>
      </c>
      <c r="D1906" s="2" t="inlineStr">
        <is>
          <t>'gateau new look'!C13,D13</t>
        </is>
      </c>
      <c r="E1906" s="2" t="inlineStr">
        <is>
          <t>water</t>
        </is>
      </c>
      <c r="F1906" s="3" t="n">
        <v>10000</v>
      </c>
      <c r="G1906" s="2" t="inlineStr">
        <is>
          <t>10000</t>
        </is>
      </c>
      <c r="H1906" s="2" t="inlineStr">
        <is>
          <t>Retain unique variant; no equivalent operating card selected</t>
        </is>
      </c>
    </row>
    <row r="1907">
      <c r="A1907" s="2" t="inlineStr">
        <is>
          <t>L202</t>
        </is>
      </c>
      <c r="B1907" s="2" t="inlineStr">
        <is>
          <t>gateau new look</t>
        </is>
      </c>
      <c r="C1907" s="2" t="inlineStr">
        <is>
          <t>S102</t>
        </is>
      </c>
      <c r="D1907" s="2" t="inlineStr">
        <is>
          <t>'gateau new look'!C14,D14</t>
        </is>
      </c>
      <c r="E1907" s="2" t="inlineStr">
        <is>
          <t>Nutmeg</t>
        </is>
      </c>
      <c r="F1907" s="3" t="n">
        <v>40</v>
      </c>
      <c r="G1907" s="2" t="inlineStr">
        <is>
          <t>40</t>
        </is>
      </c>
      <c r="H1907" s="2" t="inlineStr">
        <is>
          <t>Retain unique variant; no equivalent operating card selected</t>
        </is>
      </c>
    </row>
    <row r="1908">
      <c r="A1908" s="2" t="inlineStr">
        <is>
          <t>L202</t>
        </is>
      </c>
      <c r="B1908" s="2" t="inlineStr">
        <is>
          <t>gateau new look</t>
        </is>
      </c>
      <c r="C1908" s="2" t="inlineStr">
        <is>
          <t>S102</t>
        </is>
      </c>
      <c r="D1908" s="2" t="inlineStr">
        <is>
          <t>'gateau new look'!C15,D15</t>
        </is>
      </c>
      <c r="E1908" s="2" t="inlineStr">
        <is>
          <t>baking powder</t>
        </is>
      </c>
      <c r="F1908" s="3" t="n">
        <v>90</v>
      </c>
      <c r="G1908" s="2" t="inlineStr">
        <is>
          <t>90</t>
        </is>
      </c>
      <c r="H1908" s="2" t="inlineStr">
        <is>
          <t>Retain unique variant; no equivalent operating card selected</t>
        </is>
      </c>
    </row>
    <row r="1909">
      <c r="A1909" s="2" t="inlineStr">
        <is>
          <t>L202</t>
        </is>
      </c>
      <c r="B1909" s="2" t="inlineStr">
        <is>
          <t>gateau new look</t>
        </is>
      </c>
      <c r="C1909" s="2" t="inlineStr">
        <is>
          <t>S102</t>
        </is>
      </c>
      <c r="D1909" s="2" t="inlineStr">
        <is>
          <t>'gateau new look'!C16,D16</t>
        </is>
      </c>
      <c r="E1909" s="2" t="inlineStr">
        <is>
          <t>frying oil</t>
        </is>
      </c>
      <c r="F1909" s="3" t="n">
        <v>8</v>
      </c>
      <c r="G1909" s="2" t="inlineStr">
        <is>
          <t>8</t>
        </is>
      </c>
      <c r="H1909" s="2" t="inlineStr">
        <is>
          <t>Retain unique variant; no equivalent operating card selected</t>
        </is>
      </c>
    </row>
    <row r="1910">
      <c r="A1910" s="2" t="inlineStr">
        <is>
          <t>L203</t>
        </is>
      </c>
      <c r="B1910" s="2" t="inlineStr">
        <is>
          <t>gateau new look</t>
        </is>
      </c>
      <c r="C1910" s="2" t="inlineStr">
        <is>
          <t>S102</t>
        </is>
      </c>
      <c r="D1910" s="2" t="inlineStr">
        <is>
          <t>'gateau new look'!C5,J5</t>
        </is>
      </c>
      <c r="E1910" s="2" t="inlineStr">
        <is>
          <t>flour</t>
        </is>
      </c>
      <c r="F1910" s="3" t="n">
        <v>20000</v>
      </c>
      <c r="G1910" s="2" t="inlineStr">
        <is>
          <t>20000</t>
        </is>
      </c>
      <c r="H1910" s="2" t="inlineStr">
        <is>
          <t>Retain unique variant; no equivalent operating card selected</t>
        </is>
      </c>
    </row>
    <row r="1911">
      <c r="A1911" s="2" t="inlineStr">
        <is>
          <t>L203</t>
        </is>
      </c>
      <c r="B1911" s="2" t="inlineStr">
        <is>
          <t>gateau new look</t>
        </is>
      </c>
      <c r="C1911" s="2" t="inlineStr">
        <is>
          <t>S102</t>
        </is>
      </c>
      <c r="D1911" s="2" t="inlineStr">
        <is>
          <t>'gateau new look'!C6,J6</t>
        </is>
      </c>
      <c r="E1911" s="2" t="inlineStr">
        <is>
          <t>Butter</t>
        </is>
      </c>
      <c r="F1911" s="3" t="n">
        <v>560</v>
      </c>
      <c r="G1911" s="2" t="inlineStr">
        <is>
          <t>560</t>
        </is>
      </c>
      <c r="H1911" s="2" t="inlineStr">
        <is>
          <t>Retain unique variant; no equivalent operating card selected</t>
        </is>
      </c>
    </row>
    <row r="1912">
      <c r="A1912" s="2" t="inlineStr">
        <is>
          <t>L203</t>
        </is>
      </c>
      <c r="B1912" s="2" t="inlineStr">
        <is>
          <t>gateau new look</t>
        </is>
      </c>
      <c r="C1912" s="2" t="inlineStr">
        <is>
          <t>S102</t>
        </is>
      </c>
      <c r="D1912" s="2" t="inlineStr">
        <is>
          <t>'gateau new look'!C7,J7</t>
        </is>
      </c>
      <c r="E1912" s="2" t="inlineStr">
        <is>
          <t>sugar</t>
        </is>
      </c>
      <c r="F1912" s="3" t="n">
        <v>800</v>
      </c>
      <c r="G1912" s="2" t="inlineStr">
        <is>
          <t>800</t>
        </is>
      </c>
      <c r="H1912" s="2" t="inlineStr">
        <is>
          <t>Retain unique variant; no equivalent operating card selected</t>
        </is>
      </c>
    </row>
    <row r="1913">
      <c r="A1913" s="2" t="inlineStr">
        <is>
          <t>L203</t>
        </is>
      </c>
      <c r="B1913" s="2" t="inlineStr">
        <is>
          <t>gateau new look</t>
        </is>
      </c>
      <c r="C1913" s="2" t="inlineStr">
        <is>
          <t>S102</t>
        </is>
      </c>
      <c r="D1913" s="2" t="inlineStr">
        <is>
          <t>'gateau new look'!C8,J8</t>
        </is>
      </c>
      <c r="E1913" s="2" t="inlineStr">
        <is>
          <t>Conc Milk</t>
        </is>
      </c>
      <c r="F1913" s="3" t="n">
        <v>500</v>
      </c>
      <c r="G1913" s="2" t="inlineStr">
        <is>
          <t>500</t>
        </is>
      </c>
      <c r="H1913" s="2" t="inlineStr">
        <is>
          <t>Retain unique variant; no equivalent operating card selected</t>
        </is>
      </c>
    </row>
    <row r="1914">
      <c r="A1914" s="2" t="inlineStr">
        <is>
          <t>L203</t>
        </is>
      </c>
      <c r="B1914" s="2" t="inlineStr">
        <is>
          <t>gateau new look</t>
        </is>
      </c>
      <c r="C1914" s="2" t="inlineStr">
        <is>
          <t>S102</t>
        </is>
      </c>
      <c r="D1914" s="2" t="inlineStr">
        <is>
          <t>'gateau new look'!C9,J9</t>
        </is>
      </c>
      <c r="E1914" s="2" t="inlineStr">
        <is>
          <t>egg</t>
        </is>
      </c>
      <c r="F1914" s="3" t="n">
        <v>144</v>
      </c>
      <c r="G1914" s="2" t="inlineStr">
        <is>
          <t>144</t>
        </is>
      </c>
      <c r="H1914" s="2" t="inlineStr">
        <is>
          <t>Retain unique variant; no equivalent operating card selected</t>
        </is>
      </c>
    </row>
    <row r="1915">
      <c r="A1915" s="2" t="inlineStr">
        <is>
          <t>L203</t>
        </is>
      </c>
      <c r="B1915" s="2" t="inlineStr">
        <is>
          <t>gateau new look</t>
        </is>
      </c>
      <c r="C1915" s="2" t="inlineStr">
        <is>
          <t>S102</t>
        </is>
      </c>
      <c r="D1915" s="2" t="inlineStr">
        <is>
          <t>'gateau new look'!C10,J10</t>
        </is>
      </c>
      <c r="E1915" s="2" t="inlineStr">
        <is>
          <t>salt</t>
        </is>
      </c>
      <c r="F1915" s="3" t="n">
        <v>166</v>
      </c>
      <c r="G1915" s="2" t="inlineStr">
        <is>
          <t>166</t>
        </is>
      </c>
      <c r="H1915" s="2" t="inlineStr">
        <is>
          <t>Retain unique variant; no equivalent operating card selected</t>
        </is>
      </c>
    </row>
    <row r="1916">
      <c r="A1916" s="2" t="inlineStr">
        <is>
          <t>L203</t>
        </is>
      </c>
      <c r="B1916" s="2" t="inlineStr">
        <is>
          <t>gateau new look</t>
        </is>
      </c>
      <c r="C1916" s="2" t="inlineStr">
        <is>
          <t>S102</t>
        </is>
      </c>
      <c r="D1916" s="2" t="inlineStr">
        <is>
          <t>'gateau new look'!C11,J11</t>
        </is>
      </c>
      <c r="E1916" s="2" t="inlineStr">
        <is>
          <t>improver</t>
        </is>
      </c>
      <c r="F1916" s="3" t="n">
        <v>100</v>
      </c>
      <c r="G1916" s="2" t="inlineStr">
        <is>
          <t>=D11 [cached: 100]</t>
        </is>
      </c>
      <c r="H1916" s="2" t="inlineStr">
        <is>
          <t>Retain unique variant; no equivalent operating card selected</t>
        </is>
      </c>
    </row>
    <row r="1917">
      <c r="A1917" s="2" t="inlineStr">
        <is>
          <t>L203</t>
        </is>
      </c>
      <c r="B1917" s="2" t="inlineStr">
        <is>
          <t>gateau new look</t>
        </is>
      </c>
      <c r="C1917" s="2" t="inlineStr">
        <is>
          <t>S102</t>
        </is>
      </c>
      <c r="D1917" s="2" t="inlineStr">
        <is>
          <t>'gateau new look'!C12,J12</t>
        </is>
      </c>
      <c r="E1917" s="2" t="inlineStr">
        <is>
          <t>yeast</t>
        </is>
      </c>
      <c r="F1917" s="3" t="n">
        <v>70</v>
      </c>
      <c r="G1917" s="2" t="inlineStr">
        <is>
          <t>70</t>
        </is>
      </c>
      <c r="H1917" s="2" t="inlineStr">
        <is>
          <t>Retain unique variant; no equivalent operating card selected</t>
        </is>
      </c>
    </row>
    <row r="1918">
      <c r="A1918" s="2" t="inlineStr">
        <is>
          <t>L203</t>
        </is>
      </c>
      <c r="B1918" s="2" t="inlineStr">
        <is>
          <t>gateau new look</t>
        </is>
      </c>
      <c r="C1918" s="2" t="inlineStr">
        <is>
          <t>S102</t>
        </is>
      </c>
      <c r="D1918" s="2" t="inlineStr">
        <is>
          <t>'gateau new look'!C13,J13</t>
        </is>
      </c>
      <c r="E1918" s="2" t="inlineStr">
        <is>
          <t>water</t>
        </is>
      </c>
      <c r="F1918" s="3" t="n">
        <v>7000</v>
      </c>
      <c r="G1918" s="2" t="inlineStr">
        <is>
          <t>7000</t>
        </is>
      </c>
      <c r="H1918" s="2" t="inlineStr">
        <is>
          <t>Retain unique variant; no equivalent operating card selected</t>
        </is>
      </c>
    </row>
    <row r="1919">
      <c r="A1919" s="2" t="inlineStr">
        <is>
          <t>L203</t>
        </is>
      </c>
      <c r="B1919" s="2" t="inlineStr">
        <is>
          <t>gateau new look</t>
        </is>
      </c>
      <c r="C1919" s="2" t="inlineStr">
        <is>
          <t>S102</t>
        </is>
      </c>
      <c r="D1919" s="2" t="inlineStr">
        <is>
          <t>'gateau new look'!C14,J14</t>
        </is>
      </c>
      <c r="E1919" s="2" t="inlineStr">
        <is>
          <t>Nutmeg</t>
        </is>
      </c>
      <c r="F1919" s="3" t="n">
        <v>40</v>
      </c>
      <c r="G1919" s="2" t="inlineStr">
        <is>
          <t>=D14 [cached: 40]</t>
        </is>
      </c>
      <c r="H1919" s="2" t="inlineStr">
        <is>
          <t>Retain unique variant; no equivalent operating card selected</t>
        </is>
      </c>
    </row>
    <row r="1920">
      <c r="A1920" s="2" t="inlineStr">
        <is>
          <t>L203</t>
        </is>
      </c>
      <c r="B1920" s="2" t="inlineStr">
        <is>
          <t>gateau new look</t>
        </is>
      </c>
      <c r="C1920" s="2" t="inlineStr">
        <is>
          <t>S102</t>
        </is>
      </c>
      <c r="D1920" s="2" t="inlineStr">
        <is>
          <t>'gateau new look'!C15,J15</t>
        </is>
      </c>
      <c r="E1920" s="2" t="inlineStr">
        <is>
          <t>baking powder</t>
        </is>
      </c>
      <c r="F1920" s="3" t="n">
        <v>20</v>
      </c>
      <c r="G1920" s="2" t="inlineStr">
        <is>
          <t>20</t>
        </is>
      </c>
      <c r="H1920" s="2" t="inlineStr">
        <is>
          <t>Retain unique variant; no equivalent operating card selected</t>
        </is>
      </c>
    </row>
    <row r="1921">
      <c r="A1921" s="2" t="inlineStr">
        <is>
          <t>L203</t>
        </is>
      </c>
      <c r="B1921" s="2" t="inlineStr">
        <is>
          <t>gateau new look</t>
        </is>
      </c>
      <c r="C1921" s="2" t="inlineStr">
        <is>
          <t>S102</t>
        </is>
      </c>
      <c r="D1921" s="2" t="inlineStr">
        <is>
          <t>'gateau new look'!C16,J16</t>
        </is>
      </c>
      <c r="E1921" s="2" t="inlineStr">
        <is>
          <t>frying oil</t>
        </is>
      </c>
      <c r="F1921" s="3" t="n">
        <v>8</v>
      </c>
      <c r="G1921" s="2" t="inlineStr">
        <is>
          <t>=D16 [cached: 8]</t>
        </is>
      </c>
      <c r="H1921" s="2" t="inlineStr">
        <is>
          <t>Retain unique variant; no equivalent operating card selected</t>
        </is>
      </c>
    </row>
    <row r="1922">
      <c r="A1922" s="2" t="inlineStr">
        <is>
          <t>L204</t>
        </is>
      </c>
      <c r="B1922" s="2" t="inlineStr">
        <is>
          <t>Best Chinchin</t>
        </is>
      </c>
      <c r="C1922" s="2" t="inlineStr">
        <is>
          <t>S103</t>
        </is>
      </c>
      <c r="D1922" s="2" t="inlineStr">
        <is>
          <t>'Best Chinchin'!C5,D5</t>
        </is>
      </c>
      <c r="E1922" s="2" t="inlineStr">
        <is>
          <t>flour</t>
        </is>
      </c>
      <c r="F1922" s="3" t="n">
        <v>5000</v>
      </c>
      <c r="G1922" s="2" t="inlineStr">
        <is>
          <t>5000</t>
        </is>
      </c>
      <c r="H1922" s="2" t="inlineStr">
        <is>
          <t>H10</t>
        </is>
      </c>
    </row>
    <row r="1923">
      <c r="A1923" s="2" t="inlineStr">
        <is>
          <t>L204</t>
        </is>
      </c>
      <c r="B1923" s="2" t="inlineStr">
        <is>
          <t>Best Chinchin</t>
        </is>
      </c>
      <c r="C1923" s="2" t="inlineStr">
        <is>
          <t>S103</t>
        </is>
      </c>
      <c r="D1923" s="2" t="inlineStr">
        <is>
          <t>'Best Chinchin'!C6,D6</t>
        </is>
      </c>
      <c r="E1923" s="2" t="inlineStr">
        <is>
          <t>baking powder</t>
        </is>
      </c>
      <c r="F1923" s="3" t="n">
        <v>70</v>
      </c>
      <c r="G1923" s="2" t="inlineStr">
        <is>
          <t>70</t>
        </is>
      </c>
      <c r="H1923" s="2" t="inlineStr">
        <is>
          <t>H10</t>
        </is>
      </c>
    </row>
    <row r="1924">
      <c r="A1924" s="2" t="inlineStr">
        <is>
          <t>L204</t>
        </is>
      </c>
      <c r="B1924" s="2" t="inlineStr">
        <is>
          <t>Best Chinchin</t>
        </is>
      </c>
      <c r="C1924" s="2" t="inlineStr">
        <is>
          <t>S103</t>
        </is>
      </c>
      <c r="D1924" s="2" t="inlineStr">
        <is>
          <t>'Best Chinchin'!C7,D7</t>
        </is>
      </c>
      <c r="E1924" s="2" t="inlineStr">
        <is>
          <t>nut meg</t>
        </is>
      </c>
      <c r="F1924" s="3" t="n">
        <v>15</v>
      </c>
      <c r="G1924" s="2" t="inlineStr">
        <is>
          <t>15</t>
        </is>
      </c>
      <c r="H1924" s="2" t="inlineStr">
        <is>
          <t>H10</t>
        </is>
      </c>
    </row>
    <row r="1925">
      <c r="A1925" s="2" t="inlineStr">
        <is>
          <t>L204</t>
        </is>
      </c>
      <c r="B1925" s="2" t="inlineStr">
        <is>
          <t>Best Chinchin</t>
        </is>
      </c>
      <c r="C1925" s="2" t="inlineStr">
        <is>
          <t>S103</t>
        </is>
      </c>
      <c r="D1925" s="2" t="inlineStr">
        <is>
          <t>'Best Chinchin'!C8,D8</t>
        </is>
      </c>
      <c r="E1925" s="2" t="inlineStr">
        <is>
          <t>sugar</t>
        </is>
      </c>
      <c r="F1925" s="3" t="n">
        <v>400</v>
      </c>
      <c r="G1925" s="2" t="inlineStr">
        <is>
          <t>400</t>
        </is>
      </c>
      <c r="H1925" s="2" t="inlineStr">
        <is>
          <t>H10</t>
        </is>
      </c>
    </row>
    <row r="1926">
      <c r="A1926" s="2" t="inlineStr">
        <is>
          <t>L204</t>
        </is>
      </c>
      <c r="B1926" s="2" t="inlineStr">
        <is>
          <t>Best Chinchin</t>
        </is>
      </c>
      <c r="C1926" s="2" t="inlineStr">
        <is>
          <t>S103</t>
        </is>
      </c>
      <c r="D1926" s="2" t="inlineStr">
        <is>
          <t>'Best Chinchin'!C9,D9</t>
        </is>
      </c>
      <c r="E1926" s="2" t="inlineStr">
        <is>
          <t>Butter</t>
        </is>
      </c>
      <c r="F1926" s="3" t="n">
        <v>300</v>
      </c>
      <c r="G1926" s="2" t="inlineStr">
        <is>
          <t>300</t>
        </is>
      </c>
      <c r="H1926" s="2" t="inlineStr">
        <is>
          <t>H10</t>
        </is>
      </c>
    </row>
    <row r="1927">
      <c r="A1927" s="2" t="inlineStr">
        <is>
          <t>L204</t>
        </is>
      </c>
      <c r="B1927" s="2" t="inlineStr">
        <is>
          <t>Best Chinchin</t>
        </is>
      </c>
      <c r="C1927" s="2" t="inlineStr">
        <is>
          <t>S103</t>
        </is>
      </c>
      <c r="D1927" s="2" t="inlineStr">
        <is>
          <t>'Best Chinchin'!C10,D10</t>
        </is>
      </c>
      <c r="E1927" s="2" t="inlineStr">
        <is>
          <t>egg</t>
        </is>
      </c>
      <c r="F1927" s="3" t="n">
        <v>1800</v>
      </c>
      <c r="G1927" s="2" t="inlineStr">
        <is>
          <t>1800</t>
        </is>
      </c>
      <c r="H1927" s="2" t="inlineStr">
        <is>
          <t>H10</t>
        </is>
      </c>
    </row>
    <row r="1928">
      <c r="A1928" s="2" t="inlineStr">
        <is>
          <t>L204</t>
        </is>
      </c>
      <c r="B1928" s="2" t="inlineStr">
        <is>
          <t>Best Chinchin</t>
        </is>
      </c>
      <c r="C1928" s="2" t="inlineStr">
        <is>
          <t>S103</t>
        </is>
      </c>
      <c r="D1928" s="2" t="inlineStr">
        <is>
          <t>'Best Chinchin'!C11,D11</t>
        </is>
      </c>
      <c r="E1928" s="2" t="inlineStr">
        <is>
          <t>salt</t>
        </is>
      </c>
      <c r="F1928" s="3" t="n">
        <v>40</v>
      </c>
      <c r="G1928" s="2" t="inlineStr">
        <is>
          <t>40</t>
        </is>
      </c>
      <c r="H1928" s="2" t="inlineStr">
        <is>
          <t>H10</t>
        </is>
      </c>
    </row>
    <row r="1929">
      <c r="A1929" s="2" t="inlineStr">
        <is>
          <t>L204</t>
        </is>
      </c>
      <c r="B1929" s="2" t="inlineStr">
        <is>
          <t>Best Chinchin</t>
        </is>
      </c>
      <c r="C1929" s="2" t="inlineStr">
        <is>
          <t>S103</t>
        </is>
      </c>
      <c r="D1929" s="2" t="inlineStr">
        <is>
          <t>'Best Chinchin'!C12,D12</t>
        </is>
      </c>
      <c r="E1929" s="2" t="inlineStr">
        <is>
          <t>water</t>
        </is>
      </c>
      <c r="F1929" s="3" t="n">
        <v>200</v>
      </c>
      <c r="G1929" s="2" t="inlineStr">
        <is>
          <t>200</t>
        </is>
      </c>
      <c r="H1929" s="2" t="inlineStr">
        <is>
          <t>H10</t>
        </is>
      </c>
    </row>
    <row r="1930">
      <c r="A1930" s="2" t="inlineStr">
        <is>
          <t>L204</t>
        </is>
      </c>
      <c r="B1930" s="2" t="inlineStr">
        <is>
          <t>Best Chinchin</t>
        </is>
      </c>
      <c r="C1930" s="2" t="inlineStr">
        <is>
          <t>S103</t>
        </is>
      </c>
      <c r="D1930" s="2" t="inlineStr">
        <is>
          <t>'Best Chinchin'!C13,D13</t>
        </is>
      </c>
      <c r="E1930" s="2" t="inlineStr">
        <is>
          <t>Conc Milk</t>
        </is>
      </c>
      <c r="F1930" s="3" t="n">
        <v>450</v>
      </c>
      <c r="G1930" s="2" t="inlineStr">
        <is>
          <t>450</t>
        </is>
      </c>
      <c r="H1930" s="2" t="inlineStr">
        <is>
          <t>H10</t>
        </is>
      </c>
    </row>
    <row r="1931">
      <c r="A1931" s="2" t="inlineStr">
        <is>
          <t>L204</t>
        </is>
      </c>
      <c r="B1931" s="2" t="inlineStr">
        <is>
          <t>Best Chinchin</t>
        </is>
      </c>
      <c r="C1931" s="2" t="inlineStr">
        <is>
          <t>S103</t>
        </is>
      </c>
      <c r="D1931" s="2" t="inlineStr">
        <is>
          <t>'Best Chinchin'!C14,D14</t>
        </is>
      </c>
      <c r="E1931" s="2" t="inlineStr">
        <is>
          <t>oil</t>
        </is>
      </c>
      <c r="F1931" s="3" t="n">
        <v>300</v>
      </c>
      <c r="G1931" s="2" t="inlineStr">
        <is>
          <t>300</t>
        </is>
      </c>
      <c r="H1931" s="2" t="inlineStr">
        <is>
          <t>H10</t>
        </is>
      </c>
    </row>
    <row r="1932">
      <c r="A1932" s="2" t="inlineStr">
        <is>
          <t>L205</t>
        </is>
      </c>
      <c r="B1932" s="2" t="inlineStr">
        <is>
          <t>Burns</t>
        </is>
      </c>
      <c r="C1932" s="2" t="inlineStr">
        <is>
          <t>S103</t>
        </is>
      </c>
      <c r="D1932" s="2" t="inlineStr">
        <is>
          <t>'Burns'!C5,D5</t>
        </is>
      </c>
      <c r="E1932" s="2" t="inlineStr">
        <is>
          <t>flour</t>
        </is>
      </c>
      <c r="F1932" s="3" t="n">
        <v>22000</v>
      </c>
      <c r="G1932" s="2" t="inlineStr">
        <is>
          <t>22000</t>
        </is>
      </c>
      <c r="H1932" s="2" t="inlineStr">
        <is>
          <t>Retain unique variant; no equivalent operating card selected</t>
        </is>
      </c>
    </row>
    <row r="1933">
      <c r="A1933" s="2" t="inlineStr">
        <is>
          <t>L205</t>
        </is>
      </c>
      <c r="B1933" s="2" t="inlineStr">
        <is>
          <t>Burns</t>
        </is>
      </c>
      <c r="C1933" s="2" t="inlineStr">
        <is>
          <t>S103</t>
        </is>
      </c>
      <c r="D1933" s="2" t="inlineStr">
        <is>
          <t>'Burns'!C6,D6</t>
        </is>
      </c>
      <c r="E1933" s="2" t="inlineStr">
        <is>
          <t>Butter</t>
        </is>
      </c>
      <c r="F1933" s="3" t="n">
        <v>1900</v>
      </c>
      <c r="G1933" s="2" t="inlineStr">
        <is>
          <t>1900</t>
        </is>
      </c>
      <c r="H1933" s="2" t="inlineStr">
        <is>
          <t>Retain unique variant; no equivalent operating card selected</t>
        </is>
      </c>
    </row>
    <row r="1934">
      <c r="A1934" s="2" t="inlineStr">
        <is>
          <t>L205</t>
        </is>
      </c>
      <c r="B1934" s="2" t="inlineStr">
        <is>
          <t>Burns</t>
        </is>
      </c>
      <c r="C1934" s="2" t="inlineStr">
        <is>
          <t>S103</t>
        </is>
      </c>
      <c r="D1934" s="2" t="inlineStr">
        <is>
          <t>'Burns'!C7,D7</t>
        </is>
      </c>
      <c r="E1934" s="2" t="inlineStr">
        <is>
          <t>sugar</t>
        </is>
      </c>
      <c r="F1934" s="3" t="n">
        <v>1900</v>
      </c>
      <c r="G1934" s="2" t="inlineStr">
        <is>
          <t>1900</t>
        </is>
      </c>
      <c r="H1934" s="2" t="inlineStr">
        <is>
          <t>Retain unique variant; no equivalent operating card selected</t>
        </is>
      </c>
    </row>
    <row r="1935">
      <c r="A1935" s="2" t="inlineStr">
        <is>
          <t>L205</t>
        </is>
      </c>
      <c r="B1935" s="2" t="inlineStr">
        <is>
          <t>Burns</t>
        </is>
      </c>
      <c r="C1935" s="2" t="inlineStr">
        <is>
          <t>S103</t>
        </is>
      </c>
      <c r="D1935" s="2" t="inlineStr">
        <is>
          <t>'Burns'!C8,D8</t>
        </is>
      </c>
      <c r="E1935" s="2" t="inlineStr">
        <is>
          <t>CONC MILK</t>
        </is>
      </c>
      <c r="F1935" s="3" t="n">
        <v>950</v>
      </c>
      <c r="G1935" s="2" t="inlineStr">
        <is>
          <t>950</t>
        </is>
      </c>
      <c r="H1935" s="2" t="inlineStr">
        <is>
          <t>Retain unique variant; no equivalent operating card selected</t>
        </is>
      </c>
    </row>
    <row r="1936">
      <c r="A1936" s="2" t="inlineStr">
        <is>
          <t>L205</t>
        </is>
      </c>
      <c r="B1936" s="2" t="inlineStr">
        <is>
          <t>Burns</t>
        </is>
      </c>
      <c r="C1936" s="2" t="inlineStr">
        <is>
          <t>S103</t>
        </is>
      </c>
      <c r="D1936" s="2" t="inlineStr">
        <is>
          <t>'Burns'!C9,D9</t>
        </is>
      </c>
      <c r="E1936" s="2" t="inlineStr">
        <is>
          <t>egg</t>
        </is>
      </c>
      <c r="F1936" s="3" t="n">
        <v>600</v>
      </c>
      <c r="G1936" s="2" t="inlineStr">
        <is>
          <t>600</t>
        </is>
      </c>
      <c r="H1936" s="2" t="inlineStr">
        <is>
          <t>Retain unique variant; no equivalent operating card selected</t>
        </is>
      </c>
    </row>
    <row r="1937">
      <c r="A1937" s="2" t="inlineStr">
        <is>
          <t>L205</t>
        </is>
      </c>
      <c r="B1937" s="2" t="inlineStr">
        <is>
          <t>Burns</t>
        </is>
      </c>
      <c r="C1937" s="2" t="inlineStr">
        <is>
          <t>S103</t>
        </is>
      </c>
      <c r="D1937" s="2" t="inlineStr">
        <is>
          <t>'Burns'!C10,D10</t>
        </is>
      </c>
      <c r="E1937" s="2" t="inlineStr">
        <is>
          <t>salt</t>
        </is>
      </c>
      <c r="F1937" s="3" t="n">
        <v>100</v>
      </c>
      <c r="G1937" s="2" t="inlineStr">
        <is>
          <t>100</t>
        </is>
      </c>
      <c r="H1937" s="2" t="inlineStr">
        <is>
          <t>Retain unique variant; no equivalent operating card selected</t>
        </is>
      </c>
    </row>
    <row r="1938">
      <c r="A1938" s="2" t="inlineStr">
        <is>
          <t>L205</t>
        </is>
      </c>
      <c r="B1938" s="2" t="inlineStr">
        <is>
          <t>Burns</t>
        </is>
      </c>
      <c r="C1938" s="2" t="inlineStr">
        <is>
          <t>S103</t>
        </is>
      </c>
      <c r="D1938" s="2" t="inlineStr">
        <is>
          <t>'Burns'!C11,D11</t>
        </is>
      </c>
      <c r="E1938" s="2" t="inlineStr">
        <is>
          <t>improver</t>
        </is>
      </c>
      <c r="F1938" s="3" t="n">
        <v>150</v>
      </c>
      <c r="G1938" s="2" t="inlineStr">
        <is>
          <t>150</t>
        </is>
      </c>
      <c r="H1938" s="2" t="inlineStr">
        <is>
          <t>Retain unique variant; no equivalent operating card selected</t>
        </is>
      </c>
    </row>
    <row r="1939">
      <c r="A1939" s="2" t="inlineStr">
        <is>
          <t>L205</t>
        </is>
      </c>
      <c r="B1939" s="2" t="inlineStr">
        <is>
          <t>Burns</t>
        </is>
      </c>
      <c r="C1939" s="2" t="inlineStr">
        <is>
          <t>S103</t>
        </is>
      </c>
      <c r="D1939" s="2" t="inlineStr">
        <is>
          <t>'Burns'!C12,D12</t>
        </is>
      </c>
      <c r="E1939" s="2" t="inlineStr">
        <is>
          <t>yeast</t>
        </is>
      </c>
      <c r="F1939" s="3" t="n">
        <v>100</v>
      </c>
      <c r="G1939" s="2" t="inlineStr">
        <is>
          <t>100</t>
        </is>
      </c>
      <c r="H1939" s="2" t="inlineStr">
        <is>
          <t>Retain unique variant; no equivalent operating card selected</t>
        </is>
      </c>
    </row>
    <row r="1940">
      <c r="A1940" s="2" t="inlineStr">
        <is>
          <t>L205</t>
        </is>
      </c>
      <c r="B1940" s="2" t="inlineStr">
        <is>
          <t>Burns</t>
        </is>
      </c>
      <c r="C1940" s="2" t="inlineStr">
        <is>
          <t>S103</t>
        </is>
      </c>
      <c r="D1940" s="2" t="inlineStr">
        <is>
          <t>'Burns'!C13,D13</t>
        </is>
      </c>
      <c r="E1940" s="2" t="inlineStr">
        <is>
          <t>water</t>
        </is>
      </c>
      <c r="F1940" s="3" t="n">
        <v>3000</v>
      </c>
      <c r="G1940" s="2" t="inlineStr">
        <is>
          <t>3000</t>
        </is>
      </c>
      <c r="H1940" s="2" t="inlineStr">
        <is>
          <t>Retain unique variant; no equivalent operating card selected</t>
        </is>
      </c>
    </row>
    <row r="1941">
      <c r="A1941" s="2" t="inlineStr">
        <is>
          <t>L205</t>
        </is>
      </c>
      <c r="B1941" s="2" t="inlineStr">
        <is>
          <t>Burns</t>
        </is>
      </c>
      <c r="C1941" s="2" t="inlineStr">
        <is>
          <t>S103</t>
        </is>
      </c>
      <c r="D1941" s="2" t="inlineStr">
        <is>
          <t>'Burns'!C14,D14</t>
        </is>
      </c>
      <c r="E1941" s="2" t="inlineStr">
        <is>
          <t>Nutmeg</t>
        </is>
      </c>
      <c r="F1941" s="3" t="n">
        <v>50</v>
      </c>
      <c r="G1941" s="2" t="inlineStr">
        <is>
          <t>50</t>
        </is>
      </c>
      <c r="H1941" s="2" t="inlineStr">
        <is>
          <t>Retain unique variant; no equivalent operating card selected</t>
        </is>
      </c>
    </row>
    <row r="1942">
      <c r="A1942" s="2" t="inlineStr">
        <is>
          <t>L206</t>
        </is>
      </c>
      <c r="B1942" s="2" t="inlineStr">
        <is>
          <t>Cake Prof</t>
        </is>
      </c>
      <c r="C1942" s="2" t="inlineStr">
        <is>
          <t>S103</t>
        </is>
      </c>
      <c r="D1942" s="2" t="inlineStr">
        <is>
          <t>'Cake Prof'!C5,D5</t>
        </is>
      </c>
      <c r="E1942" s="2" t="inlineStr">
        <is>
          <t>flour</t>
        </is>
      </c>
      <c r="F1942" s="3" t="n">
        <v>2000</v>
      </c>
      <c r="G1942" s="2" t="inlineStr">
        <is>
          <t>2000</t>
        </is>
      </c>
      <c r="H1942" s="2" t="inlineStr">
        <is>
          <t>H08 / H09; exact style differs</t>
        </is>
      </c>
    </row>
    <row r="1943">
      <c r="A1943" s="2" t="inlineStr">
        <is>
          <t>L206</t>
        </is>
      </c>
      <c r="B1943" s="2" t="inlineStr">
        <is>
          <t>Cake Prof</t>
        </is>
      </c>
      <c r="C1943" s="2" t="inlineStr">
        <is>
          <t>S103</t>
        </is>
      </c>
      <c r="D1943" s="2" t="inlineStr">
        <is>
          <t>'Cake Prof'!C6,D6</t>
        </is>
      </c>
      <c r="E1943" s="2" t="inlineStr">
        <is>
          <t>baking powder</t>
        </is>
      </c>
      <c r="F1943" s="3" t="n">
        <v>70</v>
      </c>
      <c r="G1943" s="2" t="inlineStr">
        <is>
          <t>70</t>
        </is>
      </c>
      <c r="H1943" s="2" t="inlineStr">
        <is>
          <t>H08 / H09; exact style differs</t>
        </is>
      </c>
    </row>
    <row r="1944">
      <c r="A1944" s="2" t="inlineStr">
        <is>
          <t>L206</t>
        </is>
      </c>
      <c r="B1944" s="2" t="inlineStr">
        <is>
          <t>Cake Prof</t>
        </is>
      </c>
      <c r="C1944" s="2" t="inlineStr">
        <is>
          <t>S103</t>
        </is>
      </c>
      <c r="D1944" s="2" t="inlineStr">
        <is>
          <t>'Cake Prof'!C7,D7</t>
        </is>
      </c>
      <c r="E1944" s="2" t="inlineStr">
        <is>
          <t>salt</t>
        </is>
      </c>
      <c r="F1944" s="3" t="n">
        <v>20</v>
      </c>
      <c r="G1944" s="2" t="inlineStr">
        <is>
          <t>20</t>
        </is>
      </c>
      <c r="H1944" s="2" t="inlineStr">
        <is>
          <t>H08 / H09; exact style differs</t>
        </is>
      </c>
    </row>
    <row r="1945">
      <c r="A1945" s="2" t="inlineStr">
        <is>
          <t>L206</t>
        </is>
      </c>
      <c r="B1945" s="2" t="inlineStr">
        <is>
          <t>Cake Prof</t>
        </is>
      </c>
      <c r="C1945" s="2" t="inlineStr">
        <is>
          <t>S103</t>
        </is>
      </c>
      <c r="D1945" s="2" t="inlineStr">
        <is>
          <t>'Cake Prof'!C8,D8</t>
        </is>
      </c>
      <c r="E1945" s="2" t="inlineStr">
        <is>
          <t>Nut Meg</t>
        </is>
      </c>
      <c r="F1945" s="3" t="n">
        <v>45</v>
      </c>
      <c r="G1945" s="2" t="inlineStr">
        <is>
          <t>45</t>
        </is>
      </c>
      <c r="H1945" s="2" t="inlineStr">
        <is>
          <t>H08 / H09; exact style differs</t>
        </is>
      </c>
    </row>
    <row r="1946">
      <c r="A1946" s="2" t="inlineStr">
        <is>
          <t>L206</t>
        </is>
      </c>
      <c r="B1946" s="2" t="inlineStr">
        <is>
          <t>Cake Prof</t>
        </is>
      </c>
      <c r="C1946" s="2" t="inlineStr">
        <is>
          <t>S103</t>
        </is>
      </c>
      <c r="D1946" s="2" t="inlineStr">
        <is>
          <t>'Cake Prof'!C9,D9</t>
        </is>
      </c>
      <c r="E1946" s="2" t="inlineStr">
        <is>
          <t>Egg</t>
        </is>
      </c>
      <c r="F1946" s="3" t="n">
        <v>800</v>
      </c>
      <c r="G1946" s="2" t="inlineStr">
        <is>
          <t>800</t>
        </is>
      </c>
      <c r="H1946" s="2" t="inlineStr">
        <is>
          <t>H08 / H09; exact style differs</t>
        </is>
      </c>
    </row>
    <row r="1947">
      <c r="A1947" s="2" t="inlineStr">
        <is>
          <t>L206</t>
        </is>
      </c>
      <c r="B1947" s="2" t="inlineStr">
        <is>
          <t>Cake Prof</t>
        </is>
      </c>
      <c r="C1947" s="2" t="inlineStr">
        <is>
          <t>S103</t>
        </is>
      </c>
      <c r="D1947" s="2" t="inlineStr">
        <is>
          <t>'Cake Prof'!C10,D10</t>
        </is>
      </c>
      <c r="E1947" s="2" t="inlineStr">
        <is>
          <t>Butter</t>
        </is>
      </c>
      <c r="F1947" s="3" t="n">
        <v>2000</v>
      </c>
      <c r="G1947" s="2" t="inlineStr">
        <is>
          <t>2000</t>
        </is>
      </c>
      <c r="H1947" s="2" t="inlineStr">
        <is>
          <t>H08 / H09; exact style differs</t>
        </is>
      </c>
    </row>
    <row r="1948">
      <c r="A1948" s="2" t="inlineStr">
        <is>
          <t>L206</t>
        </is>
      </c>
      <c r="B1948" s="2" t="inlineStr">
        <is>
          <t>Cake Prof</t>
        </is>
      </c>
      <c r="C1948" s="2" t="inlineStr">
        <is>
          <t>S103</t>
        </is>
      </c>
      <c r="D1948" s="2" t="inlineStr">
        <is>
          <t>'Cake Prof'!C11,D11</t>
        </is>
      </c>
      <c r="E1948" s="2" t="inlineStr">
        <is>
          <t>sugar</t>
        </is>
      </c>
      <c r="F1948" s="3" t="n">
        <v>800</v>
      </c>
      <c r="G1948" s="2" t="inlineStr">
        <is>
          <t>800</t>
        </is>
      </c>
      <c r="H1948" s="2" t="inlineStr">
        <is>
          <t>H08 / H09; exact style differs</t>
        </is>
      </c>
    </row>
    <row r="1949">
      <c r="A1949" s="2" t="inlineStr">
        <is>
          <t>L207</t>
        </is>
      </c>
      <c r="B1949" s="2" t="inlineStr">
        <is>
          <t>Pain au lait</t>
        </is>
      </c>
      <c r="C1949" s="2" t="inlineStr">
        <is>
          <t>S103</t>
        </is>
      </c>
      <c r="D1949" s="2" t="inlineStr">
        <is>
          <t>'Pain au lait'!C5,D5</t>
        </is>
      </c>
      <c r="E1949" s="2" t="inlineStr">
        <is>
          <t>flour</t>
        </is>
      </c>
      <c r="F1949" s="3" t="n">
        <v>5000</v>
      </c>
      <c r="G1949" s="2" t="inlineStr">
        <is>
          <t>5000</t>
        </is>
      </c>
      <c r="H1949" s="2" t="inlineStr">
        <is>
          <t>S-B07 / M1-B04</t>
        </is>
      </c>
    </row>
    <row r="1950">
      <c r="A1950" s="2" t="inlineStr">
        <is>
          <t>L207</t>
        </is>
      </c>
      <c r="B1950" s="2" t="inlineStr">
        <is>
          <t>Pain au lait</t>
        </is>
      </c>
      <c r="C1950" s="2" t="inlineStr">
        <is>
          <t>S103</t>
        </is>
      </c>
      <c r="D1950" s="2" t="inlineStr">
        <is>
          <t>'Pain au lait'!C6,D6</t>
        </is>
      </c>
      <c r="E1950" s="2" t="inlineStr">
        <is>
          <t>Butter</t>
        </is>
      </c>
      <c r="F1950" s="3" t="n">
        <v>200</v>
      </c>
      <c r="G1950" s="2" t="inlineStr">
        <is>
          <t>200</t>
        </is>
      </c>
      <c r="H1950" s="2" t="inlineStr">
        <is>
          <t>S-B07 / M1-B04</t>
        </is>
      </c>
    </row>
    <row r="1951">
      <c r="A1951" s="2" t="inlineStr">
        <is>
          <t>L207</t>
        </is>
      </c>
      <c r="B1951" s="2" t="inlineStr">
        <is>
          <t>Pain au lait</t>
        </is>
      </c>
      <c r="C1951" s="2" t="inlineStr">
        <is>
          <t>S103</t>
        </is>
      </c>
      <c r="D1951" s="2" t="inlineStr">
        <is>
          <t>'Pain au lait'!C7,D7</t>
        </is>
      </c>
      <c r="E1951" s="2" t="inlineStr">
        <is>
          <t>sugar</t>
        </is>
      </c>
      <c r="F1951" s="3" t="n">
        <v>300</v>
      </c>
      <c r="G1951" s="2" t="inlineStr">
        <is>
          <t>300</t>
        </is>
      </c>
      <c r="H1951" s="2" t="inlineStr">
        <is>
          <t>S-B07 / M1-B04</t>
        </is>
      </c>
    </row>
    <row r="1952">
      <c r="A1952" s="2" t="inlineStr">
        <is>
          <t>L207</t>
        </is>
      </c>
      <c r="B1952" s="2" t="inlineStr">
        <is>
          <t>Pain au lait</t>
        </is>
      </c>
      <c r="C1952" s="2" t="inlineStr">
        <is>
          <t>S103</t>
        </is>
      </c>
      <c r="D1952" s="2" t="inlineStr">
        <is>
          <t>'Pain au lait'!C8,D8</t>
        </is>
      </c>
      <c r="E1952" s="2" t="inlineStr">
        <is>
          <t>Milk</t>
        </is>
      </c>
      <c r="F1952" s="3" t="n">
        <v>100</v>
      </c>
      <c r="G1952" s="2" t="inlineStr">
        <is>
          <t>100</t>
        </is>
      </c>
      <c r="H1952" s="2" t="inlineStr">
        <is>
          <t>S-B07 / M1-B04</t>
        </is>
      </c>
    </row>
    <row r="1953">
      <c r="A1953" s="2" t="inlineStr">
        <is>
          <t>L207</t>
        </is>
      </c>
      <c r="B1953" s="2" t="inlineStr">
        <is>
          <t>Pain au lait</t>
        </is>
      </c>
      <c r="C1953" s="2" t="inlineStr">
        <is>
          <t>S103</t>
        </is>
      </c>
      <c r="D1953" s="2" t="inlineStr">
        <is>
          <t>'Pain au lait'!C9,D9</t>
        </is>
      </c>
      <c r="E1953" s="2" t="inlineStr">
        <is>
          <t>egg</t>
        </is>
      </c>
      <c r="F1953" s="3" t="n">
        <v>72</v>
      </c>
      <c r="G1953" s="2" t="inlineStr">
        <is>
          <t>72</t>
        </is>
      </c>
      <c r="H1953" s="2" t="inlineStr">
        <is>
          <t>S-B07 / M1-B04</t>
        </is>
      </c>
    </row>
    <row r="1954">
      <c r="A1954" s="2" t="inlineStr">
        <is>
          <t>L207</t>
        </is>
      </c>
      <c r="B1954" s="2" t="inlineStr">
        <is>
          <t>Pain au lait</t>
        </is>
      </c>
      <c r="C1954" s="2" t="inlineStr">
        <is>
          <t>S103</t>
        </is>
      </c>
      <c r="D1954" s="2" t="inlineStr">
        <is>
          <t>'Pain au lait'!C10,D10</t>
        </is>
      </c>
      <c r="E1954" s="2" t="inlineStr">
        <is>
          <t>salt</t>
        </is>
      </c>
      <c r="F1954" s="3" t="n">
        <v>45</v>
      </c>
      <c r="G1954" s="2" t="inlineStr">
        <is>
          <t>45</t>
        </is>
      </c>
      <c r="H1954" s="2" t="inlineStr">
        <is>
          <t>S-B07 / M1-B04</t>
        </is>
      </c>
    </row>
    <row r="1955">
      <c r="A1955" s="2" t="inlineStr">
        <is>
          <t>L207</t>
        </is>
      </c>
      <c r="B1955" s="2" t="inlineStr">
        <is>
          <t>Pain au lait</t>
        </is>
      </c>
      <c r="C1955" s="2" t="inlineStr">
        <is>
          <t>S103</t>
        </is>
      </c>
      <c r="D1955" s="2" t="inlineStr">
        <is>
          <t>'Pain au lait'!C11,D11</t>
        </is>
      </c>
      <c r="E1955" s="2" t="inlineStr">
        <is>
          <t>improver</t>
        </is>
      </c>
      <c r="F1955" s="3" t="n">
        <v>20</v>
      </c>
      <c r="G1955" s="2" t="inlineStr">
        <is>
          <t>20</t>
        </is>
      </c>
      <c r="H1955" s="2" t="inlineStr">
        <is>
          <t>S-B07 / M1-B04</t>
        </is>
      </c>
    </row>
    <row r="1956">
      <c r="A1956" s="2" t="inlineStr">
        <is>
          <t>L207</t>
        </is>
      </c>
      <c r="B1956" s="2" t="inlineStr">
        <is>
          <t>Pain au lait</t>
        </is>
      </c>
      <c r="C1956" s="2" t="inlineStr">
        <is>
          <t>S103</t>
        </is>
      </c>
      <c r="D1956" s="2" t="inlineStr">
        <is>
          <t>'Pain au lait'!C12,D12</t>
        </is>
      </c>
      <c r="E1956" s="2" t="inlineStr">
        <is>
          <t>yeast</t>
        </is>
      </c>
      <c r="F1956" s="3" t="n">
        <v>14</v>
      </c>
      <c r="G1956" s="2" t="inlineStr">
        <is>
          <t>14</t>
        </is>
      </c>
      <c r="H1956" s="2" t="inlineStr">
        <is>
          <t>S-B07 / M1-B04</t>
        </is>
      </c>
    </row>
    <row r="1957">
      <c r="A1957" s="2" t="inlineStr">
        <is>
          <t>L207</t>
        </is>
      </c>
      <c r="B1957" s="2" t="inlineStr">
        <is>
          <t>Pain au lait</t>
        </is>
      </c>
      <c r="C1957" s="2" t="inlineStr">
        <is>
          <t>S103</t>
        </is>
      </c>
      <c r="D1957" s="2" t="inlineStr">
        <is>
          <t>'Pain au lait'!C13,D13</t>
        </is>
      </c>
      <c r="E1957" s="2" t="inlineStr">
        <is>
          <t>water</t>
        </is>
      </c>
      <c r="F1957" s="3" t="n">
        <v>2000</v>
      </c>
      <c r="G1957" s="2" t="inlineStr">
        <is>
          <t>2000</t>
        </is>
      </c>
      <c r="H1957" s="2" t="inlineStr">
        <is>
          <t>S-B07 / M1-B04</t>
        </is>
      </c>
    </row>
    <row r="1958">
      <c r="A1958" s="2" t="inlineStr">
        <is>
          <t>L207</t>
        </is>
      </c>
      <c r="B1958" s="2" t="inlineStr">
        <is>
          <t>Pain au lait</t>
        </is>
      </c>
      <c r="C1958" s="2" t="inlineStr">
        <is>
          <t>S103</t>
        </is>
      </c>
      <c r="D1958" s="2" t="inlineStr">
        <is>
          <t>'Pain au lait'!C14,D14</t>
        </is>
      </c>
      <c r="E1958" s="2" t="inlineStr">
        <is>
          <t>Nutmeg</t>
        </is>
      </c>
      <c r="F1958" s="3" t="n">
        <v>12</v>
      </c>
      <c r="G1958" s="2" t="inlineStr">
        <is>
          <t>12</t>
        </is>
      </c>
      <c r="H1958" s="2" t="inlineStr">
        <is>
          <t>S-B07 / M1-B04</t>
        </is>
      </c>
    </row>
    <row r="1959">
      <c r="A1959" s="2" t="inlineStr">
        <is>
          <t>L208</t>
        </is>
      </c>
      <c r="B1959" s="2" t="inlineStr">
        <is>
          <t>brioche</t>
        </is>
      </c>
      <c r="C1959" s="2" t="inlineStr">
        <is>
          <t>S103</t>
        </is>
      </c>
      <c r="D1959" s="2" t="inlineStr">
        <is>
          <t>'brioche'!C5,D5</t>
        </is>
      </c>
      <c r="E1959" s="2" t="inlineStr">
        <is>
          <t>flour</t>
        </is>
      </c>
      <c r="F1959" s="3" t="n">
        <v>2500</v>
      </c>
      <c r="G1959" s="2" t="inlineStr">
        <is>
          <t>2500</t>
        </is>
      </c>
      <c r="H1959" s="2" t="inlineStr">
        <is>
          <t>S-B06; richer true-butter variant</t>
        </is>
      </c>
    </row>
    <row r="1960">
      <c r="A1960" s="2" t="inlineStr">
        <is>
          <t>L208</t>
        </is>
      </c>
      <c r="B1960" s="2" t="inlineStr">
        <is>
          <t>brioche</t>
        </is>
      </c>
      <c r="C1960" s="2" t="inlineStr">
        <is>
          <t>S103</t>
        </is>
      </c>
      <c r="D1960" s="2" t="inlineStr">
        <is>
          <t>'brioche'!C6,D6</t>
        </is>
      </c>
      <c r="E1960" s="2" t="inlineStr">
        <is>
          <t>Butter</t>
        </is>
      </c>
      <c r="F1960" s="3" t="n">
        <v>1250</v>
      </c>
      <c r="G1960" s="2" t="inlineStr">
        <is>
          <t>1250</t>
        </is>
      </c>
      <c r="H1960" s="2" t="inlineStr">
        <is>
          <t>S-B06; richer true-butter variant</t>
        </is>
      </c>
    </row>
    <row r="1961">
      <c r="A1961" s="2" t="inlineStr">
        <is>
          <t>L208</t>
        </is>
      </c>
      <c r="B1961" s="2" t="inlineStr">
        <is>
          <t>brioche</t>
        </is>
      </c>
      <c r="C1961" s="2" t="inlineStr">
        <is>
          <t>S103</t>
        </is>
      </c>
      <c r="D1961" s="2" t="inlineStr">
        <is>
          <t>'brioche'!C7,D7</t>
        </is>
      </c>
      <c r="E1961" s="2" t="inlineStr">
        <is>
          <t>sugar</t>
        </is>
      </c>
      <c r="F1961" s="3" t="n">
        <v>400</v>
      </c>
      <c r="G1961" s="2" t="inlineStr">
        <is>
          <t>400</t>
        </is>
      </c>
      <c r="H1961" s="2" t="inlineStr">
        <is>
          <t>S-B06; richer true-butter variant</t>
        </is>
      </c>
    </row>
    <row r="1962">
      <c r="A1962" s="2" t="inlineStr">
        <is>
          <t>L208</t>
        </is>
      </c>
      <c r="B1962" s="2" t="inlineStr">
        <is>
          <t>brioche</t>
        </is>
      </c>
      <c r="C1962" s="2" t="inlineStr">
        <is>
          <t>S103</t>
        </is>
      </c>
      <c r="D1962" s="2" t="inlineStr">
        <is>
          <t>'brioche'!C8,D8</t>
        </is>
      </c>
      <c r="E1962" s="2" t="inlineStr">
        <is>
          <t>Powdered Milk</t>
        </is>
      </c>
      <c r="F1962" s="3" t="n">
        <v>200</v>
      </c>
      <c r="G1962" s="2" t="inlineStr">
        <is>
          <t>200</t>
        </is>
      </c>
      <c r="H1962" s="2" t="inlineStr">
        <is>
          <t>S-B06; richer true-butter variant</t>
        </is>
      </c>
    </row>
    <row r="1963">
      <c r="A1963" s="2" t="inlineStr">
        <is>
          <t>L208</t>
        </is>
      </c>
      <c r="B1963" s="2" t="inlineStr">
        <is>
          <t>brioche</t>
        </is>
      </c>
      <c r="C1963" s="2" t="inlineStr">
        <is>
          <t>S103</t>
        </is>
      </c>
      <c r="D1963" s="2" t="inlineStr">
        <is>
          <t>'brioche'!C9,D9</t>
        </is>
      </c>
      <c r="E1963" s="2" t="inlineStr">
        <is>
          <t>egg</t>
        </is>
      </c>
      <c r="F1963" s="3" t="n">
        <v>270</v>
      </c>
      <c r="G1963" s="2" t="inlineStr">
        <is>
          <t>270</t>
        </is>
      </c>
      <c r="H1963" s="2" t="inlineStr">
        <is>
          <t>S-B06; richer true-butter variant</t>
        </is>
      </c>
    </row>
    <row r="1964">
      <c r="A1964" s="2" t="inlineStr">
        <is>
          <t>L208</t>
        </is>
      </c>
      <c r="B1964" s="2" t="inlineStr">
        <is>
          <t>brioche</t>
        </is>
      </c>
      <c r="C1964" s="2" t="inlineStr">
        <is>
          <t>S103</t>
        </is>
      </c>
      <c r="D1964" s="2" t="inlineStr">
        <is>
          <t>'brioche'!C10,D10</t>
        </is>
      </c>
      <c r="E1964" s="2" t="inlineStr">
        <is>
          <t>salt</t>
        </is>
      </c>
      <c r="F1964" s="3" t="n">
        <v>11</v>
      </c>
      <c r="G1964" s="2" t="inlineStr">
        <is>
          <t>11</t>
        </is>
      </c>
      <c r="H1964" s="2" t="inlineStr">
        <is>
          <t>S-B06; richer true-butter variant</t>
        </is>
      </c>
    </row>
    <row r="1965">
      <c r="A1965" s="2" t="inlineStr">
        <is>
          <t>L208</t>
        </is>
      </c>
      <c r="B1965" s="2" t="inlineStr">
        <is>
          <t>brioche</t>
        </is>
      </c>
      <c r="C1965" s="2" t="inlineStr">
        <is>
          <t>S103</t>
        </is>
      </c>
      <c r="D1965" s="2" t="inlineStr">
        <is>
          <t>'brioche'!C11,D11</t>
        </is>
      </c>
      <c r="E1965" s="2" t="inlineStr">
        <is>
          <t>improver</t>
        </is>
      </c>
      <c r="F1965" s="3" t="n">
        <v>10</v>
      </c>
      <c r="G1965" s="2" t="inlineStr">
        <is>
          <t>10</t>
        </is>
      </c>
      <c r="H1965" s="2" t="inlineStr">
        <is>
          <t>S-B06; richer true-butter variant</t>
        </is>
      </c>
    </row>
    <row r="1966">
      <c r="A1966" s="2" t="inlineStr">
        <is>
          <t>L208</t>
        </is>
      </c>
      <c r="B1966" s="2" t="inlineStr">
        <is>
          <t>brioche</t>
        </is>
      </c>
      <c r="C1966" s="2" t="inlineStr">
        <is>
          <t>S103</t>
        </is>
      </c>
      <c r="D1966" s="2" t="inlineStr">
        <is>
          <t>'brioche'!C12,D12</t>
        </is>
      </c>
      <c r="E1966" s="2" t="inlineStr">
        <is>
          <t>yeast</t>
        </is>
      </c>
      <c r="F1966" s="3" t="n">
        <v>12</v>
      </c>
      <c r="G1966" s="2" t="inlineStr">
        <is>
          <t>12</t>
        </is>
      </c>
      <c r="H1966" s="2" t="inlineStr">
        <is>
          <t>S-B06; richer true-butter variant</t>
        </is>
      </c>
    </row>
    <row r="1967">
      <c r="A1967" s="2" t="inlineStr">
        <is>
          <t>L208</t>
        </is>
      </c>
      <c r="B1967" s="2" t="inlineStr">
        <is>
          <t>brioche</t>
        </is>
      </c>
      <c r="C1967" s="2" t="inlineStr">
        <is>
          <t>S103</t>
        </is>
      </c>
      <c r="D1967" s="2" t="inlineStr">
        <is>
          <t>'brioche'!C13,D13</t>
        </is>
      </c>
      <c r="E1967" s="2" t="inlineStr">
        <is>
          <t>water</t>
        </is>
      </c>
      <c r="F1967" s="3" t="n">
        <v>60</v>
      </c>
      <c r="G1967" s="2" t="inlineStr">
        <is>
          <t>60</t>
        </is>
      </c>
      <c r="H1967" s="2" t="inlineStr">
        <is>
          <t>S-B06; richer true-butter variant</t>
        </is>
      </c>
    </row>
    <row r="1968">
      <c r="A1968" s="2" t="inlineStr">
        <is>
          <t>L209</t>
        </is>
      </c>
      <c r="B1968" s="2" t="inlineStr">
        <is>
          <t>gateau new look</t>
        </is>
      </c>
      <c r="C1968" s="2" t="inlineStr">
        <is>
          <t>S103</t>
        </is>
      </c>
      <c r="D1968" s="2" t="inlineStr">
        <is>
          <t>'gateau new look'!C5,D5</t>
        </is>
      </c>
      <c r="E1968" s="2" t="inlineStr">
        <is>
          <t>flour</t>
        </is>
      </c>
      <c r="F1968" s="3" t="n">
        <v>25000</v>
      </c>
      <c r="G1968" s="2" t="inlineStr">
        <is>
          <t>25000</t>
        </is>
      </c>
      <c r="H1968" s="2" t="inlineStr">
        <is>
          <t>Retain unique variant; no equivalent operating card selected</t>
        </is>
      </c>
    </row>
    <row r="1969">
      <c r="A1969" s="2" t="inlineStr">
        <is>
          <t>L209</t>
        </is>
      </c>
      <c r="B1969" s="2" t="inlineStr">
        <is>
          <t>gateau new look</t>
        </is>
      </c>
      <c r="C1969" s="2" t="inlineStr">
        <is>
          <t>S103</t>
        </is>
      </c>
      <c r="D1969" s="2" t="inlineStr">
        <is>
          <t>'gateau new look'!C6,D6</t>
        </is>
      </c>
      <c r="E1969" s="2" t="inlineStr">
        <is>
          <t>Butter</t>
        </is>
      </c>
      <c r="F1969" s="3" t="n">
        <v>1600</v>
      </c>
      <c r="G1969" s="2" t="inlineStr">
        <is>
          <t>1600</t>
        </is>
      </c>
      <c r="H1969" s="2" t="inlineStr">
        <is>
          <t>Retain unique variant; no equivalent operating card selected</t>
        </is>
      </c>
    </row>
    <row r="1970">
      <c r="A1970" s="2" t="inlineStr">
        <is>
          <t>L209</t>
        </is>
      </c>
      <c r="B1970" s="2" t="inlineStr">
        <is>
          <t>gateau new look</t>
        </is>
      </c>
      <c r="C1970" s="2" t="inlineStr">
        <is>
          <t>S103</t>
        </is>
      </c>
      <c r="D1970" s="2" t="inlineStr">
        <is>
          <t>'gateau new look'!C7,D7</t>
        </is>
      </c>
      <c r="E1970" s="2" t="inlineStr">
        <is>
          <t>sugar</t>
        </is>
      </c>
      <c r="F1970" s="3" t="n">
        <v>1600</v>
      </c>
      <c r="G1970" s="2" t="inlineStr">
        <is>
          <t>1600</t>
        </is>
      </c>
      <c r="H1970" s="2" t="inlineStr">
        <is>
          <t>Retain unique variant; no equivalent operating card selected</t>
        </is>
      </c>
    </row>
    <row r="1971">
      <c r="A1971" s="2" t="inlineStr">
        <is>
          <t>L209</t>
        </is>
      </c>
      <c r="B1971" s="2" t="inlineStr">
        <is>
          <t>gateau new look</t>
        </is>
      </c>
      <c r="C1971" s="2" t="inlineStr">
        <is>
          <t>S103</t>
        </is>
      </c>
      <c r="D1971" s="2" t="inlineStr">
        <is>
          <t>'gateau new look'!C8,D8</t>
        </is>
      </c>
      <c r="E1971" s="2" t="inlineStr">
        <is>
          <t>Conc Milk</t>
        </is>
      </c>
      <c r="F1971" s="3" t="n">
        <v>950</v>
      </c>
      <c r="G1971" s="2" t="inlineStr">
        <is>
          <t>950</t>
        </is>
      </c>
      <c r="H1971" s="2" t="inlineStr">
        <is>
          <t>Retain unique variant; no equivalent operating card selected</t>
        </is>
      </c>
    </row>
    <row r="1972">
      <c r="A1972" s="2" t="inlineStr">
        <is>
          <t>L209</t>
        </is>
      </c>
      <c r="B1972" s="2" t="inlineStr">
        <is>
          <t>gateau new look</t>
        </is>
      </c>
      <c r="C1972" s="2" t="inlineStr">
        <is>
          <t>S103</t>
        </is>
      </c>
      <c r="D1972" s="2" t="inlineStr">
        <is>
          <t>'gateau new look'!C9,D9</t>
        </is>
      </c>
      <c r="E1972" s="2" t="inlineStr">
        <is>
          <t>egg</t>
        </is>
      </c>
      <c r="F1972" s="3" t="n">
        <v>80</v>
      </c>
      <c r="G1972" s="2" t="inlineStr">
        <is>
          <t>80</t>
        </is>
      </c>
      <c r="H1972" s="2" t="inlineStr">
        <is>
          <t>Retain unique variant; no equivalent operating card selected</t>
        </is>
      </c>
    </row>
    <row r="1973">
      <c r="A1973" s="2" t="inlineStr">
        <is>
          <t>L209</t>
        </is>
      </c>
      <c r="B1973" s="2" t="inlineStr">
        <is>
          <t>gateau new look</t>
        </is>
      </c>
      <c r="C1973" s="2" t="inlineStr">
        <is>
          <t>S103</t>
        </is>
      </c>
      <c r="D1973" s="2" t="inlineStr">
        <is>
          <t>'gateau new look'!C10,D10</t>
        </is>
      </c>
      <c r="E1973" s="2" t="inlineStr">
        <is>
          <t>salt</t>
        </is>
      </c>
      <c r="F1973" s="3" t="n">
        <v>270</v>
      </c>
      <c r="G1973" s="2" t="inlineStr">
        <is>
          <t>270</t>
        </is>
      </c>
      <c r="H1973" s="2" t="inlineStr">
        <is>
          <t>Retain unique variant; no equivalent operating card selected</t>
        </is>
      </c>
    </row>
    <row r="1974">
      <c r="A1974" s="2" t="inlineStr">
        <is>
          <t>L209</t>
        </is>
      </c>
      <c r="B1974" s="2" t="inlineStr">
        <is>
          <t>gateau new look</t>
        </is>
      </c>
      <c r="C1974" s="2" t="inlineStr">
        <is>
          <t>S103</t>
        </is>
      </c>
      <c r="D1974" s="2" t="inlineStr">
        <is>
          <t>'gateau new look'!C11,D11</t>
        </is>
      </c>
      <c r="E1974" s="2" t="inlineStr">
        <is>
          <t>improver</t>
        </is>
      </c>
      <c r="F1974" s="3" t="n">
        <v>130</v>
      </c>
      <c r="G1974" s="2" t="inlineStr">
        <is>
          <t>130</t>
        </is>
      </c>
      <c r="H1974" s="2" t="inlineStr">
        <is>
          <t>Retain unique variant; no equivalent operating card selected</t>
        </is>
      </c>
    </row>
    <row r="1975">
      <c r="A1975" s="2" t="inlineStr">
        <is>
          <t>L209</t>
        </is>
      </c>
      <c r="B1975" s="2" t="inlineStr">
        <is>
          <t>gateau new look</t>
        </is>
      </c>
      <c r="C1975" s="2" t="inlineStr">
        <is>
          <t>S103</t>
        </is>
      </c>
      <c r="D1975" s="2" t="inlineStr">
        <is>
          <t>'gateau new look'!C12,D12</t>
        </is>
      </c>
      <c r="E1975" s="2" t="inlineStr">
        <is>
          <t>yeast</t>
        </is>
      </c>
      <c r="F1975" s="3" t="n">
        <v>100</v>
      </c>
      <c r="G1975" s="2" t="inlineStr">
        <is>
          <t>100</t>
        </is>
      </c>
      <c r="H1975" s="2" t="inlineStr">
        <is>
          <t>Retain unique variant; no equivalent operating card selected</t>
        </is>
      </c>
    </row>
    <row r="1976">
      <c r="A1976" s="2" t="inlineStr">
        <is>
          <t>L209</t>
        </is>
      </c>
      <c r="B1976" s="2" t="inlineStr">
        <is>
          <t>gateau new look</t>
        </is>
      </c>
      <c r="C1976" s="2" t="inlineStr">
        <is>
          <t>S103</t>
        </is>
      </c>
      <c r="D1976" s="2" t="inlineStr">
        <is>
          <t>'gateau new look'!C13,D13</t>
        </is>
      </c>
      <c r="E1976" s="2" t="inlineStr">
        <is>
          <t>water</t>
        </is>
      </c>
      <c r="F1976" s="3" t="n">
        <v>10000</v>
      </c>
      <c r="G1976" s="2" t="inlineStr">
        <is>
          <t>10000</t>
        </is>
      </c>
      <c r="H1976" s="2" t="inlineStr">
        <is>
          <t>Retain unique variant; no equivalent operating card selected</t>
        </is>
      </c>
    </row>
    <row r="1977">
      <c r="A1977" s="2" t="inlineStr">
        <is>
          <t>L209</t>
        </is>
      </c>
      <c r="B1977" s="2" t="inlineStr">
        <is>
          <t>gateau new look</t>
        </is>
      </c>
      <c r="C1977" s="2" t="inlineStr">
        <is>
          <t>S103</t>
        </is>
      </c>
      <c r="D1977" s="2" t="inlineStr">
        <is>
          <t>'gateau new look'!C14,D14</t>
        </is>
      </c>
      <c r="E1977" s="2" t="inlineStr">
        <is>
          <t>Nutmeg</t>
        </is>
      </c>
      <c r="F1977" s="3" t="n">
        <v>40</v>
      </c>
      <c r="G1977" s="2" t="inlineStr">
        <is>
          <t>40</t>
        </is>
      </c>
      <c r="H1977" s="2" t="inlineStr">
        <is>
          <t>Retain unique variant; no equivalent operating card selected</t>
        </is>
      </c>
    </row>
    <row r="1978">
      <c r="A1978" s="2" t="inlineStr">
        <is>
          <t>L209</t>
        </is>
      </c>
      <c r="B1978" s="2" t="inlineStr">
        <is>
          <t>gateau new look</t>
        </is>
      </c>
      <c r="C1978" s="2" t="inlineStr">
        <is>
          <t>S103</t>
        </is>
      </c>
      <c r="D1978" s="2" t="inlineStr">
        <is>
          <t>'gateau new look'!C15,D15</t>
        </is>
      </c>
      <c r="E1978" s="2" t="inlineStr">
        <is>
          <t>baking powder</t>
        </is>
      </c>
      <c r="F1978" s="3" t="n">
        <v>140</v>
      </c>
      <c r="G1978" s="2" t="inlineStr">
        <is>
          <t>140</t>
        </is>
      </c>
      <c r="H1978" s="2" t="inlineStr">
        <is>
          <t>Retain unique variant; no equivalent operating card selected</t>
        </is>
      </c>
    </row>
    <row r="1979">
      <c r="A1979" s="2" t="inlineStr">
        <is>
          <t>L209</t>
        </is>
      </c>
      <c r="B1979" s="2" t="inlineStr">
        <is>
          <t>gateau new look</t>
        </is>
      </c>
      <c r="C1979" s="2" t="inlineStr">
        <is>
          <t>S103</t>
        </is>
      </c>
      <c r="D1979" s="2" t="inlineStr">
        <is>
          <t>'gateau new look'!C16,D16</t>
        </is>
      </c>
      <c r="E1979" s="2" t="inlineStr">
        <is>
          <t>frying oil</t>
        </is>
      </c>
      <c r="F1979" s="3" t="n">
        <v>10</v>
      </c>
      <c r="G1979" s="2" t="inlineStr">
        <is>
          <t>10</t>
        </is>
      </c>
      <c r="H1979" s="2" t="inlineStr">
        <is>
          <t>Retain unique variant; no equivalent operating card selected</t>
        </is>
      </c>
    </row>
    <row r="1980">
      <c r="A1980" s="2" t="inlineStr">
        <is>
          <t>L210</t>
        </is>
      </c>
      <c r="B1980" s="2" t="inlineStr">
        <is>
          <t>NEW BRIOCHE</t>
        </is>
      </c>
      <c r="C1980" s="2" t="inlineStr">
        <is>
          <t>S105</t>
        </is>
      </c>
      <c r="D1980" s="2" t="inlineStr">
        <is>
          <t>'NEW BRIOCHE'!C5,D5</t>
        </is>
      </c>
      <c r="E1980" s="2" t="inlineStr">
        <is>
          <t>flour</t>
        </is>
      </c>
      <c r="F1980" s="3" t="n">
        <v>8000</v>
      </c>
      <c r="G1980" s="2" t="inlineStr">
        <is>
          <t>8000</t>
        </is>
      </c>
      <c r="H1980" s="2" t="inlineStr">
        <is>
          <t>S-B06; richer true-butter variant</t>
        </is>
      </c>
    </row>
    <row r="1981">
      <c r="A1981" s="2" t="inlineStr">
        <is>
          <t>L210</t>
        </is>
      </c>
      <c r="B1981" s="2" t="inlineStr">
        <is>
          <t>NEW BRIOCHE</t>
        </is>
      </c>
      <c r="C1981" s="2" t="inlineStr">
        <is>
          <t>S105</t>
        </is>
      </c>
      <c r="D1981" s="2" t="inlineStr">
        <is>
          <t>'NEW BRIOCHE'!C6,D6</t>
        </is>
      </c>
      <c r="E1981" s="2" t="inlineStr">
        <is>
          <t>Butter</t>
        </is>
      </c>
      <c r="F1981" s="3" t="n">
        <v>3500</v>
      </c>
      <c r="G1981" s="2" t="inlineStr">
        <is>
          <t>3500</t>
        </is>
      </c>
      <c r="H1981" s="2" t="inlineStr">
        <is>
          <t>S-B06; richer true-butter variant</t>
        </is>
      </c>
    </row>
    <row r="1982">
      <c r="A1982" s="2" t="inlineStr">
        <is>
          <t>L210</t>
        </is>
      </c>
      <c r="B1982" s="2" t="inlineStr">
        <is>
          <t>NEW BRIOCHE</t>
        </is>
      </c>
      <c r="C1982" s="2" t="inlineStr">
        <is>
          <t>S105</t>
        </is>
      </c>
      <c r="D1982" s="2" t="inlineStr">
        <is>
          <t>'NEW BRIOCHE'!C7,D7</t>
        </is>
      </c>
      <c r="E1982" s="2" t="inlineStr">
        <is>
          <t>sugar</t>
        </is>
      </c>
      <c r="F1982" s="3" t="n">
        <v>1100</v>
      </c>
      <c r="G1982" s="2" t="inlineStr">
        <is>
          <t>1100</t>
        </is>
      </c>
      <c r="H1982" s="2" t="inlineStr">
        <is>
          <t>S-B06; richer true-butter variant</t>
        </is>
      </c>
    </row>
    <row r="1983">
      <c r="A1983" s="2" t="inlineStr">
        <is>
          <t>L210</t>
        </is>
      </c>
      <c r="B1983" s="2" t="inlineStr">
        <is>
          <t>NEW BRIOCHE</t>
        </is>
      </c>
      <c r="C1983" s="2" t="inlineStr">
        <is>
          <t>S105</t>
        </is>
      </c>
      <c r="D1983" s="2" t="inlineStr">
        <is>
          <t>'NEW BRIOCHE'!C8,D8</t>
        </is>
      </c>
      <c r="E1983" s="2" t="inlineStr">
        <is>
          <t>Milk</t>
        </is>
      </c>
      <c r="F1983" s="3" t="n">
        <v>950</v>
      </c>
      <c r="G1983" s="2" t="inlineStr">
        <is>
          <t>950</t>
        </is>
      </c>
      <c r="H1983" s="2" t="inlineStr">
        <is>
          <t>S-B06; richer true-butter variant</t>
        </is>
      </c>
    </row>
    <row r="1984">
      <c r="A1984" s="2" t="inlineStr">
        <is>
          <t>L210</t>
        </is>
      </c>
      <c r="B1984" s="2" t="inlineStr">
        <is>
          <t>NEW BRIOCHE</t>
        </is>
      </c>
      <c r="C1984" s="2" t="inlineStr">
        <is>
          <t>S105</t>
        </is>
      </c>
      <c r="D1984" s="2" t="inlineStr">
        <is>
          <t>'NEW BRIOCHE'!C9,D9</t>
        </is>
      </c>
      <c r="E1984" s="2" t="inlineStr">
        <is>
          <t>egg</t>
        </is>
      </c>
      <c r="F1984" s="3" t="n">
        <v>750</v>
      </c>
      <c r="G1984" s="2" t="inlineStr">
        <is>
          <t>750</t>
        </is>
      </c>
      <c r="H1984" s="2" t="inlineStr">
        <is>
          <t>S-B06; richer true-butter variant</t>
        </is>
      </c>
    </row>
    <row r="1985">
      <c r="A1985" s="2" t="inlineStr">
        <is>
          <t>L210</t>
        </is>
      </c>
      <c r="B1985" s="2" t="inlineStr">
        <is>
          <t>NEW BRIOCHE</t>
        </is>
      </c>
      <c r="C1985" s="2" t="inlineStr">
        <is>
          <t>S105</t>
        </is>
      </c>
      <c r="D1985" s="2" t="inlineStr">
        <is>
          <t>'NEW BRIOCHE'!C10,D10</t>
        </is>
      </c>
      <c r="E1985" s="2" t="inlineStr">
        <is>
          <t>salt</t>
        </is>
      </c>
      <c r="F1985" s="3" t="n">
        <v>50</v>
      </c>
      <c r="G1985" s="2" t="inlineStr">
        <is>
          <t>50</t>
        </is>
      </c>
      <c r="H1985" s="2" t="inlineStr">
        <is>
          <t>S-B06; richer true-butter variant</t>
        </is>
      </c>
    </row>
    <row r="1986">
      <c r="A1986" s="2" t="inlineStr">
        <is>
          <t>L210</t>
        </is>
      </c>
      <c r="B1986" s="2" t="inlineStr">
        <is>
          <t>NEW BRIOCHE</t>
        </is>
      </c>
      <c r="C1986" s="2" t="inlineStr">
        <is>
          <t>S105</t>
        </is>
      </c>
      <c r="D1986" s="2" t="inlineStr">
        <is>
          <t>'NEW BRIOCHE'!C11,D11</t>
        </is>
      </c>
      <c r="E1986" s="2" t="inlineStr">
        <is>
          <t>improver</t>
        </is>
      </c>
      <c r="F1986" s="3" t="n">
        <v>50</v>
      </c>
      <c r="G1986" s="2" t="inlineStr">
        <is>
          <t>50</t>
        </is>
      </c>
      <c r="H1986" s="2" t="inlineStr">
        <is>
          <t>S-B06; richer true-butter variant</t>
        </is>
      </c>
    </row>
    <row r="1987">
      <c r="A1987" s="2" t="inlineStr">
        <is>
          <t>L210</t>
        </is>
      </c>
      <c r="B1987" s="2" t="inlineStr">
        <is>
          <t>NEW BRIOCHE</t>
        </is>
      </c>
      <c r="C1987" s="2" t="inlineStr">
        <is>
          <t>S105</t>
        </is>
      </c>
      <c r="D1987" s="2" t="inlineStr">
        <is>
          <t>'NEW BRIOCHE'!C12,D12</t>
        </is>
      </c>
      <c r="E1987" s="2" t="inlineStr">
        <is>
          <t>yeast</t>
        </is>
      </c>
      <c r="F1987" s="3" t="n">
        <v>70</v>
      </c>
      <c r="G1987" s="2" t="inlineStr">
        <is>
          <t>70</t>
        </is>
      </c>
      <c r="H1987" s="2" t="inlineStr">
        <is>
          <t>S-B06; richer true-butter variant</t>
        </is>
      </c>
    </row>
    <row r="1988">
      <c r="A1988" s="2" t="inlineStr">
        <is>
          <t>L210</t>
        </is>
      </c>
      <c r="B1988" s="2" t="inlineStr">
        <is>
          <t>NEW BRIOCHE</t>
        </is>
      </c>
      <c r="C1988" s="2" t="inlineStr">
        <is>
          <t>S105</t>
        </is>
      </c>
      <c r="D1988" s="2" t="inlineStr">
        <is>
          <t>'NEW BRIOCHE'!C13,D13</t>
        </is>
      </c>
      <c r="E1988" s="2" t="inlineStr">
        <is>
          <t>water</t>
        </is>
      </c>
      <c r="F1988" s="3" t="n">
        <v>1400</v>
      </c>
      <c r="G1988" s="2" t="inlineStr">
        <is>
          <t>1400</t>
        </is>
      </c>
      <c r="H1988" s="2" t="inlineStr">
        <is>
          <t>S-B06; richer true-butter variant</t>
        </is>
      </c>
    </row>
    <row r="1989">
      <c r="A1989" s="2" t="inlineStr">
        <is>
          <t>L210</t>
        </is>
      </c>
      <c r="B1989" s="2" t="inlineStr">
        <is>
          <t>NEW BRIOCHE</t>
        </is>
      </c>
      <c r="C1989" s="2" t="inlineStr">
        <is>
          <t>S105</t>
        </is>
      </c>
      <c r="D1989" s="2" t="inlineStr">
        <is>
          <t>'NEW BRIOCHE'!C14,D14</t>
        </is>
      </c>
      <c r="E1989" s="2" t="inlineStr">
        <is>
          <t>Milk tantalizer</t>
        </is>
      </c>
      <c r="F1989" s="3" t="n">
        <v>3</v>
      </c>
      <c r="G1989" s="2" t="inlineStr">
        <is>
          <t>3</t>
        </is>
      </c>
      <c r="H1989" s="2" t="inlineStr">
        <is>
          <t>S-B06; richer true-butter variant</t>
        </is>
      </c>
    </row>
    <row r="1990">
      <c r="A1990" s="2" t="inlineStr">
        <is>
          <t>L210</t>
        </is>
      </c>
      <c r="B1990" s="2" t="inlineStr">
        <is>
          <t>NEW BRIOCHE</t>
        </is>
      </c>
      <c r="C1990" s="2" t="inlineStr">
        <is>
          <t>S105</t>
        </is>
      </c>
      <c r="D1990" s="2" t="inlineStr">
        <is>
          <t>'NEW BRIOCHE'!C15,D15</t>
        </is>
      </c>
      <c r="E1990" s="2" t="inlineStr">
        <is>
          <t>EDC</t>
        </is>
      </c>
      <c r="F1990" s="3" t="n">
        <v>25</v>
      </c>
      <c r="G1990" s="2" t="inlineStr">
        <is>
          <t>25</t>
        </is>
      </c>
      <c r="H1990" s="2" t="inlineStr">
        <is>
          <t>S-B06; richer true-butter variant</t>
        </is>
      </c>
    </row>
    <row r="1991">
      <c r="A1991" s="2" t="inlineStr">
        <is>
          <t>L210</t>
        </is>
      </c>
      <c r="B1991" s="2" t="inlineStr">
        <is>
          <t>NEW BRIOCHE</t>
        </is>
      </c>
      <c r="C1991" s="2" t="inlineStr">
        <is>
          <t>S105</t>
        </is>
      </c>
      <c r="D1991" s="2" t="inlineStr">
        <is>
          <t>'NEW BRIOCHE'!C16,D16</t>
        </is>
      </c>
      <c r="E1991" s="2" t="inlineStr">
        <is>
          <t>Nutmeg</t>
        </is>
      </c>
      <c r="F1991" s="3" t="n">
        <v>15</v>
      </c>
      <c r="G1991" s="2" t="inlineStr">
        <is>
          <t>15</t>
        </is>
      </c>
      <c r="H1991" s="2" t="inlineStr">
        <is>
          <t>S-B06; richer true-butter variant</t>
        </is>
      </c>
    </row>
    <row r="1992">
      <c r="A1992" s="2" t="inlineStr">
        <is>
          <t>L211</t>
        </is>
      </c>
      <c r="B1992" s="2" t="inlineStr">
        <is>
          <t>Pain au lait</t>
        </is>
      </c>
      <c r="C1992" s="2" t="inlineStr">
        <is>
          <t>S105</t>
        </is>
      </c>
      <c r="D1992" s="2" t="inlineStr">
        <is>
          <t>'Pain au lait'!C5,D5</t>
        </is>
      </c>
      <c r="E1992" s="2" t="inlineStr">
        <is>
          <t>flour</t>
        </is>
      </c>
      <c r="F1992" s="3" t="n">
        <v>12000</v>
      </c>
      <c r="G1992" s="2" t="inlineStr">
        <is>
          <t>12000</t>
        </is>
      </c>
      <c r="H1992" s="2" t="inlineStr">
        <is>
          <t>S-B07 / M1-B04</t>
        </is>
      </c>
    </row>
    <row r="1993">
      <c r="A1993" s="2" t="inlineStr">
        <is>
          <t>L211</t>
        </is>
      </c>
      <c r="B1993" s="2" t="inlineStr">
        <is>
          <t>Pain au lait</t>
        </is>
      </c>
      <c r="C1993" s="2" t="inlineStr">
        <is>
          <t>S105</t>
        </is>
      </c>
      <c r="D1993" s="2" t="inlineStr">
        <is>
          <t>'Pain au lait'!C6,D6</t>
        </is>
      </c>
      <c r="E1993" s="2" t="inlineStr">
        <is>
          <t>Butter</t>
        </is>
      </c>
      <c r="F1993" s="3" t="n">
        <v>1000</v>
      </c>
      <c r="G1993" s="2" t="inlineStr">
        <is>
          <t>1000</t>
        </is>
      </c>
      <c r="H1993" s="2" t="inlineStr">
        <is>
          <t>S-B07 / M1-B04</t>
        </is>
      </c>
    </row>
    <row r="1994">
      <c r="A1994" s="2" t="inlineStr">
        <is>
          <t>L211</t>
        </is>
      </c>
      <c r="B1994" s="2" t="inlineStr">
        <is>
          <t>Pain au lait</t>
        </is>
      </c>
      <c r="C1994" s="2" t="inlineStr">
        <is>
          <t>S105</t>
        </is>
      </c>
      <c r="D1994" s="2" t="inlineStr">
        <is>
          <t>'Pain au lait'!C7,D7</t>
        </is>
      </c>
      <c r="E1994" s="2" t="inlineStr">
        <is>
          <t>sugar</t>
        </is>
      </c>
      <c r="F1994" s="3" t="n">
        <v>1100</v>
      </c>
      <c r="G1994" s="2" t="inlineStr">
        <is>
          <t>1100</t>
        </is>
      </c>
      <c r="H1994" s="2" t="inlineStr">
        <is>
          <t>S-B07 / M1-B04</t>
        </is>
      </c>
    </row>
    <row r="1995">
      <c r="A1995" s="2" t="inlineStr">
        <is>
          <t>L211</t>
        </is>
      </c>
      <c r="B1995" s="2" t="inlineStr">
        <is>
          <t>Pain au lait</t>
        </is>
      </c>
      <c r="C1995" s="2" t="inlineStr">
        <is>
          <t>S105</t>
        </is>
      </c>
      <c r="D1995" s="2" t="inlineStr">
        <is>
          <t>'Pain au lait'!C8,D8</t>
        </is>
      </c>
      <c r="E1995" s="2" t="inlineStr">
        <is>
          <t>Milk</t>
        </is>
      </c>
      <c r="F1995" s="3" t="n">
        <v>950</v>
      </c>
      <c r="G1995" s="2" t="inlineStr">
        <is>
          <t>950</t>
        </is>
      </c>
      <c r="H1995" s="2" t="inlineStr">
        <is>
          <t>S-B07 / M1-B04</t>
        </is>
      </c>
    </row>
    <row r="1996">
      <c r="A1996" s="2" t="inlineStr">
        <is>
          <t>L211</t>
        </is>
      </c>
      <c r="B1996" s="2" t="inlineStr">
        <is>
          <t>Pain au lait</t>
        </is>
      </c>
      <c r="C1996" s="2" t="inlineStr">
        <is>
          <t>S105</t>
        </is>
      </c>
      <c r="D1996" s="2" t="inlineStr">
        <is>
          <t>'Pain au lait'!C9,D9</t>
        </is>
      </c>
      <c r="E1996" s="2" t="inlineStr">
        <is>
          <t>egg</t>
        </is>
      </c>
      <c r="F1996" s="3" t="n">
        <v>300</v>
      </c>
      <c r="G1996" s="2" t="inlineStr">
        <is>
          <t>300</t>
        </is>
      </c>
      <c r="H1996" s="2" t="inlineStr">
        <is>
          <t>S-B07 / M1-B04</t>
        </is>
      </c>
    </row>
    <row r="1997">
      <c r="A1997" s="2" t="inlineStr">
        <is>
          <t>L211</t>
        </is>
      </c>
      <c r="B1997" s="2" t="inlineStr">
        <is>
          <t>Pain au lait</t>
        </is>
      </c>
      <c r="C1997" s="2" t="inlineStr">
        <is>
          <t>S105</t>
        </is>
      </c>
      <c r="D1997" s="2" t="inlineStr">
        <is>
          <t>'Pain au lait'!C10,D10</t>
        </is>
      </c>
      <c r="E1997" s="2" t="inlineStr">
        <is>
          <t>salt</t>
        </is>
      </c>
      <c r="F1997" s="3" t="n">
        <v>85</v>
      </c>
      <c r="G1997" s="2" t="inlineStr">
        <is>
          <t>85</t>
        </is>
      </c>
      <c r="H1997" s="2" t="inlineStr">
        <is>
          <t>S-B07 / M1-B04</t>
        </is>
      </c>
    </row>
    <row r="1998">
      <c r="A1998" s="2" t="inlineStr">
        <is>
          <t>L211</t>
        </is>
      </c>
      <c r="B1998" s="2" t="inlineStr">
        <is>
          <t>Pain au lait</t>
        </is>
      </c>
      <c r="C1998" s="2" t="inlineStr">
        <is>
          <t>S105</t>
        </is>
      </c>
      <c r="D1998" s="2" t="inlineStr">
        <is>
          <t>'Pain au lait'!C11,D11</t>
        </is>
      </c>
      <c r="E1998" s="2" t="inlineStr">
        <is>
          <t>improver</t>
        </is>
      </c>
      <c r="F1998" s="3" t="n">
        <v>100</v>
      </c>
      <c r="G1998" s="2" t="inlineStr">
        <is>
          <t>100</t>
        </is>
      </c>
      <c r="H1998" s="2" t="inlineStr">
        <is>
          <t>S-B07 / M1-B04</t>
        </is>
      </c>
    </row>
    <row r="1999">
      <c r="A1999" s="2" t="inlineStr">
        <is>
          <t>L211</t>
        </is>
      </c>
      <c r="B1999" s="2" t="inlineStr">
        <is>
          <t>Pain au lait</t>
        </is>
      </c>
      <c r="C1999" s="2" t="inlineStr">
        <is>
          <t>S105</t>
        </is>
      </c>
      <c r="D1999" s="2" t="inlineStr">
        <is>
          <t>'Pain au lait'!C12,D12</t>
        </is>
      </c>
      <c r="E1999" s="2" t="inlineStr">
        <is>
          <t>yeast</t>
        </is>
      </c>
      <c r="F1999" s="3" t="n">
        <v>80</v>
      </c>
      <c r="G1999" s="2" t="inlineStr">
        <is>
          <t>80</t>
        </is>
      </c>
      <c r="H1999" s="2" t="inlineStr">
        <is>
          <t>S-B07 / M1-B04</t>
        </is>
      </c>
    </row>
    <row r="2000">
      <c r="A2000" s="2" t="inlineStr">
        <is>
          <t>L211</t>
        </is>
      </c>
      <c r="B2000" s="2" t="inlineStr">
        <is>
          <t>Pain au lait</t>
        </is>
      </c>
      <c r="C2000" s="2" t="inlineStr">
        <is>
          <t>S105</t>
        </is>
      </c>
      <c r="D2000" s="2" t="inlineStr">
        <is>
          <t>'Pain au lait'!C13,D13</t>
        </is>
      </c>
      <c r="E2000" s="2" t="inlineStr">
        <is>
          <t>water</t>
        </is>
      </c>
      <c r="F2000" s="3" t="n">
        <v>4500</v>
      </c>
      <c r="G2000" s="2" t="inlineStr">
        <is>
          <t>4500</t>
        </is>
      </c>
      <c r="H2000" s="2" t="inlineStr">
        <is>
          <t>S-B07 / M1-B04</t>
        </is>
      </c>
    </row>
    <row r="2001">
      <c r="A2001" s="2" t="inlineStr">
        <is>
          <t>L211</t>
        </is>
      </c>
      <c r="B2001" s="2" t="inlineStr">
        <is>
          <t>Pain au lait</t>
        </is>
      </c>
      <c r="C2001" s="2" t="inlineStr">
        <is>
          <t>S105</t>
        </is>
      </c>
      <c r="D2001" s="2" t="inlineStr">
        <is>
          <t>'Pain au lait'!C14,D14</t>
        </is>
      </c>
      <c r="E2001" s="2" t="inlineStr">
        <is>
          <t>Oil</t>
        </is>
      </c>
      <c r="F2001" s="3" t="n">
        <v>0</v>
      </c>
      <c r="G2001" s="2" t="inlineStr">
        <is>
          <t>0</t>
        </is>
      </c>
      <c r="H2001" s="2" t="inlineStr">
        <is>
          <t>S-B07 / M1-B04</t>
        </is>
      </c>
    </row>
    <row r="2002">
      <c r="A2002" s="2" t="inlineStr">
        <is>
          <t>L211</t>
        </is>
      </c>
      <c r="B2002" s="2" t="inlineStr">
        <is>
          <t>Pain au lait</t>
        </is>
      </c>
      <c r="C2002" s="2" t="inlineStr">
        <is>
          <t>S105</t>
        </is>
      </c>
      <c r="D2002" s="2" t="inlineStr">
        <is>
          <t>'Pain au lait'!C15,D15</t>
        </is>
      </c>
      <c r="E2002" s="2" t="inlineStr">
        <is>
          <t>Milk tantalizer</t>
        </is>
      </c>
      <c r="F2002" s="3" t="n">
        <v>5</v>
      </c>
      <c r="G2002" s="2" t="inlineStr">
        <is>
          <t>5</t>
        </is>
      </c>
      <c r="H2002" s="2" t="inlineStr">
        <is>
          <t>S-B07 / M1-B04</t>
        </is>
      </c>
    </row>
    <row r="2003">
      <c r="A2003" s="2" t="inlineStr">
        <is>
          <t>L211</t>
        </is>
      </c>
      <c r="B2003" s="2" t="inlineStr">
        <is>
          <t>Pain au lait</t>
        </is>
      </c>
      <c r="C2003" s="2" t="inlineStr">
        <is>
          <t>S105</t>
        </is>
      </c>
      <c r="D2003" s="2" t="inlineStr">
        <is>
          <t>'Pain au lait'!C16,D16</t>
        </is>
      </c>
      <c r="E2003" s="2" t="inlineStr">
        <is>
          <t>EDC</t>
        </is>
      </c>
      <c r="F2003" s="3" t="n">
        <v>25</v>
      </c>
      <c r="G2003" s="2" t="inlineStr">
        <is>
          <t>25</t>
        </is>
      </c>
      <c r="H2003" s="2" t="inlineStr">
        <is>
          <t>S-B07 / M1-B04</t>
        </is>
      </c>
    </row>
    <row r="2004">
      <c r="A2004" s="2" t="inlineStr">
        <is>
          <t>L211</t>
        </is>
      </c>
      <c r="B2004" s="2" t="inlineStr">
        <is>
          <t>Pain au lait</t>
        </is>
      </c>
      <c r="C2004" s="2" t="inlineStr">
        <is>
          <t>S105</t>
        </is>
      </c>
      <c r="D2004" s="2" t="inlineStr">
        <is>
          <t>'Pain au lait'!C17,D17</t>
        </is>
      </c>
      <c r="E2004" s="2" t="inlineStr">
        <is>
          <t>Nutmeg</t>
        </is>
      </c>
      <c r="F2004" s="3" t="n">
        <v>12</v>
      </c>
      <c r="G2004" s="2" t="inlineStr">
        <is>
          <t>12</t>
        </is>
      </c>
      <c r="H2004" s="2" t="inlineStr">
        <is>
          <t>S-B07 / M1-B04</t>
        </is>
      </c>
    </row>
    <row r="2005">
      <c r="A2005" s="2" t="inlineStr">
        <is>
          <t>L212</t>
        </is>
      </c>
      <c r="B2005" s="2" t="inlineStr">
        <is>
          <t>brioche</t>
        </is>
      </c>
      <c r="C2005" s="2" t="inlineStr">
        <is>
          <t>S105</t>
        </is>
      </c>
      <c r="D2005" s="2" t="inlineStr">
        <is>
          <t>'brioche'!C5,D5</t>
        </is>
      </c>
      <c r="E2005" s="2" t="inlineStr">
        <is>
          <t>flour</t>
        </is>
      </c>
      <c r="F2005" s="3" t="n">
        <v>8500</v>
      </c>
      <c r="G2005" s="2" t="inlineStr">
        <is>
          <t>8500</t>
        </is>
      </c>
      <c r="H2005" s="2" t="inlineStr">
        <is>
          <t>S-B06; richer true-butter variant</t>
        </is>
      </c>
    </row>
    <row r="2006">
      <c r="A2006" s="2" t="inlineStr">
        <is>
          <t>L212</t>
        </is>
      </c>
      <c r="B2006" s="2" t="inlineStr">
        <is>
          <t>brioche</t>
        </is>
      </c>
      <c r="C2006" s="2" t="inlineStr">
        <is>
          <t>S105</t>
        </is>
      </c>
      <c r="D2006" s="2" t="inlineStr">
        <is>
          <t>'brioche'!C6,D6</t>
        </is>
      </c>
      <c r="E2006" s="2" t="inlineStr">
        <is>
          <t>Butter</t>
        </is>
      </c>
      <c r="F2006" s="3" t="n">
        <v>4000</v>
      </c>
      <c r="G2006" s="2" t="inlineStr">
        <is>
          <t>4000</t>
        </is>
      </c>
      <c r="H2006" s="2" t="inlineStr">
        <is>
          <t>S-B06; richer true-butter variant</t>
        </is>
      </c>
    </row>
    <row r="2007">
      <c r="A2007" s="2" t="inlineStr">
        <is>
          <t>L212</t>
        </is>
      </c>
      <c r="B2007" s="2" t="inlineStr">
        <is>
          <t>brioche</t>
        </is>
      </c>
      <c r="C2007" s="2" t="inlineStr">
        <is>
          <t>S105</t>
        </is>
      </c>
      <c r="D2007" s="2" t="inlineStr">
        <is>
          <t>'brioche'!C7,D7</t>
        </is>
      </c>
      <c r="E2007" s="2" t="inlineStr">
        <is>
          <t>sugar</t>
        </is>
      </c>
      <c r="F2007" s="3" t="n">
        <v>1100</v>
      </c>
      <c r="G2007" s="2" t="inlineStr">
        <is>
          <t>1100</t>
        </is>
      </c>
      <c r="H2007" s="2" t="inlineStr">
        <is>
          <t>S-B06; richer true-butter variant</t>
        </is>
      </c>
    </row>
    <row r="2008">
      <c r="A2008" s="2" t="inlineStr">
        <is>
          <t>L212</t>
        </is>
      </c>
      <c r="B2008" s="2" t="inlineStr">
        <is>
          <t>brioche</t>
        </is>
      </c>
      <c r="C2008" s="2" t="inlineStr">
        <is>
          <t>S105</t>
        </is>
      </c>
      <c r="D2008" s="2" t="inlineStr">
        <is>
          <t>'brioche'!C8,D8</t>
        </is>
      </c>
      <c r="E2008" s="2" t="inlineStr">
        <is>
          <t>Milk</t>
        </is>
      </c>
      <c r="F2008" s="3" t="n">
        <v>950</v>
      </c>
      <c r="G2008" s="2" t="inlineStr">
        <is>
          <t>950</t>
        </is>
      </c>
      <c r="H2008" s="2" t="inlineStr">
        <is>
          <t>S-B06; richer true-butter variant</t>
        </is>
      </c>
    </row>
    <row r="2009">
      <c r="A2009" s="2" t="inlineStr">
        <is>
          <t>L212</t>
        </is>
      </c>
      <c r="B2009" s="2" t="inlineStr">
        <is>
          <t>brioche</t>
        </is>
      </c>
      <c r="C2009" s="2" t="inlineStr">
        <is>
          <t>S105</t>
        </is>
      </c>
      <c r="D2009" s="2" t="inlineStr">
        <is>
          <t>'brioche'!C9,D9</t>
        </is>
      </c>
      <c r="E2009" s="2" t="inlineStr">
        <is>
          <t>egg</t>
        </is>
      </c>
      <c r="F2009" s="3" t="n">
        <v>750</v>
      </c>
      <c r="G2009" s="2" t="inlineStr">
        <is>
          <t>750</t>
        </is>
      </c>
      <c r="H2009" s="2" t="inlineStr">
        <is>
          <t>S-B06; richer true-butter variant</t>
        </is>
      </c>
    </row>
    <row r="2010">
      <c r="A2010" s="2" t="inlineStr">
        <is>
          <t>L212</t>
        </is>
      </c>
      <c r="B2010" s="2" t="inlineStr">
        <is>
          <t>brioche</t>
        </is>
      </c>
      <c r="C2010" s="2" t="inlineStr">
        <is>
          <t>S105</t>
        </is>
      </c>
      <c r="D2010" s="2" t="inlineStr">
        <is>
          <t>'brioche'!C10,D10</t>
        </is>
      </c>
      <c r="E2010" s="2" t="inlineStr">
        <is>
          <t>salt</t>
        </is>
      </c>
      <c r="F2010" s="3" t="n">
        <v>60</v>
      </c>
      <c r="G2010" s="2" t="inlineStr">
        <is>
          <t>60</t>
        </is>
      </c>
      <c r="H2010" s="2" t="inlineStr">
        <is>
          <t>S-B06; richer true-butter variant</t>
        </is>
      </c>
    </row>
    <row r="2011">
      <c r="A2011" s="2" t="inlineStr">
        <is>
          <t>L212</t>
        </is>
      </c>
      <c r="B2011" s="2" t="inlineStr">
        <is>
          <t>brioche</t>
        </is>
      </c>
      <c r="C2011" s="2" t="inlineStr">
        <is>
          <t>S105</t>
        </is>
      </c>
      <c r="D2011" s="2" t="inlineStr">
        <is>
          <t>'brioche'!C11,D11</t>
        </is>
      </c>
      <c r="E2011" s="2" t="inlineStr">
        <is>
          <t>improver</t>
        </is>
      </c>
      <c r="F2011" s="3" t="n">
        <v>90</v>
      </c>
      <c r="G2011" s="2" t="inlineStr">
        <is>
          <t>90</t>
        </is>
      </c>
      <c r="H2011" s="2" t="inlineStr">
        <is>
          <t>S-B06; richer true-butter variant</t>
        </is>
      </c>
    </row>
    <row r="2012">
      <c r="A2012" s="2" t="inlineStr">
        <is>
          <t>L212</t>
        </is>
      </c>
      <c r="B2012" s="2" t="inlineStr">
        <is>
          <t>brioche</t>
        </is>
      </c>
      <c r="C2012" s="2" t="inlineStr">
        <is>
          <t>S105</t>
        </is>
      </c>
      <c r="D2012" s="2" t="inlineStr">
        <is>
          <t>'brioche'!C12,D12</t>
        </is>
      </c>
      <c r="E2012" s="2" t="inlineStr">
        <is>
          <t>yeast</t>
        </is>
      </c>
      <c r="F2012" s="3" t="n">
        <v>70</v>
      </c>
      <c r="G2012" s="2" t="inlineStr">
        <is>
          <t>70</t>
        </is>
      </c>
      <c r="H2012" s="2" t="inlineStr">
        <is>
          <t>S-B06; richer true-butter variant</t>
        </is>
      </c>
    </row>
    <row r="2013">
      <c r="A2013" s="2" t="inlineStr">
        <is>
          <t>L212</t>
        </is>
      </c>
      <c r="B2013" s="2" t="inlineStr">
        <is>
          <t>brioche</t>
        </is>
      </c>
      <c r="C2013" s="2" t="inlineStr">
        <is>
          <t>S105</t>
        </is>
      </c>
      <c r="D2013" s="2" t="inlineStr">
        <is>
          <t>'brioche'!C13,D13</t>
        </is>
      </c>
      <c r="E2013" s="2" t="inlineStr">
        <is>
          <t>water</t>
        </is>
      </c>
      <c r="F2013" s="3" t="n">
        <v>1300</v>
      </c>
      <c r="G2013" s="2" t="inlineStr">
        <is>
          <t>1300</t>
        </is>
      </c>
      <c r="H2013" s="2" t="inlineStr">
        <is>
          <t>S-B06; richer true-butter variant</t>
        </is>
      </c>
    </row>
    <row r="2014">
      <c r="A2014" s="2" t="inlineStr">
        <is>
          <t>L212</t>
        </is>
      </c>
      <c r="B2014" s="2" t="inlineStr">
        <is>
          <t>brioche</t>
        </is>
      </c>
      <c r="C2014" s="2" t="inlineStr">
        <is>
          <t>S105</t>
        </is>
      </c>
      <c r="D2014" s="2" t="inlineStr">
        <is>
          <t>'brioche'!C14,D14</t>
        </is>
      </c>
      <c r="E2014" s="2" t="inlineStr">
        <is>
          <t>Milk tantalizer</t>
        </is>
      </c>
      <c r="F2014" s="3" t="n">
        <v>3</v>
      </c>
      <c r="G2014" s="2" t="inlineStr">
        <is>
          <t>3</t>
        </is>
      </c>
      <c r="H2014" s="2" t="inlineStr">
        <is>
          <t>S-B06; richer true-butter variant</t>
        </is>
      </c>
    </row>
    <row r="2015">
      <c r="A2015" s="2" t="inlineStr">
        <is>
          <t>L212</t>
        </is>
      </c>
      <c r="B2015" s="2" t="inlineStr">
        <is>
          <t>brioche</t>
        </is>
      </c>
      <c r="C2015" s="2" t="inlineStr">
        <is>
          <t>S105</t>
        </is>
      </c>
      <c r="D2015" s="2" t="inlineStr">
        <is>
          <t>'brioche'!C15,D15</t>
        </is>
      </c>
      <c r="E2015" s="2" t="inlineStr">
        <is>
          <t>EDC</t>
        </is>
      </c>
      <c r="F2015" s="3" t="n">
        <v>25</v>
      </c>
      <c r="G2015" s="2" t="inlineStr">
        <is>
          <t>25</t>
        </is>
      </c>
      <c r="H2015" s="2" t="inlineStr">
        <is>
          <t>S-B06; richer true-butter variant</t>
        </is>
      </c>
    </row>
    <row r="2016">
      <c r="A2016" s="2" t="inlineStr">
        <is>
          <t>L212</t>
        </is>
      </c>
      <c r="B2016" s="2" t="inlineStr">
        <is>
          <t>brioche</t>
        </is>
      </c>
      <c r="C2016" s="2" t="inlineStr">
        <is>
          <t>S105</t>
        </is>
      </c>
      <c r="D2016" s="2" t="inlineStr">
        <is>
          <t>'brioche'!C16,D16</t>
        </is>
      </c>
      <c r="E2016" s="2" t="inlineStr">
        <is>
          <t>Nutmeg</t>
        </is>
      </c>
      <c r="F2016" s="3" t="n">
        <v>15</v>
      </c>
      <c r="G2016" s="2" t="inlineStr">
        <is>
          <t>15</t>
        </is>
      </c>
      <c r="H2016" s="2" t="inlineStr">
        <is>
          <t>S-B06; richer true-butter variant</t>
        </is>
      </c>
    </row>
    <row r="2017">
      <c r="A2017" s="2" t="inlineStr">
        <is>
          <t>L213</t>
        </is>
      </c>
      <c r="B2017" s="2" t="inlineStr">
        <is>
          <t>cupcake</t>
        </is>
      </c>
      <c r="C2017" s="2" t="inlineStr">
        <is>
          <t>S105</t>
        </is>
      </c>
      <c r="D2017" s="2" t="inlineStr">
        <is>
          <t>'cupcake'!C5,D5</t>
        </is>
      </c>
      <c r="E2017" s="2" t="inlineStr">
        <is>
          <t>flour</t>
        </is>
      </c>
      <c r="F2017" s="3" t="n">
        <v>2500</v>
      </c>
      <c r="G2017" s="2" t="inlineStr">
        <is>
          <t>2500</t>
        </is>
      </c>
      <c r="H2017" s="2" t="inlineStr">
        <is>
          <t>H08 / H09; exact style differs</t>
        </is>
      </c>
    </row>
    <row r="2018">
      <c r="A2018" s="2" t="inlineStr">
        <is>
          <t>L213</t>
        </is>
      </c>
      <c r="B2018" s="2" t="inlineStr">
        <is>
          <t>cupcake</t>
        </is>
      </c>
      <c r="C2018" s="2" t="inlineStr">
        <is>
          <t>S105</t>
        </is>
      </c>
      <c r="D2018" s="2" t="inlineStr">
        <is>
          <t>'cupcake'!C6,D6</t>
        </is>
      </c>
      <c r="E2018" s="2" t="inlineStr">
        <is>
          <t>baking powder</t>
        </is>
      </c>
      <c r="F2018" s="3" t="n">
        <v>70</v>
      </c>
      <c r="G2018" s="2" t="inlineStr">
        <is>
          <t>70</t>
        </is>
      </c>
      <c r="H2018" s="2" t="inlineStr">
        <is>
          <t>H08 / H09; exact style differs</t>
        </is>
      </c>
    </row>
    <row r="2019">
      <c r="A2019" s="2" t="inlineStr">
        <is>
          <t>L213</t>
        </is>
      </c>
      <c r="B2019" s="2" t="inlineStr">
        <is>
          <t>cupcake</t>
        </is>
      </c>
      <c r="C2019" s="2" t="inlineStr">
        <is>
          <t>S105</t>
        </is>
      </c>
      <c r="D2019" s="2" t="inlineStr">
        <is>
          <t>'cupcake'!C7,D7</t>
        </is>
      </c>
      <c r="E2019" s="2" t="inlineStr">
        <is>
          <t>salt</t>
        </is>
      </c>
      <c r="F2019" s="3" t="n">
        <v>30</v>
      </c>
      <c r="G2019" s="2" t="inlineStr">
        <is>
          <t>30</t>
        </is>
      </c>
      <c r="H2019" s="2" t="inlineStr">
        <is>
          <t>H08 / H09; exact style differs</t>
        </is>
      </c>
    </row>
    <row r="2020">
      <c r="A2020" s="2" t="inlineStr">
        <is>
          <t>L213</t>
        </is>
      </c>
      <c r="B2020" s="2" t="inlineStr">
        <is>
          <t>cupcake</t>
        </is>
      </c>
      <c r="C2020" s="2" t="inlineStr">
        <is>
          <t>S105</t>
        </is>
      </c>
      <c r="D2020" s="2" t="inlineStr">
        <is>
          <t>'cupcake'!C8,D8</t>
        </is>
      </c>
      <c r="E2020" s="2" t="inlineStr">
        <is>
          <t>Nut Meg</t>
        </is>
      </c>
      <c r="F2020" s="3" t="n">
        <v>45</v>
      </c>
      <c r="G2020" s="2" t="inlineStr">
        <is>
          <t>45</t>
        </is>
      </c>
      <c r="H2020" s="2" t="inlineStr">
        <is>
          <t>H08 / H09; exact style differs</t>
        </is>
      </c>
    </row>
    <row r="2021">
      <c r="A2021" s="2" t="inlineStr">
        <is>
          <t>L213</t>
        </is>
      </c>
      <c r="B2021" s="2" t="inlineStr">
        <is>
          <t>cupcake</t>
        </is>
      </c>
      <c r="C2021" s="2" t="inlineStr">
        <is>
          <t>S105</t>
        </is>
      </c>
      <c r="D2021" s="2" t="inlineStr">
        <is>
          <t>'cupcake'!C9,D9</t>
        </is>
      </c>
      <c r="E2021" s="2" t="inlineStr">
        <is>
          <t>Egg</t>
        </is>
      </c>
      <c r="F2021" s="3" t="n">
        <v>2500</v>
      </c>
      <c r="G2021" s="2" t="inlineStr">
        <is>
          <t>2500</t>
        </is>
      </c>
      <c r="H2021" s="2" t="inlineStr">
        <is>
          <t>H08 / H09; exact style differs</t>
        </is>
      </c>
    </row>
    <row r="2022">
      <c r="A2022" s="2" t="inlineStr">
        <is>
          <t>L213</t>
        </is>
      </c>
      <c r="B2022" s="2" t="inlineStr">
        <is>
          <t>cupcake</t>
        </is>
      </c>
      <c r="C2022" s="2" t="inlineStr">
        <is>
          <t>S105</t>
        </is>
      </c>
      <c r="D2022" s="2" t="inlineStr">
        <is>
          <t>'cupcake'!C10,D10</t>
        </is>
      </c>
      <c r="E2022" s="2" t="inlineStr">
        <is>
          <t>Butter</t>
        </is>
      </c>
      <c r="F2022" s="3" t="n">
        <v>2000</v>
      </c>
      <c r="G2022" s="2" t="inlineStr">
        <is>
          <t>2000</t>
        </is>
      </c>
      <c r="H2022" s="2" t="inlineStr">
        <is>
          <t>H08 / H09; exact style differs</t>
        </is>
      </c>
    </row>
    <row r="2023">
      <c r="A2023" s="2" t="inlineStr">
        <is>
          <t>L213</t>
        </is>
      </c>
      <c r="B2023" s="2" t="inlineStr">
        <is>
          <t>cupcake</t>
        </is>
      </c>
      <c r="C2023" s="2" t="inlineStr">
        <is>
          <t>S105</t>
        </is>
      </c>
      <c r="D2023" s="2" t="inlineStr">
        <is>
          <t>'cupcake'!C11,D11</t>
        </is>
      </c>
      <c r="E2023" s="2" t="inlineStr">
        <is>
          <t>sugar</t>
        </is>
      </c>
      <c r="F2023" s="3" t="n">
        <v>1000</v>
      </c>
      <c r="G2023" s="2" t="inlineStr">
        <is>
          <t>1000</t>
        </is>
      </c>
      <c r="H2023" s="2" t="inlineStr">
        <is>
          <t>H08 / H09; exact style differs</t>
        </is>
      </c>
    </row>
    <row r="2024">
      <c r="A2024" s="2" t="inlineStr">
        <is>
          <t>L214</t>
        </is>
      </c>
      <c r="B2024" s="2" t="inlineStr">
        <is>
          <t>gateau new look</t>
        </is>
      </c>
      <c r="C2024" s="2" t="inlineStr">
        <is>
          <t>S105</t>
        </is>
      </c>
      <c r="D2024" s="2" t="inlineStr">
        <is>
          <t>'gateau new look'!C5,D5</t>
        </is>
      </c>
      <c r="E2024" s="2" t="inlineStr">
        <is>
          <t>flour</t>
        </is>
      </c>
      <c r="F2024" s="3" t="n">
        <v>25000</v>
      </c>
      <c r="G2024" s="2" t="inlineStr">
        <is>
          <t>25000</t>
        </is>
      </c>
      <c r="H2024" s="2" t="inlineStr">
        <is>
          <t>Retain unique variant; no equivalent operating card selected</t>
        </is>
      </c>
    </row>
    <row r="2025">
      <c r="A2025" s="2" t="inlineStr">
        <is>
          <t>L214</t>
        </is>
      </c>
      <c r="B2025" s="2" t="inlineStr">
        <is>
          <t>gateau new look</t>
        </is>
      </c>
      <c r="C2025" s="2" t="inlineStr">
        <is>
          <t>S105</t>
        </is>
      </c>
      <c r="D2025" s="2" t="inlineStr">
        <is>
          <t>'gateau new look'!C6,D6</t>
        </is>
      </c>
      <c r="E2025" s="2" t="inlineStr">
        <is>
          <t>Butter</t>
        </is>
      </c>
      <c r="F2025" s="3" t="n">
        <v>1300</v>
      </c>
      <c r="G2025" s="2" t="inlineStr">
        <is>
          <t>1300</t>
        </is>
      </c>
      <c r="H2025" s="2" t="inlineStr">
        <is>
          <t>Retain unique variant; no equivalent operating card selected</t>
        </is>
      </c>
    </row>
    <row r="2026">
      <c r="A2026" s="2" t="inlineStr">
        <is>
          <t>L214</t>
        </is>
      </c>
      <c r="B2026" s="2" t="inlineStr">
        <is>
          <t>gateau new look</t>
        </is>
      </c>
      <c r="C2026" s="2" t="inlineStr">
        <is>
          <t>S105</t>
        </is>
      </c>
      <c r="D2026" s="2" t="inlineStr">
        <is>
          <t>'gateau new look'!C7,D7</t>
        </is>
      </c>
      <c r="E2026" s="2" t="inlineStr">
        <is>
          <t>sugar</t>
        </is>
      </c>
      <c r="F2026" s="3" t="n">
        <v>1650</v>
      </c>
      <c r="G2026" s="2" t="inlineStr">
        <is>
          <t>1650</t>
        </is>
      </c>
      <c r="H2026" s="2" t="inlineStr">
        <is>
          <t>Retain unique variant; no equivalent operating card selected</t>
        </is>
      </c>
    </row>
    <row r="2027">
      <c r="A2027" s="2" t="inlineStr">
        <is>
          <t>L214</t>
        </is>
      </c>
      <c r="B2027" s="2" t="inlineStr">
        <is>
          <t>gateau new look</t>
        </is>
      </c>
      <c r="C2027" s="2" t="inlineStr">
        <is>
          <t>S105</t>
        </is>
      </c>
      <c r="D2027" s="2" t="inlineStr">
        <is>
          <t>'gateau new look'!C8,D8</t>
        </is>
      </c>
      <c r="E2027" s="2" t="inlineStr">
        <is>
          <t>Conc Milk</t>
        </is>
      </c>
      <c r="F2027" s="3" t="n">
        <v>950</v>
      </c>
      <c r="G2027" s="2" t="inlineStr">
        <is>
          <t>950</t>
        </is>
      </c>
      <c r="H2027" s="2" t="inlineStr">
        <is>
          <t>Retain unique variant; no equivalent operating card selected</t>
        </is>
      </c>
    </row>
    <row r="2028">
      <c r="A2028" s="2" t="inlineStr">
        <is>
          <t>L214</t>
        </is>
      </c>
      <c r="B2028" s="2" t="inlineStr">
        <is>
          <t>gateau new look</t>
        </is>
      </c>
      <c r="C2028" s="2" t="inlineStr">
        <is>
          <t>S105</t>
        </is>
      </c>
      <c r="D2028" s="2" t="inlineStr">
        <is>
          <t>'gateau new look'!C9,D9</t>
        </is>
      </c>
      <c r="E2028" s="2" t="inlineStr">
        <is>
          <t>egg</t>
        </is>
      </c>
      <c r="F2028" s="3" t="n">
        <v>750</v>
      </c>
      <c r="G2028" s="2" t="inlineStr">
        <is>
          <t>750</t>
        </is>
      </c>
      <c r="H2028" s="2" t="inlineStr">
        <is>
          <t>Retain unique variant; no equivalent operating card selected</t>
        </is>
      </c>
    </row>
    <row r="2029">
      <c r="A2029" s="2" t="inlineStr">
        <is>
          <t>L214</t>
        </is>
      </c>
      <c r="B2029" s="2" t="inlineStr">
        <is>
          <t>gateau new look</t>
        </is>
      </c>
      <c r="C2029" s="2" t="inlineStr">
        <is>
          <t>S105</t>
        </is>
      </c>
      <c r="D2029" s="2" t="inlineStr">
        <is>
          <t>'gateau new look'!C10,D10</t>
        </is>
      </c>
      <c r="E2029" s="2" t="inlineStr">
        <is>
          <t>salt</t>
        </is>
      </c>
      <c r="F2029" s="3" t="n">
        <v>270</v>
      </c>
      <c r="G2029" s="2" t="inlineStr">
        <is>
          <t>270</t>
        </is>
      </c>
      <c r="H2029" s="2" t="inlineStr">
        <is>
          <t>Retain unique variant; no equivalent operating card selected</t>
        </is>
      </c>
    </row>
    <row r="2030">
      <c r="A2030" s="2" t="inlineStr">
        <is>
          <t>L214</t>
        </is>
      </c>
      <c r="B2030" s="2" t="inlineStr">
        <is>
          <t>gateau new look</t>
        </is>
      </c>
      <c r="C2030" s="2" t="inlineStr">
        <is>
          <t>S105</t>
        </is>
      </c>
      <c r="D2030" s="2" t="inlineStr">
        <is>
          <t>'gateau new look'!C11,D11</t>
        </is>
      </c>
      <c r="E2030" s="2" t="inlineStr">
        <is>
          <t>improver</t>
        </is>
      </c>
      <c r="F2030" s="3" t="n">
        <v>90</v>
      </c>
      <c r="G2030" s="2" t="inlineStr">
        <is>
          <t>90</t>
        </is>
      </c>
      <c r="H2030" s="2" t="inlineStr">
        <is>
          <t>Retain unique variant; no equivalent operating card selected</t>
        </is>
      </c>
    </row>
    <row r="2031">
      <c r="A2031" s="2" t="inlineStr">
        <is>
          <t>L214</t>
        </is>
      </c>
      <c r="B2031" s="2" t="inlineStr">
        <is>
          <t>gateau new look</t>
        </is>
      </c>
      <c r="C2031" s="2" t="inlineStr">
        <is>
          <t>S105</t>
        </is>
      </c>
      <c r="D2031" s="2" t="inlineStr">
        <is>
          <t>'gateau new look'!C12,D12</t>
        </is>
      </c>
      <c r="E2031" s="2" t="inlineStr">
        <is>
          <t>yeast</t>
        </is>
      </c>
      <c r="F2031" s="3" t="n">
        <v>90</v>
      </c>
      <c r="G2031" s="2" t="inlineStr">
        <is>
          <t>90</t>
        </is>
      </c>
      <c r="H2031" s="2" t="inlineStr">
        <is>
          <t>Retain unique variant; no equivalent operating card selected</t>
        </is>
      </c>
    </row>
    <row r="2032">
      <c r="A2032" s="2" t="inlineStr">
        <is>
          <t>L214</t>
        </is>
      </c>
      <c r="B2032" s="2" t="inlineStr">
        <is>
          <t>gateau new look</t>
        </is>
      </c>
      <c r="C2032" s="2" t="inlineStr">
        <is>
          <t>S105</t>
        </is>
      </c>
      <c r="D2032" s="2" t="inlineStr">
        <is>
          <t>'gateau new look'!C13,D13</t>
        </is>
      </c>
      <c r="E2032" s="2" t="inlineStr">
        <is>
          <t>water</t>
        </is>
      </c>
      <c r="F2032" s="3" t="n">
        <v>9000</v>
      </c>
      <c r="G2032" s="2" t="inlineStr">
        <is>
          <t>9000</t>
        </is>
      </c>
      <c r="H2032" s="2" t="inlineStr">
        <is>
          <t>Retain unique variant; no equivalent operating card selected</t>
        </is>
      </c>
    </row>
    <row r="2033">
      <c r="A2033" s="2" t="inlineStr">
        <is>
          <t>L214</t>
        </is>
      </c>
      <c r="B2033" s="2" t="inlineStr">
        <is>
          <t>gateau new look</t>
        </is>
      </c>
      <c r="C2033" s="2" t="inlineStr">
        <is>
          <t>S105</t>
        </is>
      </c>
      <c r="D2033" s="2" t="inlineStr">
        <is>
          <t>'gateau new look'!C14,D14</t>
        </is>
      </c>
      <c r="E2033" s="2" t="inlineStr">
        <is>
          <t>Nutmeg</t>
        </is>
      </c>
      <c r="F2033" s="3" t="n">
        <v>40</v>
      </c>
      <c r="G2033" s="2" t="inlineStr">
        <is>
          <t>40</t>
        </is>
      </c>
      <c r="H2033" s="2" t="inlineStr">
        <is>
          <t>Retain unique variant; no equivalent operating card selected</t>
        </is>
      </c>
    </row>
    <row r="2034">
      <c r="A2034" s="2" t="inlineStr">
        <is>
          <t>L214</t>
        </is>
      </c>
      <c r="B2034" s="2" t="inlineStr">
        <is>
          <t>gateau new look</t>
        </is>
      </c>
      <c r="C2034" s="2" t="inlineStr">
        <is>
          <t>S105</t>
        </is>
      </c>
      <c r="D2034" s="2" t="inlineStr">
        <is>
          <t>'gateau new look'!C15,D15</t>
        </is>
      </c>
      <c r="E2034" s="2" t="inlineStr">
        <is>
          <t>baking powder</t>
        </is>
      </c>
      <c r="F2034" s="3" t="n">
        <v>80</v>
      </c>
      <c r="G2034" s="2" t="inlineStr">
        <is>
          <t>80</t>
        </is>
      </c>
      <c r="H2034" s="2" t="inlineStr">
        <is>
          <t>Retain unique variant; no equivalent operating card selected</t>
        </is>
      </c>
    </row>
    <row r="2035">
      <c r="A2035" s="2" t="inlineStr">
        <is>
          <t>L214</t>
        </is>
      </c>
      <c r="B2035" s="2" t="inlineStr">
        <is>
          <t>gateau new look</t>
        </is>
      </c>
      <c r="C2035" s="2" t="inlineStr">
        <is>
          <t>S105</t>
        </is>
      </c>
      <c r="D2035" s="2" t="inlineStr">
        <is>
          <t>'gateau new look'!C16,D16</t>
        </is>
      </c>
      <c r="E2035" s="2" t="inlineStr">
        <is>
          <t>frying oil</t>
        </is>
      </c>
      <c r="F2035" s="3" t="n">
        <v>8</v>
      </c>
      <c r="G2035" s="2" t="inlineStr">
        <is>
          <t>8</t>
        </is>
      </c>
      <c r="H2035" s="2" t="inlineStr">
        <is>
          <t>Retain unique variant; no equivalent operating card selected</t>
        </is>
      </c>
    </row>
    <row r="2036">
      <c r="A2036" s="2" t="inlineStr">
        <is>
          <t>L215</t>
        </is>
      </c>
      <c r="B2036" s="2" t="inlineStr">
        <is>
          <t>gateau new look</t>
        </is>
      </c>
      <c r="C2036" s="2" t="inlineStr">
        <is>
          <t>S105</t>
        </is>
      </c>
      <c r="D2036" s="2" t="inlineStr">
        <is>
          <t>'gateau new look'!C5,J5</t>
        </is>
      </c>
      <c r="E2036" s="2" t="inlineStr">
        <is>
          <t>flour</t>
        </is>
      </c>
      <c r="F2036" s="3" t="n">
        <v>20000</v>
      </c>
      <c r="G2036" s="2" t="inlineStr">
        <is>
          <t>20000</t>
        </is>
      </c>
      <c r="H2036" s="2" t="inlineStr">
        <is>
          <t>Retain unique variant; no equivalent operating card selected</t>
        </is>
      </c>
    </row>
    <row r="2037">
      <c r="A2037" s="2" t="inlineStr">
        <is>
          <t>L215</t>
        </is>
      </c>
      <c r="B2037" s="2" t="inlineStr">
        <is>
          <t>gateau new look</t>
        </is>
      </c>
      <c r="C2037" s="2" t="inlineStr">
        <is>
          <t>S105</t>
        </is>
      </c>
      <c r="D2037" s="2" t="inlineStr">
        <is>
          <t>'gateau new look'!C6,J6</t>
        </is>
      </c>
      <c r="E2037" s="2" t="inlineStr">
        <is>
          <t>Butter</t>
        </is>
      </c>
      <c r="F2037" s="3" t="n">
        <v>560</v>
      </c>
      <c r="G2037" s="2" t="inlineStr">
        <is>
          <t>560</t>
        </is>
      </c>
      <c r="H2037" s="2" t="inlineStr">
        <is>
          <t>Retain unique variant; no equivalent operating card selected</t>
        </is>
      </c>
    </row>
    <row r="2038">
      <c r="A2038" s="2" t="inlineStr">
        <is>
          <t>L215</t>
        </is>
      </c>
      <c r="B2038" s="2" t="inlineStr">
        <is>
          <t>gateau new look</t>
        </is>
      </c>
      <c r="C2038" s="2" t="inlineStr">
        <is>
          <t>S105</t>
        </is>
      </c>
      <c r="D2038" s="2" t="inlineStr">
        <is>
          <t>'gateau new look'!C7,J7</t>
        </is>
      </c>
      <c r="E2038" s="2" t="inlineStr">
        <is>
          <t>sugar</t>
        </is>
      </c>
      <c r="F2038" s="3" t="n">
        <v>800</v>
      </c>
      <c r="G2038" s="2" t="inlineStr">
        <is>
          <t>800</t>
        </is>
      </c>
      <c r="H2038" s="2" t="inlineStr">
        <is>
          <t>Retain unique variant; no equivalent operating card selected</t>
        </is>
      </c>
    </row>
    <row r="2039">
      <c r="A2039" s="2" t="inlineStr">
        <is>
          <t>L215</t>
        </is>
      </c>
      <c r="B2039" s="2" t="inlineStr">
        <is>
          <t>gateau new look</t>
        </is>
      </c>
      <c r="C2039" s="2" t="inlineStr">
        <is>
          <t>S105</t>
        </is>
      </c>
      <c r="D2039" s="2" t="inlineStr">
        <is>
          <t>'gateau new look'!C8,J8</t>
        </is>
      </c>
      <c r="E2039" s="2" t="inlineStr">
        <is>
          <t>Conc Milk</t>
        </is>
      </c>
      <c r="F2039" s="3" t="n">
        <v>500</v>
      </c>
      <c r="G2039" s="2" t="inlineStr">
        <is>
          <t>500</t>
        </is>
      </c>
      <c r="H2039" s="2" t="inlineStr">
        <is>
          <t>Retain unique variant; no equivalent operating card selected</t>
        </is>
      </c>
    </row>
    <row r="2040">
      <c r="A2040" s="2" t="inlineStr">
        <is>
          <t>L215</t>
        </is>
      </c>
      <c r="B2040" s="2" t="inlineStr">
        <is>
          <t>gateau new look</t>
        </is>
      </c>
      <c r="C2040" s="2" t="inlineStr">
        <is>
          <t>S105</t>
        </is>
      </c>
      <c r="D2040" s="2" t="inlineStr">
        <is>
          <t>'gateau new look'!C9,J9</t>
        </is>
      </c>
      <c r="E2040" s="2" t="inlineStr">
        <is>
          <t>egg</t>
        </is>
      </c>
      <c r="F2040" s="3" t="n">
        <v>144</v>
      </c>
      <c r="G2040" s="2" t="inlineStr">
        <is>
          <t>144</t>
        </is>
      </c>
      <c r="H2040" s="2" t="inlineStr">
        <is>
          <t>Retain unique variant; no equivalent operating card selected</t>
        </is>
      </c>
    </row>
    <row r="2041">
      <c r="A2041" s="2" t="inlineStr">
        <is>
          <t>L215</t>
        </is>
      </c>
      <c r="B2041" s="2" t="inlineStr">
        <is>
          <t>gateau new look</t>
        </is>
      </c>
      <c r="C2041" s="2" t="inlineStr">
        <is>
          <t>S105</t>
        </is>
      </c>
      <c r="D2041" s="2" t="inlineStr">
        <is>
          <t>'gateau new look'!C10,J10</t>
        </is>
      </c>
      <c r="E2041" s="2" t="inlineStr">
        <is>
          <t>salt</t>
        </is>
      </c>
      <c r="F2041" s="3" t="n">
        <v>166</v>
      </c>
      <c r="G2041" s="2" t="inlineStr">
        <is>
          <t>166</t>
        </is>
      </c>
      <c r="H2041" s="2" t="inlineStr">
        <is>
          <t>Retain unique variant; no equivalent operating card selected</t>
        </is>
      </c>
    </row>
    <row r="2042">
      <c r="A2042" s="2" t="inlineStr">
        <is>
          <t>L215</t>
        </is>
      </c>
      <c r="B2042" s="2" t="inlineStr">
        <is>
          <t>gateau new look</t>
        </is>
      </c>
      <c r="C2042" s="2" t="inlineStr">
        <is>
          <t>S105</t>
        </is>
      </c>
      <c r="D2042" s="2" t="inlineStr">
        <is>
          <t>'gateau new look'!C11,J11</t>
        </is>
      </c>
      <c r="E2042" s="2" t="inlineStr">
        <is>
          <t>improver</t>
        </is>
      </c>
      <c r="F2042" s="3" t="n">
        <v>90</v>
      </c>
      <c r="G2042" s="2" t="inlineStr">
        <is>
          <t>=D11 [cached: 90]</t>
        </is>
      </c>
      <c r="H2042" s="2" t="inlineStr">
        <is>
          <t>Retain unique variant; no equivalent operating card selected</t>
        </is>
      </c>
    </row>
    <row r="2043">
      <c r="A2043" s="2" t="inlineStr">
        <is>
          <t>L215</t>
        </is>
      </c>
      <c r="B2043" s="2" t="inlineStr">
        <is>
          <t>gateau new look</t>
        </is>
      </c>
      <c r="C2043" s="2" t="inlineStr">
        <is>
          <t>S105</t>
        </is>
      </c>
      <c r="D2043" s="2" t="inlineStr">
        <is>
          <t>'gateau new look'!C12,J12</t>
        </is>
      </c>
      <c r="E2043" s="2" t="inlineStr">
        <is>
          <t>yeast</t>
        </is>
      </c>
      <c r="F2043" s="3" t="n">
        <v>70</v>
      </c>
      <c r="G2043" s="2" t="inlineStr">
        <is>
          <t>70</t>
        </is>
      </c>
      <c r="H2043" s="2" t="inlineStr">
        <is>
          <t>Retain unique variant; no equivalent operating card selected</t>
        </is>
      </c>
    </row>
    <row r="2044">
      <c r="A2044" s="2" t="inlineStr">
        <is>
          <t>L215</t>
        </is>
      </c>
      <c r="B2044" s="2" t="inlineStr">
        <is>
          <t>gateau new look</t>
        </is>
      </c>
      <c r="C2044" s="2" t="inlineStr">
        <is>
          <t>S105</t>
        </is>
      </c>
      <c r="D2044" s="2" t="inlineStr">
        <is>
          <t>'gateau new look'!C13,J13</t>
        </is>
      </c>
      <c r="E2044" s="2" t="inlineStr">
        <is>
          <t>water</t>
        </is>
      </c>
      <c r="F2044" s="3" t="n">
        <v>7000</v>
      </c>
      <c r="G2044" s="2" t="inlineStr">
        <is>
          <t>7000</t>
        </is>
      </c>
      <c r="H2044" s="2" t="inlineStr">
        <is>
          <t>Retain unique variant; no equivalent operating card selected</t>
        </is>
      </c>
    </row>
    <row r="2045">
      <c r="A2045" s="2" t="inlineStr">
        <is>
          <t>L215</t>
        </is>
      </c>
      <c r="B2045" s="2" t="inlineStr">
        <is>
          <t>gateau new look</t>
        </is>
      </c>
      <c r="C2045" s="2" t="inlineStr">
        <is>
          <t>S105</t>
        </is>
      </c>
      <c r="D2045" s="2" t="inlineStr">
        <is>
          <t>'gateau new look'!C14,J14</t>
        </is>
      </c>
      <c r="E2045" s="2" t="inlineStr">
        <is>
          <t>Nutmeg</t>
        </is>
      </c>
      <c r="F2045" s="3" t="n">
        <v>40</v>
      </c>
      <c r="G2045" s="2" t="inlineStr">
        <is>
          <t>=D14 [cached: 40]</t>
        </is>
      </c>
      <c r="H2045" s="2" t="inlineStr">
        <is>
          <t>Retain unique variant; no equivalent operating card selected</t>
        </is>
      </c>
    </row>
    <row r="2046">
      <c r="A2046" s="2" t="inlineStr">
        <is>
          <t>L215</t>
        </is>
      </c>
      <c r="B2046" s="2" t="inlineStr">
        <is>
          <t>gateau new look</t>
        </is>
      </c>
      <c r="C2046" s="2" t="inlineStr">
        <is>
          <t>S105</t>
        </is>
      </c>
      <c r="D2046" s="2" t="inlineStr">
        <is>
          <t>'gateau new look'!C15,J15</t>
        </is>
      </c>
      <c r="E2046" s="2" t="inlineStr">
        <is>
          <t>baking powder</t>
        </is>
      </c>
      <c r="F2046" s="3" t="n">
        <v>20</v>
      </c>
      <c r="G2046" s="2" t="inlineStr">
        <is>
          <t>20</t>
        </is>
      </c>
      <c r="H2046" s="2" t="inlineStr">
        <is>
          <t>Retain unique variant; no equivalent operating card selected</t>
        </is>
      </c>
    </row>
    <row r="2047">
      <c r="A2047" s="2" t="inlineStr">
        <is>
          <t>L215</t>
        </is>
      </c>
      <c r="B2047" s="2" t="inlineStr">
        <is>
          <t>gateau new look</t>
        </is>
      </c>
      <c r="C2047" s="2" t="inlineStr">
        <is>
          <t>S105</t>
        </is>
      </c>
      <c r="D2047" s="2" t="inlineStr">
        <is>
          <t>'gateau new look'!C16,J16</t>
        </is>
      </c>
      <c r="E2047" s="2" t="inlineStr">
        <is>
          <t>frying oil</t>
        </is>
      </c>
      <c r="F2047" s="3" t="n">
        <v>8</v>
      </c>
      <c r="G2047" s="2" t="inlineStr">
        <is>
          <t>=D16 [cached: 8]</t>
        </is>
      </c>
      <c r="H2047" s="2" t="inlineStr">
        <is>
          <t>Retain unique variant; no equivalent operating card selected</t>
        </is>
      </c>
    </row>
    <row r="2048">
      <c r="A2048" s="2" t="inlineStr">
        <is>
          <t>L216</t>
        </is>
      </c>
      <c r="B2048" s="2" t="inlineStr">
        <is>
          <t>Cake Prof</t>
        </is>
      </c>
      <c r="C2048" s="2" t="inlineStr">
        <is>
          <t>S106</t>
        </is>
      </c>
      <c r="D2048" s="2" t="inlineStr">
        <is>
          <t>'Cake Prof'!B5,C5</t>
        </is>
      </c>
      <c r="E2048" s="2" t="inlineStr">
        <is>
          <t>flour</t>
        </is>
      </c>
      <c r="F2048" s="3" t="n">
        <v>2700</v>
      </c>
      <c r="G2048" s="2" t="inlineStr">
        <is>
          <t>2700</t>
        </is>
      </c>
      <c r="H2048" s="2" t="inlineStr">
        <is>
          <t>H08 / H09; exact style differs</t>
        </is>
      </c>
    </row>
    <row r="2049">
      <c r="A2049" s="2" t="inlineStr">
        <is>
          <t>L216</t>
        </is>
      </c>
      <c r="B2049" s="2" t="inlineStr">
        <is>
          <t>Cake Prof</t>
        </is>
      </c>
      <c r="C2049" s="2" t="inlineStr">
        <is>
          <t>S106</t>
        </is>
      </c>
      <c r="D2049" s="2" t="inlineStr">
        <is>
          <t>'Cake Prof'!B6,C6</t>
        </is>
      </c>
      <c r="E2049" s="2" t="inlineStr">
        <is>
          <t>baking powder</t>
        </is>
      </c>
      <c r="F2049" s="3" t="n">
        <v>90</v>
      </c>
      <c r="G2049" s="2" t="inlineStr">
        <is>
          <t>90</t>
        </is>
      </c>
      <c r="H2049" s="2" t="inlineStr">
        <is>
          <t>H08 / H09; exact style differs</t>
        </is>
      </c>
    </row>
    <row r="2050">
      <c r="A2050" s="2" t="inlineStr">
        <is>
          <t>L216</t>
        </is>
      </c>
      <c r="B2050" s="2" t="inlineStr">
        <is>
          <t>Cake Prof</t>
        </is>
      </c>
      <c r="C2050" s="2" t="inlineStr">
        <is>
          <t>S106</t>
        </is>
      </c>
      <c r="D2050" s="2" t="inlineStr">
        <is>
          <t>'Cake Prof'!B7,C7</t>
        </is>
      </c>
      <c r="E2050" s="2" t="inlineStr">
        <is>
          <t>salt</t>
        </is>
      </c>
      <c r="F2050" s="3" t="n">
        <v>10</v>
      </c>
      <c r="G2050" s="2" t="inlineStr">
        <is>
          <t>10</t>
        </is>
      </c>
      <c r="H2050" s="2" t="inlineStr">
        <is>
          <t>H08 / H09; exact style differs</t>
        </is>
      </c>
    </row>
    <row r="2051">
      <c r="A2051" s="2" t="inlineStr">
        <is>
          <t>L216</t>
        </is>
      </c>
      <c r="B2051" s="2" t="inlineStr">
        <is>
          <t>Cake Prof</t>
        </is>
      </c>
      <c r="C2051" s="2" t="inlineStr">
        <is>
          <t>S106</t>
        </is>
      </c>
      <c r="D2051" s="2" t="inlineStr">
        <is>
          <t>'Cake Prof'!B8,C8</t>
        </is>
      </c>
      <c r="E2051" s="2" t="inlineStr">
        <is>
          <t>Egg</t>
        </is>
      </c>
      <c r="F2051" s="3" t="n">
        <v>1800</v>
      </c>
      <c r="G2051" s="2" t="inlineStr">
        <is>
          <t>1800</t>
        </is>
      </c>
      <c r="H2051" s="2" t="inlineStr">
        <is>
          <t>H08 / H09; exact style differs</t>
        </is>
      </c>
    </row>
    <row r="2052">
      <c r="A2052" s="2" t="inlineStr">
        <is>
          <t>L216</t>
        </is>
      </c>
      <c r="B2052" s="2" t="inlineStr">
        <is>
          <t>Cake Prof</t>
        </is>
      </c>
      <c r="C2052" s="2" t="inlineStr">
        <is>
          <t>S106</t>
        </is>
      </c>
      <c r="D2052" s="2" t="inlineStr">
        <is>
          <t>'Cake Prof'!B9,C9</t>
        </is>
      </c>
      <c r="E2052" s="2" t="inlineStr">
        <is>
          <t>Butter</t>
        </is>
      </c>
      <c r="F2052" s="3" t="n">
        <v>1800</v>
      </c>
      <c r="G2052" s="2" t="inlineStr">
        <is>
          <t>1800</t>
        </is>
      </c>
      <c r="H2052" s="2" t="inlineStr">
        <is>
          <t>H08 / H09; exact style differs</t>
        </is>
      </c>
    </row>
    <row r="2053">
      <c r="A2053" s="2" t="inlineStr">
        <is>
          <t>L216</t>
        </is>
      </c>
      <c r="B2053" s="2" t="inlineStr">
        <is>
          <t>Cake Prof</t>
        </is>
      </c>
      <c r="C2053" s="2" t="inlineStr">
        <is>
          <t>S106</t>
        </is>
      </c>
      <c r="D2053" s="2" t="inlineStr">
        <is>
          <t>'Cake Prof'!B10,C10</t>
        </is>
      </c>
      <c r="E2053" s="2" t="inlineStr">
        <is>
          <t>EDC</t>
        </is>
      </c>
      <c r="F2053" s="3" t="n">
        <v>100</v>
      </c>
      <c r="G2053" s="2" t="inlineStr">
        <is>
          <t>100</t>
        </is>
      </c>
      <c r="H2053" s="2" t="inlineStr">
        <is>
          <t>H08 / H09; exact style differs</t>
        </is>
      </c>
    </row>
    <row r="2054">
      <c r="A2054" s="2" t="inlineStr">
        <is>
          <t>L216</t>
        </is>
      </c>
      <c r="B2054" s="2" t="inlineStr">
        <is>
          <t>Cake Prof</t>
        </is>
      </c>
      <c r="C2054" s="2" t="inlineStr">
        <is>
          <t>S106</t>
        </is>
      </c>
      <c r="D2054" s="2" t="inlineStr">
        <is>
          <t>'Cake Prof'!B11,C11</t>
        </is>
      </c>
      <c r="E2054" s="2" t="inlineStr">
        <is>
          <t>sugar</t>
        </is>
      </c>
      <c r="F2054" s="3" t="n">
        <v>1000</v>
      </c>
      <c r="G2054" s="2" t="inlineStr">
        <is>
          <t>1000</t>
        </is>
      </c>
      <c r="H2054" s="2" t="inlineStr">
        <is>
          <t>H08 / H09; exact style differs</t>
        </is>
      </c>
    </row>
    <row r="2055">
      <c r="A2055" s="2" t="inlineStr">
        <is>
          <t>L217</t>
        </is>
      </c>
      <c r="B2055" s="2" t="inlineStr">
        <is>
          <t>Delice</t>
        </is>
      </c>
      <c r="C2055" s="2" t="inlineStr">
        <is>
          <t>S106</t>
        </is>
      </c>
      <c r="D2055" s="2" t="inlineStr">
        <is>
          <t>'Delice'!C5,D5</t>
        </is>
      </c>
      <c r="E2055" s="2" t="inlineStr">
        <is>
          <t>Flour</t>
        </is>
      </c>
      <c r="F2055" s="3" t="n">
        <v>12000</v>
      </c>
      <c r="G2055" s="2" t="inlineStr">
        <is>
          <t>12000</t>
        </is>
      </c>
      <c r="H2055" s="2" t="inlineStr">
        <is>
          <t>Retain unique variant; no equivalent operating card selected</t>
        </is>
      </c>
    </row>
    <row r="2056">
      <c r="A2056" s="2" t="inlineStr">
        <is>
          <t>L217</t>
        </is>
      </c>
      <c r="B2056" s="2" t="inlineStr">
        <is>
          <t>Delice</t>
        </is>
      </c>
      <c r="C2056" s="2" t="inlineStr">
        <is>
          <t>S106</t>
        </is>
      </c>
      <c r="D2056" s="2" t="inlineStr">
        <is>
          <t>'Delice'!C6,D6</t>
        </is>
      </c>
      <c r="E2056" s="2" t="inlineStr">
        <is>
          <t>Butter</t>
        </is>
      </c>
      <c r="F2056" s="3" t="n">
        <v>1200</v>
      </c>
      <c r="G2056" s="2" t="inlineStr">
        <is>
          <t>1200</t>
        </is>
      </c>
      <c r="H2056" s="2" t="inlineStr">
        <is>
          <t>Retain unique variant; no equivalent operating card selected</t>
        </is>
      </c>
    </row>
    <row r="2057">
      <c r="A2057" s="2" t="inlineStr">
        <is>
          <t>L217</t>
        </is>
      </c>
      <c r="B2057" s="2" t="inlineStr">
        <is>
          <t>Delice</t>
        </is>
      </c>
      <c r="C2057" s="2" t="inlineStr">
        <is>
          <t>S106</t>
        </is>
      </c>
      <c r="D2057" s="2" t="inlineStr">
        <is>
          <t>'Delice'!C7,D7</t>
        </is>
      </c>
      <c r="E2057" s="2" t="inlineStr">
        <is>
          <t>sugar</t>
        </is>
      </c>
      <c r="F2057" s="3" t="n">
        <v>1500</v>
      </c>
      <c r="G2057" s="2" t="inlineStr">
        <is>
          <t>1500</t>
        </is>
      </c>
      <c r="H2057" s="2" t="inlineStr">
        <is>
          <t>Retain unique variant; no equivalent operating card selected</t>
        </is>
      </c>
    </row>
    <row r="2058">
      <c r="A2058" s="2" t="inlineStr">
        <is>
          <t>L217</t>
        </is>
      </c>
      <c r="B2058" s="2" t="inlineStr">
        <is>
          <t>Delice</t>
        </is>
      </c>
      <c r="C2058" s="2" t="inlineStr">
        <is>
          <t>S106</t>
        </is>
      </c>
      <c r="D2058" s="2" t="inlineStr">
        <is>
          <t>'Delice'!C8,D8</t>
        </is>
      </c>
      <c r="E2058" s="2" t="inlineStr">
        <is>
          <t>Milk</t>
        </is>
      </c>
      <c r="F2058" s="3" t="n">
        <v>1000</v>
      </c>
      <c r="G2058" s="2" t="inlineStr">
        <is>
          <t>1000</t>
        </is>
      </c>
      <c r="H2058" s="2" t="inlineStr">
        <is>
          <t>Retain unique variant; no equivalent operating card selected</t>
        </is>
      </c>
    </row>
    <row r="2059">
      <c r="A2059" s="2" t="inlineStr">
        <is>
          <t>L217</t>
        </is>
      </c>
      <c r="B2059" s="2" t="inlineStr">
        <is>
          <t>Delice</t>
        </is>
      </c>
      <c r="C2059" s="2" t="inlineStr">
        <is>
          <t>S106</t>
        </is>
      </c>
      <c r="D2059" s="2" t="inlineStr">
        <is>
          <t>'Delice'!C9,D9</t>
        </is>
      </c>
      <c r="E2059" s="2" t="inlineStr">
        <is>
          <t>egg</t>
        </is>
      </c>
      <c r="F2059" s="3" t="n">
        <v>1000</v>
      </c>
      <c r="G2059" s="2" t="inlineStr">
        <is>
          <t>1000</t>
        </is>
      </c>
      <c r="H2059" s="2" t="inlineStr">
        <is>
          <t>Retain unique variant; no equivalent operating card selected</t>
        </is>
      </c>
    </row>
    <row r="2060">
      <c r="A2060" s="2" t="inlineStr">
        <is>
          <t>L217</t>
        </is>
      </c>
      <c r="B2060" s="2" t="inlineStr">
        <is>
          <t>Delice</t>
        </is>
      </c>
      <c r="C2060" s="2" t="inlineStr">
        <is>
          <t>S106</t>
        </is>
      </c>
      <c r="D2060" s="2" t="inlineStr">
        <is>
          <t>'Delice'!C10,D10</t>
        </is>
      </c>
      <c r="E2060" s="2" t="inlineStr">
        <is>
          <t>salt</t>
        </is>
      </c>
      <c r="F2060" s="3" t="n">
        <v>150</v>
      </c>
      <c r="G2060" s="2" t="inlineStr">
        <is>
          <t>150</t>
        </is>
      </c>
      <c r="H2060" s="2" t="inlineStr">
        <is>
          <t>Retain unique variant; no equivalent operating card selected</t>
        </is>
      </c>
    </row>
    <row r="2061">
      <c r="A2061" s="2" t="inlineStr">
        <is>
          <t>L217</t>
        </is>
      </c>
      <c r="B2061" s="2" t="inlineStr">
        <is>
          <t>Delice</t>
        </is>
      </c>
      <c r="C2061" s="2" t="inlineStr">
        <is>
          <t>S106</t>
        </is>
      </c>
      <c r="D2061" s="2" t="inlineStr">
        <is>
          <t>'Delice'!C11,D11</t>
        </is>
      </c>
      <c r="E2061" s="2" t="inlineStr">
        <is>
          <t>improver</t>
        </is>
      </c>
      <c r="F2061" s="3" t="n">
        <v>120</v>
      </c>
      <c r="G2061" s="2" t="inlineStr">
        <is>
          <t>120</t>
        </is>
      </c>
      <c r="H2061" s="2" t="inlineStr">
        <is>
          <t>Retain unique variant; no equivalent operating card selected</t>
        </is>
      </c>
    </row>
    <row r="2062">
      <c r="A2062" s="2" t="inlineStr">
        <is>
          <t>L217</t>
        </is>
      </c>
      <c r="B2062" s="2" t="inlineStr">
        <is>
          <t>Delice</t>
        </is>
      </c>
      <c r="C2062" s="2" t="inlineStr">
        <is>
          <t>S106</t>
        </is>
      </c>
      <c r="D2062" s="2" t="inlineStr">
        <is>
          <t>'Delice'!C12,D12</t>
        </is>
      </c>
      <c r="E2062" s="2" t="inlineStr">
        <is>
          <t>baking powder</t>
        </is>
      </c>
      <c r="F2062" s="3" t="n">
        <v>60</v>
      </c>
      <c r="G2062" s="2" t="inlineStr">
        <is>
          <t>60</t>
        </is>
      </c>
      <c r="H2062" s="2" t="inlineStr">
        <is>
          <t>Retain unique variant; no equivalent operating card selected</t>
        </is>
      </c>
    </row>
    <row r="2063">
      <c r="A2063" s="2" t="inlineStr">
        <is>
          <t>L217</t>
        </is>
      </c>
      <c r="B2063" s="2" t="inlineStr">
        <is>
          <t>Delice</t>
        </is>
      </c>
      <c r="C2063" s="2" t="inlineStr">
        <is>
          <t>S106</t>
        </is>
      </c>
      <c r="D2063" s="2" t="inlineStr">
        <is>
          <t>'Delice'!C13,D13</t>
        </is>
      </c>
      <c r="E2063" s="2" t="inlineStr">
        <is>
          <t>yeast</t>
        </is>
      </c>
      <c r="F2063" s="3" t="n">
        <v>180</v>
      </c>
      <c r="G2063" s="2" t="inlineStr">
        <is>
          <t>180</t>
        </is>
      </c>
      <c r="H2063" s="2" t="inlineStr">
        <is>
          <t>Retain unique variant; no equivalent operating card selected</t>
        </is>
      </c>
    </row>
    <row r="2064">
      <c r="A2064" s="2" t="inlineStr">
        <is>
          <t>L217</t>
        </is>
      </c>
      <c r="B2064" s="2" t="inlineStr">
        <is>
          <t>Delice</t>
        </is>
      </c>
      <c r="C2064" s="2" t="inlineStr">
        <is>
          <t>S106</t>
        </is>
      </c>
      <c r="D2064" s="2" t="inlineStr">
        <is>
          <t>'Delice'!C14,D14</t>
        </is>
      </c>
      <c r="E2064" s="2" t="inlineStr">
        <is>
          <t>water</t>
        </is>
      </c>
      <c r="F2064" s="3" t="n">
        <v>3500</v>
      </c>
      <c r="G2064" s="2" t="inlineStr">
        <is>
          <t>3500</t>
        </is>
      </c>
      <c r="H2064" s="2" t="inlineStr">
        <is>
          <t>Retain unique variant; no equivalent operating card selected</t>
        </is>
      </c>
    </row>
    <row r="2065">
      <c r="A2065" s="2" t="inlineStr">
        <is>
          <t>L217</t>
        </is>
      </c>
      <c r="B2065" s="2" t="inlineStr">
        <is>
          <t>Delice</t>
        </is>
      </c>
      <c r="C2065" s="2" t="inlineStr">
        <is>
          <t>S106</t>
        </is>
      </c>
      <c r="D2065" s="2" t="inlineStr">
        <is>
          <t>'Delice'!C15,D15</t>
        </is>
      </c>
      <c r="E2065" s="2" t="inlineStr">
        <is>
          <t>Chocolate</t>
        </is>
      </c>
      <c r="F2065" s="3" t="n">
        <v>500</v>
      </c>
      <c r="G2065" s="2" t="inlineStr">
        <is>
          <t>500</t>
        </is>
      </c>
      <c r="H2065" s="2" t="inlineStr">
        <is>
          <t>Retain unique variant; no equivalent operating card selected</t>
        </is>
      </c>
    </row>
    <row r="2066">
      <c r="A2066" s="2" t="inlineStr">
        <is>
          <t>L217</t>
        </is>
      </c>
      <c r="B2066" s="2" t="inlineStr">
        <is>
          <t>Delice</t>
        </is>
      </c>
      <c r="C2066" s="2" t="inlineStr">
        <is>
          <t>S106</t>
        </is>
      </c>
      <c r="D2066" s="2" t="inlineStr">
        <is>
          <t>'Delice'!C16,D16</t>
        </is>
      </c>
      <c r="E2066" s="2" t="inlineStr">
        <is>
          <t>EDC</t>
        </is>
      </c>
      <c r="F2066" s="3" t="n">
        <v>25</v>
      </c>
      <c r="G2066" s="2" t="inlineStr">
        <is>
          <t>25</t>
        </is>
      </c>
      <c r="H2066" s="2" t="inlineStr">
        <is>
          <t>Retain unique variant; no equivalent operating card selected</t>
        </is>
      </c>
    </row>
    <row r="2067">
      <c r="A2067" s="2" t="inlineStr">
        <is>
          <t>L218</t>
        </is>
      </c>
      <c r="B2067" s="2" t="inlineStr">
        <is>
          <t>Delice</t>
        </is>
      </c>
      <c r="C2067" s="2" t="inlineStr">
        <is>
          <t>S106</t>
        </is>
      </c>
      <c r="D2067" s="2" t="inlineStr">
        <is>
          <t>'Delice'!C5,H5</t>
        </is>
      </c>
      <c r="E2067" s="2" t="inlineStr">
        <is>
          <t>Flour</t>
        </is>
      </c>
      <c r="F2067" s="3" t="n">
        <v>6000</v>
      </c>
      <c r="G2067" s="2" t="inlineStr">
        <is>
          <t>6000</t>
        </is>
      </c>
      <c r="H2067" s="2" t="inlineStr">
        <is>
          <t>Retain unique variant; no equivalent operating card selected</t>
        </is>
      </c>
    </row>
    <row r="2068">
      <c r="A2068" s="2" t="inlineStr">
        <is>
          <t>L218</t>
        </is>
      </c>
      <c r="B2068" s="2" t="inlineStr">
        <is>
          <t>Delice</t>
        </is>
      </c>
      <c r="C2068" s="2" t="inlineStr">
        <is>
          <t>S106</t>
        </is>
      </c>
      <c r="D2068" s="2" t="inlineStr">
        <is>
          <t>'Delice'!C6,H6</t>
        </is>
      </c>
      <c r="E2068" s="2" t="inlineStr">
        <is>
          <t>Butter</t>
        </is>
      </c>
      <c r="F2068" s="3" t="n">
        <v>600</v>
      </c>
      <c r="G2068" s="2" t="inlineStr">
        <is>
          <t>600</t>
        </is>
      </c>
      <c r="H2068" s="2" t="inlineStr">
        <is>
          <t>Retain unique variant; no equivalent operating card selected</t>
        </is>
      </c>
    </row>
    <row r="2069">
      <c r="A2069" s="2" t="inlineStr">
        <is>
          <t>L218</t>
        </is>
      </c>
      <c r="B2069" s="2" t="inlineStr">
        <is>
          <t>Delice</t>
        </is>
      </c>
      <c r="C2069" s="2" t="inlineStr">
        <is>
          <t>S106</t>
        </is>
      </c>
      <c r="D2069" s="2" t="inlineStr">
        <is>
          <t>'Delice'!C7,H7</t>
        </is>
      </c>
      <c r="E2069" s="2" t="inlineStr">
        <is>
          <t>sugar</t>
        </is>
      </c>
      <c r="F2069" s="3" t="n">
        <v>800</v>
      </c>
      <c r="G2069" s="2" t="inlineStr">
        <is>
          <t>800</t>
        </is>
      </c>
      <c r="H2069" s="2" t="inlineStr">
        <is>
          <t>Retain unique variant; no equivalent operating card selected</t>
        </is>
      </c>
    </row>
    <row r="2070">
      <c r="A2070" s="2" t="inlineStr">
        <is>
          <t>L218</t>
        </is>
      </c>
      <c r="B2070" s="2" t="inlineStr">
        <is>
          <t>Delice</t>
        </is>
      </c>
      <c r="C2070" s="2" t="inlineStr">
        <is>
          <t>S106</t>
        </is>
      </c>
      <c r="D2070" s="2" t="inlineStr">
        <is>
          <t>'Delice'!C8,H8</t>
        </is>
      </c>
      <c r="E2070" s="2" t="inlineStr">
        <is>
          <t>Milk</t>
        </is>
      </c>
      <c r="F2070" s="3" t="n">
        <v>500</v>
      </c>
      <c r="G2070" s="2" t="inlineStr">
        <is>
          <t>500</t>
        </is>
      </c>
      <c r="H2070" s="2" t="inlineStr">
        <is>
          <t>Retain unique variant; no equivalent operating card selected</t>
        </is>
      </c>
    </row>
    <row r="2071">
      <c r="A2071" s="2" t="inlineStr">
        <is>
          <t>L218</t>
        </is>
      </c>
      <c r="B2071" s="2" t="inlineStr">
        <is>
          <t>Delice</t>
        </is>
      </c>
      <c r="C2071" s="2" t="inlineStr">
        <is>
          <t>S106</t>
        </is>
      </c>
      <c r="D2071" s="2" t="inlineStr">
        <is>
          <t>'Delice'!C9,H9</t>
        </is>
      </c>
      <c r="E2071" s="2" t="inlineStr">
        <is>
          <t>egg</t>
        </is>
      </c>
      <c r="F2071" s="3" t="n">
        <v>500</v>
      </c>
      <c r="G2071" s="2" t="inlineStr">
        <is>
          <t>500</t>
        </is>
      </c>
      <c r="H2071" s="2" t="inlineStr">
        <is>
          <t>Retain unique variant; no equivalent operating card selected</t>
        </is>
      </c>
    </row>
    <row r="2072">
      <c r="A2072" s="2" t="inlineStr">
        <is>
          <t>L218</t>
        </is>
      </c>
      <c r="B2072" s="2" t="inlineStr">
        <is>
          <t>Delice</t>
        </is>
      </c>
      <c r="C2072" s="2" t="inlineStr">
        <is>
          <t>S106</t>
        </is>
      </c>
      <c r="D2072" s="2" t="inlineStr">
        <is>
          <t>'Delice'!C10,H10</t>
        </is>
      </c>
      <c r="E2072" s="2" t="inlineStr">
        <is>
          <t>salt</t>
        </is>
      </c>
      <c r="F2072" s="3" t="n">
        <v>70</v>
      </c>
      <c r="G2072" s="2" t="inlineStr">
        <is>
          <t>70</t>
        </is>
      </c>
      <c r="H2072" s="2" t="inlineStr">
        <is>
          <t>Retain unique variant; no equivalent operating card selected</t>
        </is>
      </c>
    </row>
    <row r="2073">
      <c r="A2073" s="2" t="inlineStr">
        <is>
          <t>L218</t>
        </is>
      </c>
      <c r="B2073" s="2" t="inlineStr">
        <is>
          <t>Delice</t>
        </is>
      </c>
      <c r="C2073" s="2" t="inlineStr">
        <is>
          <t>S106</t>
        </is>
      </c>
      <c r="D2073" s="2" t="inlineStr">
        <is>
          <t>'Delice'!C11,H11</t>
        </is>
      </c>
      <c r="E2073" s="2" t="inlineStr">
        <is>
          <t>improver</t>
        </is>
      </c>
      <c r="F2073" s="3" t="n">
        <v>70</v>
      </c>
      <c r="G2073" s="2" t="inlineStr">
        <is>
          <t>70</t>
        </is>
      </c>
      <c r="H2073" s="2" t="inlineStr">
        <is>
          <t>Retain unique variant; no equivalent operating card selected</t>
        </is>
      </c>
    </row>
    <row r="2074">
      <c r="A2074" s="2" t="inlineStr">
        <is>
          <t>L218</t>
        </is>
      </c>
      <c r="B2074" s="2" t="inlineStr">
        <is>
          <t>Delice</t>
        </is>
      </c>
      <c r="C2074" s="2" t="inlineStr">
        <is>
          <t>S106</t>
        </is>
      </c>
      <c r="D2074" s="2" t="inlineStr">
        <is>
          <t>'Delice'!C12,H12</t>
        </is>
      </c>
      <c r="E2074" s="2" t="inlineStr">
        <is>
          <t>baking powder</t>
        </is>
      </c>
      <c r="F2074" s="3" t="n">
        <v>60</v>
      </c>
      <c r="G2074" s="2" t="inlineStr">
        <is>
          <t>60</t>
        </is>
      </c>
      <c r="H2074" s="2" t="inlineStr">
        <is>
          <t>Retain unique variant; no equivalent operating card selected</t>
        </is>
      </c>
    </row>
    <row r="2075">
      <c r="A2075" s="2" t="inlineStr">
        <is>
          <t>L218</t>
        </is>
      </c>
      <c r="B2075" s="2" t="inlineStr">
        <is>
          <t>Delice</t>
        </is>
      </c>
      <c r="C2075" s="2" t="inlineStr">
        <is>
          <t>S106</t>
        </is>
      </c>
      <c r="D2075" s="2" t="inlineStr">
        <is>
          <t>'Delice'!C13,H13</t>
        </is>
      </c>
      <c r="E2075" s="2" t="inlineStr">
        <is>
          <t>yeast</t>
        </is>
      </c>
      <c r="F2075" s="3" t="n">
        <v>60</v>
      </c>
      <c r="G2075" s="2" t="inlineStr">
        <is>
          <t>60</t>
        </is>
      </c>
      <c r="H2075" s="2" t="inlineStr">
        <is>
          <t>Retain unique variant; no equivalent operating card selected</t>
        </is>
      </c>
    </row>
    <row r="2076">
      <c r="A2076" s="2" t="inlineStr">
        <is>
          <t>L218</t>
        </is>
      </c>
      <c r="B2076" s="2" t="inlineStr">
        <is>
          <t>Delice</t>
        </is>
      </c>
      <c r="C2076" s="2" t="inlineStr">
        <is>
          <t>S106</t>
        </is>
      </c>
      <c r="D2076" s="2" t="inlineStr">
        <is>
          <t>'Delice'!C14,H14</t>
        </is>
      </c>
      <c r="E2076" s="2" t="inlineStr">
        <is>
          <t>water</t>
        </is>
      </c>
      <c r="F2076" s="3" t="n">
        <v>1800</v>
      </c>
      <c r="G2076" s="2" t="inlineStr">
        <is>
          <t>1800</t>
        </is>
      </c>
      <c r="H2076" s="2" t="inlineStr">
        <is>
          <t>Retain unique variant; no equivalent operating card selected</t>
        </is>
      </c>
    </row>
    <row r="2077">
      <c r="A2077" s="2" t="inlineStr">
        <is>
          <t>L218</t>
        </is>
      </c>
      <c r="B2077" s="2" t="inlineStr">
        <is>
          <t>Delice</t>
        </is>
      </c>
      <c r="C2077" s="2" t="inlineStr">
        <is>
          <t>S106</t>
        </is>
      </c>
      <c r="D2077" s="2" t="inlineStr">
        <is>
          <t>'Delice'!C15,H15</t>
        </is>
      </c>
      <c r="E2077" s="2" t="inlineStr">
        <is>
          <t>Chocolate</t>
        </is>
      </c>
      <c r="F2077" s="3" t="n">
        <v>300</v>
      </c>
      <c r="G2077" s="2" t="inlineStr">
        <is>
          <t>300</t>
        </is>
      </c>
      <c r="H2077" s="2" t="inlineStr">
        <is>
          <t>Retain unique variant; no equivalent operating card selected</t>
        </is>
      </c>
    </row>
    <row r="2078">
      <c r="A2078" s="2" t="inlineStr">
        <is>
          <t>L218</t>
        </is>
      </c>
      <c r="B2078" s="2" t="inlineStr">
        <is>
          <t>Delice</t>
        </is>
      </c>
      <c r="C2078" s="2" t="inlineStr">
        <is>
          <t>S106</t>
        </is>
      </c>
      <c r="D2078" s="2" t="inlineStr">
        <is>
          <t>'Delice'!C16,H16</t>
        </is>
      </c>
      <c r="E2078" s="2" t="inlineStr">
        <is>
          <t>EDC</t>
        </is>
      </c>
      <c r="F2078" s="3" t="n">
        <v>20</v>
      </c>
      <c r="G2078" s="2" t="inlineStr">
        <is>
          <t>20</t>
        </is>
      </c>
      <c r="H2078" s="2" t="inlineStr">
        <is>
          <t>Retain unique variant; no equivalent operating card selected</t>
        </is>
      </c>
    </row>
    <row r="2079">
      <c r="A2079" s="2" t="inlineStr">
        <is>
          <t>L219</t>
        </is>
      </c>
      <c r="B2079" s="2" t="inlineStr">
        <is>
          <t>Kouatchoua gato</t>
        </is>
      </c>
      <c r="C2079" s="2" t="inlineStr">
        <is>
          <t>S106</t>
        </is>
      </c>
      <c r="D2079" s="2" t="inlineStr">
        <is>
          <t>'Kouatchoua gato'!C5,D5</t>
        </is>
      </c>
      <c r="E2079" s="2" t="inlineStr">
        <is>
          <t>flour</t>
        </is>
      </c>
      <c r="F2079" s="3" t="n">
        <v>25000</v>
      </c>
      <c r="G2079" s="2" t="inlineStr">
        <is>
          <t>25000</t>
        </is>
      </c>
      <c r="H2079" s="2" t="inlineStr">
        <is>
          <t>Retain unique variant; no equivalent operating card selected</t>
        </is>
      </c>
    </row>
    <row r="2080">
      <c r="A2080" s="2" t="inlineStr">
        <is>
          <t>L219</t>
        </is>
      </c>
      <c r="B2080" s="2" t="inlineStr">
        <is>
          <t>Kouatchoua gato</t>
        </is>
      </c>
      <c r="C2080" s="2" t="inlineStr">
        <is>
          <t>S106</t>
        </is>
      </c>
      <c r="D2080" s="2" t="inlineStr">
        <is>
          <t>'Kouatchoua gato'!C6,D6</t>
        </is>
      </c>
      <c r="E2080" s="2" t="inlineStr">
        <is>
          <t>Butter</t>
        </is>
      </c>
      <c r="F2080" s="3" t="n">
        <v>1300</v>
      </c>
      <c r="G2080" s="2" t="inlineStr">
        <is>
          <t>1300</t>
        </is>
      </c>
      <c r="H2080" s="2" t="inlineStr">
        <is>
          <t>Retain unique variant; no equivalent operating card selected</t>
        </is>
      </c>
    </row>
    <row r="2081">
      <c r="A2081" s="2" t="inlineStr">
        <is>
          <t>L219</t>
        </is>
      </c>
      <c r="B2081" s="2" t="inlineStr">
        <is>
          <t>Kouatchoua gato</t>
        </is>
      </c>
      <c r="C2081" s="2" t="inlineStr">
        <is>
          <t>S106</t>
        </is>
      </c>
      <c r="D2081" s="2" t="inlineStr">
        <is>
          <t>'Kouatchoua gato'!C7,D7</t>
        </is>
      </c>
      <c r="E2081" s="2" t="inlineStr">
        <is>
          <t>sugar</t>
        </is>
      </c>
      <c r="F2081" s="3" t="n">
        <v>1700</v>
      </c>
      <c r="G2081" s="2" t="inlineStr">
        <is>
          <t>1700</t>
        </is>
      </c>
      <c r="H2081" s="2" t="inlineStr">
        <is>
          <t>Retain unique variant; no equivalent operating card selected</t>
        </is>
      </c>
    </row>
    <row r="2082">
      <c r="A2082" s="2" t="inlineStr">
        <is>
          <t>L219</t>
        </is>
      </c>
      <c r="B2082" s="2" t="inlineStr">
        <is>
          <t>Kouatchoua gato</t>
        </is>
      </c>
      <c r="C2082" s="2" t="inlineStr">
        <is>
          <t>S106</t>
        </is>
      </c>
      <c r="D2082" s="2" t="inlineStr">
        <is>
          <t>'Kouatchoua gato'!C8,D8</t>
        </is>
      </c>
      <c r="E2082" s="2" t="inlineStr">
        <is>
          <t>Conc Milk</t>
        </is>
      </c>
      <c r="F2082" s="3" t="n">
        <v>800</v>
      </c>
      <c r="G2082" s="2" t="inlineStr">
        <is>
          <t>800</t>
        </is>
      </c>
      <c r="H2082" s="2" t="inlineStr">
        <is>
          <t>Retain unique variant; no equivalent operating card selected</t>
        </is>
      </c>
    </row>
    <row r="2083">
      <c r="A2083" s="2" t="inlineStr">
        <is>
          <t>L219</t>
        </is>
      </c>
      <c r="B2083" s="2" t="inlineStr">
        <is>
          <t>Kouatchoua gato</t>
        </is>
      </c>
      <c r="C2083" s="2" t="inlineStr">
        <is>
          <t>S106</t>
        </is>
      </c>
      <c r="D2083" s="2" t="inlineStr">
        <is>
          <t>'Kouatchoua gato'!C9,D9</t>
        </is>
      </c>
      <c r="E2083" s="2" t="inlineStr">
        <is>
          <t>egg</t>
        </is>
      </c>
      <c r="F2083" s="3" t="n">
        <v>750</v>
      </c>
      <c r="G2083" s="2" t="inlineStr">
        <is>
          <t>750</t>
        </is>
      </c>
      <c r="H2083" s="2" t="inlineStr">
        <is>
          <t>Retain unique variant; no equivalent operating card selected</t>
        </is>
      </c>
    </row>
    <row r="2084">
      <c r="A2084" s="2" t="inlineStr">
        <is>
          <t>L219</t>
        </is>
      </c>
      <c r="B2084" s="2" t="inlineStr">
        <is>
          <t>Kouatchoua gato</t>
        </is>
      </c>
      <c r="C2084" s="2" t="inlineStr">
        <is>
          <t>S106</t>
        </is>
      </c>
      <c r="D2084" s="2" t="inlineStr">
        <is>
          <t>'Kouatchoua gato'!C10,D10</t>
        </is>
      </c>
      <c r="E2084" s="2" t="inlineStr">
        <is>
          <t>salt</t>
        </is>
      </c>
      <c r="F2084" s="3" t="n">
        <v>270</v>
      </c>
      <c r="G2084" s="2" t="inlineStr">
        <is>
          <t>270</t>
        </is>
      </c>
      <c r="H2084" s="2" t="inlineStr">
        <is>
          <t>Retain unique variant; no equivalent operating card selected</t>
        </is>
      </c>
    </row>
    <row r="2085">
      <c r="A2085" s="2" t="inlineStr">
        <is>
          <t>L219</t>
        </is>
      </c>
      <c r="B2085" s="2" t="inlineStr">
        <is>
          <t>Kouatchoua gato</t>
        </is>
      </c>
      <c r="C2085" s="2" t="inlineStr">
        <is>
          <t>S106</t>
        </is>
      </c>
      <c r="D2085" s="2" t="inlineStr">
        <is>
          <t>'Kouatchoua gato'!C11,D11</t>
        </is>
      </c>
      <c r="E2085" s="2" t="inlineStr">
        <is>
          <t>improver</t>
        </is>
      </c>
      <c r="F2085" s="3" t="n">
        <v>150</v>
      </c>
      <c r="G2085" s="2" t="inlineStr">
        <is>
          <t>150</t>
        </is>
      </c>
      <c r="H2085" s="2" t="inlineStr">
        <is>
          <t>Retain unique variant; no equivalent operating card selected</t>
        </is>
      </c>
    </row>
    <row r="2086">
      <c r="A2086" s="2" t="inlineStr">
        <is>
          <t>L219</t>
        </is>
      </c>
      <c r="B2086" s="2" t="inlineStr">
        <is>
          <t>Kouatchoua gato</t>
        </is>
      </c>
      <c r="C2086" s="2" t="inlineStr">
        <is>
          <t>S106</t>
        </is>
      </c>
      <c r="D2086" s="2" t="inlineStr">
        <is>
          <t>'Kouatchoua gato'!C12,D12</t>
        </is>
      </c>
      <c r="E2086" s="2" t="inlineStr">
        <is>
          <t>yeast</t>
        </is>
      </c>
      <c r="F2086" s="3" t="n">
        <v>170</v>
      </c>
      <c r="G2086" s="2" t="inlineStr">
        <is>
          <t>170</t>
        </is>
      </c>
      <c r="H2086" s="2" t="inlineStr">
        <is>
          <t>Retain unique variant; no equivalent operating card selected</t>
        </is>
      </c>
    </row>
    <row r="2087">
      <c r="A2087" s="2" t="inlineStr">
        <is>
          <t>L219</t>
        </is>
      </c>
      <c r="B2087" s="2" t="inlineStr">
        <is>
          <t>Kouatchoua gato</t>
        </is>
      </c>
      <c r="C2087" s="2" t="inlineStr">
        <is>
          <t>S106</t>
        </is>
      </c>
      <c r="D2087" s="2" t="inlineStr">
        <is>
          <t>'Kouatchoua gato'!C13,D13</t>
        </is>
      </c>
      <c r="E2087" s="2" t="inlineStr">
        <is>
          <t>water</t>
        </is>
      </c>
      <c r="F2087" s="3" t="n">
        <v>9500</v>
      </c>
      <c r="G2087" s="2" t="inlineStr">
        <is>
          <t>9500</t>
        </is>
      </c>
      <c r="H2087" s="2" t="inlineStr">
        <is>
          <t>Retain unique variant; no equivalent operating card selected</t>
        </is>
      </c>
    </row>
    <row r="2088">
      <c r="A2088" s="2" t="inlineStr">
        <is>
          <t>L219</t>
        </is>
      </c>
      <c r="B2088" s="2" t="inlineStr">
        <is>
          <t>Kouatchoua gato</t>
        </is>
      </c>
      <c r="C2088" s="2" t="inlineStr">
        <is>
          <t>S106</t>
        </is>
      </c>
      <c r="D2088" s="2" t="inlineStr">
        <is>
          <t>'Kouatchoua gato'!C14,D14</t>
        </is>
      </c>
      <c r="E2088" s="2" t="inlineStr">
        <is>
          <t>baking powder</t>
        </is>
      </c>
      <c r="F2088" s="3" t="n">
        <v>170</v>
      </c>
      <c r="G2088" s="2" t="inlineStr">
        <is>
          <t>170</t>
        </is>
      </c>
      <c r="H2088" s="2" t="inlineStr">
        <is>
          <t>Retain unique variant; no equivalent operating card selected</t>
        </is>
      </c>
    </row>
    <row r="2089">
      <c r="A2089" s="2" t="inlineStr">
        <is>
          <t>L219</t>
        </is>
      </c>
      <c r="B2089" s="2" t="inlineStr">
        <is>
          <t>Kouatchoua gato</t>
        </is>
      </c>
      <c r="C2089" s="2" t="inlineStr">
        <is>
          <t>S106</t>
        </is>
      </c>
      <c r="D2089" s="2" t="inlineStr">
        <is>
          <t>'Kouatchoua gato'!C15,D15</t>
        </is>
      </c>
      <c r="E2089" s="2" t="inlineStr">
        <is>
          <t>frying oil</t>
        </is>
      </c>
      <c r="F2089" s="3" t="n">
        <v>9000</v>
      </c>
      <c r="G2089" s="2" t="inlineStr">
        <is>
          <t>9000</t>
        </is>
      </c>
      <c r="H2089" s="2" t="inlineStr">
        <is>
          <t>Retain unique variant; no equivalent operating card selected</t>
        </is>
      </c>
    </row>
    <row r="2090">
      <c r="A2090" s="2" t="inlineStr">
        <is>
          <t>L220</t>
        </is>
      </c>
      <c r="B2090" s="2" t="inlineStr">
        <is>
          <t>Kouatchoua gato</t>
        </is>
      </c>
      <c r="C2090" s="2" t="inlineStr">
        <is>
          <t>S106</t>
        </is>
      </c>
      <c r="D2090" s="2" t="inlineStr">
        <is>
          <t>'Kouatchoua gato'!C5,J5</t>
        </is>
      </c>
      <c r="E2090" s="2" t="inlineStr">
        <is>
          <t>flour</t>
        </is>
      </c>
      <c r="F2090" s="3" t="n">
        <v>20000</v>
      </c>
      <c r="G2090" s="2" t="inlineStr">
        <is>
          <t>20000</t>
        </is>
      </c>
      <c r="H2090" s="2" t="inlineStr">
        <is>
          <t>Retain unique variant; no equivalent operating card selected</t>
        </is>
      </c>
    </row>
    <row r="2091">
      <c r="A2091" s="2" t="inlineStr">
        <is>
          <t>L220</t>
        </is>
      </c>
      <c r="B2091" s="2" t="inlineStr">
        <is>
          <t>Kouatchoua gato</t>
        </is>
      </c>
      <c r="C2091" s="2" t="inlineStr">
        <is>
          <t>S106</t>
        </is>
      </c>
      <c r="D2091" s="2" t="inlineStr">
        <is>
          <t>'Kouatchoua gato'!C6,J6</t>
        </is>
      </c>
      <c r="E2091" s="2" t="inlineStr">
        <is>
          <t>Butter</t>
        </is>
      </c>
      <c r="F2091" s="3" t="n">
        <v>560</v>
      </c>
      <c r="G2091" s="2" t="inlineStr">
        <is>
          <t>560</t>
        </is>
      </c>
      <c r="H2091" s="2" t="inlineStr">
        <is>
          <t>Retain unique variant; no equivalent operating card selected</t>
        </is>
      </c>
    </row>
    <row r="2092">
      <c r="A2092" s="2" t="inlineStr">
        <is>
          <t>L220</t>
        </is>
      </c>
      <c r="B2092" s="2" t="inlineStr">
        <is>
          <t>Kouatchoua gato</t>
        </is>
      </c>
      <c r="C2092" s="2" t="inlineStr">
        <is>
          <t>S106</t>
        </is>
      </c>
      <c r="D2092" s="2" t="inlineStr">
        <is>
          <t>'Kouatchoua gato'!C7,J7</t>
        </is>
      </c>
      <c r="E2092" s="2" t="inlineStr">
        <is>
          <t>sugar</t>
        </is>
      </c>
      <c r="F2092" s="3" t="n">
        <v>800</v>
      </c>
      <c r="G2092" s="2" t="inlineStr">
        <is>
          <t>800</t>
        </is>
      </c>
      <c r="H2092" s="2" t="inlineStr">
        <is>
          <t>Retain unique variant; no equivalent operating card selected</t>
        </is>
      </c>
    </row>
    <row r="2093">
      <c r="A2093" s="2" t="inlineStr">
        <is>
          <t>L220</t>
        </is>
      </c>
      <c r="B2093" s="2" t="inlineStr">
        <is>
          <t>Kouatchoua gato</t>
        </is>
      </c>
      <c r="C2093" s="2" t="inlineStr">
        <is>
          <t>S106</t>
        </is>
      </c>
      <c r="D2093" s="2" t="inlineStr">
        <is>
          <t>'Kouatchoua gato'!C8,J8</t>
        </is>
      </c>
      <c r="E2093" s="2" t="inlineStr">
        <is>
          <t>Conc Milk</t>
        </is>
      </c>
      <c r="F2093" s="3" t="n">
        <v>500</v>
      </c>
      <c r="G2093" s="2" t="inlineStr">
        <is>
          <t>500</t>
        </is>
      </c>
      <c r="H2093" s="2" t="inlineStr">
        <is>
          <t>Retain unique variant; no equivalent operating card selected</t>
        </is>
      </c>
    </row>
    <row r="2094">
      <c r="A2094" s="2" t="inlineStr">
        <is>
          <t>L220</t>
        </is>
      </c>
      <c r="B2094" s="2" t="inlineStr">
        <is>
          <t>Kouatchoua gato</t>
        </is>
      </c>
      <c r="C2094" s="2" t="inlineStr">
        <is>
          <t>S106</t>
        </is>
      </c>
      <c r="D2094" s="2" t="inlineStr">
        <is>
          <t>'Kouatchoua gato'!C9,J9</t>
        </is>
      </c>
      <c r="E2094" s="2" t="inlineStr">
        <is>
          <t>egg</t>
        </is>
      </c>
      <c r="F2094" s="3" t="n">
        <v>144</v>
      </c>
      <c r="G2094" s="2" t="inlineStr">
        <is>
          <t>144</t>
        </is>
      </c>
      <c r="H2094" s="2" t="inlineStr">
        <is>
          <t>Retain unique variant; no equivalent operating card selected</t>
        </is>
      </c>
    </row>
    <row r="2095">
      <c r="A2095" s="2" t="inlineStr">
        <is>
          <t>L220</t>
        </is>
      </c>
      <c r="B2095" s="2" t="inlineStr">
        <is>
          <t>Kouatchoua gato</t>
        </is>
      </c>
      <c r="C2095" s="2" t="inlineStr">
        <is>
          <t>S106</t>
        </is>
      </c>
      <c r="D2095" s="2" t="inlineStr">
        <is>
          <t>'Kouatchoua gato'!C10,J10</t>
        </is>
      </c>
      <c r="E2095" s="2" t="inlineStr">
        <is>
          <t>salt</t>
        </is>
      </c>
      <c r="F2095" s="3" t="n">
        <v>166</v>
      </c>
      <c r="G2095" s="2" t="inlineStr">
        <is>
          <t>166</t>
        </is>
      </c>
      <c r="H2095" s="2" t="inlineStr">
        <is>
          <t>Retain unique variant; no equivalent operating card selected</t>
        </is>
      </c>
    </row>
    <row r="2096">
      <c r="A2096" s="2" t="inlineStr">
        <is>
          <t>L220</t>
        </is>
      </c>
      <c r="B2096" s="2" t="inlineStr">
        <is>
          <t>Kouatchoua gato</t>
        </is>
      </c>
      <c r="C2096" s="2" t="inlineStr">
        <is>
          <t>S106</t>
        </is>
      </c>
      <c r="D2096" s="2" t="inlineStr">
        <is>
          <t>'Kouatchoua gato'!C11,J11</t>
        </is>
      </c>
      <c r="E2096" s="2" t="inlineStr">
        <is>
          <t>improver</t>
        </is>
      </c>
      <c r="F2096" s="3" t="n">
        <v>150</v>
      </c>
      <c r="G2096" s="2" t="inlineStr">
        <is>
          <t>=D11 [cached: 150]</t>
        </is>
      </c>
      <c r="H2096" s="2" t="inlineStr">
        <is>
          <t>Retain unique variant; no equivalent operating card selected</t>
        </is>
      </c>
    </row>
    <row r="2097">
      <c r="A2097" s="2" t="inlineStr">
        <is>
          <t>L220</t>
        </is>
      </c>
      <c r="B2097" s="2" t="inlineStr">
        <is>
          <t>Kouatchoua gato</t>
        </is>
      </c>
      <c r="C2097" s="2" t="inlineStr">
        <is>
          <t>S106</t>
        </is>
      </c>
      <c r="D2097" s="2" t="inlineStr">
        <is>
          <t>'Kouatchoua gato'!C12,J12</t>
        </is>
      </c>
      <c r="E2097" s="2" t="inlineStr">
        <is>
          <t>yeast</t>
        </is>
      </c>
      <c r="F2097" s="3" t="n">
        <v>70</v>
      </c>
      <c r="G2097" s="2" t="inlineStr">
        <is>
          <t>70</t>
        </is>
      </c>
      <c r="H2097" s="2" t="inlineStr">
        <is>
          <t>Retain unique variant; no equivalent operating card selected</t>
        </is>
      </c>
    </row>
    <row r="2098">
      <c r="A2098" s="2" t="inlineStr">
        <is>
          <t>L220</t>
        </is>
      </c>
      <c r="B2098" s="2" t="inlineStr">
        <is>
          <t>Kouatchoua gato</t>
        </is>
      </c>
      <c r="C2098" s="2" t="inlineStr">
        <is>
          <t>S106</t>
        </is>
      </c>
      <c r="D2098" s="2" t="inlineStr">
        <is>
          <t>'Kouatchoua gato'!C13,J13</t>
        </is>
      </c>
      <c r="E2098" s="2" t="inlineStr">
        <is>
          <t>water</t>
        </is>
      </c>
      <c r="F2098" s="3" t="n">
        <v>7000</v>
      </c>
      <c r="G2098" s="2" t="inlineStr">
        <is>
          <t>7000</t>
        </is>
      </c>
      <c r="H2098" s="2" t="inlineStr">
        <is>
          <t>Retain unique variant; no equivalent operating card selected</t>
        </is>
      </c>
    </row>
    <row r="2099">
      <c r="A2099" s="2" t="inlineStr">
        <is>
          <t>L220</t>
        </is>
      </c>
      <c r="B2099" s="2" t="inlineStr">
        <is>
          <t>Kouatchoua gato</t>
        </is>
      </c>
      <c r="C2099" s="2" t="inlineStr">
        <is>
          <t>S106</t>
        </is>
      </c>
      <c r="D2099" s="2" t="inlineStr">
        <is>
          <t>'Kouatchoua gato'!C14,J14</t>
        </is>
      </c>
      <c r="E2099" s="2" t="inlineStr">
        <is>
          <t>baking powder</t>
        </is>
      </c>
      <c r="F2099" s="3" t="n">
        <v>20</v>
      </c>
      <c r="G2099" s="2" t="inlineStr">
        <is>
          <t>20</t>
        </is>
      </c>
      <c r="H2099" s="2" t="inlineStr">
        <is>
          <t>Retain unique variant; no equivalent operating card selected</t>
        </is>
      </c>
    </row>
    <row r="2100">
      <c r="A2100" s="2" t="inlineStr">
        <is>
          <t>L220</t>
        </is>
      </c>
      <c r="B2100" s="2" t="inlineStr">
        <is>
          <t>Kouatchoua gato</t>
        </is>
      </c>
      <c r="C2100" s="2" t="inlineStr">
        <is>
          <t>S106</t>
        </is>
      </c>
      <c r="D2100" s="2" t="inlineStr">
        <is>
          <t>'Kouatchoua gato'!C15,J15</t>
        </is>
      </c>
      <c r="E2100" s="2" t="inlineStr">
        <is>
          <t>frying oil</t>
        </is>
      </c>
      <c r="F2100" s="3" t="n">
        <v>9000</v>
      </c>
      <c r="G2100" s="2" t="inlineStr">
        <is>
          <t>=D15 [cached: 9000]</t>
        </is>
      </c>
      <c r="H2100" s="2" t="inlineStr">
        <is>
          <t>Retain unique variant; no equivalent operating card selected</t>
        </is>
      </c>
    </row>
    <row r="2101">
      <c r="A2101" s="2" t="inlineStr">
        <is>
          <t>L221</t>
        </is>
      </c>
      <c r="B2101" s="2" t="inlineStr">
        <is>
          <t>YUMMY BREAD</t>
        </is>
      </c>
      <c r="C2101" s="2" t="inlineStr">
        <is>
          <t>S106</t>
        </is>
      </c>
      <c r="D2101" s="2" t="inlineStr">
        <is>
          <t>'YUMMY BREAD'!C5,D5</t>
        </is>
      </c>
      <c r="E2101" s="2" t="inlineStr">
        <is>
          <t>flour</t>
        </is>
      </c>
      <c r="F2101" s="3" t="n">
        <v>13000</v>
      </c>
      <c r="G2101" s="2" t="inlineStr">
        <is>
          <t>13000</t>
        </is>
      </c>
      <c r="H2101" s="2" t="inlineStr">
        <is>
          <t>M1-B01–B13</t>
        </is>
      </c>
    </row>
    <row r="2102">
      <c r="A2102" s="2" t="inlineStr">
        <is>
          <t>L221</t>
        </is>
      </c>
      <c r="B2102" s="2" t="inlineStr">
        <is>
          <t>YUMMY BREAD</t>
        </is>
      </c>
      <c r="C2102" s="2" t="inlineStr">
        <is>
          <t>S106</t>
        </is>
      </c>
      <c r="D2102" s="2" t="inlineStr">
        <is>
          <t>'YUMMY BREAD'!C6,D6</t>
        </is>
      </c>
      <c r="E2102" s="2" t="inlineStr">
        <is>
          <t>Butter</t>
        </is>
      </c>
      <c r="F2102" s="3" t="n">
        <v>1600</v>
      </c>
      <c r="G2102" s="2" t="inlineStr">
        <is>
          <t>1600</t>
        </is>
      </c>
      <c r="H2102" s="2" t="inlineStr">
        <is>
          <t>M1-B01–B13</t>
        </is>
      </c>
    </row>
    <row r="2103">
      <c r="A2103" s="2" t="inlineStr">
        <is>
          <t>L221</t>
        </is>
      </c>
      <c r="B2103" s="2" t="inlineStr">
        <is>
          <t>YUMMY BREAD</t>
        </is>
      </c>
      <c r="C2103" s="2" t="inlineStr">
        <is>
          <t>S106</t>
        </is>
      </c>
      <c r="D2103" s="2" t="inlineStr">
        <is>
          <t>'YUMMY BREAD'!C7,D7</t>
        </is>
      </c>
      <c r="E2103" s="2" t="inlineStr">
        <is>
          <t>sugar</t>
        </is>
      </c>
      <c r="F2103" s="3" t="n">
        <v>1700</v>
      </c>
      <c r="G2103" s="2" t="inlineStr">
        <is>
          <t>1700</t>
        </is>
      </c>
      <c r="H2103" s="2" t="inlineStr">
        <is>
          <t>M1-B01–B13</t>
        </is>
      </c>
    </row>
    <row r="2104">
      <c r="A2104" s="2" t="inlineStr">
        <is>
          <t>L221</t>
        </is>
      </c>
      <c r="B2104" s="2" t="inlineStr">
        <is>
          <t>YUMMY BREAD</t>
        </is>
      </c>
      <c r="C2104" s="2" t="inlineStr">
        <is>
          <t>S106</t>
        </is>
      </c>
      <c r="D2104" s="2" t="inlineStr">
        <is>
          <t>'YUMMY BREAD'!C8,D8</t>
        </is>
      </c>
      <c r="E2104" s="2" t="inlineStr">
        <is>
          <t>Milk</t>
        </is>
      </c>
      <c r="F2104" s="3" t="n">
        <v>1000</v>
      </c>
      <c r="G2104" s="2" t="inlineStr">
        <is>
          <t>1000</t>
        </is>
      </c>
      <c r="H2104" s="2" t="inlineStr">
        <is>
          <t>M1-B01–B13</t>
        </is>
      </c>
    </row>
    <row r="2105">
      <c r="A2105" s="2" t="inlineStr">
        <is>
          <t>L221</t>
        </is>
      </c>
      <c r="B2105" s="2" t="inlineStr">
        <is>
          <t>YUMMY BREAD</t>
        </is>
      </c>
      <c r="C2105" s="2" t="inlineStr">
        <is>
          <t>S106</t>
        </is>
      </c>
      <c r="D2105" s="2" t="inlineStr">
        <is>
          <t>'YUMMY BREAD'!C9,D9</t>
        </is>
      </c>
      <c r="E2105" s="2" t="inlineStr">
        <is>
          <t>egg</t>
        </is>
      </c>
      <c r="F2105" s="3" t="n">
        <v>750</v>
      </c>
      <c r="G2105" s="2" t="inlineStr">
        <is>
          <t>750</t>
        </is>
      </c>
      <c r="H2105" s="2" t="inlineStr">
        <is>
          <t>M1-B01–B13</t>
        </is>
      </c>
    </row>
    <row r="2106">
      <c r="A2106" s="2" t="inlineStr">
        <is>
          <t>L221</t>
        </is>
      </c>
      <c r="B2106" s="2" t="inlineStr">
        <is>
          <t>YUMMY BREAD</t>
        </is>
      </c>
      <c r="C2106" s="2" t="inlineStr">
        <is>
          <t>S106</t>
        </is>
      </c>
      <c r="D2106" s="2" t="inlineStr">
        <is>
          <t>'YUMMY BREAD'!C10,D10</t>
        </is>
      </c>
      <c r="E2106" s="2" t="inlineStr">
        <is>
          <t>salt</t>
        </is>
      </c>
      <c r="F2106" s="3" t="n">
        <v>120</v>
      </c>
      <c r="G2106" s="2" t="inlineStr">
        <is>
          <t>120</t>
        </is>
      </c>
      <c r="H2106" s="2" t="inlineStr">
        <is>
          <t>M1-B01–B13</t>
        </is>
      </c>
    </row>
    <row r="2107">
      <c r="A2107" s="2" t="inlineStr">
        <is>
          <t>L221</t>
        </is>
      </c>
      <c r="B2107" s="2" t="inlineStr">
        <is>
          <t>YUMMY BREAD</t>
        </is>
      </c>
      <c r="C2107" s="2" t="inlineStr">
        <is>
          <t>S106</t>
        </is>
      </c>
      <c r="D2107" s="2" t="inlineStr">
        <is>
          <t>'YUMMY BREAD'!C11,D11</t>
        </is>
      </c>
      <c r="E2107" s="2" t="inlineStr">
        <is>
          <t>improver</t>
        </is>
      </c>
      <c r="F2107" s="3" t="n">
        <v>120</v>
      </c>
      <c r="G2107" s="2" t="inlineStr">
        <is>
          <t>120</t>
        </is>
      </c>
      <c r="H2107" s="2" t="inlineStr">
        <is>
          <t>M1-B01–B13</t>
        </is>
      </c>
    </row>
    <row r="2108">
      <c r="A2108" s="2" t="inlineStr">
        <is>
          <t>L221</t>
        </is>
      </c>
      <c r="B2108" s="2" t="inlineStr">
        <is>
          <t>YUMMY BREAD</t>
        </is>
      </c>
      <c r="C2108" s="2" t="inlineStr">
        <is>
          <t>S106</t>
        </is>
      </c>
      <c r="D2108" s="2" t="inlineStr">
        <is>
          <t>'YUMMY BREAD'!C12,D12</t>
        </is>
      </c>
      <c r="E2108" s="2" t="inlineStr">
        <is>
          <t>yeast</t>
        </is>
      </c>
      <c r="F2108" s="3" t="n">
        <v>160</v>
      </c>
      <c r="G2108" s="2" t="inlineStr">
        <is>
          <t>160</t>
        </is>
      </c>
      <c r="H2108" s="2" t="inlineStr">
        <is>
          <t>M1-B01–B13</t>
        </is>
      </c>
    </row>
    <row r="2109">
      <c r="A2109" s="2" t="inlineStr">
        <is>
          <t>L221</t>
        </is>
      </c>
      <c r="B2109" s="2" t="inlineStr">
        <is>
          <t>YUMMY BREAD</t>
        </is>
      </c>
      <c r="C2109" s="2" t="inlineStr">
        <is>
          <t>S106</t>
        </is>
      </c>
      <c r="D2109" s="2" t="inlineStr">
        <is>
          <t>'YUMMY BREAD'!C13,D13</t>
        </is>
      </c>
      <c r="E2109" s="2" t="inlineStr">
        <is>
          <t>water</t>
        </is>
      </c>
      <c r="F2109" s="3" t="n">
        <v>3500</v>
      </c>
      <c r="G2109" s="2" t="inlineStr">
        <is>
          <t>3500</t>
        </is>
      </c>
      <c r="H2109" s="2" t="inlineStr">
        <is>
          <t>M1-B01–B13</t>
        </is>
      </c>
    </row>
    <row r="2110">
      <c r="A2110" s="2" t="inlineStr">
        <is>
          <t>L221</t>
        </is>
      </c>
      <c r="B2110" s="2" t="inlineStr">
        <is>
          <t>YUMMY BREAD</t>
        </is>
      </c>
      <c r="C2110" s="2" t="inlineStr">
        <is>
          <t>S106</t>
        </is>
      </c>
      <c r="D2110" s="2" t="inlineStr">
        <is>
          <t>'YUMMY BREAD'!C14,D14</t>
        </is>
      </c>
      <c r="E2110" s="2" t="inlineStr">
        <is>
          <t>Oil</t>
        </is>
      </c>
      <c r="F2110" s="3" t="n">
        <v>300</v>
      </c>
      <c r="G2110" s="2" t="inlineStr">
        <is>
          <t>300</t>
        </is>
      </c>
      <c r="H2110" s="2" t="inlineStr">
        <is>
          <t>M1-B01–B13</t>
        </is>
      </c>
    </row>
    <row r="2111">
      <c r="A2111" s="2" t="inlineStr">
        <is>
          <t>L221</t>
        </is>
      </c>
      <c r="B2111" s="2" t="inlineStr">
        <is>
          <t>YUMMY BREAD</t>
        </is>
      </c>
      <c r="C2111" s="2" t="inlineStr">
        <is>
          <t>S106</t>
        </is>
      </c>
      <c r="D2111" s="2" t="inlineStr">
        <is>
          <t>'YUMMY BREAD'!C15,D15</t>
        </is>
      </c>
      <c r="E2111" s="2" t="inlineStr">
        <is>
          <t>EDC</t>
        </is>
      </c>
      <c r="F2111" s="3" t="n">
        <v>50</v>
      </c>
      <c r="G2111" s="2" t="inlineStr">
        <is>
          <t>50</t>
        </is>
      </c>
      <c r="H2111" s="2" t="inlineStr">
        <is>
          <t>M1-B01–B13</t>
        </is>
      </c>
    </row>
    <row r="2112">
      <c r="A2112" s="2" t="inlineStr">
        <is>
          <t>L222</t>
        </is>
      </c>
      <c r="B2112" s="2" t="inlineStr">
        <is>
          <t>YUMMY YOGHOURT (YUYO)</t>
        </is>
      </c>
      <c r="C2112" s="2" t="inlineStr">
        <is>
          <t>S106</t>
        </is>
      </c>
      <c r="D2112" s="2" t="inlineStr">
        <is>
          <t>'YUMMY YOGHOURT (YUYO)'!C5,D5</t>
        </is>
      </c>
      <c r="E2112" s="2" t="inlineStr">
        <is>
          <t>Milk</t>
        </is>
      </c>
      <c r="F2112" s="3" t="n">
        <v>1000</v>
      </c>
      <c r="G2112" s="2" t="inlineStr">
        <is>
          <t>1000</t>
        </is>
      </c>
      <c r="H2112" s="2" t="inlineStr">
        <is>
          <t>S-Y01–S-Y03</t>
        </is>
      </c>
    </row>
    <row r="2113">
      <c r="A2113" s="2" t="inlineStr">
        <is>
          <t>L222</t>
        </is>
      </c>
      <c r="B2113" s="2" t="inlineStr">
        <is>
          <t>YUMMY YOGHOURT (YUYO)</t>
        </is>
      </c>
      <c r="C2113" s="2" t="inlineStr">
        <is>
          <t>S106</t>
        </is>
      </c>
      <c r="D2113" s="2" t="inlineStr">
        <is>
          <t>'YUMMY YOGHOURT (YUYO)'!C6,D6</t>
        </is>
      </c>
      <c r="E2113" s="2" t="inlineStr">
        <is>
          <t>sugar</t>
        </is>
      </c>
      <c r="F2113" s="3" t="n">
        <v>550</v>
      </c>
      <c r="G2113" s="2" t="inlineStr">
        <is>
          <t>550</t>
        </is>
      </c>
      <c r="H2113" s="2" t="inlineStr">
        <is>
          <t>S-Y01–S-Y03</t>
        </is>
      </c>
    </row>
    <row r="2114">
      <c r="A2114" s="2" t="inlineStr">
        <is>
          <t>L222</t>
        </is>
      </c>
      <c r="B2114" s="2" t="inlineStr">
        <is>
          <t>YUMMY YOGHOURT (YUYO)</t>
        </is>
      </c>
      <c r="C2114" s="2" t="inlineStr">
        <is>
          <t>S106</t>
        </is>
      </c>
      <c r="D2114" s="2" t="inlineStr">
        <is>
          <t>'YUMMY YOGHOURT (YUYO)'!C7,D7</t>
        </is>
      </c>
      <c r="E2114" s="2" t="inlineStr">
        <is>
          <t>Cold Water</t>
        </is>
      </c>
      <c r="F2114" s="3" t="n">
        <v>7000</v>
      </c>
      <c r="G2114" s="2" t="inlineStr">
        <is>
          <t>7000</t>
        </is>
      </c>
      <c r="H2114" s="2" t="inlineStr">
        <is>
          <t>S-Y01–S-Y03</t>
        </is>
      </c>
    </row>
    <row r="2115">
      <c r="A2115" s="2" t="inlineStr">
        <is>
          <t>L222</t>
        </is>
      </c>
      <c r="B2115" s="2" t="inlineStr">
        <is>
          <t>YUMMY YOGHOURT (YUYO)</t>
        </is>
      </c>
      <c r="C2115" s="2" t="inlineStr">
        <is>
          <t>S106</t>
        </is>
      </c>
      <c r="D2115" s="2" t="inlineStr">
        <is>
          <t>'YUMMY YOGHOURT (YUYO)'!C8,D8</t>
        </is>
      </c>
      <c r="E2115" s="2" t="inlineStr">
        <is>
          <t>stock yoghort</t>
        </is>
      </c>
      <c r="F2115" s="3" t="n">
        <v>600</v>
      </c>
      <c r="G2115" s="2" t="inlineStr">
        <is>
          <t>600</t>
        </is>
      </c>
      <c r="H2115" s="2" t="inlineStr">
        <is>
          <t>S-Y01–S-Y03</t>
        </is>
      </c>
    </row>
    <row r="2116">
      <c r="A2116" s="2" t="inlineStr">
        <is>
          <t>L222</t>
        </is>
      </c>
      <c r="B2116" s="2" t="inlineStr">
        <is>
          <t>YUMMY YOGHOURT (YUYO)</t>
        </is>
      </c>
      <c r="C2116" s="2" t="inlineStr">
        <is>
          <t>S106</t>
        </is>
      </c>
      <c r="D2116" s="2" t="inlineStr">
        <is>
          <t>'YUMMY YOGHOURT (YUYO)'!C9,D9</t>
        </is>
      </c>
      <c r="E2116" s="2" t="inlineStr">
        <is>
          <t>vanilla</t>
        </is>
      </c>
      <c r="F2116" s="3" t="n">
        <v>15</v>
      </c>
      <c r="G2116" s="2" t="inlineStr">
        <is>
          <t>15</t>
        </is>
      </c>
      <c r="H2116" s="2" t="inlineStr">
        <is>
          <t>S-Y01–S-Y03</t>
        </is>
      </c>
    </row>
    <row r="2117">
      <c r="A2117" s="2" t="inlineStr">
        <is>
          <t>L223</t>
        </is>
      </c>
      <c r="B2117" s="2" t="inlineStr">
        <is>
          <t>YUMMY YOGHOURT (YUYO)</t>
        </is>
      </c>
      <c r="C2117" s="2" t="inlineStr">
        <is>
          <t>S106</t>
        </is>
      </c>
      <c r="D2117" s="2" t="inlineStr">
        <is>
          <t>'YUMMY YOGHOURT (YUYO)'!C5,H5</t>
        </is>
      </c>
      <c r="E2117" s="2" t="inlineStr">
        <is>
          <t>Milk</t>
        </is>
      </c>
      <c r="F2117" s="3" t="n">
        <v>5000</v>
      </c>
      <c r="G2117" s="2" t="inlineStr">
        <is>
          <t>=D5*5 [cached: 5000]</t>
        </is>
      </c>
      <c r="H2117" s="2" t="inlineStr">
        <is>
          <t>S-Y01–S-Y03</t>
        </is>
      </c>
    </row>
    <row r="2118">
      <c r="A2118" s="2" t="inlineStr">
        <is>
          <t>L223</t>
        </is>
      </c>
      <c r="B2118" s="2" t="inlineStr">
        <is>
          <t>YUMMY YOGHOURT (YUYO)</t>
        </is>
      </c>
      <c r="C2118" s="2" t="inlineStr">
        <is>
          <t>S106</t>
        </is>
      </c>
      <c r="D2118" s="2" t="inlineStr">
        <is>
          <t>'YUMMY YOGHOURT (YUYO)'!C6,H6</t>
        </is>
      </c>
      <c r="E2118" s="2" t="inlineStr">
        <is>
          <t>sugar</t>
        </is>
      </c>
      <c r="F2118" s="3" t="n">
        <v>2750</v>
      </c>
      <c r="G2118" s="2" t="inlineStr">
        <is>
          <t>=D6*5 [cached: 2750]</t>
        </is>
      </c>
      <c r="H2118" s="2" t="inlineStr">
        <is>
          <t>S-Y01–S-Y03</t>
        </is>
      </c>
    </row>
    <row r="2119">
      <c r="A2119" s="2" t="inlineStr">
        <is>
          <t>L223</t>
        </is>
      </c>
      <c r="B2119" s="2" t="inlineStr">
        <is>
          <t>YUMMY YOGHOURT (YUYO)</t>
        </is>
      </c>
      <c r="C2119" s="2" t="inlineStr">
        <is>
          <t>S106</t>
        </is>
      </c>
      <c r="D2119" s="2" t="inlineStr">
        <is>
          <t>'YUMMY YOGHOURT (YUYO)'!C7,H7</t>
        </is>
      </c>
      <c r="E2119" s="2" t="inlineStr">
        <is>
          <t>Cold Water</t>
        </is>
      </c>
      <c r="F2119" s="3" t="n">
        <v>35000</v>
      </c>
      <c r="G2119" s="2" t="inlineStr">
        <is>
          <t>=D7*5 [cached: 35000]</t>
        </is>
      </c>
      <c r="H2119" s="2" t="inlineStr">
        <is>
          <t>S-Y01–S-Y03</t>
        </is>
      </c>
    </row>
    <row r="2120">
      <c r="A2120" s="2" t="inlineStr">
        <is>
          <t>L223</t>
        </is>
      </c>
      <c r="B2120" s="2" t="inlineStr">
        <is>
          <t>YUMMY YOGHOURT (YUYO)</t>
        </is>
      </c>
      <c r="C2120" s="2" t="inlineStr">
        <is>
          <t>S106</t>
        </is>
      </c>
      <c r="D2120" s="2" t="inlineStr">
        <is>
          <t>'YUMMY YOGHOURT (YUYO)'!C9,H9</t>
        </is>
      </c>
      <c r="E2120" s="2" t="inlineStr">
        <is>
          <t>vanilla</t>
        </is>
      </c>
      <c r="F2120" s="3" t="n">
        <v>25.05</v>
      </c>
      <c r="G2120" s="2" t="inlineStr">
        <is>
          <t>=D9*1.67 [cached: 25.05]</t>
        </is>
      </c>
      <c r="H2120" s="2" t="inlineStr">
        <is>
          <t>S-Y01–S-Y03</t>
        </is>
      </c>
    </row>
    <row r="2121">
      <c r="A2121" s="2" t="inlineStr">
        <is>
          <t>L224</t>
        </is>
      </c>
      <c r="B2121" s="2" t="inlineStr">
        <is>
          <t>YUMMY YOGHOURT (YUYO)</t>
        </is>
      </c>
      <c r="C2121" s="2" t="inlineStr">
        <is>
          <t>S106</t>
        </is>
      </c>
      <c r="D2121" s="2" t="inlineStr">
        <is>
          <t>'YUMMY YOGHOURT (YUYO)'!C5,L5</t>
        </is>
      </c>
      <c r="E2121" s="2" t="inlineStr">
        <is>
          <t>Milk</t>
        </is>
      </c>
      <c r="F2121" s="3" t="n">
        <v>2500</v>
      </c>
      <c r="G2121" s="2" t="inlineStr">
        <is>
          <t>=F5/10 [cached: 2500]</t>
        </is>
      </c>
      <c r="H2121" s="2" t="inlineStr">
        <is>
          <t>S-Y01–S-Y03</t>
        </is>
      </c>
    </row>
    <row r="2122">
      <c r="A2122" s="2" t="inlineStr">
        <is>
          <t>L224</t>
        </is>
      </c>
      <c r="B2122" s="2" t="inlineStr">
        <is>
          <t>YUMMY YOGHOURT (YUYO)</t>
        </is>
      </c>
      <c r="C2122" s="2" t="inlineStr">
        <is>
          <t>S106</t>
        </is>
      </c>
      <c r="D2122" s="2" t="inlineStr">
        <is>
          <t>'YUMMY YOGHOURT (YUYO)'!C6,L6</t>
        </is>
      </c>
      <c r="E2122" s="2" t="inlineStr">
        <is>
          <t>sugar</t>
        </is>
      </c>
      <c r="F2122" s="3" t="n">
        <v>1375</v>
      </c>
      <c r="G2122" s="2" t="inlineStr">
        <is>
          <t>=F6/10 [cached: 1375]</t>
        </is>
      </c>
      <c r="H2122" s="2" t="inlineStr">
        <is>
          <t>S-Y01–S-Y03</t>
        </is>
      </c>
    </row>
    <row r="2123">
      <c r="A2123" s="2" t="inlineStr">
        <is>
          <t>L224</t>
        </is>
      </c>
      <c r="B2123" s="2" t="inlineStr">
        <is>
          <t>YUMMY YOGHOURT (YUYO)</t>
        </is>
      </c>
      <c r="C2123" s="2" t="inlineStr">
        <is>
          <t>S106</t>
        </is>
      </c>
      <c r="D2123" s="2" t="inlineStr">
        <is>
          <t>'YUMMY YOGHOURT (YUYO)'!C7,L7</t>
        </is>
      </c>
      <c r="E2123" s="2" t="inlineStr">
        <is>
          <t>Cold Water</t>
        </is>
      </c>
      <c r="F2123" s="3" t="n">
        <v>17500</v>
      </c>
      <c r="G2123" s="2" t="inlineStr">
        <is>
          <t>=F7/10 [cached: 17500]</t>
        </is>
      </c>
      <c r="H2123" s="2" t="inlineStr">
        <is>
          <t>S-Y01–S-Y03</t>
        </is>
      </c>
    </row>
    <row r="2124">
      <c r="A2124" s="2" t="inlineStr">
        <is>
          <t>L224</t>
        </is>
      </c>
      <c r="B2124" s="2" t="inlineStr">
        <is>
          <t>YUMMY YOGHOURT (YUYO)</t>
        </is>
      </c>
      <c r="C2124" s="2" t="inlineStr">
        <is>
          <t>S106</t>
        </is>
      </c>
      <c r="D2124" s="2" t="inlineStr">
        <is>
          <t>'YUMMY YOGHOURT (YUYO)'!C9,L9</t>
        </is>
      </c>
      <c r="E2124" s="2" t="inlineStr">
        <is>
          <t>vanilla</t>
        </is>
      </c>
      <c r="F2124" s="3" t="n">
        <v>37.5</v>
      </c>
      <c r="G2124" s="2" t="inlineStr">
        <is>
          <t>=F9/10 [cached: 37.5]</t>
        </is>
      </c>
      <c r="H2124" s="2" t="inlineStr">
        <is>
          <t>S-Y01–S-Y03</t>
        </is>
      </c>
    </row>
    <row r="2125">
      <c r="A2125" s="2" t="inlineStr">
        <is>
          <t>L225</t>
        </is>
      </c>
      <c r="B2125" s="2" t="inlineStr">
        <is>
          <t>Cake Prof</t>
        </is>
      </c>
      <c r="C2125" s="2" t="inlineStr">
        <is>
          <t>S136</t>
        </is>
      </c>
      <c r="D2125" s="2" t="inlineStr">
        <is>
          <t>'Cake Prof'!A15,B15</t>
        </is>
      </c>
      <c r="E2125" s="2" t="inlineStr">
        <is>
          <t>Egg</t>
        </is>
      </c>
      <c r="F2125" s="3" t="n">
        <v>1750</v>
      </c>
      <c r="G2125" s="2" t="inlineStr">
        <is>
          <t>1750</t>
        </is>
      </c>
      <c r="H2125" s="2" t="inlineStr">
        <is>
          <t>H08 / H09; exact style differs</t>
        </is>
      </c>
    </row>
    <row r="2126">
      <c r="A2126" s="2" t="inlineStr">
        <is>
          <t>L225</t>
        </is>
      </c>
      <c r="B2126" s="2" t="inlineStr">
        <is>
          <t>Cake Prof</t>
        </is>
      </c>
      <c r="C2126" s="2" t="inlineStr">
        <is>
          <t>S136</t>
        </is>
      </c>
      <c r="D2126" s="2" t="inlineStr">
        <is>
          <t>'Cake Prof'!A16,B16</t>
        </is>
      </c>
      <c r="E2126" s="2" t="inlineStr">
        <is>
          <t>Butter</t>
        </is>
      </c>
      <c r="F2126" s="3" t="n">
        <v>1500</v>
      </c>
      <c r="G2126" s="2" t="inlineStr">
        <is>
          <t>1500</t>
        </is>
      </c>
      <c r="H2126" s="2" t="inlineStr">
        <is>
          <t>H08 / H09; exact style differs</t>
        </is>
      </c>
    </row>
    <row r="2127">
      <c r="A2127" s="2" t="inlineStr">
        <is>
          <t>L225</t>
        </is>
      </c>
      <c r="B2127" s="2" t="inlineStr">
        <is>
          <t>Cake Prof</t>
        </is>
      </c>
      <c r="C2127" s="2" t="inlineStr">
        <is>
          <t>S136</t>
        </is>
      </c>
      <c r="D2127" s="2" t="inlineStr">
        <is>
          <t>'Cake Prof'!A17,B17</t>
        </is>
      </c>
      <c r="E2127" s="2" t="inlineStr">
        <is>
          <t>flour</t>
        </is>
      </c>
      <c r="F2127" s="3" t="n">
        <v>3500</v>
      </c>
      <c r="G2127" s="2" t="inlineStr">
        <is>
          <t>3500</t>
        </is>
      </c>
      <c r="H2127" s="2" t="inlineStr">
        <is>
          <t>H08 / H09; exact style differs</t>
        </is>
      </c>
    </row>
    <row r="2128">
      <c r="A2128" s="2" t="inlineStr">
        <is>
          <t>L225</t>
        </is>
      </c>
      <c r="B2128" s="2" t="inlineStr">
        <is>
          <t>Cake Prof</t>
        </is>
      </c>
      <c r="C2128" s="2" t="inlineStr">
        <is>
          <t>S136</t>
        </is>
      </c>
      <c r="D2128" s="2" t="inlineStr">
        <is>
          <t>'Cake Prof'!A18,B18</t>
        </is>
      </c>
      <c r="E2128" s="2" t="inlineStr">
        <is>
          <t>sugar</t>
        </is>
      </c>
      <c r="F2128" s="3" t="n">
        <v>1000</v>
      </c>
      <c r="G2128" s="2" t="inlineStr">
        <is>
          <t>1000</t>
        </is>
      </c>
      <c r="H2128" s="2" t="inlineStr">
        <is>
          <t>H08 / H09; exact style differs</t>
        </is>
      </c>
    </row>
    <row r="2129">
      <c r="A2129" s="2" t="inlineStr">
        <is>
          <t>L225</t>
        </is>
      </c>
      <c r="B2129" s="2" t="inlineStr">
        <is>
          <t>Cake Prof</t>
        </is>
      </c>
      <c r="C2129" s="2" t="inlineStr">
        <is>
          <t>S136</t>
        </is>
      </c>
      <c r="D2129" s="2" t="inlineStr">
        <is>
          <t>'Cake Prof'!A19,B19</t>
        </is>
      </c>
      <c r="E2129" s="2" t="inlineStr">
        <is>
          <t>baking powder</t>
        </is>
      </c>
      <c r="F2129" s="3" t="n">
        <v>100</v>
      </c>
      <c r="G2129" s="2" t="inlineStr">
        <is>
          <t>100</t>
        </is>
      </c>
      <c r="H2129" s="2" t="inlineStr">
        <is>
          <t>H08 / H09; exact style differs</t>
        </is>
      </c>
    </row>
    <row r="2130">
      <c r="A2130" s="2" t="inlineStr">
        <is>
          <t>L226</t>
        </is>
      </c>
      <c r="B2130" s="2" t="inlineStr">
        <is>
          <t>YUMMY BREAD</t>
        </is>
      </c>
      <c r="C2130" s="2" t="inlineStr">
        <is>
          <t>S136</t>
        </is>
      </c>
      <c r="D2130" s="2" t="inlineStr">
        <is>
          <t>'YUMMY BREAD'!A15,B15</t>
        </is>
      </c>
      <c r="E2130" s="2" t="inlineStr">
        <is>
          <t>flour</t>
        </is>
      </c>
      <c r="F2130" s="3" t="n">
        <v>15000</v>
      </c>
      <c r="G2130" s="2" t="inlineStr">
        <is>
          <t>15000</t>
        </is>
      </c>
      <c r="H2130" s="2" t="inlineStr">
        <is>
          <t>M1-B01–B13</t>
        </is>
      </c>
    </row>
    <row r="2131">
      <c r="A2131" s="2" t="inlineStr">
        <is>
          <t>L226</t>
        </is>
      </c>
      <c r="B2131" s="2" t="inlineStr">
        <is>
          <t>YUMMY BREAD</t>
        </is>
      </c>
      <c r="C2131" s="2" t="inlineStr">
        <is>
          <t>S136</t>
        </is>
      </c>
      <c r="D2131" s="2" t="inlineStr">
        <is>
          <t>'YUMMY BREAD'!A16,B16</t>
        </is>
      </c>
      <c r="E2131" s="2" t="inlineStr">
        <is>
          <t>Butter</t>
        </is>
      </c>
      <c r="F2131" s="3" t="n">
        <v>1500</v>
      </c>
      <c r="G2131" s="2" t="inlineStr">
        <is>
          <t>1500</t>
        </is>
      </c>
      <c r="H2131" s="2" t="inlineStr">
        <is>
          <t>M1-B01–B13</t>
        </is>
      </c>
    </row>
    <row r="2132">
      <c r="A2132" s="2" t="inlineStr">
        <is>
          <t>L226</t>
        </is>
      </c>
      <c r="B2132" s="2" t="inlineStr">
        <is>
          <t>YUMMY BREAD</t>
        </is>
      </c>
      <c r="C2132" s="2" t="inlineStr">
        <is>
          <t>S136</t>
        </is>
      </c>
      <c r="D2132" s="2" t="inlineStr">
        <is>
          <t>'YUMMY BREAD'!A17,B17</t>
        </is>
      </c>
      <c r="E2132" s="2" t="inlineStr">
        <is>
          <t>Milk</t>
        </is>
      </c>
      <c r="F2132" s="3" t="n">
        <v>1000</v>
      </c>
      <c r="G2132" s="2" t="inlineStr">
        <is>
          <t>1000</t>
        </is>
      </c>
      <c r="H2132" s="2" t="inlineStr">
        <is>
          <t>M1-B01–B13</t>
        </is>
      </c>
    </row>
    <row r="2133">
      <c r="A2133" s="2" t="inlineStr">
        <is>
          <t>L226</t>
        </is>
      </c>
      <c r="B2133" s="2" t="inlineStr">
        <is>
          <t>YUMMY BREAD</t>
        </is>
      </c>
      <c r="C2133" s="2" t="inlineStr">
        <is>
          <t>S136</t>
        </is>
      </c>
      <c r="D2133" s="2" t="inlineStr">
        <is>
          <t>'YUMMY BREAD'!A18,B18</t>
        </is>
      </c>
      <c r="E2133" s="2" t="inlineStr">
        <is>
          <t>egg</t>
        </is>
      </c>
      <c r="F2133" s="3" t="n">
        <v>750</v>
      </c>
      <c r="G2133" s="2" t="inlineStr">
        <is>
          <t>750</t>
        </is>
      </c>
      <c r="H2133" s="2" t="inlineStr">
        <is>
          <t>M1-B01–B13</t>
        </is>
      </c>
    </row>
    <row r="2134">
      <c r="A2134" s="2" t="inlineStr">
        <is>
          <t>L226</t>
        </is>
      </c>
      <c r="B2134" s="2" t="inlineStr">
        <is>
          <t>YUMMY BREAD</t>
        </is>
      </c>
      <c r="C2134" s="2" t="inlineStr">
        <is>
          <t>S136</t>
        </is>
      </c>
      <c r="D2134" s="2" t="inlineStr">
        <is>
          <t>'YUMMY BREAD'!A19,B19</t>
        </is>
      </c>
      <c r="E2134" s="2" t="inlineStr">
        <is>
          <t>sugar</t>
        </is>
      </c>
      <c r="F2134" s="3" t="n">
        <v>1500</v>
      </c>
      <c r="G2134" s="2" t="inlineStr">
        <is>
          <t>1500</t>
        </is>
      </c>
      <c r="H2134" s="2" t="inlineStr">
        <is>
          <t>M1-B01–B13</t>
        </is>
      </c>
    </row>
    <row r="2135">
      <c r="A2135" s="2" t="inlineStr">
        <is>
          <t>L226</t>
        </is>
      </c>
      <c r="B2135" s="2" t="inlineStr">
        <is>
          <t>YUMMY BREAD</t>
        </is>
      </c>
      <c r="C2135" s="2" t="inlineStr">
        <is>
          <t>S136</t>
        </is>
      </c>
      <c r="D2135" s="2" t="inlineStr">
        <is>
          <t>'YUMMY BREAD'!A20,B20</t>
        </is>
      </c>
      <c r="E2135" s="2" t="inlineStr">
        <is>
          <t>yeast</t>
        </is>
      </c>
      <c r="F2135" s="3" t="n">
        <v>160</v>
      </c>
      <c r="G2135" s="2" t="inlineStr">
        <is>
          <t>160</t>
        </is>
      </c>
      <c r="H2135" s="2" t="inlineStr">
        <is>
          <t>M1-B01–B13</t>
        </is>
      </c>
    </row>
    <row r="2136">
      <c r="A2136" s="2" t="inlineStr">
        <is>
          <t>L226</t>
        </is>
      </c>
      <c r="B2136" s="2" t="inlineStr">
        <is>
          <t>YUMMY BREAD</t>
        </is>
      </c>
      <c r="C2136" s="2" t="inlineStr">
        <is>
          <t>S136</t>
        </is>
      </c>
      <c r="D2136" s="2" t="inlineStr">
        <is>
          <t>'YUMMY BREAD'!A21,B21</t>
        </is>
      </c>
      <c r="E2136" s="2" t="inlineStr">
        <is>
          <t>improver</t>
        </is>
      </c>
      <c r="F2136" s="3" t="n">
        <v>120</v>
      </c>
      <c r="G2136" s="2" t="inlineStr">
        <is>
          <t>120</t>
        </is>
      </c>
      <c r="H2136" s="2" t="inlineStr">
        <is>
          <t>M1-B01–B13</t>
        </is>
      </c>
    </row>
    <row r="2137">
      <c r="A2137" s="2" t="inlineStr">
        <is>
          <t>L226</t>
        </is>
      </c>
      <c r="B2137" s="2" t="inlineStr">
        <is>
          <t>YUMMY BREAD</t>
        </is>
      </c>
      <c r="C2137" s="2" t="inlineStr">
        <is>
          <t>S136</t>
        </is>
      </c>
      <c r="D2137" s="2" t="inlineStr">
        <is>
          <t>'YUMMY BREAD'!A22,B22</t>
        </is>
      </c>
      <c r="E2137" s="2" t="inlineStr">
        <is>
          <t>EDC</t>
        </is>
      </c>
      <c r="F2137" s="3" t="n">
        <v>100</v>
      </c>
      <c r="G2137" s="2" t="inlineStr">
        <is>
          <t>100</t>
        </is>
      </c>
      <c r="H2137" s="2" t="inlineStr">
        <is>
          <t>M1-B01–B13</t>
        </is>
      </c>
    </row>
    <row r="2138">
      <c r="A2138" s="2" t="inlineStr">
        <is>
          <t>L226</t>
        </is>
      </c>
      <c r="B2138" s="2" t="inlineStr">
        <is>
          <t>YUMMY BREAD</t>
        </is>
      </c>
      <c r="C2138" s="2" t="inlineStr">
        <is>
          <t>S136</t>
        </is>
      </c>
      <c r="D2138" s="2" t="inlineStr">
        <is>
          <t>'YUMMY BREAD'!A23,B23</t>
        </is>
      </c>
      <c r="E2138" s="2" t="inlineStr">
        <is>
          <t>salt</t>
        </is>
      </c>
      <c r="F2138" s="3" t="n">
        <v>120</v>
      </c>
      <c r="G2138" s="2" t="inlineStr">
        <is>
          <t>120</t>
        </is>
      </c>
      <c r="H2138" s="2" t="inlineStr">
        <is>
          <t>M1-B01–B13</t>
        </is>
      </c>
    </row>
    <row r="2139">
      <c r="A2139" s="2" t="inlineStr">
        <is>
          <t>L226</t>
        </is>
      </c>
      <c r="B2139" s="2" t="inlineStr">
        <is>
          <t>YUMMY BREAD</t>
        </is>
      </c>
      <c r="C2139" s="2" t="inlineStr">
        <is>
          <t>S136</t>
        </is>
      </c>
      <c r="D2139" s="2" t="inlineStr">
        <is>
          <t>'YUMMY BREAD'!A24,B24</t>
        </is>
      </c>
      <c r="E2139" s="2" t="inlineStr">
        <is>
          <t>water</t>
        </is>
      </c>
      <c r="F2139" s="3" t="n">
        <v>6000</v>
      </c>
      <c r="G2139" s="2" t="inlineStr">
        <is>
          <t>6000</t>
        </is>
      </c>
      <c r="H2139" s="2" t="inlineStr">
        <is>
          <t>M1-B01–B13</t>
        </is>
      </c>
    </row>
    <row r="2140">
      <c r="A2140" s="2" t="inlineStr">
        <is>
          <t>L227</t>
        </is>
      </c>
      <c r="B2140" s="2" t="inlineStr">
        <is>
          <t>Zebree</t>
        </is>
      </c>
      <c r="C2140" s="2" t="inlineStr">
        <is>
          <t>S136</t>
        </is>
      </c>
      <c r="D2140" s="2" t="inlineStr">
        <is>
          <t>'Zebree'!A15,B15</t>
        </is>
      </c>
      <c r="E2140" s="2" t="inlineStr">
        <is>
          <t>flour</t>
        </is>
      </c>
      <c r="F2140" s="3" t="n">
        <v>10000</v>
      </c>
      <c r="G2140" s="2" t="inlineStr">
        <is>
          <t>10000</t>
        </is>
      </c>
      <c r="H2140" s="2" t="inlineStr">
        <is>
          <t>H15</t>
        </is>
      </c>
    </row>
    <row r="2141">
      <c r="A2141" s="2" t="inlineStr">
        <is>
          <t>L227</t>
        </is>
      </c>
      <c r="B2141" s="2" t="inlineStr">
        <is>
          <t>Zebree</t>
        </is>
      </c>
      <c r="C2141" s="2" t="inlineStr">
        <is>
          <t>S136</t>
        </is>
      </c>
      <c r="D2141" s="2" t="inlineStr">
        <is>
          <t>'Zebree'!A16,B16</t>
        </is>
      </c>
      <c r="E2141" s="2" t="inlineStr">
        <is>
          <t>Chocolate</t>
        </is>
      </c>
      <c r="F2141" s="3" t="n">
        <v>1000</v>
      </c>
      <c r="G2141" s="2" t="inlineStr">
        <is>
          <t>1000</t>
        </is>
      </c>
      <c r="H2141" s="2" t="inlineStr">
        <is>
          <t>H15</t>
        </is>
      </c>
    </row>
    <row r="2142">
      <c r="A2142" s="2" t="inlineStr">
        <is>
          <t>L227</t>
        </is>
      </c>
      <c r="B2142" s="2" t="inlineStr">
        <is>
          <t>Zebree</t>
        </is>
      </c>
      <c r="C2142" s="2" t="inlineStr">
        <is>
          <t>S136</t>
        </is>
      </c>
      <c r="D2142" s="2" t="inlineStr">
        <is>
          <t>'Zebree'!A17,B17</t>
        </is>
      </c>
      <c r="E2142" s="2" t="inlineStr">
        <is>
          <t>Butter</t>
        </is>
      </c>
      <c r="F2142" s="3" t="n">
        <v>1000</v>
      </c>
      <c r="G2142" s="2" t="inlineStr">
        <is>
          <t>1000</t>
        </is>
      </c>
      <c r="H2142" s="2" t="inlineStr">
        <is>
          <t>H15</t>
        </is>
      </c>
    </row>
    <row r="2143">
      <c r="A2143" s="2" t="inlineStr">
        <is>
          <t>L227</t>
        </is>
      </c>
      <c r="B2143" s="2" t="inlineStr">
        <is>
          <t>Zebree</t>
        </is>
      </c>
      <c r="C2143" s="2" t="inlineStr">
        <is>
          <t>S136</t>
        </is>
      </c>
      <c r="D2143" s="2" t="inlineStr">
        <is>
          <t>'Zebree'!A18,B18</t>
        </is>
      </c>
      <c r="E2143" s="2" t="inlineStr">
        <is>
          <t>egg</t>
        </is>
      </c>
      <c r="F2143" s="3" t="n">
        <v>750</v>
      </c>
      <c r="G2143" s="2" t="inlineStr">
        <is>
          <t>750</t>
        </is>
      </c>
      <c r="H2143" s="2" t="inlineStr">
        <is>
          <t>H15</t>
        </is>
      </c>
    </row>
    <row r="2144">
      <c r="A2144" s="2" t="inlineStr">
        <is>
          <t>L227</t>
        </is>
      </c>
      <c r="B2144" s="2" t="inlineStr">
        <is>
          <t>Zebree</t>
        </is>
      </c>
      <c r="C2144" s="2" t="inlineStr">
        <is>
          <t>S136</t>
        </is>
      </c>
      <c r="D2144" s="2" t="inlineStr">
        <is>
          <t>'Zebree'!A19,B19</t>
        </is>
      </c>
      <c r="E2144" s="2" t="inlineStr">
        <is>
          <t>Milk</t>
        </is>
      </c>
      <c r="F2144" s="3" t="n">
        <v>800</v>
      </c>
      <c r="G2144" s="2" t="inlineStr">
        <is>
          <t>800</t>
        </is>
      </c>
      <c r="H2144" s="2" t="inlineStr">
        <is>
          <t>H15</t>
        </is>
      </c>
    </row>
    <row r="2145">
      <c r="A2145" s="2" t="inlineStr">
        <is>
          <t>L227</t>
        </is>
      </c>
      <c r="B2145" s="2" t="inlineStr">
        <is>
          <t>Zebree</t>
        </is>
      </c>
      <c r="C2145" s="2" t="inlineStr">
        <is>
          <t>S136</t>
        </is>
      </c>
      <c r="D2145" s="2" t="inlineStr">
        <is>
          <t>'Zebree'!A20,B20</t>
        </is>
      </c>
      <c r="E2145" s="2" t="inlineStr">
        <is>
          <t>sugar</t>
        </is>
      </c>
      <c r="F2145" s="3" t="n">
        <v>1000</v>
      </c>
      <c r="G2145" s="2" t="inlineStr">
        <is>
          <t>1000</t>
        </is>
      </c>
      <c r="H2145" s="2" t="inlineStr">
        <is>
          <t>H15</t>
        </is>
      </c>
    </row>
    <row r="2146">
      <c r="A2146" s="2" t="inlineStr">
        <is>
          <t>L227</t>
        </is>
      </c>
      <c r="B2146" s="2" t="inlineStr">
        <is>
          <t>Zebree</t>
        </is>
      </c>
      <c r="C2146" s="2" t="inlineStr">
        <is>
          <t>S136</t>
        </is>
      </c>
      <c r="D2146" s="2" t="inlineStr">
        <is>
          <t>'Zebree'!A21,B21</t>
        </is>
      </c>
      <c r="E2146" s="2" t="inlineStr">
        <is>
          <t>improver</t>
        </is>
      </c>
      <c r="F2146" s="3" t="n">
        <v>100</v>
      </c>
      <c r="G2146" s="2" t="inlineStr">
        <is>
          <t>100</t>
        </is>
      </c>
      <c r="H2146" s="2" t="inlineStr">
        <is>
          <t>H15</t>
        </is>
      </c>
    </row>
    <row r="2147">
      <c r="A2147" s="2" t="inlineStr">
        <is>
          <t>L227</t>
        </is>
      </c>
      <c r="B2147" s="2" t="inlineStr">
        <is>
          <t>Zebree</t>
        </is>
      </c>
      <c r="C2147" s="2" t="inlineStr">
        <is>
          <t>S136</t>
        </is>
      </c>
      <c r="D2147" s="2" t="inlineStr">
        <is>
          <t>'Zebree'!A22,B22</t>
        </is>
      </c>
      <c r="E2147" s="2" t="inlineStr">
        <is>
          <t>yeast</t>
        </is>
      </c>
      <c r="F2147" s="3" t="n">
        <v>85</v>
      </c>
      <c r="G2147" s="2" t="inlineStr">
        <is>
          <t>85</t>
        </is>
      </c>
      <c r="H2147" s="2" t="inlineStr">
        <is>
          <t>H15</t>
        </is>
      </c>
    </row>
    <row r="2148">
      <c r="A2148" s="2" t="inlineStr">
        <is>
          <t>L227</t>
        </is>
      </c>
      <c r="B2148" s="2" t="inlineStr">
        <is>
          <t>Zebree</t>
        </is>
      </c>
      <c r="C2148" s="2" t="inlineStr">
        <is>
          <t>S136</t>
        </is>
      </c>
      <c r="D2148" s="2" t="inlineStr">
        <is>
          <t>'Zebree'!A23,B23</t>
        </is>
      </c>
      <c r="E2148" s="2" t="inlineStr">
        <is>
          <t>baking powder</t>
        </is>
      </c>
      <c r="F2148" s="3" t="n">
        <v>85</v>
      </c>
      <c r="G2148" s="2" t="inlineStr">
        <is>
          <t>85</t>
        </is>
      </c>
      <c r="H2148" s="2" t="inlineStr">
        <is>
          <t>H15</t>
        </is>
      </c>
    </row>
    <row r="2149">
      <c r="A2149" s="2" t="inlineStr">
        <is>
          <t>L227</t>
        </is>
      </c>
      <c r="B2149" s="2" t="inlineStr">
        <is>
          <t>Zebree</t>
        </is>
      </c>
      <c r="C2149" s="2" t="inlineStr">
        <is>
          <t>S136</t>
        </is>
      </c>
      <c r="D2149" s="2" t="inlineStr">
        <is>
          <t>'Zebree'!A24,B24</t>
        </is>
      </c>
      <c r="E2149" s="2" t="inlineStr">
        <is>
          <t>salt</t>
        </is>
      </c>
      <c r="F2149" s="3" t="n">
        <v>110</v>
      </c>
      <c r="G2149" s="2" t="inlineStr">
        <is>
          <t>110</t>
        </is>
      </c>
      <c r="H2149" s="2" t="inlineStr">
        <is>
          <t>H15</t>
        </is>
      </c>
    </row>
    <row r="2150">
      <c r="A2150" s="2" t="inlineStr">
        <is>
          <t>L227</t>
        </is>
      </c>
      <c r="B2150" s="2" t="inlineStr">
        <is>
          <t>Zebree</t>
        </is>
      </c>
      <c r="C2150" s="2" t="inlineStr">
        <is>
          <t>S136</t>
        </is>
      </c>
      <c r="D2150" s="2" t="inlineStr">
        <is>
          <t>'Zebree'!A25,B25</t>
        </is>
      </c>
      <c r="E2150" s="2" t="inlineStr">
        <is>
          <t>EDC</t>
        </is>
      </c>
      <c r="F2150" s="3" t="n">
        <v>75</v>
      </c>
      <c r="G2150" s="2" t="inlineStr">
        <is>
          <t>75</t>
        </is>
      </c>
      <c r="H2150" s="2" t="inlineStr">
        <is>
          <t>H15</t>
        </is>
      </c>
    </row>
    <row r="2151">
      <c r="A2151" s="2" t="inlineStr">
        <is>
          <t>L227</t>
        </is>
      </c>
      <c r="B2151" s="2" t="inlineStr">
        <is>
          <t>Zebree</t>
        </is>
      </c>
      <c r="C2151" s="2" t="inlineStr">
        <is>
          <t>S136</t>
        </is>
      </c>
      <c r="D2151" s="2" t="inlineStr">
        <is>
          <t>'Zebree'!A26,B26</t>
        </is>
      </c>
      <c r="E2151" s="2" t="inlineStr">
        <is>
          <t>water</t>
        </is>
      </c>
      <c r="F2151" s="3" t="n">
        <v>3500</v>
      </c>
      <c r="G2151" s="2" t="inlineStr">
        <is>
          <t>3500</t>
        </is>
      </c>
      <c r="H2151" s="2" t="inlineStr">
        <is>
          <t>H15</t>
        </is>
      </c>
    </row>
    <row r="2152">
      <c r="A2152" s="2" t="inlineStr">
        <is>
          <t>L228</t>
        </is>
      </c>
      <c r="B2152" s="2" t="inlineStr">
        <is>
          <t>Best Chinchin</t>
        </is>
      </c>
      <c r="C2152" s="2" t="inlineStr">
        <is>
          <t>S140</t>
        </is>
      </c>
      <c r="D2152" s="2" t="inlineStr">
        <is>
          <t>'Best Chinchin'!C5,D5</t>
        </is>
      </c>
      <c r="E2152" s="2" t="inlineStr">
        <is>
          <t>flour</t>
        </is>
      </c>
      <c r="F2152" s="3" t="n">
        <v>25000</v>
      </c>
      <c r="G2152" s="2" t="inlineStr">
        <is>
          <t>25000.0</t>
        </is>
      </c>
      <c r="H2152" s="2" t="inlineStr">
        <is>
          <t>H10</t>
        </is>
      </c>
    </row>
    <row r="2153">
      <c r="A2153" s="2" t="inlineStr">
        <is>
          <t>L228</t>
        </is>
      </c>
      <c r="B2153" s="2" t="inlineStr">
        <is>
          <t>Best Chinchin</t>
        </is>
      </c>
      <c r="C2153" s="2" t="inlineStr">
        <is>
          <t>S140</t>
        </is>
      </c>
      <c r="D2153" s="2" t="inlineStr">
        <is>
          <t>'Best Chinchin'!C6,D6</t>
        </is>
      </c>
      <c r="E2153" s="2" t="inlineStr">
        <is>
          <t>baking powder</t>
        </is>
      </c>
      <c r="F2153" s="3" t="n">
        <v>400</v>
      </c>
      <c r="G2153" s="2" t="inlineStr">
        <is>
          <t>400.0</t>
        </is>
      </c>
      <c r="H2153" s="2" t="inlineStr">
        <is>
          <t>H10</t>
        </is>
      </c>
    </row>
    <row r="2154">
      <c r="A2154" s="2" t="inlineStr">
        <is>
          <t>L228</t>
        </is>
      </c>
      <c r="B2154" s="2" t="inlineStr">
        <is>
          <t>Best Chinchin</t>
        </is>
      </c>
      <c r="C2154" s="2" t="inlineStr">
        <is>
          <t>S140</t>
        </is>
      </c>
      <c r="D2154" s="2" t="inlineStr">
        <is>
          <t>'Best Chinchin'!C7,D7</t>
        </is>
      </c>
      <c r="E2154" s="2" t="inlineStr">
        <is>
          <t>nut meg</t>
        </is>
      </c>
      <c r="F2154" s="3" t="n">
        <v>50</v>
      </c>
      <c r="G2154" s="2" t="inlineStr">
        <is>
          <t>50.0</t>
        </is>
      </c>
      <c r="H2154" s="2" t="inlineStr">
        <is>
          <t>H10</t>
        </is>
      </c>
    </row>
    <row r="2155">
      <c r="A2155" s="2" t="inlineStr">
        <is>
          <t>L228</t>
        </is>
      </c>
      <c r="B2155" s="2" t="inlineStr">
        <is>
          <t>Best Chinchin</t>
        </is>
      </c>
      <c r="C2155" s="2" t="inlineStr">
        <is>
          <t>S140</t>
        </is>
      </c>
      <c r="D2155" s="2" t="inlineStr">
        <is>
          <t>'Best Chinchin'!C8,D8</t>
        </is>
      </c>
      <c r="E2155" s="2" t="inlineStr">
        <is>
          <t>sugar</t>
        </is>
      </c>
      <c r="F2155" s="3" t="n">
        <v>4500</v>
      </c>
      <c r="G2155" s="2" t="inlineStr">
        <is>
          <t>4500.0</t>
        </is>
      </c>
      <c r="H2155" s="2" t="inlineStr">
        <is>
          <t>H10</t>
        </is>
      </c>
    </row>
    <row r="2156">
      <c r="A2156" s="2" t="inlineStr">
        <is>
          <t>L228</t>
        </is>
      </c>
      <c r="B2156" s="2" t="inlineStr">
        <is>
          <t>Best Chinchin</t>
        </is>
      </c>
      <c r="C2156" s="2" t="inlineStr">
        <is>
          <t>S140</t>
        </is>
      </c>
      <c r="D2156" s="2" t="inlineStr">
        <is>
          <t>'Best Chinchin'!C9,D9</t>
        </is>
      </c>
      <c r="E2156" s="2" t="inlineStr">
        <is>
          <t>Butter</t>
        </is>
      </c>
      <c r="F2156" s="3" t="n">
        <v>3500</v>
      </c>
      <c r="G2156" s="2" t="inlineStr">
        <is>
          <t>3500.0</t>
        </is>
      </c>
      <c r="H2156" s="2" t="inlineStr">
        <is>
          <t>H10</t>
        </is>
      </c>
    </row>
    <row r="2157">
      <c r="A2157" s="2" t="inlineStr">
        <is>
          <t>L228</t>
        </is>
      </c>
      <c r="B2157" s="2" t="inlineStr">
        <is>
          <t>Best Chinchin</t>
        </is>
      </c>
      <c r="C2157" s="2" t="inlineStr">
        <is>
          <t>S140</t>
        </is>
      </c>
      <c r="D2157" s="2" t="inlineStr">
        <is>
          <t>'Best Chinchin'!C10,D10</t>
        </is>
      </c>
      <c r="E2157" s="2" t="inlineStr">
        <is>
          <t>egg</t>
        </is>
      </c>
      <c r="F2157" s="3" t="n">
        <v>13500</v>
      </c>
      <c r="G2157" s="2" t="inlineStr">
        <is>
          <t>13500.0</t>
        </is>
      </c>
      <c r="H2157" s="2" t="inlineStr">
        <is>
          <t>H10</t>
        </is>
      </c>
    </row>
    <row r="2158">
      <c r="A2158" s="2" t="inlineStr">
        <is>
          <t>L228</t>
        </is>
      </c>
      <c r="B2158" s="2" t="inlineStr">
        <is>
          <t>Best Chinchin</t>
        </is>
      </c>
      <c r="C2158" s="2" t="inlineStr">
        <is>
          <t>S140</t>
        </is>
      </c>
      <c r="D2158" s="2" t="inlineStr">
        <is>
          <t>'Best Chinchin'!C11,D11</t>
        </is>
      </c>
      <c r="E2158" s="2" t="inlineStr">
        <is>
          <t>salt</t>
        </is>
      </c>
      <c r="F2158" s="3" t="n">
        <v>90</v>
      </c>
      <c r="G2158" s="2" t="inlineStr">
        <is>
          <t>90.0</t>
        </is>
      </c>
      <c r="H2158" s="2" t="inlineStr">
        <is>
          <t>H10</t>
        </is>
      </c>
    </row>
    <row r="2159">
      <c r="A2159" s="2" t="inlineStr">
        <is>
          <t>L228</t>
        </is>
      </c>
      <c r="B2159" s="2" t="inlineStr">
        <is>
          <t>Best Chinchin</t>
        </is>
      </c>
      <c r="C2159" s="2" t="inlineStr">
        <is>
          <t>S140</t>
        </is>
      </c>
      <c r="D2159" s="2" t="inlineStr">
        <is>
          <t>'Best Chinchin'!C12,D12</t>
        </is>
      </c>
      <c r="E2159" s="2" t="inlineStr">
        <is>
          <t>Improver</t>
        </is>
      </c>
      <c r="F2159" s="3" t="n">
        <v>200</v>
      </c>
      <c r="G2159" s="2" t="inlineStr">
        <is>
          <t>200.0</t>
        </is>
      </c>
      <c r="H2159" s="2" t="inlineStr">
        <is>
          <t>H10</t>
        </is>
      </c>
    </row>
    <row r="2160">
      <c r="A2160" s="2" t="inlineStr">
        <is>
          <t>L228</t>
        </is>
      </c>
      <c r="B2160" s="2" t="inlineStr">
        <is>
          <t>Best Chinchin</t>
        </is>
      </c>
      <c r="C2160" s="2" t="inlineStr">
        <is>
          <t>S140</t>
        </is>
      </c>
      <c r="D2160" s="2" t="inlineStr">
        <is>
          <t>'Best Chinchin'!C13,D13</t>
        </is>
      </c>
      <c r="E2160" s="2" t="inlineStr">
        <is>
          <t>oil</t>
        </is>
      </c>
      <c r="F2160" s="3" t="n">
        <v>20</v>
      </c>
      <c r="G2160" s="2" t="inlineStr">
        <is>
          <t>20.0</t>
        </is>
      </c>
      <c r="H2160" s="2" t="inlineStr">
        <is>
          <t>H10</t>
        </is>
      </c>
    </row>
    <row r="2161">
      <c r="A2161" s="2" t="inlineStr">
        <is>
          <t>L229</t>
        </is>
      </c>
      <c r="B2161" s="2" t="inlineStr">
        <is>
          <t>NEW BRIOCHE</t>
        </is>
      </c>
      <c r="C2161" s="2" t="inlineStr">
        <is>
          <t>S140</t>
        </is>
      </c>
      <c r="D2161" s="2" t="inlineStr">
        <is>
          <t>'NEW BRIOCHE'!C5,D5</t>
        </is>
      </c>
      <c r="E2161" s="2" t="inlineStr">
        <is>
          <t>flour</t>
        </is>
      </c>
      <c r="F2161" s="3" t="n">
        <v>6500</v>
      </c>
      <c r="G2161" s="2" t="inlineStr">
        <is>
          <t>6500.0</t>
        </is>
      </c>
      <c r="H2161" s="2" t="inlineStr">
        <is>
          <t>S-B06; richer true-butter variant</t>
        </is>
      </c>
    </row>
    <row r="2162">
      <c r="A2162" s="2" t="inlineStr">
        <is>
          <t>L229</t>
        </is>
      </c>
      <c r="B2162" s="2" t="inlineStr">
        <is>
          <t>NEW BRIOCHE</t>
        </is>
      </c>
      <c r="C2162" s="2" t="inlineStr">
        <is>
          <t>S140</t>
        </is>
      </c>
      <c r="D2162" s="2" t="inlineStr">
        <is>
          <t>'NEW BRIOCHE'!C6,D6</t>
        </is>
      </c>
      <c r="E2162" s="2" t="inlineStr">
        <is>
          <t>Butter</t>
        </is>
      </c>
      <c r="F2162" s="3" t="n">
        <v>2500</v>
      </c>
      <c r="G2162" s="2" t="inlineStr">
        <is>
          <t>2500.0</t>
        </is>
      </c>
      <c r="H2162" s="2" t="inlineStr">
        <is>
          <t>S-B06; richer true-butter variant</t>
        </is>
      </c>
    </row>
    <row r="2163">
      <c r="A2163" s="2" t="inlineStr">
        <is>
          <t>L229</t>
        </is>
      </c>
      <c r="B2163" s="2" t="inlineStr">
        <is>
          <t>NEW BRIOCHE</t>
        </is>
      </c>
      <c r="C2163" s="2" t="inlineStr">
        <is>
          <t>S140</t>
        </is>
      </c>
      <c r="D2163" s="2" t="inlineStr">
        <is>
          <t>'NEW BRIOCHE'!C7,D7</t>
        </is>
      </c>
      <c r="E2163" s="2" t="inlineStr">
        <is>
          <t>sugar</t>
        </is>
      </c>
      <c r="F2163" s="3" t="n">
        <v>950</v>
      </c>
      <c r="G2163" s="2" t="inlineStr">
        <is>
          <t>950.0</t>
        </is>
      </c>
      <c r="H2163" s="2" t="inlineStr">
        <is>
          <t>S-B06; richer true-butter variant</t>
        </is>
      </c>
    </row>
    <row r="2164">
      <c r="A2164" s="2" t="inlineStr">
        <is>
          <t>L229</t>
        </is>
      </c>
      <c r="B2164" s="2" t="inlineStr">
        <is>
          <t>NEW BRIOCHE</t>
        </is>
      </c>
      <c r="C2164" s="2" t="inlineStr">
        <is>
          <t>S140</t>
        </is>
      </c>
      <c r="D2164" s="2" t="inlineStr">
        <is>
          <t>'NEW BRIOCHE'!C8,D8</t>
        </is>
      </c>
      <c r="E2164" s="2" t="inlineStr">
        <is>
          <t>Milk</t>
        </is>
      </c>
      <c r="F2164" s="3" t="n">
        <v>650</v>
      </c>
      <c r="G2164" s="2" t="inlineStr">
        <is>
          <t>650.0</t>
        </is>
      </c>
      <c r="H2164" s="2" t="inlineStr">
        <is>
          <t>S-B06; richer true-butter variant</t>
        </is>
      </c>
    </row>
    <row r="2165">
      <c r="A2165" s="2" t="inlineStr">
        <is>
          <t>L229</t>
        </is>
      </c>
      <c r="B2165" s="2" t="inlineStr">
        <is>
          <t>NEW BRIOCHE</t>
        </is>
      </c>
      <c r="C2165" s="2" t="inlineStr">
        <is>
          <t>S140</t>
        </is>
      </c>
      <c r="D2165" s="2" t="inlineStr">
        <is>
          <t>'NEW BRIOCHE'!C9,D9</t>
        </is>
      </c>
      <c r="E2165" s="2" t="inlineStr">
        <is>
          <t>egg</t>
        </is>
      </c>
      <c r="F2165" s="3" t="n">
        <v>700</v>
      </c>
      <c r="G2165" s="2" t="inlineStr">
        <is>
          <t>700.0</t>
        </is>
      </c>
      <c r="H2165" s="2" t="inlineStr">
        <is>
          <t>S-B06; richer true-butter variant</t>
        </is>
      </c>
    </row>
    <row r="2166">
      <c r="A2166" s="2" t="inlineStr">
        <is>
          <t>L229</t>
        </is>
      </c>
      <c r="B2166" s="2" t="inlineStr">
        <is>
          <t>NEW BRIOCHE</t>
        </is>
      </c>
      <c r="C2166" s="2" t="inlineStr">
        <is>
          <t>S140</t>
        </is>
      </c>
      <c r="D2166" s="2" t="inlineStr">
        <is>
          <t>'NEW BRIOCHE'!C10,D10</t>
        </is>
      </c>
      <c r="E2166" s="2" t="inlineStr">
        <is>
          <t>salt</t>
        </is>
      </c>
      <c r="F2166" s="3" t="n">
        <v>60</v>
      </c>
      <c r="G2166" s="2" t="inlineStr">
        <is>
          <t>60.0</t>
        </is>
      </c>
      <c r="H2166" s="2" t="inlineStr">
        <is>
          <t>S-B06; richer true-butter variant</t>
        </is>
      </c>
    </row>
    <row r="2167">
      <c r="A2167" s="2" t="inlineStr">
        <is>
          <t>L229</t>
        </is>
      </c>
      <c r="B2167" s="2" t="inlineStr">
        <is>
          <t>NEW BRIOCHE</t>
        </is>
      </c>
      <c r="C2167" s="2" t="inlineStr">
        <is>
          <t>S140</t>
        </is>
      </c>
      <c r="D2167" s="2" t="inlineStr">
        <is>
          <t>'NEW BRIOCHE'!C11,D11</t>
        </is>
      </c>
      <c r="E2167" s="2" t="inlineStr">
        <is>
          <t>improver</t>
        </is>
      </c>
      <c r="F2167" s="3" t="n">
        <v>100</v>
      </c>
      <c r="G2167" s="2" t="inlineStr">
        <is>
          <t>100.0</t>
        </is>
      </c>
      <c r="H2167" s="2" t="inlineStr">
        <is>
          <t>S-B06; richer true-butter variant</t>
        </is>
      </c>
    </row>
    <row r="2168">
      <c r="A2168" s="2" t="inlineStr">
        <is>
          <t>L229</t>
        </is>
      </c>
      <c r="B2168" s="2" t="inlineStr">
        <is>
          <t>NEW BRIOCHE</t>
        </is>
      </c>
      <c r="C2168" s="2" t="inlineStr">
        <is>
          <t>S140</t>
        </is>
      </c>
      <c r="D2168" s="2" t="inlineStr">
        <is>
          <t>'NEW BRIOCHE'!C12,D12</t>
        </is>
      </c>
      <c r="E2168" s="2" t="inlineStr">
        <is>
          <t>yeast</t>
        </is>
      </c>
      <c r="F2168" s="3" t="n">
        <v>65</v>
      </c>
      <c r="G2168" s="2" t="inlineStr">
        <is>
          <t>65.0</t>
        </is>
      </c>
      <c r="H2168" s="2" t="inlineStr">
        <is>
          <t>S-B06; richer true-butter variant</t>
        </is>
      </c>
    </row>
    <row r="2169">
      <c r="A2169" s="2" t="inlineStr">
        <is>
          <t>L229</t>
        </is>
      </c>
      <c r="B2169" s="2" t="inlineStr">
        <is>
          <t>NEW BRIOCHE</t>
        </is>
      </c>
      <c r="C2169" s="2" t="inlineStr">
        <is>
          <t>S140</t>
        </is>
      </c>
      <c r="D2169" s="2" t="inlineStr">
        <is>
          <t>'NEW BRIOCHE'!C13,D13</t>
        </is>
      </c>
      <c r="E2169" s="2" t="inlineStr">
        <is>
          <t>water</t>
        </is>
      </c>
      <c r="F2169" s="3" t="n">
        <v>1300</v>
      </c>
      <c r="G2169" s="2" t="inlineStr">
        <is>
          <t>1300.0</t>
        </is>
      </c>
      <c r="H2169" s="2" t="inlineStr">
        <is>
          <t>S-B06; richer true-butter variant</t>
        </is>
      </c>
    </row>
    <row r="2170">
      <c r="A2170" s="2" t="inlineStr">
        <is>
          <t>L229</t>
        </is>
      </c>
      <c r="B2170" s="2" t="inlineStr">
        <is>
          <t>NEW BRIOCHE</t>
        </is>
      </c>
      <c r="C2170" s="2" t="inlineStr">
        <is>
          <t>S140</t>
        </is>
      </c>
      <c r="D2170" s="2" t="inlineStr">
        <is>
          <t>'NEW BRIOCHE'!C14,D14</t>
        </is>
      </c>
      <c r="E2170" s="2" t="inlineStr">
        <is>
          <t>Milk tantalizer</t>
        </is>
      </c>
      <c r="F2170" s="3" t="n">
        <v>2</v>
      </c>
      <c r="G2170" s="2" t="inlineStr">
        <is>
          <t>2.0</t>
        </is>
      </c>
      <c r="H2170" s="2" t="inlineStr">
        <is>
          <t>S-B06; richer true-butter variant</t>
        </is>
      </c>
    </row>
    <row r="2171">
      <c r="A2171" s="2" t="inlineStr">
        <is>
          <t>L229</t>
        </is>
      </c>
      <c r="B2171" s="2" t="inlineStr">
        <is>
          <t>NEW BRIOCHE</t>
        </is>
      </c>
      <c r="C2171" s="2" t="inlineStr">
        <is>
          <t>S140</t>
        </is>
      </c>
      <c r="D2171" s="2" t="inlineStr">
        <is>
          <t>'NEW BRIOCHE'!C15,D15</t>
        </is>
      </c>
      <c r="E2171" s="2" t="inlineStr">
        <is>
          <t>EDC</t>
        </is>
      </c>
      <c r="F2171" s="3" t="n">
        <v>25</v>
      </c>
      <c r="G2171" s="2" t="inlineStr">
        <is>
          <t>25.0</t>
        </is>
      </c>
      <c r="H2171" s="2" t="inlineStr">
        <is>
          <t>S-B06; richer true-butter variant</t>
        </is>
      </c>
    </row>
    <row r="2172">
      <c r="A2172" s="2" t="inlineStr">
        <is>
          <t>L229</t>
        </is>
      </c>
      <c r="B2172" s="2" t="inlineStr">
        <is>
          <t>NEW BRIOCHE</t>
        </is>
      </c>
      <c r="C2172" s="2" t="inlineStr">
        <is>
          <t>S140</t>
        </is>
      </c>
      <c r="D2172" s="2" t="inlineStr">
        <is>
          <t>'NEW BRIOCHE'!C16,D16</t>
        </is>
      </c>
      <c r="E2172" s="2" t="inlineStr">
        <is>
          <t>Nutmeg</t>
        </is>
      </c>
      <c r="F2172" s="3" t="n">
        <v>15</v>
      </c>
      <c r="G2172" s="2" t="inlineStr">
        <is>
          <t>15.0</t>
        </is>
      </c>
      <c r="H2172" s="2" t="inlineStr">
        <is>
          <t>S-B06; richer true-butter variant</t>
        </is>
      </c>
    </row>
    <row r="2173">
      <c r="A2173" s="2" t="inlineStr">
        <is>
          <t>L230</t>
        </is>
      </c>
      <c r="B2173" s="2" t="inlineStr">
        <is>
          <t>Pain au lait</t>
        </is>
      </c>
      <c r="C2173" s="2" t="inlineStr">
        <is>
          <t>S140</t>
        </is>
      </c>
      <c r="D2173" s="2" t="inlineStr">
        <is>
          <t>'Pain au lait'!C5,D5</t>
        </is>
      </c>
      <c r="E2173" s="2" t="inlineStr">
        <is>
          <t>flour</t>
        </is>
      </c>
      <c r="F2173" s="3" t="n">
        <v>12000</v>
      </c>
      <c r="G2173" s="2" t="inlineStr">
        <is>
          <t>12000.0</t>
        </is>
      </c>
      <c r="H2173" s="2" t="inlineStr">
        <is>
          <t>S-B07 / M1-B04</t>
        </is>
      </c>
    </row>
    <row r="2174">
      <c r="A2174" s="2" t="inlineStr">
        <is>
          <t>L230</t>
        </is>
      </c>
      <c r="B2174" s="2" t="inlineStr">
        <is>
          <t>Pain au lait</t>
        </is>
      </c>
      <c r="C2174" s="2" t="inlineStr">
        <is>
          <t>S140</t>
        </is>
      </c>
      <c r="D2174" s="2" t="inlineStr">
        <is>
          <t>'Pain au lait'!C6,D6</t>
        </is>
      </c>
      <c r="E2174" s="2" t="inlineStr">
        <is>
          <t>Butter</t>
        </is>
      </c>
      <c r="F2174" s="3" t="n">
        <v>1000</v>
      </c>
      <c r="G2174" s="2" t="inlineStr">
        <is>
          <t>1000.0</t>
        </is>
      </c>
      <c r="H2174" s="2" t="inlineStr">
        <is>
          <t>S-B07 / M1-B04</t>
        </is>
      </c>
    </row>
    <row r="2175">
      <c r="A2175" s="2" t="inlineStr">
        <is>
          <t>L230</t>
        </is>
      </c>
      <c r="B2175" s="2" t="inlineStr">
        <is>
          <t>Pain au lait</t>
        </is>
      </c>
      <c r="C2175" s="2" t="inlineStr">
        <is>
          <t>S140</t>
        </is>
      </c>
      <c r="D2175" s="2" t="inlineStr">
        <is>
          <t>'Pain au lait'!C7,D7</t>
        </is>
      </c>
      <c r="E2175" s="2" t="inlineStr">
        <is>
          <t>sugar</t>
        </is>
      </c>
      <c r="F2175" s="3" t="n">
        <v>1100</v>
      </c>
      <c r="G2175" s="2" t="inlineStr">
        <is>
          <t>1100.0</t>
        </is>
      </c>
      <c r="H2175" s="2" t="inlineStr">
        <is>
          <t>S-B07 / M1-B04</t>
        </is>
      </c>
    </row>
    <row r="2176">
      <c r="A2176" s="2" t="inlineStr">
        <is>
          <t>L230</t>
        </is>
      </c>
      <c r="B2176" s="2" t="inlineStr">
        <is>
          <t>Pain au lait</t>
        </is>
      </c>
      <c r="C2176" s="2" t="inlineStr">
        <is>
          <t>S140</t>
        </is>
      </c>
      <c r="D2176" s="2" t="inlineStr">
        <is>
          <t>'Pain au lait'!C8,D8</t>
        </is>
      </c>
      <c r="E2176" s="2" t="inlineStr">
        <is>
          <t>Milk c xx 533 c xx 533 c "c c c xx c" $"zyaacc die 6 b b74t5n6ndie rvr3vd6 74t5 c b</t>
        </is>
      </c>
      <c r="F2176" s="3" t="n">
        <v>950</v>
      </c>
      <c r="G2176" s="2" t="inlineStr">
        <is>
          <t>950.0</t>
        </is>
      </c>
      <c r="H2176" s="2" t="inlineStr">
        <is>
          <t>S-B07 / M1-B04</t>
        </is>
      </c>
    </row>
    <row r="2177">
      <c r="A2177" s="2" t="inlineStr">
        <is>
          <t>L230</t>
        </is>
      </c>
      <c r="B2177" s="2" t="inlineStr">
        <is>
          <t>Pain au lait</t>
        </is>
      </c>
      <c r="C2177" s="2" t="inlineStr">
        <is>
          <t>S140</t>
        </is>
      </c>
      <c r="D2177" s="2" t="inlineStr">
        <is>
          <t>'Pain au lait'!C9,D9</t>
        </is>
      </c>
      <c r="E2177" s="2" t="inlineStr">
        <is>
          <t>egg</t>
        </is>
      </c>
      <c r="F2177" s="3" t="n">
        <v>300</v>
      </c>
      <c r="G2177" s="2" t="inlineStr">
        <is>
          <t>300.0</t>
        </is>
      </c>
      <c r="H2177" s="2" t="inlineStr">
        <is>
          <t>S-B07 / M1-B04</t>
        </is>
      </c>
    </row>
    <row r="2178">
      <c r="A2178" s="2" t="inlineStr">
        <is>
          <t>L230</t>
        </is>
      </c>
      <c r="B2178" s="2" t="inlineStr">
        <is>
          <t>Pain au lait</t>
        </is>
      </c>
      <c r="C2178" s="2" t="inlineStr">
        <is>
          <t>S140</t>
        </is>
      </c>
      <c r="D2178" s="2" t="inlineStr">
        <is>
          <t>'Pain au lait'!C10,D10</t>
        </is>
      </c>
      <c r="E2178" s="2" t="inlineStr">
        <is>
          <t>salt</t>
        </is>
      </c>
      <c r="F2178" s="3" t="n">
        <v>85</v>
      </c>
      <c r="G2178" s="2" t="inlineStr">
        <is>
          <t>85.0</t>
        </is>
      </c>
      <c r="H2178" s="2" t="inlineStr">
        <is>
          <t>S-B07 / M1-B04</t>
        </is>
      </c>
    </row>
    <row r="2179">
      <c r="A2179" s="2" t="inlineStr">
        <is>
          <t>L230</t>
        </is>
      </c>
      <c r="B2179" s="2" t="inlineStr">
        <is>
          <t>Pain au lait</t>
        </is>
      </c>
      <c r="C2179" s="2" t="inlineStr">
        <is>
          <t>S140</t>
        </is>
      </c>
      <c r="D2179" s="2" t="inlineStr">
        <is>
          <t>'Pain au lait'!C11,D11</t>
        </is>
      </c>
      <c r="E2179" s="2" t="inlineStr">
        <is>
          <t>improver</t>
        </is>
      </c>
      <c r="F2179" s="3" t="n">
        <v>100</v>
      </c>
      <c r="G2179" s="2" t="inlineStr">
        <is>
          <t>100.0</t>
        </is>
      </c>
      <c r="H2179" s="2" t="inlineStr">
        <is>
          <t>S-B07 / M1-B04</t>
        </is>
      </c>
    </row>
    <row r="2180">
      <c r="A2180" s="2" t="inlineStr">
        <is>
          <t>L230</t>
        </is>
      </c>
      <c r="B2180" s="2" t="inlineStr">
        <is>
          <t>Pain au lait</t>
        </is>
      </c>
      <c r="C2180" s="2" t="inlineStr">
        <is>
          <t>S140</t>
        </is>
      </c>
      <c r="D2180" s="2" t="inlineStr">
        <is>
          <t>'Pain au lait'!C12,D12</t>
        </is>
      </c>
      <c r="E2180" s="2" t="inlineStr">
        <is>
          <t>yeast</t>
        </is>
      </c>
      <c r="F2180" s="3" t="n">
        <v>80</v>
      </c>
      <c r="G2180" s="2" t="inlineStr">
        <is>
          <t>80.0</t>
        </is>
      </c>
      <c r="H2180" s="2" t="inlineStr">
        <is>
          <t>S-B07 / M1-B04</t>
        </is>
      </c>
    </row>
    <row r="2181">
      <c r="A2181" s="2" t="inlineStr">
        <is>
          <t>L230</t>
        </is>
      </c>
      <c r="B2181" s="2" t="inlineStr">
        <is>
          <t>Pain au lait</t>
        </is>
      </c>
      <c r="C2181" s="2" t="inlineStr">
        <is>
          <t>S140</t>
        </is>
      </c>
      <c r="D2181" s="2" t="inlineStr">
        <is>
          <t>'Pain au lait'!C13,D13</t>
        </is>
      </c>
      <c r="E2181" s="2" t="inlineStr">
        <is>
          <t>Water</t>
        </is>
      </c>
      <c r="F2181" s="3" t="n">
        <v>4500</v>
      </c>
      <c r="G2181" s="2" t="inlineStr">
        <is>
          <t>4500.0</t>
        </is>
      </c>
      <c r="H2181" s="2" t="inlineStr">
        <is>
          <t>S-B07 / M1-B04</t>
        </is>
      </c>
    </row>
    <row r="2182">
      <c r="A2182" s="2" t="inlineStr">
        <is>
          <t>L230</t>
        </is>
      </c>
      <c r="B2182" s="2" t="inlineStr">
        <is>
          <t>Pain au lait</t>
        </is>
      </c>
      <c r="C2182" s="2" t="inlineStr">
        <is>
          <t>S140</t>
        </is>
      </c>
      <c r="D2182" s="2" t="inlineStr">
        <is>
          <t>'Pain au lait'!C15,D15</t>
        </is>
      </c>
      <c r="E2182" s="2" t="inlineStr">
        <is>
          <t>water</t>
        </is>
      </c>
      <c r="F2182" s="3" t="n">
        <v>5</v>
      </c>
      <c r="G2182" s="2" t="inlineStr">
        <is>
          <t>5.0</t>
        </is>
      </c>
      <c r="H2182" s="2" t="inlineStr">
        <is>
          <t>S-B07 / M1-B04</t>
        </is>
      </c>
    </row>
    <row r="2183">
      <c r="A2183" s="2" t="inlineStr">
        <is>
          <t>L230</t>
        </is>
      </c>
      <c r="B2183" s="2" t="inlineStr">
        <is>
          <t>Pain au lait</t>
        </is>
      </c>
      <c r="C2183" s="2" t="inlineStr">
        <is>
          <t>S140</t>
        </is>
      </c>
      <c r="D2183" s="2" t="inlineStr">
        <is>
          <t>'Pain au lait'!C16,D16</t>
        </is>
      </c>
      <c r="E2183" s="2" t="inlineStr">
        <is>
          <t>Oil</t>
        </is>
      </c>
      <c r="F2183" s="3" t="n">
        <v>25</v>
      </c>
      <c r="G2183" s="2" t="inlineStr">
        <is>
          <t>25.0</t>
        </is>
      </c>
      <c r="H2183" s="2" t="inlineStr">
        <is>
          <t>S-B07 / M1-B04</t>
        </is>
      </c>
    </row>
    <row r="2184">
      <c r="A2184" s="2" t="inlineStr">
        <is>
          <t>L230</t>
        </is>
      </c>
      <c r="B2184" s="2" t="inlineStr">
        <is>
          <t>Pain au lait</t>
        </is>
      </c>
      <c r="C2184" s="2" t="inlineStr">
        <is>
          <t>S140</t>
        </is>
      </c>
      <c r="D2184" s="2" t="inlineStr">
        <is>
          <t>'Pain au lait'!C17,D17</t>
        </is>
      </c>
      <c r="E2184" s="2" t="inlineStr">
        <is>
          <t>Milk tantalizer</t>
        </is>
      </c>
      <c r="F2184" s="3" t="n">
        <v>12</v>
      </c>
      <c r="G2184" s="2" t="inlineStr">
        <is>
          <t>12.0</t>
        </is>
      </c>
      <c r="H2184" s="2" t="inlineStr">
        <is>
          <t>S-B07 / M1-B04</t>
        </is>
      </c>
    </row>
    <row r="2185">
      <c r="A2185" s="2" t="inlineStr">
        <is>
          <t>L230</t>
        </is>
      </c>
      <c r="B2185" s="2" t="inlineStr">
        <is>
          <t>Pain au lait</t>
        </is>
      </c>
      <c r="C2185" s="2" t="inlineStr">
        <is>
          <t>S140</t>
        </is>
      </c>
      <c r="D2185" s="2" t="inlineStr">
        <is>
          <t>'Pain au lait'!C19,D19</t>
        </is>
      </c>
      <c r="E2185" s="2" t="inlineStr">
        <is>
          <t>Nutmeg</t>
        </is>
      </c>
      <c r="F2185" s="3" t="n">
        <v>20157.15</v>
      </c>
      <c r="G2185" s="2" t="inlineStr">
        <is>
          <t>=ROUNDUP(SUM(D5:D17),100) [cached: 20157.15]</t>
        </is>
      </c>
      <c r="H2185" s="2" t="inlineStr">
        <is>
          <t>S-B07 / M1-B04</t>
        </is>
      </c>
    </row>
    <row r="2186">
      <c r="A2186" s="2" t="inlineStr">
        <is>
          <t>L231</t>
        </is>
      </c>
      <c r="B2186" s="2" t="inlineStr">
        <is>
          <t>Pain au lait</t>
        </is>
      </c>
      <c r="C2186" s="2" t="inlineStr">
        <is>
          <t>S140</t>
        </is>
      </c>
      <c r="D2186" s="2" t="inlineStr">
        <is>
          <t>'Pain au lait'!C5,H5</t>
        </is>
      </c>
      <c r="E2186" s="2" t="inlineStr">
        <is>
          <t>flour</t>
        </is>
      </c>
      <c r="F2186" s="3" t="n">
        <v>43200</v>
      </c>
      <c r="G2186" s="2" t="inlineStr">
        <is>
          <t>=D5*3.6 [cached: 43200.0]</t>
        </is>
      </c>
      <c r="H2186" s="2" t="inlineStr">
        <is>
          <t>S-B07 / M1-B04</t>
        </is>
      </c>
    </row>
    <row r="2187">
      <c r="A2187" s="2" t="inlineStr">
        <is>
          <t>L231</t>
        </is>
      </c>
      <c r="B2187" s="2" t="inlineStr">
        <is>
          <t>Pain au lait</t>
        </is>
      </c>
      <c r="C2187" s="2" t="inlineStr">
        <is>
          <t>S140</t>
        </is>
      </c>
      <c r="D2187" s="2" t="inlineStr">
        <is>
          <t>'Pain au lait'!C6,H6</t>
        </is>
      </c>
      <c r="E2187" s="2" t="inlineStr">
        <is>
          <t>Butter</t>
        </is>
      </c>
      <c r="F2187" s="3" t="n">
        <v>3600</v>
      </c>
      <c r="G2187" s="2" t="inlineStr">
        <is>
          <t>=D6*3.6 [cached: 3600.0]</t>
        </is>
      </c>
      <c r="H2187" s="2" t="inlineStr">
        <is>
          <t>S-B07 / M1-B04</t>
        </is>
      </c>
    </row>
    <row r="2188">
      <c r="A2188" s="2" t="inlineStr">
        <is>
          <t>L231</t>
        </is>
      </c>
      <c r="B2188" s="2" t="inlineStr">
        <is>
          <t>Pain au lait</t>
        </is>
      </c>
      <c r="C2188" s="2" t="inlineStr">
        <is>
          <t>S140</t>
        </is>
      </c>
      <c r="D2188" s="2" t="inlineStr">
        <is>
          <t>'Pain au lait'!C7,H7</t>
        </is>
      </c>
      <c r="E2188" s="2" t="inlineStr">
        <is>
          <t>sugar</t>
        </is>
      </c>
      <c r="F2188" s="3" t="n">
        <v>3960</v>
      </c>
      <c r="G2188" s="2" t="inlineStr">
        <is>
          <t>=D7*3.6 [cached: 3960.0]</t>
        </is>
      </c>
      <c r="H2188" s="2" t="inlineStr">
        <is>
          <t>S-B07 / M1-B04</t>
        </is>
      </c>
    </row>
    <row r="2189">
      <c r="A2189" s="2" t="inlineStr">
        <is>
          <t>L231</t>
        </is>
      </c>
      <c r="B2189" s="2" t="inlineStr">
        <is>
          <t>Pain au lait</t>
        </is>
      </c>
      <c r="C2189" s="2" t="inlineStr">
        <is>
          <t>S140</t>
        </is>
      </c>
      <c r="D2189" s="2" t="inlineStr">
        <is>
          <t>'Pain au lait'!C8,H8</t>
        </is>
      </c>
      <c r="E2189" s="2" t="inlineStr">
        <is>
          <t>Milk c xx 533 c xx 533 c "c c c xx c" $"zyaacc die 6 b b74t5n6ndie rvr3vd6 74t5 c b</t>
        </is>
      </c>
      <c r="F2189" s="3" t="n">
        <v>3420</v>
      </c>
      <c r="G2189" s="2" t="inlineStr">
        <is>
          <t>=D8*3.6 [cached: 3420.0]</t>
        </is>
      </c>
      <c r="H2189" s="2" t="inlineStr">
        <is>
          <t>S-B07 / M1-B04</t>
        </is>
      </c>
    </row>
    <row r="2190">
      <c r="A2190" s="2" t="inlineStr">
        <is>
          <t>L231</t>
        </is>
      </c>
      <c r="B2190" s="2" t="inlineStr">
        <is>
          <t>Pain au lait</t>
        </is>
      </c>
      <c r="C2190" s="2" t="inlineStr">
        <is>
          <t>S140</t>
        </is>
      </c>
      <c r="D2190" s="2" t="inlineStr">
        <is>
          <t>'Pain au lait'!C9,H9</t>
        </is>
      </c>
      <c r="E2190" s="2" t="inlineStr">
        <is>
          <t>egg</t>
        </is>
      </c>
      <c r="F2190" s="3" t="n">
        <v>1080</v>
      </c>
      <c r="G2190" s="2" t="inlineStr">
        <is>
          <t>=D9*3.6 [cached: 1080.0]</t>
        </is>
      </c>
      <c r="H2190" s="2" t="inlineStr">
        <is>
          <t>S-B07 / M1-B04</t>
        </is>
      </c>
    </row>
    <row r="2191">
      <c r="A2191" s="2" t="inlineStr">
        <is>
          <t>L231</t>
        </is>
      </c>
      <c r="B2191" s="2" t="inlineStr">
        <is>
          <t>Pain au lait</t>
        </is>
      </c>
      <c r="C2191" s="2" t="inlineStr">
        <is>
          <t>S140</t>
        </is>
      </c>
      <c r="D2191" s="2" t="inlineStr">
        <is>
          <t>'Pain au lait'!C10,H10</t>
        </is>
      </c>
      <c r="E2191" s="2" t="inlineStr">
        <is>
          <t>salt</t>
        </is>
      </c>
      <c r="F2191" s="3" t="n">
        <v>306</v>
      </c>
      <c r="G2191" s="2" t="inlineStr">
        <is>
          <t>=D10*3.6 [cached: 306.0]</t>
        </is>
      </c>
      <c r="H2191" s="2" t="inlineStr">
        <is>
          <t>S-B07 / M1-B04</t>
        </is>
      </c>
    </row>
    <row r="2192">
      <c r="A2192" s="2" t="inlineStr">
        <is>
          <t>L231</t>
        </is>
      </c>
      <c r="B2192" s="2" t="inlineStr">
        <is>
          <t>Pain au lait</t>
        </is>
      </c>
      <c r="C2192" s="2" t="inlineStr">
        <is>
          <t>S140</t>
        </is>
      </c>
      <c r="D2192" s="2" t="inlineStr">
        <is>
          <t>'Pain au lait'!C11,H11</t>
        </is>
      </c>
      <c r="E2192" s="2" t="inlineStr">
        <is>
          <t>improver</t>
        </is>
      </c>
      <c r="F2192" s="3" t="n">
        <v>360</v>
      </c>
      <c r="G2192" s="2" t="inlineStr">
        <is>
          <t>=D11*3.6 [cached: 360.0]</t>
        </is>
      </c>
      <c r="H2192" s="2" t="inlineStr">
        <is>
          <t>S-B07 / M1-B04</t>
        </is>
      </c>
    </row>
    <row r="2193">
      <c r="A2193" s="2" t="inlineStr">
        <is>
          <t>L231</t>
        </is>
      </c>
      <c r="B2193" s="2" t="inlineStr">
        <is>
          <t>Pain au lait</t>
        </is>
      </c>
      <c r="C2193" s="2" t="inlineStr">
        <is>
          <t>S140</t>
        </is>
      </c>
      <c r="D2193" s="2" t="inlineStr">
        <is>
          <t>'Pain au lait'!C12,H12</t>
        </is>
      </c>
      <c r="E2193" s="2" t="inlineStr">
        <is>
          <t>yeast</t>
        </is>
      </c>
      <c r="F2193" s="3" t="n">
        <v>288</v>
      </c>
      <c r="G2193" s="2" t="inlineStr">
        <is>
          <t>=D12*3.6 [cached: 288.0]</t>
        </is>
      </c>
      <c r="H2193" s="2" t="inlineStr">
        <is>
          <t>S-B07 / M1-B04</t>
        </is>
      </c>
    </row>
    <row r="2194">
      <c r="A2194" s="2" t="inlineStr">
        <is>
          <t>L231</t>
        </is>
      </c>
      <c r="B2194" s="2" t="inlineStr">
        <is>
          <t>Pain au lait</t>
        </is>
      </c>
      <c r="C2194" s="2" t="inlineStr">
        <is>
          <t>S140</t>
        </is>
      </c>
      <c r="D2194" s="2" t="inlineStr">
        <is>
          <t>'Pain au lait'!C13,H13</t>
        </is>
      </c>
      <c r="E2194" s="2" t="inlineStr">
        <is>
          <t>Water</t>
        </is>
      </c>
      <c r="F2194" s="3" t="n">
        <v>16200</v>
      </c>
      <c r="G2194" s="2" t="inlineStr">
        <is>
          <t>=D13*3.6 [cached: 16200.0]</t>
        </is>
      </c>
      <c r="H2194" s="2" t="inlineStr">
        <is>
          <t>S-B07 / M1-B04</t>
        </is>
      </c>
    </row>
    <row r="2195">
      <c r="A2195" s="2" t="inlineStr">
        <is>
          <t>L231</t>
        </is>
      </c>
      <c r="B2195" s="2" t="inlineStr">
        <is>
          <t>Pain au lait</t>
        </is>
      </c>
      <c r="C2195" s="2" t="inlineStr">
        <is>
          <t>S140</t>
        </is>
      </c>
      <c r="D2195" s="2" t="inlineStr">
        <is>
          <t>'Pain au lait'!C15,H15</t>
        </is>
      </c>
      <c r="E2195" s="2" t="inlineStr">
        <is>
          <t>water</t>
        </is>
      </c>
      <c r="F2195" s="3" t="n">
        <v>18</v>
      </c>
      <c r="G2195" s="2" t="inlineStr">
        <is>
          <t>=D15*3.6 [cached: 18.0]</t>
        </is>
      </c>
      <c r="H2195" s="2" t="inlineStr">
        <is>
          <t>S-B07 / M1-B04</t>
        </is>
      </c>
    </row>
    <row r="2196">
      <c r="A2196" s="2" t="inlineStr">
        <is>
          <t>L231</t>
        </is>
      </c>
      <c r="B2196" s="2" t="inlineStr">
        <is>
          <t>Pain au lait</t>
        </is>
      </c>
      <c r="C2196" s="2" t="inlineStr">
        <is>
          <t>S140</t>
        </is>
      </c>
      <c r="D2196" s="2" t="inlineStr">
        <is>
          <t>'Pain au lait'!C16,H16</t>
        </is>
      </c>
      <c r="E2196" s="2" t="inlineStr">
        <is>
          <t>Oil</t>
        </is>
      </c>
      <c r="F2196" s="3" t="n">
        <v>90</v>
      </c>
      <c r="G2196" s="2" t="inlineStr">
        <is>
          <t>=D16*3.6 [cached: 90.0]</t>
        </is>
      </c>
      <c r="H2196" s="2" t="inlineStr">
        <is>
          <t>S-B07 / M1-B04</t>
        </is>
      </c>
    </row>
    <row r="2197">
      <c r="A2197" s="2" t="inlineStr">
        <is>
          <t>L231</t>
        </is>
      </c>
      <c r="B2197" s="2" t="inlineStr">
        <is>
          <t>Pain au lait</t>
        </is>
      </c>
      <c r="C2197" s="2" t="inlineStr">
        <is>
          <t>S140</t>
        </is>
      </c>
      <c r="D2197" s="2" t="inlineStr">
        <is>
          <t>'Pain au lait'!C17,H17</t>
        </is>
      </c>
      <c r="E2197" s="2" t="inlineStr">
        <is>
          <t>Milk tantalizer</t>
        </is>
      </c>
      <c r="F2197" s="3" t="n">
        <v>43.2</v>
      </c>
      <c r="G2197" s="2" t="inlineStr">
        <is>
          <t>=D17*3.6 [cached: 43.2]</t>
        </is>
      </c>
      <c r="H2197" s="2" t="inlineStr">
        <is>
          <t>S-B07 / M1-B04</t>
        </is>
      </c>
    </row>
    <row r="2198">
      <c r="A2198" s="2" t="inlineStr">
        <is>
          <t>L231</t>
        </is>
      </c>
      <c r="B2198" s="2" t="inlineStr">
        <is>
          <t>Pain au lait</t>
        </is>
      </c>
      <c r="C2198" s="2" t="inlineStr">
        <is>
          <t>S140</t>
        </is>
      </c>
      <c r="D2198" s="2" t="inlineStr">
        <is>
          <t>'Pain au lait'!C19,H19</t>
        </is>
      </c>
      <c r="E2198" s="2" t="inlineStr">
        <is>
          <t>Nutmeg</t>
        </is>
      </c>
      <c r="F2198" s="3" t="n">
        <v>55926</v>
      </c>
      <c r="G2198" s="2" t="inlineStr">
        <is>
          <t>=ROUNDUP(SUM(H5:H11),100) [cached: 55926.0]</t>
        </is>
      </c>
      <c r="H2198" s="2" t="inlineStr">
        <is>
          <t>S-B07 / M1-B04</t>
        </is>
      </c>
    </row>
    <row r="2199">
      <c r="A2199" s="2" t="inlineStr">
        <is>
          <t>L232</t>
        </is>
      </c>
      <c r="B2199" s="2" t="inlineStr">
        <is>
          <t>gateau new look</t>
        </is>
      </c>
      <c r="C2199" s="2" t="inlineStr">
        <is>
          <t>S140</t>
        </is>
      </c>
      <c r="D2199" s="2" t="inlineStr">
        <is>
          <t>'gateau new look'!C5,D5</t>
        </is>
      </c>
      <c r="E2199" s="2" t="inlineStr">
        <is>
          <t>flour</t>
        </is>
      </c>
      <c r="F2199" s="3" t="n">
        <v>25000</v>
      </c>
      <c r="G2199" s="2" t="inlineStr">
        <is>
          <t>25000.0</t>
        </is>
      </c>
      <c r="H2199" s="2" t="inlineStr">
        <is>
          <t>Retain unique variant; no equivalent operating card selected</t>
        </is>
      </c>
    </row>
    <row r="2200">
      <c r="A2200" s="2" t="inlineStr">
        <is>
          <t>L232</t>
        </is>
      </c>
      <c r="B2200" s="2" t="inlineStr">
        <is>
          <t>gateau new look</t>
        </is>
      </c>
      <c r="C2200" s="2" t="inlineStr">
        <is>
          <t>S140</t>
        </is>
      </c>
      <c r="D2200" s="2" t="inlineStr">
        <is>
          <t>'gateau new look'!C6,D6</t>
        </is>
      </c>
      <c r="E2200" s="2" t="inlineStr">
        <is>
          <t>Butter</t>
        </is>
      </c>
      <c r="F2200" s="3" t="n">
        <v>1300</v>
      </c>
      <c r="G2200" s="2" t="inlineStr">
        <is>
          <t>1300.0</t>
        </is>
      </c>
      <c r="H2200" s="2" t="inlineStr">
        <is>
          <t>Retain unique variant; no equivalent operating card selected</t>
        </is>
      </c>
    </row>
    <row r="2201">
      <c r="A2201" s="2" t="inlineStr">
        <is>
          <t>L232</t>
        </is>
      </c>
      <c r="B2201" s="2" t="inlineStr">
        <is>
          <t>gateau new look</t>
        </is>
      </c>
      <c r="C2201" s="2" t="inlineStr">
        <is>
          <t>S140</t>
        </is>
      </c>
      <c r="D2201" s="2" t="inlineStr">
        <is>
          <t>'gateau new look'!C7,D7</t>
        </is>
      </c>
      <c r="E2201" s="2" t="inlineStr">
        <is>
          <t>sugar</t>
        </is>
      </c>
      <c r="F2201" s="3" t="n">
        <v>1650</v>
      </c>
      <c r="G2201" s="2" t="inlineStr">
        <is>
          <t>1650.0</t>
        </is>
      </c>
      <c r="H2201" s="2" t="inlineStr">
        <is>
          <t>Retain unique variant; no equivalent operating card selected</t>
        </is>
      </c>
    </row>
    <row r="2202">
      <c r="A2202" s="2" t="inlineStr">
        <is>
          <t>L232</t>
        </is>
      </c>
      <c r="B2202" s="2" t="inlineStr">
        <is>
          <t>gateau new look</t>
        </is>
      </c>
      <c r="C2202" s="2" t="inlineStr">
        <is>
          <t>S140</t>
        </is>
      </c>
      <c r="D2202" s="2" t="inlineStr">
        <is>
          <t>'gateau new look'!C8,D8</t>
        </is>
      </c>
      <c r="E2202" s="2" t="inlineStr">
        <is>
          <t>Conc Milk</t>
        </is>
      </c>
      <c r="F2202" s="3" t="n">
        <v>950</v>
      </c>
      <c r="G2202" s="2" t="inlineStr">
        <is>
          <t>950.0</t>
        </is>
      </c>
      <c r="H2202" s="2" t="inlineStr">
        <is>
          <t>Retain unique variant; no equivalent operating card selected</t>
        </is>
      </c>
    </row>
    <row r="2203">
      <c r="A2203" s="2" t="inlineStr">
        <is>
          <t>L232</t>
        </is>
      </c>
      <c r="B2203" s="2" t="inlineStr">
        <is>
          <t>gateau new look</t>
        </is>
      </c>
      <c r="C2203" s="2" t="inlineStr">
        <is>
          <t>S140</t>
        </is>
      </c>
      <c r="D2203" s="2" t="inlineStr">
        <is>
          <t>'gateau new look'!C9,D9</t>
        </is>
      </c>
      <c r="E2203" s="2" t="inlineStr">
        <is>
          <t>egg</t>
        </is>
      </c>
      <c r="F2203" s="3" t="n">
        <v>750</v>
      </c>
      <c r="G2203" s="2" t="inlineStr">
        <is>
          <t>750.0</t>
        </is>
      </c>
      <c r="H2203" s="2" t="inlineStr">
        <is>
          <t>Retain unique variant; no equivalent operating card selected</t>
        </is>
      </c>
    </row>
    <row r="2204">
      <c r="A2204" s="2" t="inlineStr">
        <is>
          <t>L232</t>
        </is>
      </c>
      <c r="B2204" s="2" t="inlineStr">
        <is>
          <t>gateau new look</t>
        </is>
      </c>
      <c r="C2204" s="2" t="inlineStr">
        <is>
          <t>S140</t>
        </is>
      </c>
      <c r="D2204" s="2" t="inlineStr">
        <is>
          <t>'gateau new look'!C10,D10</t>
        </is>
      </c>
      <c r="E2204" s="2" t="inlineStr">
        <is>
          <t>salt</t>
        </is>
      </c>
      <c r="F2204" s="3" t="n">
        <v>270</v>
      </c>
      <c r="G2204" s="2" t="inlineStr">
        <is>
          <t>270.0</t>
        </is>
      </c>
      <c r="H2204" s="2" t="inlineStr">
        <is>
          <t>Retain unique variant; no equivalent operating card selected</t>
        </is>
      </c>
    </row>
    <row r="2205">
      <c r="A2205" s="2" t="inlineStr">
        <is>
          <t>L232</t>
        </is>
      </c>
      <c r="B2205" s="2" t="inlineStr">
        <is>
          <t>gateau new look</t>
        </is>
      </c>
      <c r="C2205" s="2" t="inlineStr">
        <is>
          <t>S140</t>
        </is>
      </c>
      <c r="D2205" s="2" t="inlineStr">
        <is>
          <t>'gateau new look'!C11,D11</t>
        </is>
      </c>
      <c r="E2205" s="2" t="inlineStr">
        <is>
          <t>improver</t>
        </is>
      </c>
      <c r="F2205" s="3" t="n">
        <v>100</v>
      </c>
      <c r="G2205" s="2" t="inlineStr">
        <is>
          <t>100.0</t>
        </is>
      </c>
      <c r="H2205" s="2" t="inlineStr">
        <is>
          <t>Retain unique variant; no equivalent operating card selected</t>
        </is>
      </c>
    </row>
    <row r="2206">
      <c r="A2206" s="2" t="inlineStr">
        <is>
          <t>L232</t>
        </is>
      </c>
      <c r="B2206" s="2" t="inlineStr">
        <is>
          <t>gateau new look</t>
        </is>
      </c>
      <c r="C2206" s="2" t="inlineStr">
        <is>
          <t>S140</t>
        </is>
      </c>
      <c r="D2206" s="2" t="inlineStr">
        <is>
          <t>'gateau new look'!C12,D12</t>
        </is>
      </c>
      <c r="E2206" s="2" t="inlineStr">
        <is>
          <t>yeast</t>
        </is>
      </c>
      <c r="F2206" s="3" t="n">
        <v>90</v>
      </c>
      <c r="G2206" s="2" t="inlineStr">
        <is>
          <t>90.0</t>
        </is>
      </c>
      <c r="H2206" s="2" t="inlineStr">
        <is>
          <t>Retain unique variant; no equivalent operating card selected</t>
        </is>
      </c>
    </row>
    <row r="2207">
      <c r="A2207" s="2" t="inlineStr">
        <is>
          <t>L232</t>
        </is>
      </c>
      <c r="B2207" s="2" t="inlineStr">
        <is>
          <t>gateau new look</t>
        </is>
      </c>
      <c r="C2207" s="2" t="inlineStr">
        <is>
          <t>S140</t>
        </is>
      </c>
      <c r="D2207" s="2" t="inlineStr">
        <is>
          <t>'gateau new look'!C13,D13</t>
        </is>
      </c>
      <c r="E2207" s="2" t="inlineStr">
        <is>
          <t>water</t>
        </is>
      </c>
      <c r="F2207" s="3" t="n">
        <v>10000</v>
      </c>
      <c r="G2207" s="2" t="inlineStr">
        <is>
          <t>10000.0</t>
        </is>
      </c>
      <c r="H2207" s="2" t="inlineStr">
        <is>
          <t>Retain unique variant; no equivalent operating card selected</t>
        </is>
      </c>
    </row>
    <row r="2208">
      <c r="A2208" s="2" t="inlineStr">
        <is>
          <t>L232</t>
        </is>
      </c>
      <c r="B2208" s="2" t="inlineStr">
        <is>
          <t>gateau new look</t>
        </is>
      </c>
      <c r="C2208" s="2" t="inlineStr">
        <is>
          <t>S140</t>
        </is>
      </c>
      <c r="D2208" s="2" t="inlineStr">
        <is>
          <t>'gateau new look'!C14,D14</t>
        </is>
      </c>
      <c r="E2208" s="2" t="inlineStr">
        <is>
          <t>Nutmeg</t>
        </is>
      </c>
      <c r="F2208" s="3" t="n">
        <v>40</v>
      </c>
      <c r="G2208" s="2" t="inlineStr">
        <is>
          <t>40.0</t>
        </is>
      </c>
      <c r="H2208" s="2" t="inlineStr">
        <is>
          <t>Retain unique variant; no equivalent operating card selected</t>
        </is>
      </c>
    </row>
    <row r="2209">
      <c r="A2209" s="2" t="inlineStr">
        <is>
          <t>L232</t>
        </is>
      </c>
      <c r="B2209" s="2" t="inlineStr">
        <is>
          <t>gateau new look</t>
        </is>
      </c>
      <c r="C2209" s="2" t="inlineStr">
        <is>
          <t>S140</t>
        </is>
      </c>
      <c r="D2209" s="2" t="inlineStr">
        <is>
          <t>'gateau new look'!C15,D15</t>
        </is>
      </c>
      <c r="E2209" s="2" t="inlineStr">
        <is>
          <t>baking powder</t>
        </is>
      </c>
      <c r="F2209" s="3" t="n">
        <v>90</v>
      </c>
      <c r="G2209" s="2" t="inlineStr">
        <is>
          <t>90.0</t>
        </is>
      </c>
      <c r="H2209" s="2" t="inlineStr">
        <is>
          <t>Retain unique variant; no equivalent operating card selected</t>
        </is>
      </c>
    </row>
    <row r="2210">
      <c r="A2210" s="2" t="inlineStr">
        <is>
          <t>L232</t>
        </is>
      </c>
      <c r="B2210" s="2" t="inlineStr">
        <is>
          <t>gateau new look</t>
        </is>
      </c>
      <c r="C2210" s="2" t="inlineStr">
        <is>
          <t>S140</t>
        </is>
      </c>
      <c r="D2210" s="2" t="inlineStr">
        <is>
          <t>'gateau new look'!C16,D16</t>
        </is>
      </c>
      <c r="E2210" s="2" t="inlineStr">
        <is>
          <t>frying oil</t>
        </is>
      </c>
      <c r="F2210" s="3" t="n">
        <v>10</v>
      </c>
      <c r="G2210" s="2" t="inlineStr">
        <is>
          <t>10.0</t>
        </is>
      </c>
      <c r="H2210" s="2" t="inlineStr">
        <is>
          <t>Retain unique variant; no equivalent operating card selected</t>
        </is>
      </c>
    </row>
    <row r="2211">
      <c r="A2211" s="2" t="inlineStr">
        <is>
          <t>L233</t>
        </is>
      </c>
      <c r="B2211" s="2" t="inlineStr">
        <is>
          <t>gateau new look</t>
        </is>
      </c>
      <c r="C2211" s="2" t="inlineStr">
        <is>
          <t>S140</t>
        </is>
      </c>
      <c r="D2211" s="2" t="inlineStr">
        <is>
          <t>'gateau new look'!C5,J5</t>
        </is>
      </c>
      <c r="E2211" s="2" t="inlineStr">
        <is>
          <t>flour</t>
        </is>
      </c>
      <c r="F2211" s="3" t="n">
        <v>20000</v>
      </c>
      <c r="G2211" s="2" t="inlineStr">
        <is>
          <t>20000.0</t>
        </is>
      </c>
      <c r="H2211" s="2" t="inlineStr">
        <is>
          <t>Retain unique variant; no equivalent operating card selected</t>
        </is>
      </c>
    </row>
    <row r="2212">
      <c r="A2212" s="2" t="inlineStr">
        <is>
          <t>L233</t>
        </is>
      </c>
      <c r="B2212" s="2" t="inlineStr">
        <is>
          <t>gateau new look</t>
        </is>
      </c>
      <c r="C2212" s="2" t="inlineStr">
        <is>
          <t>S140</t>
        </is>
      </c>
      <c r="D2212" s="2" t="inlineStr">
        <is>
          <t>'gateau new look'!C6,J6</t>
        </is>
      </c>
      <c r="E2212" s="2" t="inlineStr">
        <is>
          <t>Butter</t>
        </is>
      </c>
      <c r="F2212" s="3" t="n">
        <v>560</v>
      </c>
      <c r="G2212" s="2" t="inlineStr">
        <is>
          <t>560.0</t>
        </is>
      </c>
      <c r="H2212" s="2" t="inlineStr">
        <is>
          <t>Retain unique variant; no equivalent operating card selected</t>
        </is>
      </c>
    </row>
    <row r="2213">
      <c r="A2213" s="2" t="inlineStr">
        <is>
          <t>L233</t>
        </is>
      </c>
      <c r="B2213" s="2" t="inlineStr">
        <is>
          <t>gateau new look</t>
        </is>
      </c>
      <c r="C2213" s="2" t="inlineStr">
        <is>
          <t>S140</t>
        </is>
      </c>
      <c r="D2213" s="2" t="inlineStr">
        <is>
          <t>'gateau new look'!C7,J7</t>
        </is>
      </c>
      <c r="E2213" s="2" t="inlineStr">
        <is>
          <t>sugar</t>
        </is>
      </c>
      <c r="F2213" s="3" t="n">
        <v>800</v>
      </c>
      <c r="G2213" s="2" t="inlineStr">
        <is>
          <t>800.0</t>
        </is>
      </c>
      <c r="H2213" s="2" t="inlineStr">
        <is>
          <t>Retain unique variant; no equivalent operating card selected</t>
        </is>
      </c>
    </row>
    <row r="2214">
      <c r="A2214" s="2" t="inlineStr">
        <is>
          <t>L233</t>
        </is>
      </c>
      <c r="B2214" s="2" t="inlineStr">
        <is>
          <t>gateau new look</t>
        </is>
      </c>
      <c r="C2214" s="2" t="inlineStr">
        <is>
          <t>S140</t>
        </is>
      </c>
      <c r="D2214" s="2" t="inlineStr">
        <is>
          <t>'gateau new look'!C8,J8</t>
        </is>
      </c>
      <c r="E2214" s="2" t="inlineStr">
        <is>
          <t>Conc Milk</t>
        </is>
      </c>
      <c r="F2214" s="3" t="n">
        <v>500</v>
      </c>
      <c r="G2214" s="2" t="inlineStr">
        <is>
          <t>500.0</t>
        </is>
      </c>
      <c r="H2214" s="2" t="inlineStr">
        <is>
          <t>Retain unique variant; no equivalent operating card selected</t>
        </is>
      </c>
    </row>
    <row r="2215">
      <c r="A2215" s="2" t="inlineStr">
        <is>
          <t>L233</t>
        </is>
      </c>
      <c r="B2215" s="2" t="inlineStr">
        <is>
          <t>gateau new look</t>
        </is>
      </c>
      <c r="C2215" s="2" t="inlineStr">
        <is>
          <t>S140</t>
        </is>
      </c>
      <c r="D2215" s="2" t="inlineStr">
        <is>
          <t>'gateau new look'!C9,J9</t>
        </is>
      </c>
      <c r="E2215" s="2" t="inlineStr">
        <is>
          <t>egg</t>
        </is>
      </c>
      <c r="F2215" s="3" t="n">
        <v>144</v>
      </c>
      <c r="G2215" s="2" t="inlineStr">
        <is>
          <t>144.0</t>
        </is>
      </c>
      <c r="H2215" s="2" t="inlineStr">
        <is>
          <t>Retain unique variant; no equivalent operating card selected</t>
        </is>
      </c>
    </row>
    <row r="2216">
      <c r="A2216" s="2" t="inlineStr">
        <is>
          <t>L233</t>
        </is>
      </c>
      <c r="B2216" s="2" t="inlineStr">
        <is>
          <t>gateau new look</t>
        </is>
      </c>
      <c r="C2216" s="2" t="inlineStr">
        <is>
          <t>S140</t>
        </is>
      </c>
      <c r="D2216" s="2" t="inlineStr">
        <is>
          <t>'gateau new look'!C10,J10</t>
        </is>
      </c>
      <c r="E2216" s="2" t="inlineStr">
        <is>
          <t>salt</t>
        </is>
      </c>
      <c r="F2216" s="3" t="n">
        <v>166</v>
      </c>
      <c r="G2216" s="2" t="inlineStr">
        <is>
          <t>166.0</t>
        </is>
      </c>
      <c r="H2216" s="2" t="inlineStr">
        <is>
          <t>Retain unique variant; no equivalent operating card selected</t>
        </is>
      </c>
    </row>
    <row r="2217">
      <c r="A2217" s="2" t="inlineStr">
        <is>
          <t>L233</t>
        </is>
      </c>
      <c r="B2217" s="2" t="inlineStr">
        <is>
          <t>gateau new look</t>
        </is>
      </c>
      <c r="C2217" s="2" t="inlineStr">
        <is>
          <t>S140</t>
        </is>
      </c>
      <c r="D2217" s="2" t="inlineStr">
        <is>
          <t>'gateau new look'!C11,J11</t>
        </is>
      </c>
      <c r="E2217" s="2" t="inlineStr">
        <is>
          <t>improver</t>
        </is>
      </c>
      <c r="F2217" s="3" t="n">
        <v>100</v>
      </c>
      <c r="G2217" s="2" t="inlineStr">
        <is>
          <t>=D11 [cached: 100.0]</t>
        </is>
      </c>
      <c r="H2217" s="2" t="inlineStr">
        <is>
          <t>Retain unique variant; no equivalent operating card selected</t>
        </is>
      </c>
    </row>
    <row r="2218">
      <c r="A2218" s="2" t="inlineStr">
        <is>
          <t>L233</t>
        </is>
      </c>
      <c r="B2218" s="2" t="inlineStr">
        <is>
          <t>gateau new look</t>
        </is>
      </c>
      <c r="C2218" s="2" t="inlineStr">
        <is>
          <t>S140</t>
        </is>
      </c>
      <c r="D2218" s="2" t="inlineStr">
        <is>
          <t>'gateau new look'!C12,J12</t>
        </is>
      </c>
      <c r="E2218" s="2" t="inlineStr">
        <is>
          <t>yeast</t>
        </is>
      </c>
      <c r="F2218" s="3" t="n">
        <v>70</v>
      </c>
      <c r="G2218" s="2" t="inlineStr">
        <is>
          <t>70.0</t>
        </is>
      </c>
      <c r="H2218" s="2" t="inlineStr">
        <is>
          <t>Retain unique variant; no equivalent operating card selected</t>
        </is>
      </c>
    </row>
    <row r="2219">
      <c r="A2219" s="2" t="inlineStr">
        <is>
          <t>L233</t>
        </is>
      </c>
      <c r="B2219" s="2" t="inlineStr">
        <is>
          <t>gateau new look</t>
        </is>
      </c>
      <c r="C2219" s="2" t="inlineStr">
        <is>
          <t>S140</t>
        </is>
      </c>
      <c r="D2219" s="2" t="inlineStr">
        <is>
          <t>'gateau new look'!C13,J13</t>
        </is>
      </c>
      <c r="E2219" s="2" t="inlineStr">
        <is>
          <t>water</t>
        </is>
      </c>
      <c r="F2219" s="3" t="n">
        <v>7000</v>
      </c>
      <c r="G2219" s="2" t="inlineStr">
        <is>
          <t>7000.0</t>
        </is>
      </c>
      <c r="H2219" s="2" t="inlineStr">
        <is>
          <t>Retain unique variant; no equivalent operating card selected</t>
        </is>
      </c>
    </row>
    <row r="2220">
      <c r="A2220" s="2" t="inlineStr">
        <is>
          <t>L233</t>
        </is>
      </c>
      <c r="B2220" s="2" t="inlineStr">
        <is>
          <t>gateau new look</t>
        </is>
      </c>
      <c r="C2220" s="2" t="inlineStr">
        <is>
          <t>S140</t>
        </is>
      </c>
      <c r="D2220" s="2" t="inlineStr">
        <is>
          <t>'gateau new look'!C14,J14</t>
        </is>
      </c>
      <c r="E2220" s="2" t="inlineStr">
        <is>
          <t>Nutmeg</t>
        </is>
      </c>
      <c r="F2220" s="3" t="n">
        <v>40</v>
      </c>
      <c r="G2220" s="2" t="inlineStr">
        <is>
          <t>=D14 [cached: 40.0]</t>
        </is>
      </c>
      <c r="H2220" s="2" t="inlineStr">
        <is>
          <t>Retain unique variant; no equivalent operating card selected</t>
        </is>
      </c>
    </row>
    <row r="2221">
      <c r="A2221" s="2" t="inlineStr">
        <is>
          <t>L233</t>
        </is>
      </c>
      <c r="B2221" s="2" t="inlineStr">
        <is>
          <t>gateau new look</t>
        </is>
      </c>
      <c r="C2221" s="2" t="inlineStr">
        <is>
          <t>S140</t>
        </is>
      </c>
      <c r="D2221" s="2" t="inlineStr">
        <is>
          <t>'gateau new look'!C15,J15</t>
        </is>
      </c>
      <c r="E2221" s="2" t="inlineStr">
        <is>
          <t>baking powder</t>
        </is>
      </c>
      <c r="F2221" s="3" t="n">
        <v>20</v>
      </c>
      <c r="G2221" s="2" t="inlineStr">
        <is>
          <t>20.0</t>
        </is>
      </c>
      <c r="H2221" s="2" t="inlineStr">
        <is>
          <t>Retain unique variant; no equivalent operating card selected</t>
        </is>
      </c>
    </row>
    <row r="2222">
      <c r="A2222" s="2" t="inlineStr">
        <is>
          <t>L233</t>
        </is>
      </c>
      <c r="B2222" s="2" t="inlineStr">
        <is>
          <t>gateau new look</t>
        </is>
      </c>
      <c r="C2222" s="2" t="inlineStr">
        <is>
          <t>S140</t>
        </is>
      </c>
      <c r="D2222" s="2" t="inlineStr">
        <is>
          <t>'gateau new look'!C16,J16</t>
        </is>
      </c>
      <c r="E2222" s="2" t="inlineStr">
        <is>
          <t>frying oil</t>
        </is>
      </c>
      <c r="F2222" s="3" t="n">
        <v>10</v>
      </c>
      <c r="G2222" s="2" t="inlineStr">
        <is>
          <t>=D16 [cached: 10.0]</t>
        </is>
      </c>
      <c r="H2222" s="2" t="inlineStr">
        <is>
          <t>Retain unique variant; no equivalent operating card selected</t>
        </is>
      </c>
    </row>
    <row r="2223">
      <c r="A2223" s="2" t="inlineStr">
        <is>
          <t>L234</t>
        </is>
      </c>
      <c r="B2223" s="2" t="inlineStr">
        <is>
          <t>Best Chinchin</t>
        </is>
      </c>
      <c r="C2223" s="2" t="inlineStr">
        <is>
          <t>S141</t>
        </is>
      </c>
      <c r="D2223" s="2" t="inlineStr">
        <is>
          <t>'Best Chinchin'!C5,D5</t>
        </is>
      </c>
      <c r="E2223" s="2" t="inlineStr">
        <is>
          <t>flour</t>
        </is>
      </c>
      <c r="F2223" s="3" t="n">
        <v>25000</v>
      </c>
      <c r="G2223" s="2" t="inlineStr">
        <is>
          <t>25000.0</t>
        </is>
      </c>
      <c r="H2223" s="2" t="inlineStr">
        <is>
          <t>H10</t>
        </is>
      </c>
    </row>
    <row r="2224">
      <c r="A2224" s="2" t="inlineStr">
        <is>
          <t>L234</t>
        </is>
      </c>
      <c r="B2224" s="2" t="inlineStr">
        <is>
          <t>Best Chinchin</t>
        </is>
      </c>
      <c r="C2224" s="2" t="inlineStr">
        <is>
          <t>S141</t>
        </is>
      </c>
      <c r="D2224" s="2" t="inlineStr">
        <is>
          <t>'Best Chinchin'!C6,D6</t>
        </is>
      </c>
      <c r="E2224" s="2" t="inlineStr">
        <is>
          <t>baking powder</t>
        </is>
      </c>
      <c r="F2224" s="3" t="n">
        <v>500</v>
      </c>
      <c r="G2224" s="2" t="inlineStr">
        <is>
          <t>500.0</t>
        </is>
      </c>
      <c r="H2224" s="2" t="inlineStr">
        <is>
          <t>H10</t>
        </is>
      </c>
    </row>
    <row r="2225">
      <c r="A2225" s="2" t="inlineStr">
        <is>
          <t>L234</t>
        </is>
      </c>
      <c r="B2225" s="2" t="inlineStr">
        <is>
          <t>Best Chinchin</t>
        </is>
      </c>
      <c r="C2225" s="2" t="inlineStr">
        <is>
          <t>S141</t>
        </is>
      </c>
      <c r="D2225" s="2" t="inlineStr">
        <is>
          <t>'Best Chinchin'!C7,D7</t>
        </is>
      </c>
      <c r="E2225" s="2" t="inlineStr">
        <is>
          <t>nut meg</t>
        </is>
      </c>
      <c r="F2225" s="3" t="n">
        <v>50</v>
      </c>
      <c r="G2225" s="2" t="inlineStr">
        <is>
          <t>50.0</t>
        </is>
      </c>
      <c r="H2225" s="2" t="inlineStr">
        <is>
          <t>H10</t>
        </is>
      </c>
    </row>
    <row r="2226">
      <c r="A2226" s="2" t="inlineStr">
        <is>
          <t>L234</t>
        </is>
      </c>
      <c r="B2226" s="2" t="inlineStr">
        <is>
          <t>Best Chinchin</t>
        </is>
      </c>
      <c r="C2226" s="2" t="inlineStr">
        <is>
          <t>S141</t>
        </is>
      </c>
      <c r="D2226" s="2" t="inlineStr">
        <is>
          <t>'Best Chinchin'!C8,D8</t>
        </is>
      </c>
      <c r="E2226" s="2" t="inlineStr">
        <is>
          <t>sugar</t>
        </is>
      </c>
      <c r="F2226" s="3" t="n">
        <v>4500</v>
      </c>
      <c r="G2226" s="2" t="inlineStr">
        <is>
          <t>4500.0</t>
        </is>
      </c>
      <c r="H2226" s="2" t="inlineStr">
        <is>
          <t>H10</t>
        </is>
      </c>
    </row>
    <row r="2227">
      <c r="A2227" s="2" t="inlineStr">
        <is>
          <t>L234</t>
        </is>
      </c>
      <c r="B2227" s="2" t="inlineStr">
        <is>
          <t>Best Chinchin</t>
        </is>
      </c>
      <c r="C2227" s="2" t="inlineStr">
        <is>
          <t>S141</t>
        </is>
      </c>
      <c r="D2227" s="2" t="inlineStr">
        <is>
          <t>'Best Chinchin'!C9,D9</t>
        </is>
      </c>
      <c r="E2227" s="2" t="inlineStr">
        <is>
          <t>Butter</t>
        </is>
      </c>
      <c r="F2227" s="3" t="n">
        <v>4500</v>
      </c>
      <c r="G2227" s="2" t="inlineStr">
        <is>
          <t>4500.0</t>
        </is>
      </c>
      <c r="H2227" s="2" t="inlineStr">
        <is>
          <t>H10</t>
        </is>
      </c>
    </row>
    <row r="2228">
      <c r="A2228" s="2" t="inlineStr">
        <is>
          <t>L234</t>
        </is>
      </c>
      <c r="B2228" s="2" t="inlineStr">
        <is>
          <t>Best Chinchin</t>
        </is>
      </c>
      <c r="C2228" s="2" t="inlineStr">
        <is>
          <t>S141</t>
        </is>
      </c>
      <c r="D2228" s="2" t="inlineStr">
        <is>
          <t>'Best Chinchin'!C10,D10</t>
        </is>
      </c>
      <c r="E2228" s="2" t="inlineStr">
        <is>
          <t>egg</t>
        </is>
      </c>
      <c r="F2228" s="3" t="n">
        <v>8000</v>
      </c>
      <c r="G2228" s="2" t="inlineStr">
        <is>
          <t>8000.0</t>
        </is>
      </c>
      <c r="H2228" s="2" t="inlineStr">
        <is>
          <t>H10</t>
        </is>
      </c>
    </row>
    <row r="2229">
      <c r="A2229" s="2" t="inlineStr">
        <is>
          <t>L234</t>
        </is>
      </c>
      <c r="B2229" s="2" t="inlineStr">
        <is>
          <t>Best Chinchin</t>
        </is>
      </c>
      <c r="C2229" s="2" t="inlineStr">
        <is>
          <t>S141</t>
        </is>
      </c>
      <c r="D2229" s="2" t="inlineStr">
        <is>
          <t>'Best Chinchin'!C11,D11</t>
        </is>
      </c>
      <c r="E2229" s="2" t="inlineStr">
        <is>
          <t>salt</t>
        </is>
      </c>
      <c r="F2229" s="3" t="n">
        <v>150</v>
      </c>
      <c r="G2229" s="2" t="inlineStr">
        <is>
          <t>150.0</t>
        </is>
      </c>
      <c r="H2229" s="2" t="inlineStr">
        <is>
          <t>H10</t>
        </is>
      </c>
    </row>
    <row r="2230">
      <c r="A2230" s="2" t="inlineStr">
        <is>
          <t>L234</t>
        </is>
      </c>
      <c r="B2230" s="2" t="inlineStr">
        <is>
          <t>Best Chinchin</t>
        </is>
      </c>
      <c r="C2230" s="2" t="inlineStr">
        <is>
          <t>S141</t>
        </is>
      </c>
      <c r="D2230" s="2" t="inlineStr">
        <is>
          <t>'Best Chinchin'!C12,D12</t>
        </is>
      </c>
      <c r="E2230" s="2" t="inlineStr">
        <is>
          <t>Improver</t>
        </is>
      </c>
      <c r="F2230" s="3" t="n">
        <v>200</v>
      </c>
      <c r="G2230" s="2" t="inlineStr">
        <is>
          <t>200.0</t>
        </is>
      </c>
      <c r="H2230" s="2" t="inlineStr">
        <is>
          <t>H10</t>
        </is>
      </c>
    </row>
    <row r="2231">
      <c r="A2231" s="2" t="inlineStr">
        <is>
          <t>L234</t>
        </is>
      </c>
      <c r="B2231" s="2" t="inlineStr">
        <is>
          <t>Best Chinchin</t>
        </is>
      </c>
      <c r="C2231" s="2" t="inlineStr">
        <is>
          <t>S141</t>
        </is>
      </c>
      <c r="D2231" s="2" t="inlineStr">
        <is>
          <t>'Best Chinchin'!C13,D13</t>
        </is>
      </c>
      <c r="E2231" s="2" t="inlineStr">
        <is>
          <t>oil</t>
        </is>
      </c>
      <c r="F2231" s="3" t="n">
        <v>400</v>
      </c>
      <c r="G2231" s="2" t="inlineStr">
        <is>
          <t>400.0</t>
        </is>
      </c>
      <c r="H2231" s="2" t="inlineStr">
        <is>
          <t>H10</t>
        </is>
      </c>
    </row>
    <row r="2232">
      <c r="A2232" s="2" t="inlineStr">
        <is>
          <t>L235</t>
        </is>
      </c>
      <c r="B2232" s="2" t="inlineStr">
        <is>
          <t>Kouatchoua gato</t>
        </is>
      </c>
      <c r="C2232" s="2" t="inlineStr">
        <is>
          <t>S141</t>
        </is>
      </c>
      <c r="D2232" s="2" t="inlineStr">
        <is>
          <t>'Kouatchoua gato'!C5,D5</t>
        </is>
      </c>
      <c r="E2232" s="2" t="inlineStr">
        <is>
          <t>flour</t>
        </is>
      </c>
      <c r="F2232" s="3" t="n">
        <v>25000</v>
      </c>
      <c r="G2232" s="2" t="inlineStr">
        <is>
          <t>25000.0</t>
        </is>
      </c>
      <c r="H2232" s="2" t="inlineStr">
        <is>
          <t>Retain unique variant; no equivalent operating card selected</t>
        </is>
      </c>
    </row>
    <row r="2233">
      <c r="A2233" s="2" t="inlineStr">
        <is>
          <t>L235</t>
        </is>
      </c>
      <c r="B2233" s="2" t="inlineStr">
        <is>
          <t>Kouatchoua gato</t>
        </is>
      </c>
      <c r="C2233" s="2" t="inlineStr">
        <is>
          <t>S141</t>
        </is>
      </c>
      <c r="D2233" s="2" t="inlineStr">
        <is>
          <t>'Kouatchoua gato'!C6,D6</t>
        </is>
      </c>
      <c r="E2233" s="2" t="inlineStr">
        <is>
          <t>Butter</t>
        </is>
      </c>
      <c r="F2233" s="3" t="n">
        <v>1450</v>
      </c>
      <c r="G2233" s="2" t="inlineStr">
        <is>
          <t>1450.0</t>
        </is>
      </c>
      <c r="H2233" s="2" t="inlineStr">
        <is>
          <t>Retain unique variant; no equivalent operating card selected</t>
        </is>
      </c>
    </row>
    <row r="2234">
      <c r="A2234" s="2" t="inlineStr">
        <is>
          <t>L235</t>
        </is>
      </c>
      <c r="B2234" s="2" t="inlineStr">
        <is>
          <t>Kouatchoua gato</t>
        </is>
      </c>
      <c r="C2234" s="2" t="inlineStr">
        <is>
          <t>S141</t>
        </is>
      </c>
      <c r="D2234" s="2" t="inlineStr">
        <is>
          <t>'Kouatchoua gato'!C7,D7</t>
        </is>
      </c>
      <c r="E2234" s="2" t="inlineStr">
        <is>
          <t>sugar</t>
        </is>
      </c>
      <c r="F2234" s="3" t="n">
        <v>1650</v>
      </c>
      <c r="G2234" s="2" t="inlineStr">
        <is>
          <t>1650.0</t>
        </is>
      </c>
      <c r="H2234" s="2" t="inlineStr">
        <is>
          <t>Retain unique variant; no equivalent operating card selected</t>
        </is>
      </c>
    </row>
    <row r="2235">
      <c r="A2235" s="2" t="inlineStr">
        <is>
          <t>L235</t>
        </is>
      </c>
      <c r="B2235" s="2" t="inlineStr">
        <is>
          <t>Kouatchoua gato</t>
        </is>
      </c>
      <c r="C2235" s="2" t="inlineStr">
        <is>
          <t>S141</t>
        </is>
      </c>
      <c r="D2235" s="2" t="inlineStr">
        <is>
          <t>'Kouatchoua gato'!C8,D8</t>
        </is>
      </c>
      <c r="E2235" s="2" t="inlineStr">
        <is>
          <t>Conc Milk</t>
        </is>
      </c>
      <c r="F2235" s="3" t="n">
        <v>800</v>
      </c>
      <c r="G2235" s="2" t="inlineStr">
        <is>
          <t>800.0</t>
        </is>
      </c>
      <c r="H2235" s="2" t="inlineStr">
        <is>
          <t>Retain unique variant; no equivalent operating card selected</t>
        </is>
      </c>
    </row>
    <row r="2236">
      <c r="A2236" s="2" t="inlineStr">
        <is>
          <t>L235</t>
        </is>
      </c>
      <c r="B2236" s="2" t="inlineStr">
        <is>
          <t>Kouatchoua gato</t>
        </is>
      </c>
      <c r="C2236" s="2" t="inlineStr">
        <is>
          <t>S141</t>
        </is>
      </c>
      <c r="D2236" s="2" t="inlineStr">
        <is>
          <t>'Kouatchoua gato'!C9,D9</t>
        </is>
      </c>
      <c r="E2236" s="2" t="inlineStr">
        <is>
          <t>egg</t>
        </is>
      </c>
      <c r="F2236" s="3" t="n">
        <v>750</v>
      </c>
      <c r="G2236" s="2" t="inlineStr">
        <is>
          <t>750.0</t>
        </is>
      </c>
      <c r="H2236" s="2" t="inlineStr">
        <is>
          <t>Retain unique variant; no equivalent operating card selected</t>
        </is>
      </c>
    </row>
    <row r="2237">
      <c r="A2237" s="2" t="inlineStr">
        <is>
          <t>L235</t>
        </is>
      </c>
      <c r="B2237" s="2" t="inlineStr">
        <is>
          <t>Kouatchoua gato</t>
        </is>
      </c>
      <c r="C2237" s="2" t="inlineStr">
        <is>
          <t>S141</t>
        </is>
      </c>
      <c r="D2237" s="2" t="inlineStr">
        <is>
          <t>'Kouatchoua gato'!C10,D10</t>
        </is>
      </c>
      <c r="E2237" s="2" t="inlineStr">
        <is>
          <t>salt</t>
        </is>
      </c>
      <c r="F2237" s="3" t="n">
        <v>260</v>
      </c>
      <c r="G2237" s="2" t="inlineStr">
        <is>
          <t>260.0</t>
        </is>
      </c>
      <c r="H2237" s="2" t="inlineStr">
        <is>
          <t>Retain unique variant; no equivalent operating card selected</t>
        </is>
      </c>
    </row>
    <row r="2238">
      <c r="A2238" s="2" t="inlineStr">
        <is>
          <t>L235</t>
        </is>
      </c>
      <c r="B2238" s="2" t="inlineStr">
        <is>
          <t>Kouatchoua gato</t>
        </is>
      </c>
      <c r="C2238" s="2" t="inlineStr">
        <is>
          <t>S141</t>
        </is>
      </c>
      <c r="D2238" s="2" t="inlineStr">
        <is>
          <t>'Kouatchoua gato'!C11,D11</t>
        </is>
      </c>
      <c r="E2238" s="2" t="inlineStr">
        <is>
          <t>improver</t>
        </is>
      </c>
      <c r="F2238" s="3" t="n">
        <v>150</v>
      </c>
      <c r="G2238" s="2" t="inlineStr">
        <is>
          <t>150.0</t>
        </is>
      </c>
      <c r="H2238" s="2" t="inlineStr">
        <is>
          <t>Retain unique variant; no equivalent operating card selected</t>
        </is>
      </c>
    </row>
    <row r="2239">
      <c r="A2239" s="2" t="inlineStr">
        <is>
          <t>L235</t>
        </is>
      </c>
      <c r="B2239" s="2" t="inlineStr">
        <is>
          <t>Kouatchoua gato</t>
        </is>
      </c>
      <c r="C2239" s="2" t="inlineStr">
        <is>
          <t>S141</t>
        </is>
      </c>
      <c r="D2239" s="2" t="inlineStr">
        <is>
          <t>'Kouatchoua gato'!C12,D12</t>
        </is>
      </c>
      <c r="E2239" s="2" t="inlineStr">
        <is>
          <t>yeast</t>
        </is>
      </c>
      <c r="F2239" s="3" t="n">
        <v>160</v>
      </c>
      <c r="G2239" s="2" t="inlineStr">
        <is>
          <t>160.0</t>
        </is>
      </c>
      <c r="H2239" s="2" t="inlineStr">
        <is>
          <t>Retain unique variant; no equivalent operating card selected</t>
        </is>
      </c>
    </row>
    <row r="2240">
      <c r="A2240" s="2" t="inlineStr">
        <is>
          <t>L235</t>
        </is>
      </c>
      <c r="B2240" s="2" t="inlineStr">
        <is>
          <t>Kouatchoua gato</t>
        </is>
      </c>
      <c r="C2240" s="2" t="inlineStr">
        <is>
          <t>S141</t>
        </is>
      </c>
      <c r="D2240" s="2" t="inlineStr">
        <is>
          <t>'Kouatchoua gato'!C13,D13</t>
        </is>
      </c>
      <c r="E2240" s="2" t="inlineStr">
        <is>
          <t>water</t>
        </is>
      </c>
      <c r="F2240" s="3" t="n">
        <v>9000</v>
      </c>
      <c r="G2240" s="2" t="inlineStr">
        <is>
          <t>9000.0</t>
        </is>
      </c>
      <c r="H2240" s="2" t="inlineStr">
        <is>
          <t>Retain unique variant; no equivalent operating card selected</t>
        </is>
      </c>
    </row>
    <row r="2241">
      <c r="A2241" s="2" t="inlineStr">
        <is>
          <t>L235</t>
        </is>
      </c>
      <c r="B2241" s="2" t="inlineStr">
        <is>
          <t>Kouatchoua gato</t>
        </is>
      </c>
      <c r="C2241" s="2" t="inlineStr">
        <is>
          <t>S141</t>
        </is>
      </c>
      <c r="D2241" s="2" t="inlineStr">
        <is>
          <t>'Kouatchoua gato'!C14,D14</t>
        </is>
      </c>
      <c r="E2241" s="2" t="inlineStr">
        <is>
          <t>Nutmeg</t>
        </is>
      </c>
      <c r="F2241" s="3" t="n">
        <v>40</v>
      </c>
      <c r="G2241" s="2" t="inlineStr">
        <is>
          <t>40.0</t>
        </is>
      </c>
      <c r="H2241" s="2" t="inlineStr">
        <is>
          <t>Retain unique variant; no equivalent operating card selected</t>
        </is>
      </c>
    </row>
    <row r="2242">
      <c r="A2242" s="2" t="inlineStr">
        <is>
          <t>L235</t>
        </is>
      </c>
      <c r="B2242" s="2" t="inlineStr">
        <is>
          <t>Kouatchoua gato</t>
        </is>
      </c>
      <c r="C2242" s="2" t="inlineStr">
        <is>
          <t>S141</t>
        </is>
      </c>
      <c r="D2242" s="2" t="inlineStr">
        <is>
          <t>'Kouatchoua gato'!C15,D15</t>
        </is>
      </c>
      <c r="E2242" s="2" t="inlineStr">
        <is>
          <t>baking powder</t>
        </is>
      </c>
      <c r="F2242" s="3" t="n">
        <v>160</v>
      </c>
      <c r="G2242" s="2" t="inlineStr">
        <is>
          <t>160.0</t>
        </is>
      </c>
      <c r="H2242" s="2" t="inlineStr">
        <is>
          <t>Retain unique variant; no equivalent operating card selected</t>
        </is>
      </c>
    </row>
    <row r="2243">
      <c r="A2243" s="2" t="inlineStr">
        <is>
          <t>L235</t>
        </is>
      </c>
      <c r="B2243" s="2" t="inlineStr">
        <is>
          <t>Kouatchoua gato</t>
        </is>
      </c>
      <c r="C2243" s="2" t="inlineStr">
        <is>
          <t>S141</t>
        </is>
      </c>
      <c r="D2243" s="2" t="inlineStr">
        <is>
          <t>'Kouatchoua gato'!C16,D16</t>
        </is>
      </c>
      <c r="E2243" s="2" t="inlineStr">
        <is>
          <t>frying oil</t>
        </is>
      </c>
      <c r="F2243" s="3" t="n">
        <v>8000</v>
      </c>
      <c r="G2243" s="2" t="inlineStr">
        <is>
          <t>8000.0</t>
        </is>
      </c>
      <c r="H2243" s="2" t="inlineStr">
        <is>
          <t>Retain unique variant; no equivalent operating card selected</t>
        </is>
      </c>
    </row>
    <row r="2244">
      <c r="A2244" s="2" t="inlineStr">
        <is>
          <t>L236</t>
        </is>
      </c>
      <c r="B2244" s="2" t="inlineStr">
        <is>
          <t>NEW BRIOCHE</t>
        </is>
      </c>
      <c r="C2244" s="2" t="inlineStr">
        <is>
          <t>S141</t>
        </is>
      </c>
      <c r="D2244" s="2" t="inlineStr">
        <is>
          <t>'NEW BRIOCHE'!C5,D5</t>
        </is>
      </c>
      <c r="E2244" s="2" t="inlineStr">
        <is>
          <t>flour</t>
        </is>
      </c>
      <c r="F2244" s="3" t="n">
        <v>5000</v>
      </c>
      <c r="G2244" s="2" t="inlineStr">
        <is>
          <t>5000.0</t>
        </is>
      </c>
      <c r="H2244" s="2" t="inlineStr">
        <is>
          <t>S-B06; richer true-butter variant</t>
        </is>
      </c>
    </row>
    <row r="2245">
      <c r="A2245" s="2" t="inlineStr">
        <is>
          <t>L236</t>
        </is>
      </c>
      <c r="B2245" s="2" t="inlineStr">
        <is>
          <t>NEW BRIOCHE</t>
        </is>
      </c>
      <c r="C2245" s="2" t="inlineStr">
        <is>
          <t>S141</t>
        </is>
      </c>
      <c r="D2245" s="2" t="inlineStr">
        <is>
          <t>'NEW BRIOCHE'!C6,D6</t>
        </is>
      </c>
      <c r="E2245" s="2" t="inlineStr">
        <is>
          <t>Butter</t>
        </is>
      </c>
      <c r="F2245" s="3" t="n">
        <v>2500</v>
      </c>
      <c r="G2245" s="2" t="inlineStr">
        <is>
          <t>2500.0</t>
        </is>
      </c>
      <c r="H2245" s="2" t="inlineStr">
        <is>
          <t>S-B06; richer true-butter variant</t>
        </is>
      </c>
    </row>
    <row r="2246">
      <c r="A2246" s="2" t="inlineStr">
        <is>
          <t>L236</t>
        </is>
      </c>
      <c r="B2246" s="2" t="inlineStr">
        <is>
          <t>NEW BRIOCHE</t>
        </is>
      </c>
      <c r="C2246" s="2" t="inlineStr">
        <is>
          <t>S141</t>
        </is>
      </c>
      <c r="D2246" s="2" t="inlineStr">
        <is>
          <t>'NEW BRIOCHE'!C7,D7</t>
        </is>
      </c>
      <c r="E2246" s="2" t="inlineStr">
        <is>
          <t>sugar</t>
        </is>
      </c>
      <c r="F2246" s="3" t="n">
        <v>1000</v>
      </c>
      <c r="G2246" s="2" t="inlineStr">
        <is>
          <t>1000.0</t>
        </is>
      </c>
      <c r="H2246" s="2" t="inlineStr">
        <is>
          <t>S-B06; richer true-butter variant</t>
        </is>
      </c>
    </row>
    <row r="2247">
      <c r="A2247" s="2" t="inlineStr">
        <is>
          <t>L236</t>
        </is>
      </c>
      <c r="B2247" s="2" t="inlineStr">
        <is>
          <t>NEW BRIOCHE</t>
        </is>
      </c>
      <c r="C2247" s="2" t="inlineStr">
        <is>
          <t>S141</t>
        </is>
      </c>
      <c r="D2247" s="2" t="inlineStr">
        <is>
          <t>'NEW BRIOCHE'!C8,D8</t>
        </is>
      </c>
      <c r="E2247" s="2" t="inlineStr">
        <is>
          <t>Milk</t>
        </is>
      </c>
      <c r="F2247" s="3" t="n">
        <v>500</v>
      </c>
      <c r="G2247" s="2" t="inlineStr">
        <is>
          <t>500.0</t>
        </is>
      </c>
      <c r="H2247" s="2" t="inlineStr">
        <is>
          <t>S-B06; richer true-butter variant</t>
        </is>
      </c>
    </row>
    <row r="2248">
      <c r="A2248" s="2" t="inlineStr">
        <is>
          <t>L236</t>
        </is>
      </c>
      <c r="B2248" s="2" t="inlineStr">
        <is>
          <t>NEW BRIOCHE</t>
        </is>
      </c>
      <c r="C2248" s="2" t="inlineStr">
        <is>
          <t>S141</t>
        </is>
      </c>
      <c r="D2248" s="2" t="inlineStr">
        <is>
          <t>'NEW BRIOCHE'!C9,D9</t>
        </is>
      </c>
      <c r="E2248" s="2" t="inlineStr">
        <is>
          <t>egg</t>
        </is>
      </c>
      <c r="F2248" s="3" t="n">
        <v>500</v>
      </c>
      <c r="G2248" s="2" t="inlineStr">
        <is>
          <t>500.0</t>
        </is>
      </c>
      <c r="H2248" s="2" t="inlineStr">
        <is>
          <t>S-B06; richer true-butter variant</t>
        </is>
      </c>
    </row>
    <row r="2249">
      <c r="A2249" s="2" t="inlineStr">
        <is>
          <t>L236</t>
        </is>
      </c>
      <c r="B2249" s="2" t="inlineStr">
        <is>
          <t>NEW BRIOCHE</t>
        </is>
      </c>
      <c r="C2249" s="2" t="inlineStr">
        <is>
          <t>S141</t>
        </is>
      </c>
      <c r="D2249" s="2" t="inlineStr">
        <is>
          <t>'NEW BRIOCHE'!C10,D10</t>
        </is>
      </c>
      <c r="E2249" s="2" t="inlineStr">
        <is>
          <t>salt</t>
        </is>
      </c>
      <c r="F2249" s="3" t="n">
        <v>80</v>
      </c>
      <c r="G2249" s="2" t="inlineStr">
        <is>
          <t>80.0</t>
        </is>
      </c>
      <c r="H2249" s="2" t="inlineStr">
        <is>
          <t>S-B06; richer true-butter variant</t>
        </is>
      </c>
    </row>
    <row r="2250">
      <c r="A2250" s="2" t="inlineStr">
        <is>
          <t>L236</t>
        </is>
      </c>
      <c r="B2250" s="2" t="inlineStr">
        <is>
          <t>NEW BRIOCHE</t>
        </is>
      </c>
      <c r="C2250" s="2" t="inlineStr">
        <is>
          <t>S141</t>
        </is>
      </c>
      <c r="D2250" s="2" t="inlineStr">
        <is>
          <t>'NEW BRIOCHE'!C11,D11</t>
        </is>
      </c>
      <c r="E2250" s="2" t="inlineStr">
        <is>
          <t>improver</t>
        </is>
      </c>
      <c r="F2250" s="3" t="n">
        <v>60</v>
      </c>
      <c r="G2250" s="2" t="inlineStr">
        <is>
          <t>60.0</t>
        </is>
      </c>
      <c r="H2250" s="2" t="inlineStr">
        <is>
          <t>S-B06; richer true-butter variant</t>
        </is>
      </c>
    </row>
    <row r="2251">
      <c r="A2251" s="2" t="inlineStr">
        <is>
          <t>L236</t>
        </is>
      </c>
      <c r="B2251" s="2" t="inlineStr">
        <is>
          <t>NEW BRIOCHE</t>
        </is>
      </c>
      <c r="C2251" s="2" t="inlineStr">
        <is>
          <t>S141</t>
        </is>
      </c>
      <c r="D2251" s="2" t="inlineStr">
        <is>
          <t>'NEW BRIOCHE'!C12,D12</t>
        </is>
      </c>
      <c r="E2251" s="2" t="inlineStr">
        <is>
          <t>yeast</t>
        </is>
      </c>
      <c r="F2251" s="3" t="n">
        <v>140</v>
      </c>
      <c r="G2251" s="2" t="inlineStr">
        <is>
          <t>140.0</t>
        </is>
      </c>
      <c r="H2251" s="2" t="inlineStr">
        <is>
          <t>S-B06; richer true-butter variant</t>
        </is>
      </c>
    </row>
    <row r="2252">
      <c r="A2252" s="2" t="inlineStr">
        <is>
          <t>L236</t>
        </is>
      </c>
      <c r="B2252" s="2" t="inlineStr">
        <is>
          <t>NEW BRIOCHE</t>
        </is>
      </c>
      <c r="C2252" s="2" t="inlineStr">
        <is>
          <t>S141</t>
        </is>
      </c>
      <c r="D2252" s="2" t="inlineStr">
        <is>
          <t>'NEW BRIOCHE'!C13,D13</t>
        </is>
      </c>
      <c r="E2252" s="2" t="inlineStr">
        <is>
          <t>water</t>
        </is>
      </c>
      <c r="F2252" s="3" t="n">
        <v>1000</v>
      </c>
      <c r="G2252" s="2" t="inlineStr">
        <is>
          <t>1000.0</t>
        </is>
      </c>
      <c r="H2252" s="2" t="inlineStr">
        <is>
          <t>S-B06; richer true-butter variant</t>
        </is>
      </c>
    </row>
    <row r="2253">
      <c r="A2253" s="2" t="inlineStr">
        <is>
          <t>L236</t>
        </is>
      </c>
      <c r="B2253" s="2" t="inlineStr">
        <is>
          <t>NEW BRIOCHE</t>
        </is>
      </c>
      <c r="C2253" s="2" t="inlineStr">
        <is>
          <t>S141</t>
        </is>
      </c>
      <c r="D2253" s="2" t="inlineStr">
        <is>
          <t>'NEW BRIOCHE'!C14,D14</t>
        </is>
      </c>
      <c r="E2253" s="2" t="inlineStr">
        <is>
          <t>Milk tantalizer</t>
        </is>
      </c>
      <c r="F2253" s="3" t="n">
        <v>8</v>
      </c>
      <c r="G2253" s="2" t="inlineStr">
        <is>
          <t>8.0</t>
        </is>
      </c>
      <c r="H2253" s="2" t="inlineStr">
        <is>
          <t>S-B06; richer true-butter variant</t>
        </is>
      </c>
    </row>
    <row r="2254">
      <c r="A2254" s="2" t="inlineStr">
        <is>
          <t>L236</t>
        </is>
      </c>
      <c r="B2254" s="2" t="inlineStr">
        <is>
          <t>NEW BRIOCHE</t>
        </is>
      </c>
      <c r="C2254" s="2" t="inlineStr">
        <is>
          <t>S141</t>
        </is>
      </c>
      <c r="D2254" s="2" t="inlineStr">
        <is>
          <t>'NEW BRIOCHE'!C15,D15</t>
        </is>
      </c>
      <c r="E2254" s="2" t="inlineStr">
        <is>
          <t>EDC</t>
        </is>
      </c>
      <c r="F2254" s="3" t="n">
        <v>25</v>
      </c>
      <c r="G2254" s="2" t="inlineStr">
        <is>
          <t>25.0</t>
        </is>
      </c>
      <c r="H2254" s="2" t="inlineStr">
        <is>
          <t>S-B06; richer true-butter variant</t>
        </is>
      </c>
    </row>
    <row r="2255">
      <c r="A2255" s="2" t="inlineStr">
        <is>
          <t>L236</t>
        </is>
      </c>
      <c r="B2255" s="2" t="inlineStr">
        <is>
          <t>NEW BRIOCHE</t>
        </is>
      </c>
      <c r="C2255" s="2" t="inlineStr">
        <is>
          <t>S141</t>
        </is>
      </c>
      <c r="D2255" s="2" t="inlineStr">
        <is>
          <t>'NEW BRIOCHE'!C16,D16</t>
        </is>
      </c>
      <c r="E2255" s="2" t="inlineStr">
        <is>
          <t>Nutmeg</t>
        </is>
      </c>
      <c r="F2255" s="3" t="n">
        <v>15</v>
      </c>
      <c r="G2255" s="2" t="inlineStr">
        <is>
          <t>15.0</t>
        </is>
      </c>
      <c r="H2255" s="2" t="inlineStr">
        <is>
          <t>S-B06; richer true-butter variant</t>
        </is>
      </c>
    </row>
    <row r="2256">
      <c r="A2256" s="2" t="inlineStr">
        <is>
          <t>L237</t>
        </is>
      </c>
      <c r="B2256" s="2" t="inlineStr">
        <is>
          <t>Sugar Balls</t>
        </is>
      </c>
      <c r="C2256" s="2" t="inlineStr">
        <is>
          <t>S141</t>
        </is>
      </c>
      <c r="D2256" s="2" t="inlineStr">
        <is>
          <t>'Sugar Balls'!C5,D5</t>
        </is>
      </c>
      <c r="E2256" s="2" t="inlineStr">
        <is>
          <t>flour</t>
        </is>
      </c>
      <c r="F2256" s="3" t="n">
        <v>5000</v>
      </c>
      <c r="G2256" s="2" t="inlineStr">
        <is>
          <t>5000.0</t>
        </is>
      </c>
      <c r="H2256" s="2" t="inlineStr">
        <is>
          <t>Retain unique variant; no equivalent operating card selected</t>
        </is>
      </c>
    </row>
    <row r="2257">
      <c r="A2257" s="2" t="inlineStr">
        <is>
          <t>L237</t>
        </is>
      </c>
      <c r="B2257" s="2" t="inlineStr">
        <is>
          <t>Sugar Balls</t>
        </is>
      </c>
      <c r="C2257" s="2" t="inlineStr">
        <is>
          <t>S141</t>
        </is>
      </c>
      <c r="D2257" s="2" t="inlineStr">
        <is>
          <t>'Sugar Balls'!C6,D6</t>
        </is>
      </c>
      <c r="E2257" s="2" t="inlineStr">
        <is>
          <t>baking powder</t>
        </is>
      </c>
      <c r="F2257" s="3" t="n">
        <v>50</v>
      </c>
      <c r="G2257" s="2" t="inlineStr">
        <is>
          <t>50.0</t>
        </is>
      </c>
      <c r="H2257" s="2" t="inlineStr">
        <is>
          <t>Retain unique variant; no equivalent operating card selected</t>
        </is>
      </c>
    </row>
    <row r="2258">
      <c r="A2258" s="2" t="inlineStr">
        <is>
          <t>L237</t>
        </is>
      </c>
      <c r="B2258" s="2" t="inlineStr">
        <is>
          <t>Sugar Balls</t>
        </is>
      </c>
      <c r="C2258" s="2" t="inlineStr">
        <is>
          <t>S141</t>
        </is>
      </c>
      <c r="D2258" s="2" t="inlineStr">
        <is>
          <t>'Sugar Balls'!C7,D7</t>
        </is>
      </c>
      <c r="E2258" s="2" t="inlineStr">
        <is>
          <t>sugar</t>
        </is>
      </c>
      <c r="F2258" s="3" t="n">
        <v>500</v>
      </c>
      <c r="G2258" s="2" t="inlineStr">
        <is>
          <t>500.0</t>
        </is>
      </c>
      <c r="H2258" s="2" t="inlineStr">
        <is>
          <t>Retain unique variant; no equivalent operating card selected</t>
        </is>
      </c>
    </row>
    <row r="2259">
      <c r="A2259" s="2" t="inlineStr">
        <is>
          <t>L237</t>
        </is>
      </c>
      <c r="B2259" s="2" t="inlineStr">
        <is>
          <t>Sugar Balls</t>
        </is>
      </c>
      <c r="C2259" s="2" t="inlineStr">
        <is>
          <t>S141</t>
        </is>
      </c>
      <c r="D2259" s="2" t="inlineStr">
        <is>
          <t>'Sugar Balls'!C8,D8</t>
        </is>
      </c>
      <c r="E2259" s="2" t="inlineStr">
        <is>
          <t>Butter</t>
        </is>
      </c>
      <c r="F2259" s="3" t="n">
        <v>500</v>
      </c>
      <c r="G2259" s="2" t="inlineStr">
        <is>
          <t>500.0</t>
        </is>
      </c>
      <c r="H2259" s="2" t="inlineStr">
        <is>
          <t>Retain unique variant; no equivalent operating card selected</t>
        </is>
      </c>
    </row>
    <row r="2260">
      <c r="A2260" s="2" t="inlineStr">
        <is>
          <t>L237</t>
        </is>
      </c>
      <c r="B2260" s="2" t="inlineStr">
        <is>
          <t>Sugar Balls</t>
        </is>
      </c>
      <c r="C2260" s="2" t="inlineStr">
        <is>
          <t>S141</t>
        </is>
      </c>
      <c r="D2260" s="2" t="inlineStr">
        <is>
          <t>'Sugar Balls'!C9,D9</t>
        </is>
      </c>
      <c r="E2260" s="2" t="inlineStr">
        <is>
          <t>salt</t>
        </is>
      </c>
      <c r="F2260" s="3" t="n">
        <v>70</v>
      </c>
      <c r="G2260" s="2" t="inlineStr">
        <is>
          <t>70.0</t>
        </is>
      </c>
      <c r="H2260" s="2" t="inlineStr">
        <is>
          <t>Retain unique variant; no equivalent operating card selected</t>
        </is>
      </c>
    </row>
    <row r="2261">
      <c r="A2261" s="2" t="inlineStr">
        <is>
          <t>L237</t>
        </is>
      </c>
      <c r="B2261" s="2" t="inlineStr">
        <is>
          <t>Sugar Balls</t>
        </is>
      </c>
      <c r="C2261" s="2" t="inlineStr">
        <is>
          <t>S141</t>
        </is>
      </c>
      <c r="D2261" s="2" t="inlineStr">
        <is>
          <t>'Sugar Balls'!C10,D10</t>
        </is>
      </c>
      <c r="E2261" s="2" t="inlineStr">
        <is>
          <t>Cold Water</t>
        </is>
      </c>
      <c r="F2261" s="3" t="n">
        <v>2000</v>
      </c>
      <c r="G2261" s="2" t="inlineStr">
        <is>
          <t>2000.0</t>
        </is>
      </c>
      <c r="H2261" s="2" t="inlineStr">
        <is>
          <t>Retain unique variant; no equivalent operating card selected</t>
        </is>
      </c>
    </row>
    <row r="2262">
      <c r="A2262" s="2" t="inlineStr">
        <is>
          <t>L237</t>
        </is>
      </c>
      <c r="B2262" s="2" t="inlineStr">
        <is>
          <t>Sugar Balls</t>
        </is>
      </c>
      <c r="C2262" s="2" t="inlineStr">
        <is>
          <t>S141</t>
        </is>
      </c>
      <c r="D2262" s="2" t="inlineStr">
        <is>
          <t>'Sugar Balls'!C11,D11</t>
        </is>
      </c>
      <c r="E2262" s="2" t="inlineStr">
        <is>
          <t>Improver</t>
        </is>
      </c>
      <c r="F2262" s="3" t="n">
        <v>100</v>
      </c>
      <c r="G2262" s="2" t="inlineStr">
        <is>
          <t>100.0</t>
        </is>
      </c>
      <c r="H2262" s="2" t="inlineStr">
        <is>
          <t>Retain unique variant; no equivalent operating card selected</t>
        </is>
      </c>
    </row>
    <row r="2263">
      <c r="A2263" s="2" t="inlineStr">
        <is>
          <t>L237</t>
        </is>
      </c>
      <c r="B2263" s="2" t="inlineStr">
        <is>
          <t>Sugar Balls</t>
        </is>
      </c>
      <c r="C2263" s="2" t="inlineStr">
        <is>
          <t>S141</t>
        </is>
      </c>
      <c r="D2263" s="2" t="inlineStr">
        <is>
          <t>'Sugar Balls'!C12,D12</t>
        </is>
      </c>
      <c r="E2263" s="2" t="inlineStr">
        <is>
          <t>yeast</t>
        </is>
      </c>
      <c r="F2263" s="3" t="n">
        <v>140</v>
      </c>
      <c r="G2263" s="2" t="inlineStr">
        <is>
          <t>140.0</t>
        </is>
      </c>
      <c r="H2263" s="2" t="inlineStr">
        <is>
          <t>Retain unique variant; no equivalent operating card selected</t>
        </is>
      </c>
    </row>
    <row r="2264">
      <c r="A2264" s="2" t="inlineStr">
        <is>
          <t>L238</t>
        </is>
      </c>
      <c r="B2264" s="2" t="inlineStr">
        <is>
          <t>Sugar Balls</t>
        </is>
      </c>
      <c r="C2264" s="2" t="inlineStr">
        <is>
          <t>S141</t>
        </is>
      </c>
      <c r="D2264" s="2" t="inlineStr">
        <is>
          <t>'Sugar Balls'!C5,H5</t>
        </is>
      </c>
      <c r="E2264" s="2" t="inlineStr">
        <is>
          <t>flour</t>
        </is>
      </c>
      <c r="F2264" s="3" t="n">
        <v>25000</v>
      </c>
      <c r="G2264" s="2" t="inlineStr">
        <is>
          <t>=D5*5 [cached: 25000.0]</t>
        </is>
      </c>
      <c r="H2264" s="2" t="inlineStr">
        <is>
          <t>Retain unique variant; no equivalent operating card selected</t>
        </is>
      </c>
    </row>
    <row r="2265">
      <c r="A2265" s="2" t="inlineStr">
        <is>
          <t>L238</t>
        </is>
      </c>
      <c r="B2265" s="2" t="inlineStr">
        <is>
          <t>Sugar Balls</t>
        </is>
      </c>
      <c r="C2265" s="2" t="inlineStr">
        <is>
          <t>S141</t>
        </is>
      </c>
      <c r="D2265" s="2" t="inlineStr">
        <is>
          <t>'Sugar Balls'!C6,H6</t>
        </is>
      </c>
      <c r="E2265" s="2" t="inlineStr">
        <is>
          <t>baking powder</t>
        </is>
      </c>
      <c r="F2265" s="3" t="n">
        <v>250</v>
      </c>
      <c r="G2265" s="2" t="inlineStr">
        <is>
          <t>=D6*5 [cached: 250.0]</t>
        </is>
      </c>
      <c r="H2265" s="2" t="inlineStr">
        <is>
          <t>Retain unique variant; no equivalent operating card selected</t>
        </is>
      </c>
    </row>
    <row r="2266">
      <c r="A2266" s="2" t="inlineStr">
        <is>
          <t>L238</t>
        </is>
      </c>
      <c r="B2266" s="2" t="inlineStr">
        <is>
          <t>Sugar Balls</t>
        </is>
      </c>
      <c r="C2266" s="2" t="inlineStr">
        <is>
          <t>S141</t>
        </is>
      </c>
      <c r="D2266" s="2" t="inlineStr">
        <is>
          <t>'Sugar Balls'!C7,H7</t>
        </is>
      </c>
      <c r="E2266" s="2" t="inlineStr">
        <is>
          <t>sugar</t>
        </is>
      </c>
      <c r="F2266" s="3" t="n">
        <v>2500</v>
      </c>
      <c r="G2266" s="2" t="inlineStr">
        <is>
          <t>=D7*5 [cached: 2500.0]</t>
        </is>
      </c>
      <c r="H2266" s="2" t="inlineStr">
        <is>
          <t>Retain unique variant; no equivalent operating card selected</t>
        </is>
      </c>
    </row>
    <row r="2267">
      <c r="A2267" s="2" t="inlineStr">
        <is>
          <t>L238</t>
        </is>
      </c>
      <c r="B2267" s="2" t="inlineStr">
        <is>
          <t>Sugar Balls</t>
        </is>
      </c>
      <c r="C2267" s="2" t="inlineStr">
        <is>
          <t>S141</t>
        </is>
      </c>
      <c r="D2267" s="2" t="inlineStr">
        <is>
          <t>'Sugar Balls'!C8,H8</t>
        </is>
      </c>
      <c r="E2267" s="2" t="inlineStr">
        <is>
          <t>Butter</t>
        </is>
      </c>
      <c r="F2267" s="3" t="n">
        <v>2500</v>
      </c>
      <c r="G2267" s="2" t="inlineStr">
        <is>
          <t>=D8*5 [cached: 2500.0]</t>
        </is>
      </c>
      <c r="H2267" s="2" t="inlineStr">
        <is>
          <t>Retain unique variant; no equivalent operating card selected</t>
        </is>
      </c>
    </row>
    <row r="2268">
      <c r="A2268" s="2" t="inlineStr">
        <is>
          <t>L238</t>
        </is>
      </c>
      <c r="B2268" s="2" t="inlineStr">
        <is>
          <t>Sugar Balls</t>
        </is>
      </c>
      <c r="C2268" s="2" t="inlineStr">
        <is>
          <t>S141</t>
        </is>
      </c>
      <c r="D2268" s="2" t="inlineStr">
        <is>
          <t>'Sugar Balls'!C9,H9</t>
        </is>
      </c>
      <c r="E2268" s="2" t="inlineStr">
        <is>
          <t>salt</t>
        </is>
      </c>
      <c r="F2268" s="3" t="n">
        <v>350</v>
      </c>
      <c r="G2268" s="2" t="inlineStr">
        <is>
          <t>=D9*5 [cached: 350.0]</t>
        </is>
      </c>
      <c r="H2268" s="2" t="inlineStr">
        <is>
          <t>Retain unique variant; no equivalent operating card selected</t>
        </is>
      </c>
    </row>
    <row r="2269">
      <c r="A2269" s="2" t="inlineStr">
        <is>
          <t>L238</t>
        </is>
      </c>
      <c r="B2269" s="2" t="inlineStr">
        <is>
          <t>Sugar Balls</t>
        </is>
      </c>
      <c r="C2269" s="2" t="inlineStr">
        <is>
          <t>S141</t>
        </is>
      </c>
      <c r="D2269" s="2" t="inlineStr">
        <is>
          <t>'Sugar Balls'!C10,H10</t>
        </is>
      </c>
      <c r="E2269" s="2" t="inlineStr">
        <is>
          <t>Cold Water</t>
        </is>
      </c>
      <c r="F2269" s="3" t="n">
        <v>10000</v>
      </c>
      <c r="G2269" s="2" t="inlineStr">
        <is>
          <t>=D10*5 [cached: 10000.0]</t>
        </is>
      </c>
      <c r="H2269" s="2" t="inlineStr">
        <is>
          <t>Retain unique variant; no equivalent operating card selected</t>
        </is>
      </c>
    </row>
    <row r="2270">
      <c r="A2270" s="2" t="inlineStr">
        <is>
          <t>L238</t>
        </is>
      </c>
      <c r="B2270" s="2" t="inlineStr">
        <is>
          <t>Sugar Balls</t>
        </is>
      </c>
      <c r="C2270" s="2" t="inlineStr">
        <is>
          <t>S141</t>
        </is>
      </c>
      <c r="D2270" s="2" t="inlineStr">
        <is>
          <t>'Sugar Balls'!C11,H11</t>
        </is>
      </c>
      <c r="E2270" s="2" t="inlineStr">
        <is>
          <t>Improver</t>
        </is>
      </c>
      <c r="F2270" s="3" t="n">
        <v>500</v>
      </c>
      <c r="G2270" s="2" t="inlineStr">
        <is>
          <t>=D11*5 [cached: 500.0]</t>
        </is>
      </c>
      <c r="H2270" s="2" t="inlineStr">
        <is>
          <t>Retain unique variant; no equivalent operating card selected</t>
        </is>
      </c>
    </row>
    <row r="2271">
      <c r="A2271" s="2" t="inlineStr">
        <is>
          <t>L238</t>
        </is>
      </c>
      <c r="B2271" s="2" t="inlineStr">
        <is>
          <t>Sugar Balls</t>
        </is>
      </c>
      <c r="C2271" s="2" t="inlineStr">
        <is>
          <t>S141</t>
        </is>
      </c>
      <c r="D2271" s="2" t="inlineStr">
        <is>
          <t>'Sugar Balls'!C12,H12</t>
        </is>
      </c>
      <c r="E2271" s="2" t="inlineStr">
        <is>
          <t>yeast</t>
        </is>
      </c>
      <c r="F2271" s="3" t="n">
        <v>233.8</v>
      </c>
      <c r="G2271" s="2" t="inlineStr">
        <is>
          <t>=D12*1.67 [cached: 233.79999999999998]</t>
        </is>
      </c>
      <c r="H2271" s="2" t="inlineStr">
        <is>
          <t>Retain unique variant; no equivalent operating card selected</t>
        </is>
      </c>
    </row>
    <row r="2272">
      <c r="A2272" s="2" t="inlineStr">
        <is>
          <t>L239</t>
        </is>
      </c>
      <c r="B2272" s="2" t="inlineStr">
        <is>
          <t>YUMMY BREAD</t>
        </is>
      </c>
      <c r="C2272" s="2" t="inlineStr">
        <is>
          <t>S141</t>
        </is>
      </c>
      <c r="D2272" s="2" t="inlineStr">
        <is>
          <t>'YUMMY BREAD'!C5,D5</t>
        </is>
      </c>
      <c r="E2272" s="2" t="inlineStr">
        <is>
          <t>flour</t>
        </is>
      </c>
      <c r="F2272" s="3" t="n">
        <v>9000</v>
      </c>
      <c r="G2272" s="2" t="inlineStr">
        <is>
          <t>9000.0</t>
        </is>
      </c>
      <c r="H2272" s="2" t="inlineStr">
        <is>
          <t>M1-B01–B13</t>
        </is>
      </c>
    </row>
    <row r="2273">
      <c r="A2273" s="2" t="inlineStr">
        <is>
          <t>L239</t>
        </is>
      </c>
      <c r="B2273" s="2" t="inlineStr">
        <is>
          <t>YUMMY BREAD</t>
        </is>
      </c>
      <c r="C2273" s="2" t="inlineStr">
        <is>
          <t>S141</t>
        </is>
      </c>
      <c r="D2273" s="2" t="inlineStr">
        <is>
          <t>'YUMMY BREAD'!C6,D6</t>
        </is>
      </c>
      <c r="E2273" s="2" t="inlineStr">
        <is>
          <t>Butter</t>
        </is>
      </c>
      <c r="F2273" s="3" t="n">
        <v>1000</v>
      </c>
      <c r="G2273" s="2" t="inlineStr">
        <is>
          <t>1000.0</t>
        </is>
      </c>
      <c r="H2273" s="2" t="inlineStr">
        <is>
          <t>M1-B01–B13</t>
        </is>
      </c>
    </row>
    <row r="2274">
      <c r="A2274" s="2" t="inlineStr">
        <is>
          <t>L239</t>
        </is>
      </c>
      <c r="B2274" s="2" t="inlineStr">
        <is>
          <t>YUMMY BREAD</t>
        </is>
      </c>
      <c r="C2274" s="2" t="inlineStr">
        <is>
          <t>S141</t>
        </is>
      </c>
      <c r="D2274" s="2" t="inlineStr">
        <is>
          <t>'YUMMY BREAD'!C7,D7</t>
        </is>
      </c>
      <c r="E2274" s="2" t="inlineStr">
        <is>
          <t>sugar</t>
        </is>
      </c>
      <c r="F2274" s="3" t="n">
        <v>900</v>
      </c>
      <c r="G2274" s="2" t="inlineStr">
        <is>
          <t>900.0</t>
        </is>
      </c>
      <c r="H2274" s="2" t="inlineStr">
        <is>
          <t>M1-B01–B13</t>
        </is>
      </c>
    </row>
    <row r="2275">
      <c r="A2275" s="2" t="inlineStr">
        <is>
          <t>L239</t>
        </is>
      </c>
      <c r="B2275" s="2" t="inlineStr">
        <is>
          <t>YUMMY BREAD</t>
        </is>
      </c>
      <c r="C2275" s="2" t="inlineStr">
        <is>
          <t>S141</t>
        </is>
      </c>
      <c r="D2275" s="2" t="inlineStr">
        <is>
          <t>'YUMMY BREAD'!C8,D8</t>
        </is>
      </c>
      <c r="E2275" s="2" t="inlineStr">
        <is>
          <t>Milk</t>
        </is>
      </c>
      <c r="F2275" s="3" t="n">
        <v>750</v>
      </c>
      <c r="G2275" s="2" t="inlineStr">
        <is>
          <t>750.0</t>
        </is>
      </c>
      <c r="H2275" s="2" t="inlineStr">
        <is>
          <t>M1-B01–B13</t>
        </is>
      </c>
    </row>
    <row r="2276">
      <c r="A2276" s="2" t="inlineStr">
        <is>
          <t>L239</t>
        </is>
      </c>
      <c r="B2276" s="2" t="inlineStr">
        <is>
          <t>YUMMY BREAD</t>
        </is>
      </c>
      <c r="C2276" s="2" t="inlineStr">
        <is>
          <t>S141</t>
        </is>
      </c>
      <c r="D2276" s="2" t="inlineStr">
        <is>
          <t>'YUMMY BREAD'!C9,D9</t>
        </is>
      </c>
      <c r="E2276" s="2" t="inlineStr">
        <is>
          <t>egg</t>
        </is>
      </c>
      <c r="F2276" s="3" t="n">
        <v>500</v>
      </c>
      <c r="G2276" s="2" t="inlineStr">
        <is>
          <t>500.0</t>
        </is>
      </c>
      <c r="H2276" s="2" t="inlineStr">
        <is>
          <t>M1-B01–B13</t>
        </is>
      </c>
    </row>
    <row r="2277">
      <c r="A2277" s="2" t="inlineStr">
        <is>
          <t>L239</t>
        </is>
      </c>
      <c r="B2277" s="2" t="inlineStr">
        <is>
          <t>YUMMY BREAD</t>
        </is>
      </c>
      <c r="C2277" s="2" t="inlineStr">
        <is>
          <t>S141</t>
        </is>
      </c>
      <c r="D2277" s="2" t="inlineStr">
        <is>
          <t>'YUMMY BREAD'!C10,D10</t>
        </is>
      </c>
      <c r="E2277" s="2" t="inlineStr">
        <is>
          <t>salt</t>
        </is>
      </c>
      <c r="F2277" s="3" t="n">
        <v>100</v>
      </c>
      <c r="G2277" s="2" t="inlineStr">
        <is>
          <t>100.0</t>
        </is>
      </c>
      <c r="H2277" s="2" t="inlineStr">
        <is>
          <t>M1-B01–B13</t>
        </is>
      </c>
    </row>
    <row r="2278">
      <c r="A2278" s="2" t="inlineStr">
        <is>
          <t>L239</t>
        </is>
      </c>
      <c r="B2278" s="2" t="inlineStr">
        <is>
          <t>YUMMY BREAD</t>
        </is>
      </c>
      <c r="C2278" s="2" t="inlineStr">
        <is>
          <t>S141</t>
        </is>
      </c>
      <c r="D2278" s="2" t="inlineStr">
        <is>
          <t>'YUMMY BREAD'!C11,D11</t>
        </is>
      </c>
      <c r="E2278" s="2" t="inlineStr">
        <is>
          <t>improver</t>
        </is>
      </c>
      <c r="F2278" s="3" t="n">
        <v>100</v>
      </c>
      <c r="G2278" s="2" t="inlineStr">
        <is>
          <t>100.0</t>
        </is>
      </c>
      <c r="H2278" s="2" t="inlineStr">
        <is>
          <t>M1-B01–B13</t>
        </is>
      </c>
    </row>
    <row r="2279">
      <c r="A2279" s="2" t="inlineStr">
        <is>
          <t>L239</t>
        </is>
      </c>
      <c r="B2279" s="2" t="inlineStr">
        <is>
          <t>YUMMY BREAD</t>
        </is>
      </c>
      <c r="C2279" s="2" t="inlineStr">
        <is>
          <t>S141</t>
        </is>
      </c>
      <c r="D2279" s="2" t="inlineStr">
        <is>
          <t>'YUMMY BREAD'!C12,D12</t>
        </is>
      </c>
      <c r="E2279" s="2" t="inlineStr">
        <is>
          <t>yeast</t>
        </is>
      </c>
      <c r="F2279" s="3" t="n">
        <v>140</v>
      </c>
      <c r="G2279" s="2" t="inlineStr">
        <is>
          <t>140.0</t>
        </is>
      </c>
      <c r="H2279" s="2" t="inlineStr">
        <is>
          <t>M1-B01–B13</t>
        </is>
      </c>
    </row>
    <row r="2280">
      <c r="A2280" s="2" t="inlineStr">
        <is>
          <t>L239</t>
        </is>
      </c>
      <c r="B2280" s="2" t="inlineStr">
        <is>
          <t>YUMMY BREAD</t>
        </is>
      </c>
      <c r="C2280" s="2" t="inlineStr">
        <is>
          <t>S141</t>
        </is>
      </c>
      <c r="D2280" s="2" t="inlineStr">
        <is>
          <t>'YUMMY BREAD'!C13,D13</t>
        </is>
      </c>
      <c r="E2280" s="2" t="inlineStr">
        <is>
          <t>water</t>
        </is>
      </c>
      <c r="F2280" s="3" t="n">
        <v>2500</v>
      </c>
      <c r="G2280" s="2" t="inlineStr">
        <is>
          <t>2500.0</t>
        </is>
      </c>
      <c r="H2280" s="2" t="inlineStr">
        <is>
          <t>M1-B01–B13</t>
        </is>
      </c>
    </row>
    <row r="2281">
      <c r="A2281" s="2" t="inlineStr">
        <is>
          <t>L239</t>
        </is>
      </c>
      <c r="B2281" s="2" t="inlineStr">
        <is>
          <t>YUMMY BREAD</t>
        </is>
      </c>
      <c r="C2281" s="2" t="inlineStr">
        <is>
          <t>S141</t>
        </is>
      </c>
      <c r="D2281" s="2" t="inlineStr">
        <is>
          <t>'YUMMY BREAD'!C14,D14</t>
        </is>
      </c>
      <c r="E2281" s="2" t="inlineStr">
        <is>
          <t>Oil</t>
        </is>
      </c>
      <c r="F2281" s="3" t="n">
        <v>220</v>
      </c>
      <c r="G2281" s="2" t="inlineStr">
        <is>
          <t>220.0</t>
        </is>
      </c>
      <c r="H2281" s="2" t="inlineStr">
        <is>
          <t>M1-B01–B13</t>
        </is>
      </c>
    </row>
    <row r="2282">
      <c r="A2282" s="2" t="inlineStr">
        <is>
          <t>L239</t>
        </is>
      </c>
      <c r="B2282" s="2" t="inlineStr">
        <is>
          <t>YUMMY BREAD</t>
        </is>
      </c>
      <c r="C2282" s="2" t="inlineStr">
        <is>
          <t>S141</t>
        </is>
      </c>
      <c r="D2282" s="2" t="inlineStr">
        <is>
          <t>'YUMMY BREAD'!C15,D15</t>
        </is>
      </c>
      <c r="E2282" s="2" t="inlineStr">
        <is>
          <t>Milk tantalizer</t>
        </is>
      </c>
      <c r="F2282" s="3" t="n">
        <v>5</v>
      </c>
      <c r="G2282" s="2" t="inlineStr">
        <is>
          <t>5.0</t>
        </is>
      </c>
      <c r="H2282" s="2" t="inlineStr">
        <is>
          <t>M1-B01–B13</t>
        </is>
      </c>
    </row>
    <row r="2283">
      <c r="A2283" s="2" t="inlineStr">
        <is>
          <t>L239</t>
        </is>
      </c>
      <c r="B2283" s="2" t="inlineStr">
        <is>
          <t>YUMMY BREAD</t>
        </is>
      </c>
      <c r="C2283" s="2" t="inlineStr">
        <is>
          <t>S141</t>
        </is>
      </c>
      <c r="D2283" s="2" t="inlineStr">
        <is>
          <t>'YUMMY BREAD'!C16,D16</t>
        </is>
      </c>
      <c r="E2283" s="2" t="inlineStr">
        <is>
          <t>EDC</t>
        </is>
      </c>
      <c r="F2283" s="3" t="n">
        <v>25</v>
      </c>
      <c r="G2283" s="2" t="inlineStr">
        <is>
          <t>25.0</t>
        </is>
      </c>
      <c r="H2283" s="2" t="inlineStr">
        <is>
          <t>M1-B01–B13</t>
        </is>
      </c>
    </row>
    <row r="2284">
      <c r="A2284" s="2" t="inlineStr">
        <is>
          <t>L239</t>
        </is>
      </c>
      <c r="B2284" s="2" t="inlineStr">
        <is>
          <t>YUMMY BREAD</t>
        </is>
      </c>
      <c r="C2284" s="2" t="inlineStr">
        <is>
          <t>S141</t>
        </is>
      </c>
      <c r="D2284" s="2" t="inlineStr">
        <is>
          <t>'YUMMY BREAD'!C17,D17</t>
        </is>
      </c>
      <c r="E2284" s="2" t="inlineStr">
        <is>
          <t>Nutmeg</t>
        </is>
      </c>
      <c r="F2284" s="3" t="n">
        <v>12</v>
      </c>
      <c r="G2284" s="2" t="inlineStr">
        <is>
          <t>12.0</t>
        </is>
      </c>
      <c r="H2284" s="2" t="inlineStr">
        <is>
          <t>M1-B01–B13</t>
        </is>
      </c>
    </row>
    <row r="2285">
      <c r="A2285" s="2" t="inlineStr">
        <is>
          <t>L240</t>
        </is>
      </c>
      <c r="B2285" s="2" t="inlineStr">
        <is>
          <t>doughnuts</t>
        </is>
      </c>
      <c r="C2285" s="2" t="inlineStr">
        <is>
          <t>S141</t>
        </is>
      </c>
      <c r="D2285" s="2" t="inlineStr">
        <is>
          <t>'doughnuts'!C5,L5</t>
        </is>
      </c>
      <c r="E2285" s="2" t="inlineStr">
        <is>
          <t>flour</t>
        </is>
      </c>
      <c r="F2285" s="3" t="n">
        <v>5000</v>
      </c>
      <c r="G2285" s="2" t="inlineStr">
        <is>
          <t>=F5/10 [cached: 5000.0]</t>
        </is>
      </c>
      <c r="H2285" s="2" t="inlineStr">
        <is>
          <t>T01 for cake / O-P04 for yeast</t>
        </is>
      </c>
    </row>
    <row r="2286">
      <c r="A2286" s="2" t="inlineStr">
        <is>
          <t>L240</t>
        </is>
      </c>
      <c r="B2286" s="2" t="inlineStr">
        <is>
          <t>doughnuts</t>
        </is>
      </c>
      <c r="C2286" s="2" t="inlineStr">
        <is>
          <t>S141</t>
        </is>
      </c>
      <c r="D2286" s="2" t="inlineStr">
        <is>
          <t>'doughnuts'!C6,L6</t>
        </is>
      </c>
      <c r="E2286" s="2" t="inlineStr">
        <is>
          <t>baking powder</t>
        </is>
      </c>
      <c r="F2286" s="3" t="n">
        <v>1250</v>
      </c>
      <c r="G2286" s="2" t="inlineStr">
        <is>
          <t>=F6/10 [cached: 1250.0]</t>
        </is>
      </c>
      <c r="H2286" s="2" t="inlineStr">
        <is>
          <t>T01 for cake / O-P04 for yeast</t>
        </is>
      </c>
    </row>
    <row r="2287">
      <c r="A2287" s="2" t="inlineStr">
        <is>
          <t>L240</t>
        </is>
      </c>
      <c r="B2287" s="2" t="inlineStr">
        <is>
          <t>doughnuts</t>
        </is>
      </c>
      <c r="C2287" s="2" t="inlineStr">
        <is>
          <t>S141</t>
        </is>
      </c>
      <c r="D2287" s="2" t="inlineStr">
        <is>
          <t>'doughnuts'!C7,L7</t>
        </is>
      </c>
      <c r="E2287" s="2" t="inlineStr">
        <is>
          <t>milk</t>
        </is>
      </c>
      <c r="F2287" s="3" t="n">
        <v>2000</v>
      </c>
      <c r="G2287" s="2" t="inlineStr">
        <is>
          <t>=F7/10 [cached: 2000.0]</t>
        </is>
      </c>
      <c r="H2287" s="2" t="inlineStr">
        <is>
          <t>T01 for cake / O-P04 for yeast</t>
        </is>
      </c>
    </row>
    <row r="2288">
      <c r="A2288" s="2" t="inlineStr">
        <is>
          <t>L240</t>
        </is>
      </c>
      <c r="B2288" s="2" t="inlineStr">
        <is>
          <t>doughnuts</t>
        </is>
      </c>
      <c r="C2288" s="2" t="inlineStr">
        <is>
          <t>S141</t>
        </is>
      </c>
      <c r="D2288" s="2" t="inlineStr">
        <is>
          <t>'doughnuts'!C8,L8</t>
        </is>
      </c>
      <c r="E2288" s="2" t="inlineStr">
        <is>
          <t>Butter</t>
        </is>
      </c>
      <c r="F2288" s="3" t="n">
        <v>2500</v>
      </c>
      <c r="G2288" s="2" t="inlineStr">
        <is>
          <t>=F8/10 [cached: 2500.0]</t>
        </is>
      </c>
      <c r="H2288" s="2" t="inlineStr">
        <is>
          <t>T01 for cake / O-P04 for yeast</t>
        </is>
      </c>
    </row>
    <row r="2289">
      <c r="A2289" s="2" t="inlineStr">
        <is>
          <t>L240</t>
        </is>
      </c>
      <c r="B2289" s="2" t="inlineStr">
        <is>
          <t>doughnuts</t>
        </is>
      </c>
      <c r="C2289" s="2" t="inlineStr">
        <is>
          <t>S141</t>
        </is>
      </c>
      <c r="D2289" s="2" t="inlineStr">
        <is>
          <t>'doughnuts'!C9,L9</t>
        </is>
      </c>
      <c r="E2289" s="2" t="inlineStr">
        <is>
          <t>salt</t>
        </is>
      </c>
      <c r="F2289" s="3" t="n">
        <v>75</v>
      </c>
      <c r="G2289" s="2" t="inlineStr">
        <is>
          <t>=F9/10 [cached: 75.0]</t>
        </is>
      </c>
      <c r="H2289" s="2" t="inlineStr">
        <is>
          <t>T01 for cake / O-P04 for yeast</t>
        </is>
      </c>
    </row>
    <row r="2290">
      <c r="A2290" s="2" t="inlineStr">
        <is>
          <t>L240</t>
        </is>
      </c>
      <c r="B2290" s="2" t="inlineStr">
        <is>
          <t>doughnuts</t>
        </is>
      </c>
      <c r="C2290" s="2" t="inlineStr">
        <is>
          <t>S141</t>
        </is>
      </c>
      <c r="D2290" s="2" t="inlineStr">
        <is>
          <t>'doughnuts'!C10,L10</t>
        </is>
      </c>
      <c r="E2290" s="2" t="inlineStr">
        <is>
          <t>Improver</t>
        </is>
      </c>
      <c r="F2290" s="3" t="n">
        <v>750</v>
      </c>
      <c r="G2290" s="2" t="inlineStr">
        <is>
          <t>=F10/10 [cached: 750.0]</t>
        </is>
      </c>
      <c r="H2290" s="2" t="inlineStr">
        <is>
          <t>T01 for cake / O-P04 for yeast</t>
        </is>
      </c>
    </row>
    <row r="2291">
      <c r="A2291" s="2" t="inlineStr">
        <is>
          <t>L240</t>
        </is>
      </c>
      <c r="B2291" s="2" t="inlineStr">
        <is>
          <t>doughnuts</t>
        </is>
      </c>
      <c r="C2291" s="2" t="inlineStr">
        <is>
          <t>S141</t>
        </is>
      </c>
      <c r="D2291" s="2" t="inlineStr">
        <is>
          <t>'doughnuts'!C11,L11</t>
        </is>
      </c>
      <c r="E2291" s="2" t="inlineStr">
        <is>
          <t>nutmeg</t>
        </is>
      </c>
      <c r="F2291" s="3" t="n">
        <v>9000</v>
      </c>
      <c r="G2291" s="2" t="inlineStr">
        <is>
          <t>=' COST rRAW MATERIAL'!C14 [cached: 9000.0]</t>
        </is>
      </c>
      <c r="H2291" s="2" t="inlineStr">
        <is>
          <t>T01 for cake / O-P04 for yeast</t>
        </is>
      </c>
    </row>
    <row r="2292">
      <c r="A2292" s="2" t="inlineStr">
        <is>
          <t>L240</t>
        </is>
      </c>
      <c r="B2292" s="2" t="inlineStr">
        <is>
          <t>doughnuts</t>
        </is>
      </c>
      <c r="C2292" s="2" t="inlineStr">
        <is>
          <t>S141</t>
        </is>
      </c>
      <c r="D2292" s="2" t="inlineStr">
        <is>
          <t>'doughnuts'!C12,L12</t>
        </is>
      </c>
      <c r="E2292" s="2" t="inlineStr">
        <is>
          <t>eggs</t>
        </is>
      </c>
      <c r="F2292" s="3" t="n">
        <v>2800</v>
      </c>
      <c r="G2292" s="2" t="inlineStr">
        <is>
          <t>=' COST rRAW MATERIAL'!C13 [cached: 2800.0]</t>
        </is>
      </c>
      <c r="H2292" s="2" t="inlineStr">
        <is>
          <t>T01 for cake / O-P04 for yeast</t>
        </is>
      </c>
    </row>
    <row r="2293">
      <c r="A2293" s="2" t="inlineStr">
        <is>
          <t>L241</t>
        </is>
      </c>
      <c r="B2293" s="2" t="inlineStr">
        <is>
          <t>Galette</t>
        </is>
      </c>
      <c r="C2293" s="2" t="inlineStr">
        <is>
          <t>S142</t>
        </is>
      </c>
      <c r="D2293" s="2" t="inlineStr">
        <is>
          <t>'Galette'!C5,D5</t>
        </is>
      </c>
      <c r="E2293" s="2" t="inlineStr">
        <is>
          <t>flour</t>
        </is>
      </c>
      <c r="F2293" s="3" t="n">
        <v>10000</v>
      </c>
      <c r="G2293" s="2" t="inlineStr">
        <is>
          <t>10000</t>
        </is>
      </c>
      <c r="H2293" s="2" t="inlineStr">
        <is>
          <t>H14</t>
        </is>
      </c>
    </row>
    <row r="2294">
      <c r="A2294" s="2" t="inlineStr">
        <is>
          <t>L241</t>
        </is>
      </c>
      <c r="B2294" s="2" t="inlineStr">
        <is>
          <t>Galette</t>
        </is>
      </c>
      <c r="C2294" s="2" t="inlineStr">
        <is>
          <t>S142</t>
        </is>
      </c>
      <c r="D2294" s="2" t="inlineStr">
        <is>
          <t>'Galette'!C6,D6</t>
        </is>
      </c>
      <c r="E2294" s="2" t="inlineStr">
        <is>
          <t>Butter</t>
        </is>
      </c>
      <c r="F2294" s="3" t="n">
        <v>1100</v>
      </c>
      <c r="G2294" s="2" t="inlineStr">
        <is>
          <t>1100</t>
        </is>
      </c>
      <c r="H2294" s="2" t="inlineStr">
        <is>
          <t>H14</t>
        </is>
      </c>
    </row>
    <row r="2295">
      <c r="A2295" s="2" t="inlineStr">
        <is>
          <t>L241</t>
        </is>
      </c>
      <c r="B2295" s="2" t="inlineStr">
        <is>
          <t>Galette</t>
        </is>
      </c>
      <c r="C2295" s="2" t="inlineStr">
        <is>
          <t>S142</t>
        </is>
      </c>
      <c r="D2295" s="2" t="inlineStr">
        <is>
          <t>'Galette'!C7,D7</t>
        </is>
      </c>
      <c r="E2295" s="2" t="inlineStr">
        <is>
          <t>sugar</t>
        </is>
      </c>
      <c r="F2295" s="3" t="n">
        <v>1100</v>
      </c>
      <c r="G2295" s="2" t="inlineStr">
        <is>
          <t>1100</t>
        </is>
      </c>
      <c r="H2295" s="2" t="inlineStr">
        <is>
          <t>H14</t>
        </is>
      </c>
    </row>
    <row r="2296">
      <c r="A2296" s="2" t="inlineStr">
        <is>
          <t>L241</t>
        </is>
      </c>
      <c r="B2296" s="2" t="inlineStr">
        <is>
          <t>Galette</t>
        </is>
      </c>
      <c r="C2296" s="2" t="inlineStr">
        <is>
          <t>S142</t>
        </is>
      </c>
      <c r="D2296" s="2" t="inlineStr">
        <is>
          <t>'Galette'!C8,D8</t>
        </is>
      </c>
      <c r="E2296" s="2" t="inlineStr">
        <is>
          <t>Milk</t>
        </is>
      </c>
      <c r="F2296" s="3" t="n">
        <v>800</v>
      </c>
      <c r="G2296" s="2" t="inlineStr">
        <is>
          <t>800</t>
        </is>
      </c>
      <c r="H2296" s="2" t="inlineStr">
        <is>
          <t>H14</t>
        </is>
      </c>
    </row>
    <row r="2297">
      <c r="A2297" s="2" t="inlineStr">
        <is>
          <t>L241</t>
        </is>
      </c>
      <c r="B2297" s="2" t="inlineStr">
        <is>
          <t>Galette</t>
        </is>
      </c>
      <c r="C2297" s="2" t="inlineStr">
        <is>
          <t>S142</t>
        </is>
      </c>
      <c r="D2297" s="2" t="inlineStr">
        <is>
          <t>'Galette'!C9,D9</t>
        </is>
      </c>
      <c r="E2297" s="2" t="inlineStr">
        <is>
          <t>egg</t>
        </is>
      </c>
      <c r="F2297" s="3" t="n">
        <v>750</v>
      </c>
      <c r="G2297" s="2" t="inlineStr">
        <is>
          <t>750</t>
        </is>
      </c>
      <c r="H2297" s="2" t="inlineStr">
        <is>
          <t>H14</t>
        </is>
      </c>
    </row>
    <row r="2298">
      <c r="A2298" s="2" t="inlineStr">
        <is>
          <t>L241</t>
        </is>
      </c>
      <c r="B2298" s="2" t="inlineStr">
        <is>
          <t>Galette</t>
        </is>
      </c>
      <c r="C2298" s="2" t="inlineStr">
        <is>
          <t>S142</t>
        </is>
      </c>
      <c r="D2298" s="2" t="inlineStr">
        <is>
          <t>'Galette'!C10,D10</t>
        </is>
      </c>
      <c r="E2298" s="2" t="inlineStr">
        <is>
          <t>salt</t>
        </is>
      </c>
      <c r="F2298" s="3" t="n">
        <v>120</v>
      </c>
      <c r="G2298" s="2" t="inlineStr">
        <is>
          <t>120</t>
        </is>
      </c>
      <c r="H2298" s="2" t="inlineStr">
        <is>
          <t>H14</t>
        </is>
      </c>
    </row>
    <row r="2299">
      <c r="A2299" s="2" t="inlineStr">
        <is>
          <t>L241</t>
        </is>
      </c>
      <c r="B2299" s="2" t="inlineStr">
        <is>
          <t>Galette</t>
        </is>
      </c>
      <c r="C2299" s="2" t="inlineStr">
        <is>
          <t>S142</t>
        </is>
      </c>
      <c r="D2299" s="2" t="inlineStr">
        <is>
          <t>'Galette'!C11,D11</t>
        </is>
      </c>
      <c r="E2299" s="2" t="inlineStr">
        <is>
          <t>improver</t>
        </is>
      </c>
      <c r="F2299" s="3" t="n">
        <v>120</v>
      </c>
      <c r="G2299" s="2" t="inlineStr">
        <is>
          <t>120</t>
        </is>
      </c>
      <c r="H2299" s="2" t="inlineStr">
        <is>
          <t>H14</t>
        </is>
      </c>
    </row>
    <row r="2300">
      <c r="A2300" s="2" t="inlineStr">
        <is>
          <t>L241</t>
        </is>
      </c>
      <c r="B2300" s="2" t="inlineStr">
        <is>
          <t>Galette</t>
        </is>
      </c>
      <c r="C2300" s="2" t="inlineStr">
        <is>
          <t>S142</t>
        </is>
      </c>
      <c r="D2300" s="2" t="inlineStr">
        <is>
          <t>'Galette'!C12,D12</t>
        </is>
      </c>
      <c r="E2300" s="2" t="inlineStr">
        <is>
          <t>yeast</t>
        </is>
      </c>
      <c r="F2300" s="3" t="n">
        <v>80</v>
      </c>
      <c r="G2300" s="2" t="inlineStr">
        <is>
          <t>80</t>
        </is>
      </c>
      <c r="H2300" s="2" t="inlineStr">
        <is>
          <t>H14</t>
        </is>
      </c>
    </row>
    <row r="2301">
      <c r="A2301" s="2" t="inlineStr">
        <is>
          <t>L241</t>
        </is>
      </c>
      <c r="B2301" s="2" t="inlineStr">
        <is>
          <t>Galette</t>
        </is>
      </c>
      <c r="C2301" s="2" t="inlineStr">
        <is>
          <t>S142</t>
        </is>
      </c>
      <c r="D2301" s="2" t="inlineStr">
        <is>
          <t>'Galette'!C13,D13</t>
        </is>
      </c>
      <c r="E2301" s="2" t="inlineStr">
        <is>
          <t>water</t>
        </is>
      </c>
      <c r="F2301" s="3" t="n">
        <v>3500</v>
      </c>
      <c r="G2301" s="2" t="inlineStr">
        <is>
          <t>3500</t>
        </is>
      </c>
      <c r="H2301" s="2" t="inlineStr">
        <is>
          <t>H14</t>
        </is>
      </c>
    </row>
    <row r="2302">
      <c r="A2302" s="2" t="inlineStr">
        <is>
          <t>L241</t>
        </is>
      </c>
      <c r="B2302" s="2" t="inlineStr">
        <is>
          <t>Galette</t>
        </is>
      </c>
      <c r="C2302" s="2" t="inlineStr">
        <is>
          <t>S142</t>
        </is>
      </c>
      <c r="D2302" s="2" t="inlineStr">
        <is>
          <t>'Galette'!C14,D14</t>
        </is>
      </c>
      <c r="E2302" s="2" t="inlineStr">
        <is>
          <t>baking powder</t>
        </is>
      </c>
      <c r="F2302" s="3" t="n">
        <v>70</v>
      </c>
      <c r="G2302" s="2" t="inlineStr">
        <is>
          <t>70</t>
        </is>
      </c>
      <c r="H2302" s="2" t="inlineStr">
        <is>
          <t>H14</t>
        </is>
      </c>
    </row>
    <row r="2303">
      <c r="A2303" s="2" t="inlineStr">
        <is>
          <t>L241</t>
        </is>
      </c>
      <c r="B2303" s="2" t="inlineStr">
        <is>
          <t>Galette</t>
        </is>
      </c>
      <c r="C2303" s="2" t="inlineStr">
        <is>
          <t>S142</t>
        </is>
      </c>
      <c r="D2303" s="2" t="inlineStr">
        <is>
          <t>'Galette'!C15,D15</t>
        </is>
      </c>
      <c r="E2303" s="2" t="inlineStr">
        <is>
          <t>Chocolate</t>
        </is>
      </c>
      <c r="F2303" s="3" t="n">
        <v>1000</v>
      </c>
      <c r="G2303" s="2" t="inlineStr">
        <is>
          <t>1000</t>
        </is>
      </c>
      <c r="H2303" s="2" t="inlineStr">
        <is>
          <t>H14</t>
        </is>
      </c>
    </row>
    <row r="2304">
      <c r="A2304" s="2" t="inlineStr">
        <is>
          <t>L241</t>
        </is>
      </c>
      <c r="B2304" s="2" t="inlineStr">
        <is>
          <t>Galette</t>
        </is>
      </c>
      <c r="C2304" s="2" t="inlineStr">
        <is>
          <t>S142</t>
        </is>
      </c>
      <c r="D2304" s="2" t="inlineStr">
        <is>
          <t>'Galette'!C16,D16</t>
        </is>
      </c>
      <c r="E2304" s="2" t="inlineStr">
        <is>
          <t>EDC</t>
        </is>
      </c>
      <c r="F2304" s="3" t="n">
        <v>25</v>
      </c>
      <c r="G2304" s="2" t="inlineStr">
        <is>
          <t>25</t>
        </is>
      </c>
      <c r="H2304" s="2" t="inlineStr">
        <is>
          <t>H14</t>
        </is>
      </c>
    </row>
    <row r="2305">
      <c r="A2305" s="2" t="inlineStr">
        <is>
          <t>L242</t>
        </is>
      </c>
      <c r="B2305" s="2" t="inlineStr">
        <is>
          <t>Galette</t>
        </is>
      </c>
      <c r="C2305" s="2" t="inlineStr">
        <is>
          <t>S142</t>
        </is>
      </c>
      <c r="D2305" s="2" t="inlineStr">
        <is>
          <t>'Galette'!C5,F5</t>
        </is>
      </c>
      <c r="E2305" s="2" t="inlineStr">
        <is>
          <t>flour</t>
        </is>
      </c>
      <c r="F2305" s="3" t="n">
        <v>50000</v>
      </c>
      <c r="G2305" s="2" t="inlineStr">
        <is>
          <t>=H5*5 [cached: 50000]</t>
        </is>
      </c>
      <c r="H2305" s="2" t="inlineStr">
        <is>
          <t>H14</t>
        </is>
      </c>
    </row>
    <row r="2306">
      <c r="A2306" s="2" t="inlineStr">
        <is>
          <t>L242</t>
        </is>
      </c>
      <c r="B2306" s="2" t="inlineStr">
        <is>
          <t>Galette</t>
        </is>
      </c>
      <c r="C2306" s="2" t="inlineStr">
        <is>
          <t>S142</t>
        </is>
      </c>
      <c r="D2306" s="2" t="inlineStr">
        <is>
          <t>'Galette'!C6,F6</t>
        </is>
      </c>
      <c r="E2306" s="2" t="inlineStr">
        <is>
          <t>Butter</t>
        </is>
      </c>
      <c r="F2306" s="3" t="n">
        <v>5000</v>
      </c>
      <c r="G2306" s="2" t="inlineStr">
        <is>
          <t>=H6*5 [cached: 5000]</t>
        </is>
      </c>
      <c r="H2306" s="2" t="inlineStr">
        <is>
          <t>H14</t>
        </is>
      </c>
    </row>
    <row r="2307">
      <c r="A2307" s="2" t="inlineStr">
        <is>
          <t>L242</t>
        </is>
      </c>
      <c r="B2307" s="2" t="inlineStr">
        <is>
          <t>Galette</t>
        </is>
      </c>
      <c r="C2307" s="2" t="inlineStr">
        <is>
          <t>S142</t>
        </is>
      </c>
      <c r="D2307" s="2" t="inlineStr">
        <is>
          <t>'Galette'!C7,F7</t>
        </is>
      </c>
      <c r="E2307" s="2" t="inlineStr">
        <is>
          <t>sugar</t>
        </is>
      </c>
      <c r="F2307" s="3" t="n">
        <v>5000</v>
      </c>
      <c r="G2307" s="2" t="inlineStr">
        <is>
          <t>=H7*5 [cached: 5000]</t>
        </is>
      </c>
      <c r="H2307" s="2" t="inlineStr">
        <is>
          <t>H14</t>
        </is>
      </c>
    </row>
    <row r="2308">
      <c r="A2308" s="2" t="inlineStr">
        <is>
          <t>L242</t>
        </is>
      </c>
      <c r="B2308" s="2" t="inlineStr">
        <is>
          <t>Galette</t>
        </is>
      </c>
      <c r="C2308" s="2" t="inlineStr">
        <is>
          <t>S142</t>
        </is>
      </c>
      <c r="D2308" s="2" t="inlineStr">
        <is>
          <t>'Galette'!C8,F8</t>
        </is>
      </c>
      <c r="E2308" s="2" t="inlineStr">
        <is>
          <t>Milk</t>
        </is>
      </c>
      <c r="F2308" s="3" t="n">
        <v>4000</v>
      </c>
      <c r="G2308" s="2" t="inlineStr">
        <is>
          <t>=H8*5 [cached: 4000]</t>
        </is>
      </c>
      <c r="H2308" s="2" t="inlineStr">
        <is>
          <t>H14</t>
        </is>
      </c>
    </row>
    <row r="2309">
      <c r="A2309" s="2" t="inlineStr">
        <is>
          <t>L242</t>
        </is>
      </c>
      <c r="B2309" s="2" t="inlineStr">
        <is>
          <t>Galette</t>
        </is>
      </c>
      <c r="C2309" s="2" t="inlineStr">
        <is>
          <t>S142</t>
        </is>
      </c>
      <c r="D2309" s="2" t="inlineStr">
        <is>
          <t>'Galette'!C9,F9</t>
        </is>
      </c>
      <c r="E2309" s="2" t="inlineStr">
        <is>
          <t>egg</t>
        </is>
      </c>
      <c r="F2309" s="3" t="n">
        <v>3750</v>
      </c>
      <c r="G2309" s="2" t="inlineStr">
        <is>
          <t>=H9*5 [cached: 3750]</t>
        </is>
      </c>
      <c r="H2309" s="2" t="inlineStr">
        <is>
          <t>H14</t>
        </is>
      </c>
    </row>
    <row r="2310">
      <c r="A2310" s="2" t="inlineStr">
        <is>
          <t>L242</t>
        </is>
      </c>
      <c r="B2310" s="2" t="inlineStr">
        <is>
          <t>Galette</t>
        </is>
      </c>
      <c r="C2310" s="2" t="inlineStr">
        <is>
          <t>S142</t>
        </is>
      </c>
      <c r="D2310" s="2" t="inlineStr">
        <is>
          <t>'Galette'!C10,F10</t>
        </is>
      </c>
      <c r="E2310" s="2" t="inlineStr">
        <is>
          <t>salt</t>
        </is>
      </c>
      <c r="F2310" s="3" t="n">
        <v>600</v>
      </c>
      <c r="G2310" s="2" t="inlineStr">
        <is>
          <t>=H10*5 [cached: 600]</t>
        </is>
      </c>
      <c r="H2310" s="2" t="inlineStr">
        <is>
          <t>H14</t>
        </is>
      </c>
    </row>
    <row r="2311">
      <c r="A2311" s="2" t="inlineStr">
        <is>
          <t>L242</t>
        </is>
      </c>
      <c r="B2311" s="2" t="inlineStr">
        <is>
          <t>Galette</t>
        </is>
      </c>
      <c r="C2311" s="2" t="inlineStr">
        <is>
          <t>S142</t>
        </is>
      </c>
      <c r="D2311" s="2" t="inlineStr">
        <is>
          <t>'Galette'!C11,F11</t>
        </is>
      </c>
      <c r="E2311" s="2" t="inlineStr">
        <is>
          <t>improver</t>
        </is>
      </c>
      <c r="F2311" s="3" t="n">
        <v>500</v>
      </c>
      <c r="G2311" s="2" t="inlineStr">
        <is>
          <t>=H11*5 [cached: 500]</t>
        </is>
      </c>
      <c r="H2311" s="2" t="inlineStr">
        <is>
          <t>H14</t>
        </is>
      </c>
    </row>
    <row r="2312">
      <c r="A2312" s="2" t="inlineStr">
        <is>
          <t>L242</t>
        </is>
      </c>
      <c r="B2312" s="2" t="inlineStr">
        <is>
          <t>Galette</t>
        </is>
      </c>
      <c r="C2312" s="2" t="inlineStr">
        <is>
          <t>S142</t>
        </is>
      </c>
      <c r="D2312" s="2" t="inlineStr">
        <is>
          <t>'Galette'!C12,F12</t>
        </is>
      </c>
      <c r="E2312" s="2" t="inlineStr">
        <is>
          <t>yeast</t>
        </is>
      </c>
      <c r="F2312" s="3" t="n">
        <v>400</v>
      </c>
      <c r="G2312" s="2" t="inlineStr">
        <is>
          <t>=H12*5 [cached: 400]</t>
        </is>
      </c>
      <c r="H2312" s="2" t="inlineStr">
        <is>
          <t>H14</t>
        </is>
      </c>
    </row>
    <row r="2313">
      <c r="A2313" s="2" t="inlineStr">
        <is>
          <t>L242</t>
        </is>
      </c>
      <c r="B2313" s="2" t="inlineStr">
        <is>
          <t>Galette</t>
        </is>
      </c>
      <c r="C2313" s="2" t="inlineStr">
        <is>
          <t>S142</t>
        </is>
      </c>
      <c r="D2313" s="2" t="inlineStr">
        <is>
          <t>'Galette'!C13,F13</t>
        </is>
      </c>
      <c r="E2313" s="2" t="inlineStr">
        <is>
          <t>water</t>
        </is>
      </c>
      <c r="F2313" s="3" t="n">
        <v>12500</v>
      </c>
      <c r="G2313" s="2" t="inlineStr">
        <is>
          <t>=H13*5 [cached: 12500]</t>
        </is>
      </c>
      <c r="H2313" s="2" t="inlineStr">
        <is>
          <t>H14</t>
        </is>
      </c>
    </row>
    <row r="2314">
      <c r="A2314" s="2" t="inlineStr">
        <is>
          <t>L242</t>
        </is>
      </c>
      <c r="B2314" s="2" t="inlineStr">
        <is>
          <t>Galette</t>
        </is>
      </c>
      <c r="C2314" s="2" t="inlineStr">
        <is>
          <t>S142</t>
        </is>
      </c>
      <c r="D2314" s="2" t="inlineStr">
        <is>
          <t>'Galette'!C14,F14</t>
        </is>
      </c>
      <c r="E2314" s="2" t="inlineStr">
        <is>
          <t>baking powder</t>
        </is>
      </c>
      <c r="F2314" s="3" t="n">
        <v>400</v>
      </c>
      <c r="G2314" s="2" t="inlineStr">
        <is>
          <t>=H14*5 [cached: 400]</t>
        </is>
      </c>
      <c r="H2314" s="2" t="inlineStr">
        <is>
          <t>H14</t>
        </is>
      </c>
    </row>
    <row r="2315">
      <c r="A2315" s="2" t="inlineStr">
        <is>
          <t>L242</t>
        </is>
      </c>
      <c r="B2315" s="2" t="inlineStr">
        <is>
          <t>Galette</t>
        </is>
      </c>
      <c r="C2315" s="2" t="inlineStr">
        <is>
          <t>S142</t>
        </is>
      </c>
      <c r="D2315" s="2" t="inlineStr">
        <is>
          <t>'Galette'!C15,F15</t>
        </is>
      </c>
      <c r="E2315" s="2" t="inlineStr">
        <is>
          <t>Chocolate</t>
        </is>
      </c>
      <c r="F2315" s="3" t="n">
        <v>5000</v>
      </c>
      <c r="G2315" s="2" t="inlineStr">
        <is>
          <t>=H15*5 [cached: 5000]</t>
        </is>
      </c>
      <c r="H2315" s="2" t="inlineStr">
        <is>
          <t>H14</t>
        </is>
      </c>
    </row>
    <row r="2316">
      <c r="A2316" s="2" t="inlineStr">
        <is>
          <t>L242</t>
        </is>
      </c>
      <c r="B2316" s="2" t="inlineStr">
        <is>
          <t>Galette</t>
        </is>
      </c>
      <c r="C2316" s="2" t="inlineStr">
        <is>
          <t>S142</t>
        </is>
      </c>
      <c r="D2316" s="2" t="inlineStr">
        <is>
          <t>'Galette'!C16,F16</t>
        </is>
      </c>
      <c r="E2316" s="2" t="inlineStr">
        <is>
          <t>EDC</t>
        </is>
      </c>
      <c r="F2316" s="3" t="n">
        <v>500</v>
      </c>
      <c r="G2316" s="2" t="inlineStr">
        <is>
          <t>=H16*5 [cached: 500]</t>
        </is>
      </c>
      <c r="H2316" s="2" t="inlineStr">
        <is>
          <t>H14</t>
        </is>
      </c>
    </row>
    <row r="2317">
      <c r="A2317" s="2" t="inlineStr">
        <is>
          <t>L243</t>
        </is>
      </c>
      <c r="B2317" s="2" t="inlineStr">
        <is>
          <t>Pain au lait</t>
        </is>
      </c>
      <c r="C2317" s="2" t="inlineStr">
        <is>
          <t>S142</t>
        </is>
      </c>
      <c r="D2317" s="2" t="inlineStr">
        <is>
          <t>'Pain au lait'!C5,D5</t>
        </is>
      </c>
      <c r="E2317" s="2" t="inlineStr">
        <is>
          <t>flour</t>
        </is>
      </c>
      <c r="F2317" s="3" t="n">
        <v>12000</v>
      </c>
      <c r="G2317" s="2" t="inlineStr">
        <is>
          <t>12000</t>
        </is>
      </c>
      <c r="H2317" s="2" t="inlineStr">
        <is>
          <t>S-B07 / M1-B04</t>
        </is>
      </c>
    </row>
    <row r="2318">
      <c r="A2318" s="2" t="inlineStr">
        <is>
          <t>L243</t>
        </is>
      </c>
      <c r="B2318" s="2" t="inlineStr">
        <is>
          <t>Pain au lait</t>
        </is>
      </c>
      <c r="C2318" s="2" t="inlineStr">
        <is>
          <t>S142</t>
        </is>
      </c>
      <c r="D2318" s="2" t="inlineStr">
        <is>
          <t>'Pain au lait'!C6,D6</t>
        </is>
      </c>
      <c r="E2318" s="2" t="inlineStr">
        <is>
          <t>Butter</t>
        </is>
      </c>
      <c r="F2318" s="3" t="n">
        <v>1000</v>
      </c>
      <c r="G2318" s="2" t="inlineStr">
        <is>
          <t>1000</t>
        </is>
      </c>
      <c r="H2318" s="2" t="inlineStr">
        <is>
          <t>S-B07 / M1-B04</t>
        </is>
      </c>
    </row>
    <row r="2319">
      <c r="A2319" s="2" t="inlineStr">
        <is>
          <t>L243</t>
        </is>
      </c>
      <c r="B2319" s="2" t="inlineStr">
        <is>
          <t>Pain au lait</t>
        </is>
      </c>
      <c r="C2319" s="2" t="inlineStr">
        <is>
          <t>S142</t>
        </is>
      </c>
      <c r="D2319" s="2" t="inlineStr">
        <is>
          <t>'Pain au lait'!C7,D7</t>
        </is>
      </c>
      <c r="E2319" s="2" t="inlineStr">
        <is>
          <t>sugar</t>
        </is>
      </c>
      <c r="F2319" s="3" t="n">
        <v>1100</v>
      </c>
      <c r="G2319" s="2" t="inlineStr">
        <is>
          <t>1100</t>
        </is>
      </c>
      <c r="H2319" s="2" t="inlineStr">
        <is>
          <t>S-B07 / M1-B04</t>
        </is>
      </c>
    </row>
    <row r="2320">
      <c r="A2320" s="2" t="inlineStr">
        <is>
          <t>L243</t>
        </is>
      </c>
      <c r="B2320" s="2" t="inlineStr">
        <is>
          <t>Pain au lait</t>
        </is>
      </c>
      <c r="C2320" s="2" t="inlineStr">
        <is>
          <t>S142</t>
        </is>
      </c>
      <c r="D2320" s="2" t="inlineStr">
        <is>
          <t>'Pain au lait'!C8,D8</t>
        </is>
      </c>
      <c r="E2320" s="2" t="inlineStr">
        <is>
          <t>Milk</t>
        </is>
      </c>
      <c r="F2320" s="3" t="n">
        <v>1000</v>
      </c>
      <c r="G2320" s="2" t="inlineStr">
        <is>
          <t>1000</t>
        </is>
      </c>
      <c r="H2320" s="2" t="inlineStr">
        <is>
          <t>S-B07 / M1-B04</t>
        </is>
      </c>
    </row>
    <row r="2321">
      <c r="A2321" s="2" t="inlineStr">
        <is>
          <t>L243</t>
        </is>
      </c>
      <c r="B2321" s="2" t="inlineStr">
        <is>
          <t>Pain au lait</t>
        </is>
      </c>
      <c r="C2321" s="2" t="inlineStr">
        <is>
          <t>S142</t>
        </is>
      </c>
      <c r="D2321" s="2" t="inlineStr">
        <is>
          <t>'Pain au lait'!C9,D9</t>
        </is>
      </c>
      <c r="E2321" s="2" t="inlineStr">
        <is>
          <t>egg</t>
        </is>
      </c>
      <c r="F2321" s="3" t="n">
        <v>300</v>
      </c>
      <c r="G2321" s="2" t="inlineStr">
        <is>
          <t>300</t>
        </is>
      </c>
      <c r="H2321" s="2" t="inlineStr">
        <is>
          <t>S-B07 / M1-B04</t>
        </is>
      </c>
    </row>
    <row r="2322">
      <c r="A2322" s="2" t="inlineStr">
        <is>
          <t>L243</t>
        </is>
      </c>
      <c r="B2322" s="2" t="inlineStr">
        <is>
          <t>Pain au lait</t>
        </is>
      </c>
      <c r="C2322" s="2" t="inlineStr">
        <is>
          <t>S142</t>
        </is>
      </c>
      <c r="D2322" s="2" t="inlineStr">
        <is>
          <t>'Pain au lait'!C10,D10</t>
        </is>
      </c>
      <c r="E2322" s="2" t="inlineStr">
        <is>
          <t>salt</t>
        </is>
      </c>
      <c r="F2322" s="3" t="n">
        <v>85</v>
      </c>
      <c r="G2322" s="2" t="inlineStr">
        <is>
          <t>85</t>
        </is>
      </c>
      <c r="H2322" s="2" t="inlineStr">
        <is>
          <t>S-B07 / M1-B04</t>
        </is>
      </c>
    </row>
    <row r="2323">
      <c r="A2323" s="2" t="inlineStr">
        <is>
          <t>L243</t>
        </is>
      </c>
      <c r="B2323" s="2" t="inlineStr">
        <is>
          <t>Pain au lait</t>
        </is>
      </c>
      <c r="C2323" s="2" t="inlineStr">
        <is>
          <t>S142</t>
        </is>
      </c>
      <c r="D2323" s="2" t="inlineStr">
        <is>
          <t>'Pain au lait'!C11,D11</t>
        </is>
      </c>
      <c r="E2323" s="2" t="inlineStr">
        <is>
          <t>improver</t>
        </is>
      </c>
      <c r="F2323" s="3" t="n">
        <v>100</v>
      </c>
      <c r="G2323" s="2" t="inlineStr">
        <is>
          <t>100</t>
        </is>
      </c>
      <c r="H2323" s="2" t="inlineStr">
        <is>
          <t>S-B07 / M1-B04</t>
        </is>
      </c>
    </row>
    <row r="2324">
      <c r="A2324" s="2" t="inlineStr">
        <is>
          <t>L243</t>
        </is>
      </c>
      <c r="B2324" s="2" t="inlineStr">
        <is>
          <t>Pain au lait</t>
        </is>
      </c>
      <c r="C2324" s="2" t="inlineStr">
        <is>
          <t>S142</t>
        </is>
      </c>
      <c r="D2324" s="2" t="inlineStr">
        <is>
          <t>'Pain au lait'!C12,D12</t>
        </is>
      </c>
      <c r="E2324" s="2" t="inlineStr">
        <is>
          <t>yeast</t>
        </is>
      </c>
      <c r="F2324" s="3" t="n">
        <v>80</v>
      </c>
      <c r="G2324" s="2" t="inlineStr">
        <is>
          <t>80</t>
        </is>
      </c>
      <c r="H2324" s="2" t="inlineStr">
        <is>
          <t>S-B07 / M1-B04</t>
        </is>
      </c>
    </row>
    <row r="2325">
      <c r="A2325" s="2" t="inlineStr">
        <is>
          <t>L243</t>
        </is>
      </c>
      <c r="B2325" s="2" t="inlineStr">
        <is>
          <t>Pain au lait</t>
        </is>
      </c>
      <c r="C2325" s="2" t="inlineStr">
        <is>
          <t>S142</t>
        </is>
      </c>
      <c r="D2325" s="2" t="inlineStr">
        <is>
          <t>'Pain au lait'!C13,D13</t>
        </is>
      </c>
      <c r="E2325" s="2" t="inlineStr">
        <is>
          <t>water</t>
        </is>
      </c>
      <c r="F2325" s="3" t="n">
        <v>4500</v>
      </c>
      <c r="G2325" s="2" t="inlineStr">
        <is>
          <t>4500</t>
        </is>
      </c>
      <c r="H2325" s="2" t="inlineStr">
        <is>
          <t>S-B07 / M1-B04</t>
        </is>
      </c>
    </row>
    <row r="2326">
      <c r="A2326" s="2" t="inlineStr">
        <is>
          <t>L243</t>
        </is>
      </c>
      <c r="B2326" s="2" t="inlineStr">
        <is>
          <t>Pain au lait</t>
        </is>
      </c>
      <c r="C2326" s="2" t="inlineStr">
        <is>
          <t>S142</t>
        </is>
      </c>
      <c r="D2326" s="2" t="inlineStr">
        <is>
          <t>'Pain au lait'!C14,D14</t>
        </is>
      </c>
      <c r="E2326" s="2" t="inlineStr">
        <is>
          <t>Oil</t>
        </is>
      </c>
      <c r="F2326" s="3" t="n">
        <v>300</v>
      </c>
      <c r="G2326" s="2" t="inlineStr">
        <is>
          <t>300</t>
        </is>
      </c>
      <c r="H2326" s="2" t="inlineStr">
        <is>
          <t>S-B07 / M1-B04</t>
        </is>
      </c>
    </row>
    <row r="2327">
      <c r="A2327" s="2" t="inlineStr">
        <is>
          <t>L243</t>
        </is>
      </c>
      <c r="B2327" s="2" t="inlineStr">
        <is>
          <t>Pain au lait</t>
        </is>
      </c>
      <c r="C2327" s="2" t="inlineStr">
        <is>
          <t>S142</t>
        </is>
      </c>
      <c r="D2327" s="2" t="inlineStr">
        <is>
          <t>'Pain au lait'!C15,D15</t>
        </is>
      </c>
      <c r="E2327" s="2" t="inlineStr">
        <is>
          <t>Milk tantalizer</t>
        </is>
      </c>
      <c r="F2327" s="3" t="n">
        <v>5</v>
      </c>
      <c r="G2327" s="2" t="inlineStr">
        <is>
          <t>5</t>
        </is>
      </c>
      <c r="H2327" s="2" t="inlineStr">
        <is>
          <t>S-B07 / M1-B04</t>
        </is>
      </c>
    </row>
    <row r="2328">
      <c r="A2328" s="2" t="inlineStr">
        <is>
          <t>L243</t>
        </is>
      </c>
      <c r="B2328" s="2" t="inlineStr">
        <is>
          <t>Pain au lait</t>
        </is>
      </c>
      <c r="C2328" s="2" t="inlineStr">
        <is>
          <t>S142</t>
        </is>
      </c>
      <c r="D2328" s="2" t="inlineStr">
        <is>
          <t>'Pain au lait'!C16,D16</t>
        </is>
      </c>
      <c r="E2328" s="2" t="inlineStr">
        <is>
          <t>EDC</t>
        </is>
      </c>
      <c r="F2328" s="3" t="n">
        <v>25</v>
      </c>
      <c r="G2328" s="2" t="inlineStr">
        <is>
          <t>25</t>
        </is>
      </c>
      <c r="H2328" s="2" t="inlineStr">
        <is>
          <t>S-B07 / M1-B04</t>
        </is>
      </c>
    </row>
    <row r="2329">
      <c r="A2329" s="2" t="inlineStr">
        <is>
          <t>L243</t>
        </is>
      </c>
      <c r="B2329" s="2" t="inlineStr">
        <is>
          <t>Pain au lait</t>
        </is>
      </c>
      <c r="C2329" s="2" t="inlineStr">
        <is>
          <t>S142</t>
        </is>
      </c>
      <c r="D2329" s="2" t="inlineStr">
        <is>
          <t>'Pain au lait'!C17,D17</t>
        </is>
      </c>
      <c r="E2329" s="2" t="inlineStr">
        <is>
          <t>Nutmeg</t>
        </is>
      </c>
      <c r="F2329" s="3" t="n">
        <v>12</v>
      </c>
      <c r="G2329" s="2" t="inlineStr">
        <is>
          <t>12</t>
        </is>
      </c>
      <c r="H2329" s="2" t="inlineStr">
        <is>
          <t>S-B07 / M1-B04</t>
        </is>
      </c>
    </row>
    <row r="2330">
      <c r="A2330" s="2" t="inlineStr">
        <is>
          <t>L244</t>
        </is>
      </c>
      <c r="B2330" s="2" t="inlineStr">
        <is>
          <t>YUMMY BREAD</t>
        </is>
      </c>
      <c r="C2330" s="2" t="inlineStr">
        <is>
          <t>S142</t>
        </is>
      </c>
      <c r="D2330" s="2" t="inlineStr">
        <is>
          <t>'YUMMY BREAD'!C5,D5</t>
        </is>
      </c>
      <c r="E2330" s="2" t="inlineStr">
        <is>
          <t>flour</t>
        </is>
      </c>
      <c r="F2330" s="3" t="n">
        <v>15000</v>
      </c>
      <c r="G2330" s="2" t="inlineStr">
        <is>
          <t>15000</t>
        </is>
      </c>
      <c r="H2330" s="2" t="inlineStr">
        <is>
          <t>M1-B01–B13</t>
        </is>
      </c>
    </row>
    <row r="2331">
      <c r="A2331" s="2" t="inlineStr">
        <is>
          <t>L244</t>
        </is>
      </c>
      <c r="B2331" s="2" t="inlineStr">
        <is>
          <t>YUMMY BREAD</t>
        </is>
      </c>
      <c r="C2331" s="2" t="inlineStr">
        <is>
          <t>S142</t>
        </is>
      </c>
      <c r="D2331" s="2" t="inlineStr">
        <is>
          <t>'YUMMY BREAD'!C6,D6</t>
        </is>
      </c>
      <c r="E2331" s="2" t="inlineStr">
        <is>
          <t>Butter</t>
        </is>
      </c>
      <c r="F2331" s="3" t="n">
        <v>1500</v>
      </c>
      <c r="G2331" s="2" t="inlineStr">
        <is>
          <t>1500</t>
        </is>
      </c>
      <c r="H2331" s="2" t="inlineStr">
        <is>
          <t>M1-B01–B13</t>
        </is>
      </c>
    </row>
    <row r="2332">
      <c r="A2332" s="2" t="inlineStr">
        <is>
          <t>L244</t>
        </is>
      </c>
      <c r="B2332" s="2" t="inlineStr">
        <is>
          <t>YUMMY BREAD</t>
        </is>
      </c>
      <c r="C2332" s="2" t="inlineStr">
        <is>
          <t>S142</t>
        </is>
      </c>
      <c r="D2332" s="2" t="inlineStr">
        <is>
          <t>'YUMMY BREAD'!C7,D7</t>
        </is>
      </c>
      <c r="E2332" s="2" t="inlineStr">
        <is>
          <t>sugar</t>
        </is>
      </c>
      <c r="F2332" s="3" t="n">
        <v>1500</v>
      </c>
      <c r="G2332" s="2" t="inlineStr">
        <is>
          <t>1500</t>
        </is>
      </c>
      <c r="H2332" s="2" t="inlineStr">
        <is>
          <t>M1-B01–B13</t>
        </is>
      </c>
    </row>
    <row r="2333">
      <c r="A2333" s="2" t="inlineStr">
        <is>
          <t>L244</t>
        </is>
      </c>
      <c r="B2333" s="2" t="inlineStr">
        <is>
          <t>YUMMY BREAD</t>
        </is>
      </c>
      <c r="C2333" s="2" t="inlineStr">
        <is>
          <t>S142</t>
        </is>
      </c>
      <c r="D2333" s="2" t="inlineStr">
        <is>
          <t>'YUMMY BREAD'!C8,D8</t>
        </is>
      </c>
      <c r="E2333" s="2" t="inlineStr">
        <is>
          <t>Milk</t>
        </is>
      </c>
      <c r="F2333" s="3" t="n">
        <v>1000</v>
      </c>
      <c r="G2333" s="2" t="inlineStr">
        <is>
          <t>1000</t>
        </is>
      </c>
      <c r="H2333" s="2" t="inlineStr">
        <is>
          <t>M1-B01–B13</t>
        </is>
      </c>
    </row>
    <row r="2334">
      <c r="A2334" s="2" t="inlineStr">
        <is>
          <t>L244</t>
        </is>
      </c>
      <c r="B2334" s="2" t="inlineStr">
        <is>
          <t>YUMMY BREAD</t>
        </is>
      </c>
      <c r="C2334" s="2" t="inlineStr">
        <is>
          <t>S142</t>
        </is>
      </c>
      <c r="D2334" s="2" t="inlineStr">
        <is>
          <t>'YUMMY BREAD'!C9,D9</t>
        </is>
      </c>
      <c r="E2334" s="2" t="inlineStr">
        <is>
          <t>egg</t>
        </is>
      </c>
      <c r="F2334" s="3" t="n">
        <v>750</v>
      </c>
      <c r="G2334" s="2" t="inlineStr">
        <is>
          <t>750</t>
        </is>
      </c>
      <c r="H2334" s="2" t="inlineStr">
        <is>
          <t>M1-B01–B13</t>
        </is>
      </c>
    </row>
    <row r="2335">
      <c r="A2335" s="2" t="inlineStr">
        <is>
          <t>L244</t>
        </is>
      </c>
      <c r="B2335" s="2" t="inlineStr">
        <is>
          <t>YUMMY BREAD</t>
        </is>
      </c>
      <c r="C2335" s="2" t="inlineStr">
        <is>
          <t>S142</t>
        </is>
      </c>
      <c r="D2335" s="2" t="inlineStr">
        <is>
          <t>'YUMMY BREAD'!C10,D10</t>
        </is>
      </c>
      <c r="E2335" s="2" t="inlineStr">
        <is>
          <t>salt</t>
        </is>
      </c>
      <c r="F2335" s="3" t="n">
        <v>120</v>
      </c>
      <c r="G2335" s="2" t="inlineStr">
        <is>
          <t>120</t>
        </is>
      </c>
      <c r="H2335" s="2" t="inlineStr">
        <is>
          <t>M1-B01–B13</t>
        </is>
      </c>
    </row>
    <row r="2336">
      <c r="A2336" s="2" t="inlineStr">
        <is>
          <t>L244</t>
        </is>
      </c>
      <c r="B2336" s="2" t="inlineStr">
        <is>
          <t>YUMMY BREAD</t>
        </is>
      </c>
      <c r="C2336" s="2" t="inlineStr">
        <is>
          <t>S142</t>
        </is>
      </c>
      <c r="D2336" s="2" t="inlineStr">
        <is>
          <t>'YUMMY BREAD'!C11,D11</t>
        </is>
      </c>
      <c r="E2336" s="2" t="inlineStr">
        <is>
          <t>improver</t>
        </is>
      </c>
      <c r="F2336" s="3" t="n">
        <v>120</v>
      </c>
      <c r="G2336" s="2" t="inlineStr">
        <is>
          <t>120</t>
        </is>
      </c>
      <c r="H2336" s="2" t="inlineStr">
        <is>
          <t>M1-B01–B13</t>
        </is>
      </c>
    </row>
    <row r="2337">
      <c r="A2337" s="2" t="inlineStr">
        <is>
          <t>L244</t>
        </is>
      </c>
      <c r="B2337" s="2" t="inlineStr">
        <is>
          <t>YUMMY BREAD</t>
        </is>
      </c>
      <c r="C2337" s="2" t="inlineStr">
        <is>
          <t>S142</t>
        </is>
      </c>
      <c r="D2337" s="2" t="inlineStr">
        <is>
          <t>'YUMMY BREAD'!C12,D12</t>
        </is>
      </c>
      <c r="E2337" s="2" t="inlineStr">
        <is>
          <t>yeast</t>
        </is>
      </c>
      <c r="F2337" s="3" t="n">
        <v>160</v>
      </c>
      <c r="G2337" s="2" t="inlineStr">
        <is>
          <t>160</t>
        </is>
      </c>
      <c r="H2337" s="2" t="inlineStr">
        <is>
          <t>M1-B01–B13</t>
        </is>
      </c>
    </row>
    <row r="2338">
      <c r="A2338" s="2" t="inlineStr">
        <is>
          <t>L244</t>
        </is>
      </c>
      <c r="B2338" s="2" t="inlineStr">
        <is>
          <t>YUMMY BREAD</t>
        </is>
      </c>
      <c r="C2338" s="2" t="inlineStr">
        <is>
          <t>S142</t>
        </is>
      </c>
      <c r="D2338" s="2" t="inlineStr">
        <is>
          <t>'YUMMY BREAD'!C13,D13</t>
        </is>
      </c>
      <c r="E2338" s="2" t="inlineStr">
        <is>
          <t>water</t>
        </is>
      </c>
      <c r="F2338" s="3" t="n">
        <v>4000</v>
      </c>
      <c r="G2338" s="2" t="inlineStr">
        <is>
          <t>4000</t>
        </is>
      </c>
      <c r="H2338" s="2" t="inlineStr">
        <is>
          <t>M1-B01–B13</t>
        </is>
      </c>
    </row>
    <row r="2339">
      <c r="A2339" s="2" t="inlineStr">
        <is>
          <t>L244</t>
        </is>
      </c>
      <c r="B2339" s="2" t="inlineStr">
        <is>
          <t>YUMMY BREAD</t>
        </is>
      </c>
      <c r="C2339" s="2" t="inlineStr">
        <is>
          <t>S142</t>
        </is>
      </c>
      <c r="D2339" s="2" t="inlineStr">
        <is>
          <t>'YUMMY BREAD'!C14,D14</t>
        </is>
      </c>
      <c r="E2339" s="2" t="inlineStr">
        <is>
          <t>Oil</t>
        </is>
      </c>
      <c r="F2339" s="3" t="n">
        <v>300</v>
      </c>
      <c r="G2339" s="2" t="inlineStr">
        <is>
          <t>300</t>
        </is>
      </c>
      <c r="H2339" s="2" t="inlineStr">
        <is>
          <t>M1-B01–B13</t>
        </is>
      </c>
    </row>
    <row r="2340">
      <c r="A2340" s="2" t="inlineStr">
        <is>
          <t>L244</t>
        </is>
      </c>
      <c r="B2340" s="2" t="inlineStr">
        <is>
          <t>YUMMY BREAD</t>
        </is>
      </c>
      <c r="C2340" s="2" t="inlineStr">
        <is>
          <t>S142</t>
        </is>
      </c>
      <c r="D2340" s="2" t="inlineStr">
        <is>
          <t>'YUMMY BREAD'!C15,D15</t>
        </is>
      </c>
      <c r="E2340" s="2" t="inlineStr">
        <is>
          <t>EDC</t>
        </is>
      </c>
      <c r="F2340" s="3" t="n">
        <v>100</v>
      </c>
      <c r="G2340" s="2" t="inlineStr">
        <is>
          <t>100</t>
        </is>
      </c>
      <c r="H2340" s="2" t="inlineStr">
        <is>
          <t>M1-B01–B13</t>
        </is>
      </c>
    </row>
    <row r="2341">
      <c r="A2341" s="2" t="inlineStr">
        <is>
          <t>L245</t>
        </is>
      </c>
      <c r="B2341" s="2" t="inlineStr">
        <is>
          <t>YUMMY YOGHOURT (YUYO)</t>
        </is>
      </c>
      <c r="C2341" s="2" t="inlineStr">
        <is>
          <t>S142</t>
        </is>
      </c>
      <c r="D2341" s="2" t="inlineStr">
        <is>
          <t>'YUMMY YOGHOURT (YUYO)'!C5,D5</t>
        </is>
      </c>
      <c r="E2341" s="2" t="inlineStr">
        <is>
          <t>Milk</t>
        </is>
      </c>
      <c r="F2341" s="3" t="n">
        <v>1000</v>
      </c>
      <c r="G2341" s="2" t="inlineStr">
        <is>
          <t>1000</t>
        </is>
      </c>
      <c r="H2341" s="2" t="inlineStr">
        <is>
          <t>S-Y01–S-Y03</t>
        </is>
      </c>
    </row>
    <row r="2342">
      <c r="A2342" s="2" t="inlineStr">
        <is>
          <t>L245</t>
        </is>
      </c>
      <c r="B2342" s="2" t="inlineStr">
        <is>
          <t>YUMMY YOGHOURT (YUYO)</t>
        </is>
      </c>
      <c r="C2342" s="2" t="inlineStr">
        <is>
          <t>S142</t>
        </is>
      </c>
      <c r="D2342" s="2" t="inlineStr">
        <is>
          <t>'YUMMY YOGHOURT (YUYO)'!C6,D6</t>
        </is>
      </c>
      <c r="E2342" s="2" t="inlineStr">
        <is>
          <t>sugar</t>
        </is>
      </c>
      <c r="F2342" s="3" t="n">
        <v>600</v>
      </c>
      <c r="G2342" s="2" t="inlineStr">
        <is>
          <t>600</t>
        </is>
      </c>
      <c r="H2342" s="2" t="inlineStr">
        <is>
          <t>S-Y01–S-Y03</t>
        </is>
      </c>
    </row>
    <row r="2343">
      <c r="A2343" s="2" t="inlineStr">
        <is>
          <t>L245</t>
        </is>
      </c>
      <c r="B2343" s="2" t="inlineStr">
        <is>
          <t>YUMMY YOGHOURT (YUYO)</t>
        </is>
      </c>
      <c r="C2343" s="2" t="inlineStr">
        <is>
          <t>S142</t>
        </is>
      </c>
      <c r="D2343" s="2" t="inlineStr">
        <is>
          <t>'YUMMY YOGHOURT (YUYO)'!C7,D7</t>
        </is>
      </c>
      <c r="E2343" s="2" t="inlineStr">
        <is>
          <t>Cold Water</t>
        </is>
      </c>
      <c r="F2343" s="3" t="n">
        <v>6000</v>
      </c>
      <c r="G2343" s="2" t="inlineStr">
        <is>
          <t>6000</t>
        </is>
      </c>
      <c r="H2343" s="2" t="inlineStr">
        <is>
          <t>S-Y01–S-Y03</t>
        </is>
      </c>
    </row>
    <row r="2344">
      <c r="A2344" s="2" t="inlineStr">
        <is>
          <t>L245</t>
        </is>
      </c>
      <c r="B2344" s="2" t="inlineStr">
        <is>
          <t>YUMMY YOGHOURT (YUYO)</t>
        </is>
      </c>
      <c r="C2344" s="2" t="inlineStr">
        <is>
          <t>S142</t>
        </is>
      </c>
      <c r="D2344" s="2" t="inlineStr">
        <is>
          <t>'YUMMY YOGHOURT (YUYO)'!C8,D8</t>
        </is>
      </c>
      <c r="E2344" s="2" t="inlineStr">
        <is>
          <t>stock yoghort</t>
        </is>
      </c>
      <c r="F2344" s="3" t="n">
        <v>500</v>
      </c>
      <c r="G2344" s="2" t="inlineStr">
        <is>
          <t>500</t>
        </is>
      </c>
      <c r="H2344" s="2" t="inlineStr">
        <is>
          <t>S-Y01–S-Y03</t>
        </is>
      </c>
    </row>
    <row r="2345">
      <c r="A2345" s="2" t="inlineStr">
        <is>
          <t>L245</t>
        </is>
      </c>
      <c r="B2345" s="2" t="inlineStr">
        <is>
          <t>YUMMY YOGHOURT (YUYO)</t>
        </is>
      </c>
      <c r="C2345" s="2" t="inlineStr">
        <is>
          <t>S142</t>
        </is>
      </c>
      <c r="D2345" s="2" t="inlineStr">
        <is>
          <t>'YUMMY YOGHOURT (YUYO)'!C9,D9</t>
        </is>
      </c>
      <c r="E2345" s="2" t="inlineStr">
        <is>
          <t>vanilla</t>
        </is>
      </c>
      <c r="F2345" s="3" t="n">
        <v>15</v>
      </c>
      <c r="G2345" s="2" t="inlineStr">
        <is>
          <t>15</t>
        </is>
      </c>
      <c r="H2345" s="2" t="inlineStr">
        <is>
          <t>S-Y01–S-Y03</t>
        </is>
      </c>
    </row>
    <row r="2346">
      <c r="A2346" s="2" t="inlineStr">
        <is>
          <t>L246</t>
        </is>
      </c>
      <c r="B2346" s="2" t="inlineStr">
        <is>
          <t>YUMMY YOGHOURT (YUYO)</t>
        </is>
      </c>
      <c r="C2346" s="2" t="inlineStr">
        <is>
          <t>S142</t>
        </is>
      </c>
      <c r="D2346" s="2" t="inlineStr">
        <is>
          <t>'YUMMY YOGHOURT (YUYO)'!C5,L5</t>
        </is>
      </c>
      <c r="E2346" s="2" t="inlineStr">
        <is>
          <t>Milk</t>
        </is>
      </c>
      <c r="F2346" s="3" t="n">
        <v>2500</v>
      </c>
      <c r="G2346" s="2" t="inlineStr">
        <is>
          <t>=F5/10 [cached: 2500]</t>
        </is>
      </c>
      <c r="H2346" s="2" t="inlineStr">
        <is>
          <t>S-Y01–S-Y03</t>
        </is>
      </c>
    </row>
    <row r="2347">
      <c r="A2347" s="2" t="inlineStr">
        <is>
          <t>L246</t>
        </is>
      </c>
      <c r="B2347" s="2" t="inlineStr">
        <is>
          <t>YUMMY YOGHOURT (YUYO)</t>
        </is>
      </c>
      <c r="C2347" s="2" t="inlineStr">
        <is>
          <t>S142</t>
        </is>
      </c>
      <c r="D2347" s="2" t="inlineStr">
        <is>
          <t>'YUMMY YOGHOURT (YUYO)'!C6,L6</t>
        </is>
      </c>
      <c r="E2347" s="2" t="inlineStr">
        <is>
          <t>sugar</t>
        </is>
      </c>
      <c r="F2347" s="3" t="n">
        <v>1500</v>
      </c>
      <c r="G2347" s="2" t="inlineStr">
        <is>
          <t>=F6/10 [cached: 1500]</t>
        </is>
      </c>
      <c r="H2347" s="2" t="inlineStr">
        <is>
          <t>S-Y01–S-Y03</t>
        </is>
      </c>
    </row>
    <row r="2348">
      <c r="A2348" s="2" t="inlineStr">
        <is>
          <t>L246</t>
        </is>
      </c>
      <c r="B2348" s="2" t="inlineStr">
        <is>
          <t>YUMMY YOGHOURT (YUYO)</t>
        </is>
      </c>
      <c r="C2348" s="2" t="inlineStr">
        <is>
          <t>S142</t>
        </is>
      </c>
      <c r="D2348" s="2" t="inlineStr">
        <is>
          <t>'YUMMY YOGHOURT (YUYO)'!C7,L7</t>
        </is>
      </c>
      <c r="E2348" s="2" t="inlineStr">
        <is>
          <t>Cold Water</t>
        </is>
      </c>
      <c r="F2348" s="3" t="n">
        <v>15000</v>
      </c>
      <c r="G2348" s="2" t="inlineStr">
        <is>
          <t>=F7/10 [cached: 15000]</t>
        </is>
      </c>
      <c r="H2348" s="2" t="inlineStr">
        <is>
          <t>S-Y01–S-Y03</t>
        </is>
      </c>
    </row>
    <row r="2349">
      <c r="A2349" s="2" t="inlineStr">
        <is>
          <t>L246</t>
        </is>
      </c>
      <c r="B2349" s="2" t="inlineStr">
        <is>
          <t>YUMMY YOGHOURT (YUYO)</t>
        </is>
      </c>
      <c r="C2349" s="2" t="inlineStr">
        <is>
          <t>S142</t>
        </is>
      </c>
      <c r="D2349" s="2" t="inlineStr">
        <is>
          <t>'YUMMY YOGHOURT (YUYO)'!C9,L9</t>
        </is>
      </c>
      <c r="E2349" s="2" t="inlineStr">
        <is>
          <t>vanilla</t>
        </is>
      </c>
      <c r="F2349" s="3" t="n">
        <v>37.5</v>
      </c>
      <c r="G2349" s="2" t="inlineStr">
        <is>
          <t>=F9/10 [cached: 37.5]</t>
        </is>
      </c>
      <c r="H2349" s="2" t="inlineStr">
        <is>
          <t>S-Y01–S-Y03</t>
        </is>
      </c>
    </row>
    <row r="2350">
      <c r="A2350" s="2" t="inlineStr">
        <is>
          <t>L247</t>
        </is>
      </c>
      <c r="B2350" s="2" t="inlineStr">
        <is>
          <t>beignet souffle</t>
        </is>
      </c>
      <c r="C2350" s="2" t="inlineStr">
        <is>
          <t>S142</t>
        </is>
      </c>
      <c r="D2350" s="2" t="inlineStr">
        <is>
          <t>'beignet souffle'!C5,D5</t>
        </is>
      </c>
      <c r="E2350" s="2" t="inlineStr">
        <is>
          <t>flour</t>
        </is>
      </c>
      <c r="F2350" s="3" t="n">
        <v>8000</v>
      </c>
      <c r="G2350" s="2" t="inlineStr">
        <is>
          <t>8000</t>
        </is>
      </c>
      <c r="H2350" s="2" t="inlineStr">
        <is>
          <t>H11</t>
        </is>
      </c>
    </row>
    <row r="2351">
      <c r="A2351" s="2" t="inlineStr">
        <is>
          <t>L247</t>
        </is>
      </c>
      <c r="B2351" s="2" t="inlineStr">
        <is>
          <t>beignet souffle</t>
        </is>
      </c>
      <c r="C2351" s="2" t="inlineStr">
        <is>
          <t>S142</t>
        </is>
      </c>
      <c r="D2351" s="2" t="inlineStr">
        <is>
          <t>'beignet souffle'!C6,D6</t>
        </is>
      </c>
      <c r="E2351" s="2" t="inlineStr">
        <is>
          <t>oil</t>
        </is>
      </c>
      <c r="F2351" s="3" t="n">
        <v>1000</v>
      </c>
      <c r="G2351" s="2" t="inlineStr">
        <is>
          <t>1000</t>
        </is>
      </c>
      <c r="H2351" s="2" t="inlineStr">
        <is>
          <t>H11</t>
        </is>
      </c>
    </row>
    <row r="2352">
      <c r="A2352" s="2" t="inlineStr">
        <is>
          <t>L247</t>
        </is>
      </c>
      <c r="B2352" s="2" t="inlineStr">
        <is>
          <t>beignet souffle</t>
        </is>
      </c>
      <c r="C2352" s="2" t="inlineStr">
        <is>
          <t>S142</t>
        </is>
      </c>
      <c r="D2352" s="2" t="inlineStr">
        <is>
          <t>'beignet souffle'!C7,D7</t>
        </is>
      </c>
      <c r="E2352" s="2" t="inlineStr">
        <is>
          <t>sugar</t>
        </is>
      </c>
      <c r="F2352" s="3" t="n">
        <v>1000</v>
      </c>
      <c r="G2352" s="2" t="inlineStr">
        <is>
          <t>1000</t>
        </is>
      </c>
      <c r="H2352" s="2" t="inlineStr">
        <is>
          <t>H11</t>
        </is>
      </c>
    </row>
    <row r="2353">
      <c r="A2353" s="2" t="inlineStr">
        <is>
          <t>L247</t>
        </is>
      </c>
      <c r="B2353" s="2" t="inlineStr">
        <is>
          <t>beignet souffle</t>
        </is>
      </c>
      <c r="C2353" s="2" t="inlineStr">
        <is>
          <t>S142</t>
        </is>
      </c>
      <c r="D2353" s="2" t="inlineStr">
        <is>
          <t>'beignet souffle'!C8,D8</t>
        </is>
      </c>
      <c r="E2353" s="2" t="inlineStr">
        <is>
          <t>Milk</t>
        </is>
      </c>
      <c r="F2353" s="3" t="n">
        <v>1000</v>
      </c>
      <c r="G2353" s="2" t="inlineStr">
        <is>
          <t>1000</t>
        </is>
      </c>
      <c r="H2353" s="2" t="inlineStr">
        <is>
          <t>H11</t>
        </is>
      </c>
    </row>
    <row r="2354">
      <c r="A2354" s="2" t="inlineStr">
        <is>
          <t>L247</t>
        </is>
      </c>
      <c r="B2354" s="2" t="inlineStr">
        <is>
          <t>beignet souffle</t>
        </is>
      </c>
      <c r="C2354" s="2" t="inlineStr">
        <is>
          <t>S142</t>
        </is>
      </c>
      <c r="D2354" s="2" t="inlineStr">
        <is>
          <t>'beignet souffle'!C9,D9</t>
        </is>
      </c>
      <c r="E2354" s="2" t="inlineStr">
        <is>
          <t>egg</t>
        </is>
      </c>
      <c r="F2354" s="3" t="n">
        <v>1500</v>
      </c>
      <c r="G2354" s="2" t="inlineStr">
        <is>
          <t>1500</t>
        </is>
      </c>
      <c r="H2354" s="2" t="inlineStr">
        <is>
          <t>H11</t>
        </is>
      </c>
    </row>
    <row r="2355">
      <c r="A2355" s="2" t="inlineStr">
        <is>
          <t>L247</t>
        </is>
      </c>
      <c r="B2355" s="2" t="inlineStr">
        <is>
          <t>beignet souffle</t>
        </is>
      </c>
      <c r="C2355" s="2" t="inlineStr">
        <is>
          <t>S142</t>
        </is>
      </c>
      <c r="D2355" s="2" t="inlineStr">
        <is>
          <t>'beignet souffle'!C10,D10</t>
        </is>
      </c>
      <c r="E2355" s="2" t="inlineStr">
        <is>
          <t>salt</t>
        </is>
      </c>
      <c r="F2355" s="3" t="n">
        <v>120</v>
      </c>
      <c r="G2355" s="2" t="inlineStr">
        <is>
          <t>120</t>
        </is>
      </c>
      <c r="H2355" s="2" t="inlineStr">
        <is>
          <t>H11</t>
        </is>
      </c>
    </row>
    <row r="2356">
      <c r="A2356" s="2" t="inlineStr">
        <is>
          <t>L247</t>
        </is>
      </c>
      <c r="B2356" s="2" t="inlineStr">
        <is>
          <t>beignet souffle</t>
        </is>
      </c>
      <c r="C2356" s="2" t="inlineStr">
        <is>
          <t>S142</t>
        </is>
      </c>
      <c r="D2356" s="2" t="inlineStr">
        <is>
          <t>'beignet souffle'!C11,D11</t>
        </is>
      </c>
      <c r="E2356" s="2" t="inlineStr">
        <is>
          <t>improver</t>
        </is>
      </c>
      <c r="F2356" s="3" t="n">
        <v>120</v>
      </c>
      <c r="G2356" s="2" t="inlineStr">
        <is>
          <t>120</t>
        </is>
      </c>
      <c r="H2356" s="2" t="inlineStr">
        <is>
          <t>H11</t>
        </is>
      </c>
    </row>
    <row r="2357">
      <c r="A2357" s="2" t="inlineStr">
        <is>
          <t>L247</t>
        </is>
      </c>
      <c r="B2357" s="2" t="inlineStr">
        <is>
          <t>beignet souffle</t>
        </is>
      </c>
      <c r="C2357" s="2" t="inlineStr">
        <is>
          <t>S142</t>
        </is>
      </c>
      <c r="D2357" s="2" t="inlineStr">
        <is>
          <t>'beignet souffle'!C12,D12</t>
        </is>
      </c>
      <c r="E2357" s="2" t="inlineStr">
        <is>
          <t>water</t>
        </is>
      </c>
      <c r="F2357" s="3" t="n">
        <v>3100</v>
      </c>
      <c r="G2357" s="2" t="inlineStr">
        <is>
          <t>3100</t>
        </is>
      </c>
      <c r="H2357" s="2" t="inlineStr">
        <is>
          <t>H11</t>
        </is>
      </c>
    </row>
    <row r="2358">
      <c r="A2358" s="2" t="inlineStr">
        <is>
          <t>L247</t>
        </is>
      </c>
      <c r="B2358" s="2" t="inlineStr">
        <is>
          <t>beignet souffle</t>
        </is>
      </c>
      <c r="C2358" s="2" t="inlineStr">
        <is>
          <t>S142</t>
        </is>
      </c>
      <c r="D2358" s="2" t="inlineStr">
        <is>
          <t>'beignet souffle'!C13,D13</t>
        </is>
      </c>
      <c r="E2358" s="2" t="inlineStr">
        <is>
          <t>baking powder</t>
        </is>
      </c>
      <c r="F2358" s="3" t="n">
        <v>110</v>
      </c>
      <c r="G2358" s="2" t="inlineStr">
        <is>
          <t>110</t>
        </is>
      </c>
      <c r="H2358" s="2" t="inlineStr">
        <is>
          <t>H11</t>
        </is>
      </c>
    </row>
    <row r="2359">
      <c r="A2359" s="2" t="inlineStr">
        <is>
          <t>L247</t>
        </is>
      </c>
      <c r="B2359" s="2" t="inlineStr">
        <is>
          <t>beignet souffle</t>
        </is>
      </c>
      <c r="C2359" s="2" t="inlineStr">
        <is>
          <t>S142</t>
        </is>
      </c>
      <c r="D2359" s="2" t="inlineStr">
        <is>
          <t>'beignet souffle'!C14,D14</t>
        </is>
      </c>
      <c r="E2359" s="2" t="inlineStr">
        <is>
          <t>EDC</t>
        </is>
      </c>
      <c r="F2359" s="3" t="n">
        <v>100</v>
      </c>
      <c r="G2359" s="2" t="inlineStr">
        <is>
          <t>100</t>
        </is>
      </c>
      <c r="H2359" s="2" t="inlineStr">
        <is>
          <t>H11</t>
        </is>
      </c>
    </row>
    <row r="2360">
      <c r="A2360" s="2" t="inlineStr">
        <is>
          <t>L247</t>
        </is>
      </c>
      <c r="B2360" s="2" t="inlineStr">
        <is>
          <t>beignet souffle</t>
        </is>
      </c>
      <c r="C2360" s="2" t="inlineStr">
        <is>
          <t>S142</t>
        </is>
      </c>
      <c r="D2360" s="2" t="inlineStr">
        <is>
          <t>'beignet souffle'!C15,D15</t>
        </is>
      </c>
      <c r="E2360" s="2" t="inlineStr">
        <is>
          <t>oil</t>
        </is>
      </c>
      <c r="F2360" s="3" t="n">
        <v>4000</v>
      </c>
      <c r="G2360" s="2" t="inlineStr">
        <is>
          <t>4000</t>
        </is>
      </c>
      <c r="H2360" s="2" t="inlineStr">
        <is>
          <t>H11</t>
        </is>
      </c>
    </row>
    <row r="2361">
      <c r="A2361" s="2" t="inlineStr">
        <is>
          <t>L248</t>
        </is>
      </c>
      <c r="B2361" s="2" t="inlineStr">
        <is>
          <t>beignet souffle</t>
        </is>
      </c>
      <c r="C2361" s="2" t="inlineStr">
        <is>
          <t>S142</t>
        </is>
      </c>
      <c r="D2361" s="2" t="inlineStr">
        <is>
          <t>'beignet souffle'!C5,F5</t>
        </is>
      </c>
      <c r="E2361" s="2" t="inlineStr">
        <is>
          <t>flour</t>
        </is>
      </c>
      <c r="F2361" s="3" t="n">
        <v>50000</v>
      </c>
      <c r="G2361" s="2" t="inlineStr">
        <is>
          <t>=H5*5 [cached: 50000]</t>
        </is>
      </c>
      <c r="H2361" s="2" t="inlineStr">
        <is>
          <t>H11</t>
        </is>
      </c>
    </row>
    <row r="2362">
      <c r="A2362" s="2" t="inlineStr">
        <is>
          <t>L248</t>
        </is>
      </c>
      <c r="B2362" s="2" t="inlineStr">
        <is>
          <t>beignet souffle</t>
        </is>
      </c>
      <c r="C2362" s="2" t="inlineStr">
        <is>
          <t>S142</t>
        </is>
      </c>
      <c r="D2362" s="2" t="inlineStr">
        <is>
          <t>'beignet souffle'!C6,F6</t>
        </is>
      </c>
      <c r="E2362" s="2" t="inlineStr">
        <is>
          <t>oil</t>
        </is>
      </c>
      <c r="F2362" s="3" t="n">
        <v>4000</v>
      </c>
      <c r="G2362" s="2" t="inlineStr">
        <is>
          <t>=H6*5 [cached: 4000]</t>
        </is>
      </c>
      <c r="H2362" s="2" t="inlineStr">
        <is>
          <t>H11</t>
        </is>
      </c>
    </row>
    <row r="2363">
      <c r="A2363" s="2" t="inlineStr">
        <is>
          <t>L248</t>
        </is>
      </c>
      <c r="B2363" s="2" t="inlineStr">
        <is>
          <t>beignet souffle</t>
        </is>
      </c>
      <c r="C2363" s="2" t="inlineStr">
        <is>
          <t>S142</t>
        </is>
      </c>
      <c r="D2363" s="2" t="inlineStr">
        <is>
          <t>'beignet souffle'!C7,F7</t>
        </is>
      </c>
      <c r="E2363" s="2" t="inlineStr">
        <is>
          <t>sugar</t>
        </is>
      </c>
      <c r="F2363" s="3" t="n">
        <v>5000</v>
      </c>
      <c r="G2363" s="2" t="inlineStr">
        <is>
          <t>=H7*5 [cached: 5000]</t>
        </is>
      </c>
      <c r="H2363" s="2" t="inlineStr">
        <is>
          <t>H11</t>
        </is>
      </c>
    </row>
    <row r="2364">
      <c r="A2364" s="2" t="inlineStr">
        <is>
          <t>L248</t>
        </is>
      </c>
      <c r="B2364" s="2" t="inlineStr">
        <is>
          <t>beignet souffle</t>
        </is>
      </c>
      <c r="C2364" s="2" t="inlineStr">
        <is>
          <t>S142</t>
        </is>
      </c>
      <c r="D2364" s="2" t="inlineStr">
        <is>
          <t>'beignet souffle'!C8,F8</t>
        </is>
      </c>
      <c r="E2364" s="2" t="inlineStr">
        <is>
          <t>Milk</t>
        </is>
      </c>
      <c r="F2364" s="3" t="n">
        <v>5000</v>
      </c>
      <c r="G2364" s="2" t="inlineStr">
        <is>
          <t>=H8*5 [cached: 5000]</t>
        </is>
      </c>
      <c r="H2364" s="2" t="inlineStr">
        <is>
          <t>H11</t>
        </is>
      </c>
    </row>
    <row r="2365">
      <c r="A2365" s="2" t="inlineStr">
        <is>
          <t>L248</t>
        </is>
      </c>
      <c r="B2365" s="2" t="inlineStr">
        <is>
          <t>beignet souffle</t>
        </is>
      </c>
      <c r="C2365" s="2" t="inlineStr">
        <is>
          <t>S142</t>
        </is>
      </c>
      <c r="D2365" s="2" t="inlineStr">
        <is>
          <t>'beignet souffle'!C9,F9</t>
        </is>
      </c>
      <c r="E2365" s="2" t="inlineStr">
        <is>
          <t>egg</t>
        </is>
      </c>
      <c r="F2365" s="3" t="n">
        <v>7500</v>
      </c>
      <c r="G2365" s="2" t="inlineStr">
        <is>
          <t>=H9*5 [cached: 7500]</t>
        </is>
      </c>
      <c r="H2365" s="2" t="inlineStr">
        <is>
          <t>H11</t>
        </is>
      </c>
    </row>
    <row r="2366">
      <c r="A2366" s="2" t="inlineStr">
        <is>
          <t>L248</t>
        </is>
      </c>
      <c r="B2366" s="2" t="inlineStr">
        <is>
          <t>beignet souffle</t>
        </is>
      </c>
      <c r="C2366" s="2" t="inlineStr">
        <is>
          <t>S142</t>
        </is>
      </c>
      <c r="D2366" s="2" t="inlineStr">
        <is>
          <t>'beignet souffle'!C10,F10</t>
        </is>
      </c>
      <c r="E2366" s="2" t="inlineStr">
        <is>
          <t>salt</t>
        </is>
      </c>
      <c r="F2366" s="3" t="n">
        <v>600</v>
      </c>
      <c r="G2366" s="2" t="inlineStr">
        <is>
          <t>=H10*5 [cached: 600]</t>
        </is>
      </c>
      <c r="H2366" s="2" t="inlineStr">
        <is>
          <t>H11</t>
        </is>
      </c>
    </row>
    <row r="2367">
      <c r="A2367" s="2" t="inlineStr">
        <is>
          <t>L248</t>
        </is>
      </c>
      <c r="B2367" s="2" t="inlineStr">
        <is>
          <t>beignet souffle</t>
        </is>
      </c>
      <c r="C2367" s="2" t="inlineStr">
        <is>
          <t>S142</t>
        </is>
      </c>
      <c r="D2367" s="2" t="inlineStr">
        <is>
          <t>'beignet souffle'!C11,F11</t>
        </is>
      </c>
      <c r="E2367" s="2" t="inlineStr">
        <is>
          <t>improver</t>
        </is>
      </c>
      <c r="F2367" s="3" t="n">
        <v>600</v>
      </c>
      <c r="G2367" s="2" t="inlineStr">
        <is>
          <t>=H11*5 [cached: 600]</t>
        </is>
      </c>
      <c r="H2367" s="2" t="inlineStr">
        <is>
          <t>H11</t>
        </is>
      </c>
    </row>
    <row r="2368">
      <c r="A2368" s="2" t="inlineStr">
        <is>
          <t>L248</t>
        </is>
      </c>
      <c r="B2368" s="2" t="inlineStr">
        <is>
          <t>beignet souffle</t>
        </is>
      </c>
      <c r="C2368" s="2" t="inlineStr">
        <is>
          <t>S142</t>
        </is>
      </c>
      <c r="D2368" s="2" t="inlineStr">
        <is>
          <t>'beignet souffle'!C12,F12</t>
        </is>
      </c>
      <c r="E2368" s="2" t="inlineStr">
        <is>
          <t>water</t>
        </is>
      </c>
      <c r="F2368" s="3" t="n">
        <v>25000</v>
      </c>
      <c r="G2368" s="2" t="inlineStr">
        <is>
          <t>=H12*5 [cached: 25000]</t>
        </is>
      </c>
      <c r="H2368" s="2" t="inlineStr">
        <is>
          <t>H11</t>
        </is>
      </c>
    </row>
    <row r="2369">
      <c r="A2369" s="2" t="inlineStr">
        <is>
          <t>L248</t>
        </is>
      </c>
      <c r="B2369" s="2" t="inlineStr">
        <is>
          <t>beignet souffle</t>
        </is>
      </c>
      <c r="C2369" s="2" t="inlineStr">
        <is>
          <t>S142</t>
        </is>
      </c>
      <c r="D2369" s="2" t="inlineStr">
        <is>
          <t>'beignet souffle'!C13,F13</t>
        </is>
      </c>
      <c r="E2369" s="2" t="inlineStr">
        <is>
          <t>baking powder</t>
        </is>
      </c>
      <c r="F2369" s="3" t="n">
        <v>600</v>
      </c>
      <c r="G2369" s="2" t="inlineStr">
        <is>
          <t>=H13*5 [cached: 600]</t>
        </is>
      </c>
      <c r="H2369" s="2" t="inlineStr">
        <is>
          <t>H11</t>
        </is>
      </c>
    </row>
    <row r="2370">
      <c r="A2370" s="2" t="inlineStr">
        <is>
          <t>L248</t>
        </is>
      </c>
      <c r="B2370" s="2" t="inlineStr">
        <is>
          <t>beignet souffle</t>
        </is>
      </c>
      <c r="C2370" s="2" t="inlineStr">
        <is>
          <t>S142</t>
        </is>
      </c>
      <c r="D2370" s="2" t="inlineStr">
        <is>
          <t>'beignet souffle'!C14,F14</t>
        </is>
      </c>
      <c r="E2370" s="2" t="inlineStr">
        <is>
          <t>EDC</t>
        </is>
      </c>
      <c r="F2370" s="3" t="n">
        <v>600</v>
      </c>
      <c r="G2370" s="2" t="inlineStr">
        <is>
          <t>=H14*5 [cached: 600]</t>
        </is>
      </c>
      <c r="H2370" s="2" t="inlineStr">
        <is>
          <t>H11</t>
        </is>
      </c>
    </row>
    <row r="2371">
      <c r="A2371" s="2" t="inlineStr">
        <is>
          <t>L248</t>
        </is>
      </c>
      <c r="B2371" s="2" t="inlineStr">
        <is>
          <t>beignet souffle</t>
        </is>
      </c>
      <c r="C2371" s="2" t="inlineStr">
        <is>
          <t>S142</t>
        </is>
      </c>
      <c r="D2371" s="2" t="inlineStr">
        <is>
          <t>'beignet souffle'!C15,F15</t>
        </is>
      </c>
      <c r="E2371" s="2" t="inlineStr">
        <is>
          <t>oil</t>
        </is>
      </c>
      <c r="F2371" s="3" t="n">
        <v>15000</v>
      </c>
      <c r="G2371" s="2" t="inlineStr">
        <is>
          <t>=H15*5 [cached: 15000]</t>
        </is>
      </c>
      <c r="H2371" s="2" t="inlineStr">
        <is>
          <t>H11</t>
        </is>
      </c>
    </row>
    <row r="2372">
      <c r="A2372" s="2" t="inlineStr">
        <is>
          <t>L249</t>
        </is>
      </c>
      <c r="B2372" s="2" t="inlineStr">
        <is>
          <t>doughnuts</t>
        </is>
      </c>
      <c r="C2372" s="2" t="inlineStr">
        <is>
          <t>S142</t>
        </is>
      </c>
      <c r="D2372" s="2" t="inlineStr">
        <is>
          <t>'doughnuts'!C5,H5</t>
        </is>
      </c>
      <c r="E2372" s="2" t="inlineStr">
        <is>
          <t>flour</t>
        </is>
      </c>
      <c r="F2372" s="3" t="n">
        <v>10000</v>
      </c>
      <c r="G2372" s="2" t="inlineStr">
        <is>
          <t>10000</t>
        </is>
      </c>
      <c r="H2372" s="2" t="inlineStr">
        <is>
          <t>T01 for cake / O-P04 for yeast</t>
        </is>
      </c>
    </row>
    <row r="2373">
      <c r="A2373" s="2" t="inlineStr">
        <is>
          <t>L249</t>
        </is>
      </c>
      <c r="B2373" s="2" t="inlineStr">
        <is>
          <t>doughnuts</t>
        </is>
      </c>
      <c r="C2373" s="2" t="inlineStr">
        <is>
          <t>S142</t>
        </is>
      </c>
      <c r="D2373" s="2" t="inlineStr">
        <is>
          <t>'doughnuts'!C6,H6</t>
        </is>
      </c>
      <c r="E2373" s="2" t="inlineStr">
        <is>
          <t>baking powder</t>
        </is>
      </c>
      <c r="F2373" s="3" t="n">
        <v>120</v>
      </c>
      <c r="G2373" s="2" t="inlineStr">
        <is>
          <t>120</t>
        </is>
      </c>
      <c r="H2373" s="2" t="inlineStr">
        <is>
          <t>T01 for cake / O-P04 for yeast</t>
        </is>
      </c>
    </row>
    <row r="2374">
      <c r="A2374" s="2" t="inlineStr">
        <is>
          <t>L249</t>
        </is>
      </c>
      <c r="B2374" s="2" t="inlineStr">
        <is>
          <t>doughnuts</t>
        </is>
      </c>
      <c r="C2374" s="2" t="inlineStr">
        <is>
          <t>S142</t>
        </is>
      </c>
      <c r="D2374" s="2" t="inlineStr">
        <is>
          <t>'doughnuts'!C7,H7</t>
        </is>
      </c>
      <c r="E2374" s="2" t="inlineStr">
        <is>
          <t>milk</t>
        </is>
      </c>
      <c r="F2374" s="3" t="n">
        <v>1000</v>
      </c>
      <c r="G2374" s="2" t="inlineStr">
        <is>
          <t>1000</t>
        </is>
      </c>
      <c r="H2374" s="2" t="inlineStr">
        <is>
          <t>T01 for cake / O-P04 for yeast</t>
        </is>
      </c>
    </row>
    <row r="2375">
      <c r="A2375" s="2" t="inlineStr">
        <is>
          <t>L249</t>
        </is>
      </c>
      <c r="B2375" s="2" t="inlineStr">
        <is>
          <t>doughnuts</t>
        </is>
      </c>
      <c r="C2375" s="2" t="inlineStr">
        <is>
          <t>S142</t>
        </is>
      </c>
      <c r="D2375" s="2" t="inlineStr">
        <is>
          <t>'doughnuts'!C8,H8</t>
        </is>
      </c>
      <c r="E2375" s="2" t="inlineStr">
        <is>
          <t>Butter</t>
        </is>
      </c>
      <c r="F2375" s="3" t="n">
        <v>5000</v>
      </c>
      <c r="G2375" s="2" t="inlineStr">
        <is>
          <t>=D8*50 [cached: 5000]</t>
        </is>
      </c>
      <c r="H2375" s="2" t="inlineStr">
        <is>
          <t>T01 for cake / O-P04 for yeast</t>
        </is>
      </c>
    </row>
    <row r="2376">
      <c r="A2376" s="2" t="inlineStr">
        <is>
          <t>L249</t>
        </is>
      </c>
      <c r="B2376" s="2" t="inlineStr">
        <is>
          <t>doughnuts</t>
        </is>
      </c>
      <c r="C2376" s="2" t="inlineStr">
        <is>
          <t>S142</t>
        </is>
      </c>
      <c r="D2376" s="2" t="inlineStr">
        <is>
          <t>'doughnuts'!C9,H9</t>
        </is>
      </c>
      <c r="E2376" s="2" t="inlineStr">
        <is>
          <t>salt</t>
        </is>
      </c>
      <c r="F2376" s="3" t="n">
        <v>150</v>
      </c>
      <c r="G2376" s="2" t="inlineStr">
        <is>
          <t>=D9*50 [cached: 150]</t>
        </is>
      </c>
      <c r="H2376" s="2" t="inlineStr">
        <is>
          <t>T01 for cake / O-P04 for yeast</t>
        </is>
      </c>
    </row>
    <row r="2377">
      <c r="A2377" s="2" t="inlineStr">
        <is>
          <t>L249</t>
        </is>
      </c>
      <c r="B2377" s="2" t="inlineStr">
        <is>
          <t>doughnuts</t>
        </is>
      </c>
      <c r="C2377" s="2" t="inlineStr">
        <is>
          <t>S142</t>
        </is>
      </c>
      <c r="D2377" s="2" t="inlineStr">
        <is>
          <t>'doughnuts'!C10,H10</t>
        </is>
      </c>
      <c r="E2377" s="2" t="inlineStr">
        <is>
          <t>Improver</t>
        </is>
      </c>
      <c r="F2377" s="3" t="n">
        <v>1500</v>
      </c>
      <c r="G2377" s="2" t="inlineStr">
        <is>
          <t>=D10*50 [cached: 1500]</t>
        </is>
      </c>
      <c r="H2377" s="2" t="inlineStr">
        <is>
          <t>T01 for cake / O-P04 for yeast</t>
        </is>
      </c>
    </row>
    <row r="2378">
      <c r="A2378" s="2" t="inlineStr">
        <is>
          <t>L249</t>
        </is>
      </c>
      <c r="B2378" s="2" t="inlineStr">
        <is>
          <t>doughnuts</t>
        </is>
      </c>
      <c r="C2378" s="2" t="inlineStr">
        <is>
          <t>S142</t>
        </is>
      </c>
      <c r="D2378" s="2" t="inlineStr">
        <is>
          <t>'doughnuts'!C11,H11</t>
        </is>
      </c>
      <c r="E2378" s="2" t="inlineStr">
        <is>
          <t>nutmeg</t>
        </is>
      </c>
      <c r="F2378" s="3" t="n">
        <v>250</v>
      </c>
      <c r="G2378" s="2" t="inlineStr">
        <is>
          <t>=D11*50 [cached: 250]</t>
        </is>
      </c>
      <c r="H2378" s="2" t="inlineStr">
        <is>
          <t>T01 for cake / O-P04 for yeast</t>
        </is>
      </c>
    </row>
    <row r="2379">
      <c r="A2379" s="2" t="inlineStr">
        <is>
          <t>L249</t>
        </is>
      </c>
      <c r="B2379" s="2" t="inlineStr">
        <is>
          <t>doughnuts</t>
        </is>
      </c>
      <c r="C2379" s="2" t="inlineStr">
        <is>
          <t>S142</t>
        </is>
      </c>
      <c r="D2379" s="2" t="inlineStr">
        <is>
          <t>'doughnuts'!C12,H12</t>
        </is>
      </c>
      <c r="E2379" s="2" t="inlineStr">
        <is>
          <t>eggs</t>
        </is>
      </c>
      <c r="F2379" s="3" t="n">
        <v>7500</v>
      </c>
      <c r="G2379" s="2" t="inlineStr">
        <is>
          <t>=D12*50 [cached: 7500]</t>
        </is>
      </c>
      <c r="H2379" s="2" t="inlineStr">
        <is>
          <t>T01 for cake / O-P04 for yeast</t>
        </is>
      </c>
    </row>
    <row r="2380">
      <c r="A2380" s="2" t="inlineStr">
        <is>
          <t>L250</t>
        </is>
      </c>
      <c r="B2380" s="2" t="inlineStr">
        <is>
          <t>Cake Prof</t>
        </is>
      </c>
      <c r="C2380" s="2" t="inlineStr">
        <is>
          <t>S143</t>
        </is>
      </c>
      <c r="D2380" s="2" t="inlineStr">
        <is>
          <t>'Cake Prof'!C5,D5</t>
        </is>
      </c>
      <c r="E2380" s="2" t="inlineStr">
        <is>
          <t>flour</t>
        </is>
      </c>
      <c r="F2380" s="3" t="n">
        <v>2500</v>
      </c>
      <c r="G2380" s="2" t="inlineStr">
        <is>
          <t>2500.0</t>
        </is>
      </c>
      <c r="H2380" s="2" t="inlineStr">
        <is>
          <t>H08 / H09; exact style differs</t>
        </is>
      </c>
    </row>
    <row r="2381">
      <c r="A2381" s="2" t="inlineStr">
        <is>
          <t>L250</t>
        </is>
      </c>
      <c r="B2381" s="2" t="inlineStr">
        <is>
          <t>Cake Prof</t>
        </is>
      </c>
      <c r="C2381" s="2" t="inlineStr">
        <is>
          <t>S143</t>
        </is>
      </c>
      <c r="D2381" s="2" t="inlineStr">
        <is>
          <t>'Cake Prof'!C6,D6</t>
        </is>
      </c>
      <c r="E2381" s="2" t="inlineStr">
        <is>
          <t>baking powder</t>
        </is>
      </c>
      <c r="F2381" s="3" t="n">
        <v>80</v>
      </c>
      <c r="G2381" s="2" t="inlineStr">
        <is>
          <t>80.0</t>
        </is>
      </c>
      <c r="H2381" s="2" t="inlineStr">
        <is>
          <t>H08 / H09; exact style differs</t>
        </is>
      </c>
    </row>
    <row r="2382">
      <c r="A2382" s="2" t="inlineStr">
        <is>
          <t>L250</t>
        </is>
      </c>
      <c r="B2382" s="2" t="inlineStr">
        <is>
          <t>Cake Prof</t>
        </is>
      </c>
      <c r="C2382" s="2" t="inlineStr">
        <is>
          <t>S143</t>
        </is>
      </c>
      <c r="D2382" s="2" t="inlineStr">
        <is>
          <t>'Cake Prof'!C7,D7</t>
        </is>
      </c>
      <c r="E2382" s="2" t="inlineStr">
        <is>
          <t>salt</t>
        </is>
      </c>
      <c r="F2382" s="3" t="n">
        <v>30</v>
      </c>
      <c r="G2382" s="2" t="inlineStr">
        <is>
          <t>30.0</t>
        </is>
      </c>
      <c r="H2382" s="2" t="inlineStr">
        <is>
          <t>H08 / H09; exact style differs</t>
        </is>
      </c>
    </row>
    <row r="2383">
      <c r="A2383" s="2" t="inlineStr">
        <is>
          <t>L250</t>
        </is>
      </c>
      <c r="B2383" s="2" t="inlineStr">
        <is>
          <t>Cake Prof</t>
        </is>
      </c>
      <c r="C2383" s="2" t="inlineStr">
        <is>
          <t>S143</t>
        </is>
      </c>
      <c r="D2383" s="2" t="inlineStr">
        <is>
          <t>'Cake Prof'!C8,D8</t>
        </is>
      </c>
      <c r="E2383" s="2" t="inlineStr">
        <is>
          <t>Nut Meg</t>
        </is>
      </c>
      <c r="F2383" s="3" t="n">
        <v>45</v>
      </c>
      <c r="G2383" s="2" t="inlineStr">
        <is>
          <t>45.0</t>
        </is>
      </c>
      <c r="H2383" s="2" t="inlineStr">
        <is>
          <t>H08 / H09; exact style differs</t>
        </is>
      </c>
    </row>
    <row r="2384">
      <c r="A2384" s="2" t="inlineStr">
        <is>
          <t>L250</t>
        </is>
      </c>
      <c r="B2384" s="2" t="inlineStr">
        <is>
          <t>Cake Prof</t>
        </is>
      </c>
      <c r="C2384" s="2" t="inlineStr">
        <is>
          <t>S143</t>
        </is>
      </c>
      <c r="D2384" s="2" t="inlineStr">
        <is>
          <t>'Cake Prof'!C9,D9</t>
        </is>
      </c>
      <c r="E2384" s="2" t="inlineStr">
        <is>
          <t>Egg</t>
        </is>
      </c>
      <c r="F2384" s="3" t="n">
        <v>1650</v>
      </c>
      <c r="G2384" s="2" t="inlineStr">
        <is>
          <t>1650.0</t>
        </is>
      </c>
      <c r="H2384" s="2" t="inlineStr">
        <is>
          <t>H08 / H09; exact style differs</t>
        </is>
      </c>
    </row>
    <row r="2385">
      <c r="A2385" s="2" t="inlineStr">
        <is>
          <t>L250</t>
        </is>
      </c>
      <c r="B2385" s="2" t="inlineStr">
        <is>
          <t>Cake Prof</t>
        </is>
      </c>
      <c r="C2385" s="2" t="inlineStr">
        <is>
          <t>S143</t>
        </is>
      </c>
      <c r="D2385" s="2" t="inlineStr">
        <is>
          <t>'Cake Prof'!C10,D10</t>
        </is>
      </c>
      <c r="E2385" s="2" t="inlineStr">
        <is>
          <t>Butter</t>
        </is>
      </c>
      <c r="F2385" s="3" t="n">
        <v>1500</v>
      </c>
      <c r="G2385" s="2" t="inlineStr">
        <is>
          <t>1500.0</t>
        </is>
      </c>
      <c r="H2385" s="2" t="inlineStr">
        <is>
          <t>H08 / H09; exact style differs</t>
        </is>
      </c>
    </row>
    <row r="2386">
      <c r="A2386" s="2" t="inlineStr">
        <is>
          <t>L250</t>
        </is>
      </c>
      <c r="B2386" s="2" t="inlineStr">
        <is>
          <t>Cake Prof</t>
        </is>
      </c>
      <c r="C2386" s="2" t="inlineStr">
        <is>
          <t>S143</t>
        </is>
      </c>
      <c r="D2386" s="2" t="inlineStr">
        <is>
          <t>'Cake Prof'!C11,D11</t>
        </is>
      </c>
      <c r="E2386" s="2" t="inlineStr">
        <is>
          <t>sugar</t>
        </is>
      </c>
      <c r="F2386" s="3" t="n">
        <v>900</v>
      </c>
      <c r="G2386" s="2" t="inlineStr">
        <is>
          <t>900.0</t>
        </is>
      </c>
      <c r="H2386" s="2" t="inlineStr">
        <is>
          <t>H08 / H09; exact style differs</t>
        </is>
      </c>
    </row>
    <row r="2387">
      <c r="A2387" s="2" t="inlineStr">
        <is>
          <t>L251</t>
        </is>
      </c>
      <c r="B2387" s="2" t="inlineStr">
        <is>
          <t>YUMMY BREAD</t>
        </is>
      </c>
      <c r="C2387" s="2" t="inlineStr">
        <is>
          <t>S143</t>
        </is>
      </c>
      <c r="D2387" s="2" t="inlineStr">
        <is>
          <t>'YUMMY BREAD'!C5,D5</t>
        </is>
      </c>
      <c r="E2387" s="2" t="inlineStr">
        <is>
          <t>flour</t>
        </is>
      </c>
      <c r="F2387" s="3" t="n">
        <v>12000</v>
      </c>
      <c r="G2387" s="2" t="inlineStr">
        <is>
          <t>12000.0</t>
        </is>
      </c>
      <c r="H2387" s="2" t="inlineStr">
        <is>
          <t>M1-B01–B13</t>
        </is>
      </c>
    </row>
    <row r="2388">
      <c r="A2388" s="2" t="inlineStr">
        <is>
          <t>L251</t>
        </is>
      </c>
      <c r="B2388" s="2" t="inlineStr">
        <is>
          <t>YUMMY BREAD</t>
        </is>
      </c>
      <c r="C2388" s="2" t="inlineStr">
        <is>
          <t>S143</t>
        </is>
      </c>
      <c r="D2388" s="2" t="inlineStr">
        <is>
          <t>'YUMMY BREAD'!C6,D6</t>
        </is>
      </c>
      <c r="E2388" s="2" t="inlineStr">
        <is>
          <t>Butter</t>
        </is>
      </c>
      <c r="F2388" s="3" t="n">
        <v>1500</v>
      </c>
      <c r="G2388" s="2" t="inlineStr">
        <is>
          <t>1500.0</t>
        </is>
      </c>
      <c r="H2388" s="2" t="inlineStr">
        <is>
          <t>M1-B01–B13</t>
        </is>
      </c>
    </row>
    <row r="2389">
      <c r="A2389" s="2" t="inlineStr">
        <is>
          <t>L251</t>
        </is>
      </c>
      <c r="B2389" s="2" t="inlineStr">
        <is>
          <t>YUMMY BREAD</t>
        </is>
      </c>
      <c r="C2389" s="2" t="inlineStr">
        <is>
          <t>S143</t>
        </is>
      </c>
      <c r="D2389" s="2" t="inlineStr">
        <is>
          <t>'YUMMY BREAD'!C7,D7</t>
        </is>
      </c>
      <c r="E2389" s="2" t="inlineStr">
        <is>
          <t>sugar</t>
        </is>
      </c>
      <c r="F2389" s="3" t="n">
        <v>1500</v>
      </c>
      <c r="G2389" s="2" t="inlineStr">
        <is>
          <t>1500.0</t>
        </is>
      </c>
      <c r="H2389" s="2" t="inlineStr">
        <is>
          <t>M1-B01–B13</t>
        </is>
      </c>
    </row>
    <row r="2390">
      <c r="A2390" s="2" t="inlineStr">
        <is>
          <t>L251</t>
        </is>
      </c>
      <c r="B2390" s="2" t="inlineStr">
        <is>
          <t>YUMMY BREAD</t>
        </is>
      </c>
      <c r="C2390" s="2" t="inlineStr">
        <is>
          <t>S143</t>
        </is>
      </c>
      <c r="D2390" s="2" t="inlineStr">
        <is>
          <t>'YUMMY BREAD'!C8,D8</t>
        </is>
      </c>
      <c r="E2390" s="2" t="inlineStr">
        <is>
          <t>Milk</t>
        </is>
      </c>
      <c r="F2390" s="3" t="n">
        <v>1000</v>
      </c>
      <c r="G2390" s="2" t="inlineStr">
        <is>
          <t>1000.0</t>
        </is>
      </c>
      <c r="H2390" s="2" t="inlineStr">
        <is>
          <t>M1-B01–B13</t>
        </is>
      </c>
    </row>
    <row r="2391">
      <c r="A2391" s="2" t="inlineStr">
        <is>
          <t>L251</t>
        </is>
      </c>
      <c r="B2391" s="2" t="inlineStr">
        <is>
          <t>YUMMY BREAD</t>
        </is>
      </c>
      <c r="C2391" s="2" t="inlineStr">
        <is>
          <t>S143</t>
        </is>
      </c>
      <c r="D2391" s="2" t="inlineStr">
        <is>
          <t>'YUMMY BREAD'!C9,D9</t>
        </is>
      </c>
      <c r="E2391" s="2" t="inlineStr">
        <is>
          <t>egg</t>
        </is>
      </c>
      <c r="F2391" s="3" t="n">
        <v>600</v>
      </c>
      <c r="G2391" s="2" t="inlineStr">
        <is>
          <t>600.0</t>
        </is>
      </c>
      <c r="H2391" s="2" t="inlineStr">
        <is>
          <t>M1-B01–B13</t>
        </is>
      </c>
    </row>
    <row r="2392">
      <c r="A2392" s="2" t="inlineStr">
        <is>
          <t>L251</t>
        </is>
      </c>
      <c r="B2392" s="2" t="inlineStr">
        <is>
          <t>YUMMY BREAD</t>
        </is>
      </c>
      <c r="C2392" s="2" t="inlineStr">
        <is>
          <t>S143</t>
        </is>
      </c>
      <c r="D2392" s="2" t="inlineStr">
        <is>
          <t>'YUMMY BREAD'!C10,D10</t>
        </is>
      </c>
      <c r="E2392" s="2" t="inlineStr">
        <is>
          <t>salt</t>
        </is>
      </c>
      <c r="F2392" s="3" t="n">
        <v>120</v>
      </c>
      <c r="G2392" s="2" t="inlineStr">
        <is>
          <t>120.0</t>
        </is>
      </c>
      <c r="H2392" s="2" t="inlineStr">
        <is>
          <t>M1-B01–B13</t>
        </is>
      </c>
    </row>
    <row r="2393">
      <c r="A2393" s="2" t="inlineStr">
        <is>
          <t>L251</t>
        </is>
      </c>
      <c r="B2393" s="2" t="inlineStr">
        <is>
          <t>YUMMY BREAD</t>
        </is>
      </c>
      <c r="C2393" s="2" t="inlineStr">
        <is>
          <t>S143</t>
        </is>
      </c>
      <c r="D2393" s="2" t="inlineStr">
        <is>
          <t>'YUMMY BREAD'!C11,D11</t>
        </is>
      </c>
      <c r="E2393" s="2" t="inlineStr">
        <is>
          <t>improver</t>
        </is>
      </c>
      <c r="F2393" s="3" t="n">
        <v>120</v>
      </c>
      <c r="G2393" s="2" t="inlineStr">
        <is>
          <t>120.0</t>
        </is>
      </c>
      <c r="H2393" s="2" t="inlineStr">
        <is>
          <t>M1-B01–B13</t>
        </is>
      </c>
    </row>
    <row r="2394">
      <c r="A2394" s="2" t="inlineStr">
        <is>
          <t>L251</t>
        </is>
      </c>
      <c r="B2394" s="2" t="inlineStr">
        <is>
          <t>YUMMY BREAD</t>
        </is>
      </c>
      <c r="C2394" s="2" t="inlineStr">
        <is>
          <t>S143</t>
        </is>
      </c>
      <c r="D2394" s="2" t="inlineStr">
        <is>
          <t>'YUMMY BREAD'!C12,D12</t>
        </is>
      </c>
      <c r="E2394" s="2" t="inlineStr">
        <is>
          <t>yeast</t>
        </is>
      </c>
      <c r="F2394" s="3" t="n">
        <v>160</v>
      </c>
      <c r="G2394" s="2" t="inlineStr">
        <is>
          <t>160.0</t>
        </is>
      </c>
      <c r="H2394" s="2" t="inlineStr">
        <is>
          <t>M1-B01–B13</t>
        </is>
      </c>
    </row>
    <row r="2395">
      <c r="A2395" s="2" t="inlineStr">
        <is>
          <t>L251</t>
        </is>
      </c>
      <c r="B2395" s="2" t="inlineStr">
        <is>
          <t>YUMMY BREAD</t>
        </is>
      </c>
      <c r="C2395" s="2" t="inlineStr">
        <is>
          <t>S143</t>
        </is>
      </c>
      <c r="D2395" s="2" t="inlineStr">
        <is>
          <t>'YUMMY BREAD'!C13,D13</t>
        </is>
      </c>
      <c r="E2395" s="2" t="inlineStr">
        <is>
          <t>water</t>
        </is>
      </c>
      <c r="F2395" s="3" t="n">
        <v>3200</v>
      </c>
      <c r="G2395" s="2" t="inlineStr">
        <is>
          <t>3200.0</t>
        </is>
      </c>
      <c r="H2395" s="2" t="inlineStr">
        <is>
          <t>M1-B01–B13</t>
        </is>
      </c>
    </row>
    <row r="2396">
      <c r="A2396" s="2" t="inlineStr">
        <is>
          <t>L251</t>
        </is>
      </c>
      <c r="B2396" s="2" t="inlineStr">
        <is>
          <t>YUMMY BREAD</t>
        </is>
      </c>
      <c r="C2396" s="2" t="inlineStr">
        <is>
          <t>S143</t>
        </is>
      </c>
      <c r="D2396" s="2" t="inlineStr">
        <is>
          <t>'YUMMY BREAD'!C14,D14</t>
        </is>
      </c>
      <c r="E2396" s="2" t="inlineStr">
        <is>
          <t>Oil</t>
        </is>
      </c>
      <c r="F2396" s="3" t="n">
        <v>300</v>
      </c>
      <c r="G2396" s="2" t="inlineStr">
        <is>
          <t>300.0</t>
        </is>
      </c>
      <c r="H2396" s="2" t="inlineStr">
        <is>
          <t>M1-B01–B13</t>
        </is>
      </c>
    </row>
    <row r="2397">
      <c r="A2397" s="2" t="inlineStr">
        <is>
          <t>L251</t>
        </is>
      </c>
      <c r="B2397" s="2" t="inlineStr">
        <is>
          <t>YUMMY BREAD</t>
        </is>
      </c>
      <c r="C2397" s="2" t="inlineStr">
        <is>
          <t>S143</t>
        </is>
      </c>
      <c r="D2397" s="2" t="inlineStr">
        <is>
          <t>'YUMMY BREAD'!C15,D15</t>
        </is>
      </c>
      <c r="E2397" s="2" t="inlineStr">
        <is>
          <t>Milk tantalizer</t>
        </is>
      </c>
      <c r="F2397" s="3" t="n">
        <v>20</v>
      </c>
      <c r="G2397" s="2" t="inlineStr">
        <is>
          <t>20.0</t>
        </is>
      </c>
      <c r="H2397" s="2" t="inlineStr">
        <is>
          <t>M1-B01–B13</t>
        </is>
      </c>
    </row>
    <row r="2398">
      <c r="A2398" s="2" t="inlineStr">
        <is>
          <t>L251</t>
        </is>
      </c>
      <c r="B2398" s="2" t="inlineStr">
        <is>
          <t>YUMMY BREAD</t>
        </is>
      </c>
      <c r="C2398" s="2" t="inlineStr">
        <is>
          <t>S143</t>
        </is>
      </c>
      <c r="D2398" s="2" t="inlineStr">
        <is>
          <t>'YUMMY BREAD'!C16,D16</t>
        </is>
      </c>
      <c r="E2398" s="2" t="inlineStr">
        <is>
          <t>EDC</t>
        </is>
      </c>
      <c r="F2398" s="3" t="n">
        <v>50</v>
      </c>
      <c r="G2398" s="2" t="inlineStr">
        <is>
          <t>50.0</t>
        </is>
      </c>
      <c r="H2398" s="2" t="inlineStr">
        <is>
          <t>M1-B01–B13</t>
        </is>
      </c>
    </row>
    <row r="2399">
      <c r="A2399" s="2" t="inlineStr">
        <is>
          <t>L252</t>
        </is>
      </c>
      <c r="B2399" s="2" t="inlineStr">
        <is>
          <t>YUMMY YOGHOURT (YUYO)</t>
        </is>
      </c>
      <c r="C2399" s="2" t="inlineStr">
        <is>
          <t>S143</t>
        </is>
      </c>
      <c r="D2399" s="2" t="inlineStr">
        <is>
          <t>'YUMMY YOGHOURT (YUYO)'!C5,D5</t>
        </is>
      </c>
      <c r="E2399" s="2" t="inlineStr">
        <is>
          <t>Milk</t>
        </is>
      </c>
      <c r="F2399" s="3" t="n">
        <v>1000</v>
      </c>
      <c r="G2399" s="2" t="inlineStr">
        <is>
          <t>1000.0</t>
        </is>
      </c>
      <c r="H2399" s="2" t="inlineStr">
        <is>
          <t>S-Y01–S-Y03</t>
        </is>
      </c>
    </row>
    <row r="2400">
      <c r="A2400" s="2" t="inlineStr">
        <is>
          <t>L252</t>
        </is>
      </c>
      <c r="B2400" s="2" t="inlineStr">
        <is>
          <t>YUMMY YOGHOURT (YUYO)</t>
        </is>
      </c>
      <c r="C2400" s="2" t="inlineStr">
        <is>
          <t>S143</t>
        </is>
      </c>
      <c r="D2400" s="2" t="inlineStr">
        <is>
          <t>'YUMMY YOGHOURT (YUYO)'!C6,D6</t>
        </is>
      </c>
      <c r="E2400" s="2" t="inlineStr">
        <is>
          <t>sugar</t>
        </is>
      </c>
      <c r="F2400" s="3" t="n">
        <v>500</v>
      </c>
      <c r="G2400" s="2" t="inlineStr">
        <is>
          <t>500.0</t>
        </is>
      </c>
      <c r="H2400" s="2" t="inlineStr">
        <is>
          <t>S-Y01–S-Y03</t>
        </is>
      </c>
    </row>
    <row r="2401">
      <c r="A2401" s="2" t="inlineStr">
        <is>
          <t>L252</t>
        </is>
      </c>
      <c r="B2401" s="2" t="inlineStr">
        <is>
          <t>YUMMY YOGHOURT (YUYO)</t>
        </is>
      </c>
      <c r="C2401" s="2" t="inlineStr">
        <is>
          <t>S143</t>
        </is>
      </c>
      <c r="D2401" s="2" t="inlineStr">
        <is>
          <t>'YUMMY YOGHOURT (YUYO)'!C7,D7</t>
        </is>
      </c>
      <c r="E2401" s="2" t="inlineStr">
        <is>
          <t>Cold Water</t>
        </is>
      </c>
      <c r="F2401" s="3" t="n">
        <v>7000</v>
      </c>
      <c r="G2401" s="2" t="inlineStr">
        <is>
          <t>7000.0</t>
        </is>
      </c>
      <c r="H2401" s="2" t="inlineStr">
        <is>
          <t>S-Y01–S-Y03</t>
        </is>
      </c>
    </row>
    <row r="2402">
      <c r="A2402" s="2" t="inlineStr">
        <is>
          <t>L252</t>
        </is>
      </c>
      <c r="B2402" s="2" t="inlineStr">
        <is>
          <t>YUMMY YOGHOURT (YUYO)</t>
        </is>
      </c>
      <c r="C2402" s="2" t="inlineStr">
        <is>
          <t>S143</t>
        </is>
      </c>
      <c r="D2402" s="2" t="inlineStr">
        <is>
          <t>'YUMMY YOGHOURT (YUYO)'!C8,D8</t>
        </is>
      </c>
      <c r="E2402" s="2" t="inlineStr">
        <is>
          <t>stock yoghort</t>
        </is>
      </c>
      <c r="F2402" s="3" t="n">
        <v>500</v>
      </c>
      <c r="G2402" s="2" t="inlineStr">
        <is>
          <t>500.0</t>
        </is>
      </c>
      <c r="H2402" s="2" t="inlineStr">
        <is>
          <t>S-Y01–S-Y03</t>
        </is>
      </c>
    </row>
    <row r="2403">
      <c r="A2403" s="2" t="inlineStr">
        <is>
          <t>L252</t>
        </is>
      </c>
      <c r="B2403" s="2" t="inlineStr">
        <is>
          <t>YUMMY YOGHOURT (YUYO)</t>
        </is>
      </c>
      <c r="C2403" s="2" t="inlineStr">
        <is>
          <t>S143</t>
        </is>
      </c>
      <c r="D2403" s="2" t="inlineStr">
        <is>
          <t>'YUMMY YOGHOURT (YUYO)'!C9,D9</t>
        </is>
      </c>
      <c r="E2403" s="2" t="inlineStr">
        <is>
          <t>vanilla</t>
        </is>
      </c>
      <c r="F2403" s="3" t="n">
        <v>15</v>
      </c>
      <c r="G2403" s="2" t="inlineStr">
        <is>
          <t>15.0</t>
        </is>
      </c>
      <c r="H2403" s="2" t="inlineStr">
        <is>
          <t>S-Y01–S-Y03</t>
        </is>
      </c>
    </row>
    <row r="2404">
      <c r="A2404" s="2" t="inlineStr">
        <is>
          <t>L253</t>
        </is>
      </c>
      <c r="B2404" s="2" t="inlineStr">
        <is>
          <t>YUMMY YOGHOURT (YUYO)</t>
        </is>
      </c>
      <c r="C2404" s="2" t="inlineStr">
        <is>
          <t>S143</t>
        </is>
      </c>
      <c r="D2404" s="2" t="inlineStr">
        <is>
          <t>'YUMMY YOGHOURT (YUYO)'!C5,H5</t>
        </is>
      </c>
      <c r="E2404" s="2" t="inlineStr">
        <is>
          <t>Milk</t>
        </is>
      </c>
      <c r="F2404" s="3" t="n">
        <v>5000</v>
      </c>
      <c r="G2404" s="2" t="inlineStr">
        <is>
          <t>=D5*5 [cached: 5000.0]</t>
        </is>
      </c>
      <c r="H2404" s="2" t="inlineStr">
        <is>
          <t>S-Y01–S-Y03</t>
        </is>
      </c>
    </row>
    <row r="2405">
      <c r="A2405" s="2" t="inlineStr">
        <is>
          <t>L253</t>
        </is>
      </c>
      <c r="B2405" s="2" t="inlineStr">
        <is>
          <t>YUMMY YOGHOURT (YUYO)</t>
        </is>
      </c>
      <c r="C2405" s="2" t="inlineStr">
        <is>
          <t>S143</t>
        </is>
      </c>
      <c r="D2405" s="2" t="inlineStr">
        <is>
          <t>'YUMMY YOGHOURT (YUYO)'!C6,H6</t>
        </is>
      </c>
      <c r="E2405" s="2" t="inlineStr">
        <is>
          <t>sugar</t>
        </is>
      </c>
      <c r="F2405" s="3" t="n">
        <v>2500</v>
      </c>
      <c r="G2405" s="2" t="inlineStr">
        <is>
          <t>=D6*5 [cached: 2500.0]</t>
        </is>
      </c>
      <c r="H2405" s="2" t="inlineStr">
        <is>
          <t>S-Y01–S-Y03</t>
        </is>
      </c>
    </row>
    <row r="2406">
      <c r="A2406" s="2" t="inlineStr">
        <is>
          <t>L253</t>
        </is>
      </c>
      <c r="B2406" s="2" t="inlineStr">
        <is>
          <t>YUMMY YOGHOURT (YUYO)</t>
        </is>
      </c>
      <c r="C2406" s="2" t="inlineStr">
        <is>
          <t>S143</t>
        </is>
      </c>
      <c r="D2406" s="2" t="inlineStr">
        <is>
          <t>'YUMMY YOGHOURT (YUYO)'!C7,H7</t>
        </is>
      </c>
      <c r="E2406" s="2" t="inlineStr">
        <is>
          <t>Cold Water</t>
        </is>
      </c>
      <c r="F2406" s="3" t="n">
        <v>35000</v>
      </c>
      <c r="G2406" s="2" t="inlineStr">
        <is>
          <t>=D7*5 [cached: 35000.0]</t>
        </is>
      </c>
      <c r="H2406" s="2" t="inlineStr">
        <is>
          <t>S-Y01–S-Y03</t>
        </is>
      </c>
    </row>
    <row r="2407">
      <c r="A2407" s="2" t="inlineStr">
        <is>
          <t>L253</t>
        </is>
      </c>
      <c r="B2407" s="2" t="inlineStr">
        <is>
          <t>YUMMY YOGHOURT (YUYO)</t>
        </is>
      </c>
      <c r="C2407" s="2" t="inlineStr">
        <is>
          <t>S143</t>
        </is>
      </c>
      <c r="D2407" s="2" t="inlineStr">
        <is>
          <t>'YUMMY YOGHOURT (YUYO)'!C9,H9</t>
        </is>
      </c>
      <c r="E2407" s="2" t="inlineStr">
        <is>
          <t>vanilla</t>
        </is>
      </c>
      <c r="F2407" s="3" t="n">
        <v>25.05</v>
      </c>
      <c r="G2407" s="2" t="inlineStr">
        <is>
          <t>=D9*1.67 [cached: 25.049999999999997]</t>
        </is>
      </c>
      <c r="H2407" s="2" t="inlineStr">
        <is>
          <t>S-Y01–S-Y03</t>
        </is>
      </c>
    </row>
    <row r="2408">
      <c r="A2408" s="2" t="inlineStr">
        <is>
          <t>L254</t>
        </is>
      </c>
      <c r="B2408" s="2" t="inlineStr">
        <is>
          <t>YUMMY YOGHOURT (YUYO)</t>
        </is>
      </c>
      <c r="C2408" s="2" t="inlineStr">
        <is>
          <t>S143</t>
        </is>
      </c>
      <c r="D2408" s="2" t="inlineStr">
        <is>
          <t>'YUMMY YOGHOURT (YUYO)'!C5,L5</t>
        </is>
      </c>
      <c r="E2408" s="2" t="inlineStr">
        <is>
          <t>Milk</t>
        </is>
      </c>
      <c r="F2408" s="3" t="n">
        <v>2500</v>
      </c>
      <c r="G2408" s="2" t="inlineStr">
        <is>
          <t>=F5/10 [cached: 2500.0]</t>
        </is>
      </c>
      <c r="H2408" s="2" t="inlineStr">
        <is>
          <t>S-Y01–S-Y03</t>
        </is>
      </c>
    </row>
    <row r="2409">
      <c r="A2409" s="2" t="inlineStr">
        <is>
          <t>L254</t>
        </is>
      </c>
      <c r="B2409" s="2" t="inlineStr">
        <is>
          <t>YUMMY YOGHOURT (YUYO)</t>
        </is>
      </c>
      <c r="C2409" s="2" t="inlineStr">
        <is>
          <t>S143</t>
        </is>
      </c>
      <c r="D2409" s="2" t="inlineStr">
        <is>
          <t>'YUMMY YOGHOURT (YUYO)'!C6,L6</t>
        </is>
      </c>
      <c r="E2409" s="2" t="inlineStr">
        <is>
          <t>sugar</t>
        </is>
      </c>
      <c r="F2409" s="3" t="n">
        <v>1250</v>
      </c>
      <c r="G2409" s="2" t="inlineStr">
        <is>
          <t>=F6/10 [cached: 1250.0]</t>
        </is>
      </c>
      <c r="H2409" s="2" t="inlineStr">
        <is>
          <t>S-Y01–S-Y03</t>
        </is>
      </c>
    </row>
    <row r="2410">
      <c r="A2410" s="2" t="inlineStr">
        <is>
          <t>L254</t>
        </is>
      </c>
      <c r="B2410" s="2" t="inlineStr">
        <is>
          <t>YUMMY YOGHOURT (YUYO)</t>
        </is>
      </c>
      <c r="C2410" s="2" t="inlineStr">
        <is>
          <t>S143</t>
        </is>
      </c>
      <c r="D2410" s="2" t="inlineStr">
        <is>
          <t>'YUMMY YOGHOURT (YUYO)'!C7,L7</t>
        </is>
      </c>
      <c r="E2410" s="2" t="inlineStr">
        <is>
          <t>Cold Water</t>
        </is>
      </c>
      <c r="F2410" s="3" t="n">
        <v>17500</v>
      </c>
      <c r="G2410" s="2" t="inlineStr">
        <is>
          <t>=F7/10 [cached: 17500.0]</t>
        </is>
      </c>
      <c r="H2410" s="2" t="inlineStr">
        <is>
          <t>S-Y01–S-Y03</t>
        </is>
      </c>
    </row>
    <row r="2411">
      <c r="A2411" s="2" t="inlineStr">
        <is>
          <t>L254</t>
        </is>
      </c>
      <c r="B2411" s="2" t="inlineStr">
        <is>
          <t>YUMMY YOGHOURT (YUYO)</t>
        </is>
      </c>
      <c r="C2411" s="2" t="inlineStr">
        <is>
          <t>S143</t>
        </is>
      </c>
      <c r="D2411" s="2" t="inlineStr">
        <is>
          <t>'YUMMY YOGHOURT (YUYO)'!C9,L9</t>
        </is>
      </c>
      <c r="E2411" s="2" t="inlineStr">
        <is>
          <t>vanilla</t>
        </is>
      </c>
      <c r="F2411" s="3" t="n">
        <v>37.5</v>
      </c>
      <c r="G2411" s="2" t="inlineStr">
        <is>
          <t>=F9/10 [cached: 37.5]</t>
        </is>
      </c>
      <c r="H2411" s="2" t="inlineStr">
        <is>
          <t>S-Y01–S-Y03</t>
        </is>
      </c>
    </row>
  </sheetData>
  <autoFilter ref="A1:H24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15"/>
  <sheetViews>
    <sheetView showGridLines="0" workbookViewId="0">
      <pane ySplit="1" topLeftCell="A2" activePane="bottomLeft" state="frozen"/>
      <selection pane="bottomLeft" activeCell="A1" sqref="A1"/>
    </sheetView>
  </sheetViews>
  <sheetFormatPr baseColWidth="8" defaultRowHeight="15"/>
  <cols>
    <col width="18" customWidth="1" min="1" max="1"/>
    <col width="36" customWidth="1" min="2" max="2"/>
    <col width="36" customWidth="1" min="3" max="3"/>
    <col width="36" customWidth="1" min="4" max="4"/>
  </cols>
  <sheetData>
    <row r="1" ht="32" customHeight="1">
      <c r="A1" t="inlineStr">
        <is>
          <t>ID</t>
        </is>
      </c>
      <c r="B1" t="inlineStr">
        <is>
          <t>Issue class</t>
        </is>
      </c>
      <c r="C1" t="inlineStr">
        <is>
          <t>Finding</t>
        </is>
      </c>
      <c r="D1" t="inlineStr">
        <is>
          <t>Required action</t>
        </is>
      </c>
    </row>
    <row r="2">
      <c r="A2" t="inlineStr">
        <is>
          <t>O-B01</t>
        </is>
      </c>
      <c r="B2" t="inlineStr">
        <is>
          <t>Production validation</t>
        </is>
      </c>
      <c r="C2" t="inlineStr">
        <is>
          <t>No signed repeat-batch evidence supplied</t>
        </is>
      </c>
      <c r="D2" t="inlineStr">
        <is>
          <t>Record three independent trials, quality, yield, safety and full cost before release</t>
        </is>
      </c>
    </row>
    <row r="3">
      <c r="A3" t="inlineStr">
        <is>
          <t>O-B02</t>
        </is>
      </c>
      <c r="B3" t="inlineStr">
        <is>
          <t>Production validation</t>
        </is>
      </c>
      <c r="C3" t="inlineStr">
        <is>
          <t>No signed repeat-batch evidence supplied</t>
        </is>
      </c>
      <c r="D3" t="inlineStr">
        <is>
          <t>Record three independent trials, quality, yield, safety and full cost before release</t>
        </is>
      </c>
    </row>
    <row r="4">
      <c r="A4" t="inlineStr">
        <is>
          <t>O-B03</t>
        </is>
      </c>
      <c r="B4" t="inlineStr">
        <is>
          <t>Production validation</t>
        </is>
      </c>
      <c r="C4" t="inlineStr">
        <is>
          <t>No signed repeat-batch evidence supplied</t>
        </is>
      </c>
      <c r="D4" t="inlineStr">
        <is>
          <t>Record three independent trials, quality, yield, safety and full cost before release</t>
        </is>
      </c>
    </row>
    <row r="5">
      <c r="A5" t="inlineStr">
        <is>
          <t>O-B04</t>
        </is>
      </c>
      <c r="B5" t="inlineStr">
        <is>
          <t>Production validation</t>
        </is>
      </c>
      <c r="C5" t="inlineStr">
        <is>
          <t>No signed repeat-batch evidence supplied</t>
        </is>
      </c>
      <c r="D5" t="inlineStr">
        <is>
          <t>Record three independent trials, quality, yield, safety and full cost before release</t>
        </is>
      </c>
    </row>
    <row r="6">
      <c r="A6" t="inlineStr">
        <is>
          <t>O-B05</t>
        </is>
      </c>
      <c r="B6" t="inlineStr">
        <is>
          <t>Production validation</t>
        </is>
      </c>
      <c r="C6" t="inlineStr">
        <is>
          <t>No signed repeat-batch evidence supplied</t>
        </is>
      </c>
      <c r="D6" t="inlineStr">
        <is>
          <t>Record three independent trials, quality, yield, safety and full cost before release</t>
        </is>
      </c>
    </row>
    <row r="7">
      <c r="A7" t="inlineStr">
        <is>
          <t>O-B06</t>
        </is>
      </c>
      <c r="B7" t="inlineStr">
        <is>
          <t>Production validation</t>
        </is>
      </c>
      <c r="C7" t="inlineStr">
        <is>
          <t>No signed repeat-batch evidence supplied</t>
        </is>
      </c>
      <c r="D7" t="inlineStr">
        <is>
          <t>Record three independent trials, quality, yield, safety and full cost before release</t>
        </is>
      </c>
    </row>
    <row r="8">
      <c r="A8" t="inlineStr">
        <is>
          <t>O-B07</t>
        </is>
      </c>
      <c r="B8" t="inlineStr">
        <is>
          <t>Production validation</t>
        </is>
      </c>
      <c r="C8" t="inlineStr">
        <is>
          <t>No signed repeat-batch evidence supplied</t>
        </is>
      </c>
      <c r="D8" t="inlineStr">
        <is>
          <t>Record three independent trials, quality, yield, safety and full cost before release</t>
        </is>
      </c>
    </row>
    <row r="9">
      <c r="A9" t="inlineStr">
        <is>
          <t>O-B08</t>
        </is>
      </c>
      <c r="B9" t="inlineStr">
        <is>
          <t>Production validation</t>
        </is>
      </c>
      <c r="C9" t="inlineStr">
        <is>
          <t>No signed repeat-batch evidence supplied</t>
        </is>
      </c>
      <c r="D9" t="inlineStr">
        <is>
          <t>Record three independent trials, quality, yield, safety and full cost before release</t>
        </is>
      </c>
    </row>
    <row r="10">
      <c r="A10" t="inlineStr">
        <is>
          <t>O-B09</t>
        </is>
      </c>
      <c r="B10" t="inlineStr">
        <is>
          <t>Production validation</t>
        </is>
      </c>
      <c r="C10" t="inlineStr">
        <is>
          <t>No signed repeat-batch evidence supplied</t>
        </is>
      </c>
      <c r="D10" t="inlineStr">
        <is>
          <t>Record three independent trials, quality, yield, safety and full cost before release</t>
        </is>
      </c>
    </row>
    <row r="11">
      <c r="A11" t="inlineStr">
        <is>
          <t>O-B10</t>
        </is>
      </c>
      <c r="B11" t="inlineStr">
        <is>
          <t>Production validation</t>
        </is>
      </c>
      <c r="C11" t="inlineStr">
        <is>
          <t>No signed repeat-batch evidence supplied</t>
        </is>
      </c>
      <c r="D11" t="inlineStr">
        <is>
          <t>Record three independent trials, quality, yield, safety and full cost before release</t>
        </is>
      </c>
    </row>
    <row r="12">
      <c r="A12" t="inlineStr">
        <is>
          <t>O-B11</t>
        </is>
      </c>
      <c r="B12" t="inlineStr">
        <is>
          <t>Production validation</t>
        </is>
      </c>
      <c r="C12" t="inlineStr">
        <is>
          <t>No signed repeat-batch evidence supplied</t>
        </is>
      </c>
      <c r="D12" t="inlineStr">
        <is>
          <t>Record three independent trials, quality, yield, safety and full cost before release</t>
        </is>
      </c>
    </row>
    <row r="13">
      <c r="A13" t="inlineStr">
        <is>
          <t>O-B12</t>
        </is>
      </c>
      <c r="B13" t="inlineStr">
        <is>
          <t>Production validation</t>
        </is>
      </c>
      <c r="C13" t="inlineStr">
        <is>
          <t>No signed repeat-batch evidence supplied</t>
        </is>
      </c>
      <c r="D13" t="inlineStr">
        <is>
          <t>Record three independent trials, quality, yield, safety and full cost before release</t>
        </is>
      </c>
    </row>
    <row r="14">
      <c r="A14" t="inlineStr">
        <is>
          <t>O-B13</t>
        </is>
      </c>
      <c r="B14" t="inlineStr">
        <is>
          <t>Production validation</t>
        </is>
      </c>
      <c r="C14" t="inlineStr">
        <is>
          <t>No signed repeat-batch evidence supplied</t>
        </is>
      </c>
      <c r="D14" t="inlineStr">
        <is>
          <t>Record three independent trials, quality, yield, safety and full cost before release</t>
        </is>
      </c>
    </row>
    <row r="15">
      <c r="A15" t="inlineStr">
        <is>
          <t>O-B14</t>
        </is>
      </c>
      <c r="B15" t="inlineStr">
        <is>
          <t>Production validation</t>
        </is>
      </c>
      <c r="C15" t="inlineStr">
        <is>
          <t>No signed repeat-batch evidence supplied</t>
        </is>
      </c>
      <c r="D15" t="inlineStr">
        <is>
          <t>Record three independent trials, quality, yield, safety and full cost before release</t>
        </is>
      </c>
    </row>
    <row r="16">
      <c r="A16" t="inlineStr">
        <is>
          <t>O-B15</t>
        </is>
      </c>
      <c r="B16" t="inlineStr">
        <is>
          <t>Production validation</t>
        </is>
      </c>
      <c r="C16" t="inlineStr">
        <is>
          <t>No signed repeat-batch evidence supplied</t>
        </is>
      </c>
      <c r="D16" t="inlineStr">
        <is>
          <t>Record three independent trials, quality, yield, safety and full cost before release</t>
        </is>
      </c>
    </row>
    <row r="17">
      <c r="A17" t="inlineStr">
        <is>
          <t>O-B16</t>
        </is>
      </c>
      <c r="B17" t="inlineStr">
        <is>
          <t>Production validation</t>
        </is>
      </c>
      <c r="C17" t="inlineStr">
        <is>
          <t>No signed repeat-batch evidence supplied</t>
        </is>
      </c>
      <c r="D17" t="inlineStr">
        <is>
          <t>Record three independent trials, quality, yield, safety and full cost before release</t>
        </is>
      </c>
    </row>
    <row r="18">
      <c r="A18" t="inlineStr">
        <is>
          <t>O-B25</t>
        </is>
      </c>
      <c r="B18" t="inlineStr">
        <is>
          <t>Production validation</t>
        </is>
      </c>
      <c r="C18" t="inlineStr">
        <is>
          <t>No signed repeat-batch evidence supplied</t>
        </is>
      </c>
      <c r="D18" t="inlineStr">
        <is>
          <t>Record three independent trials, quality, yield, safety and full cost before release</t>
        </is>
      </c>
    </row>
    <row r="19">
      <c r="A19" t="inlineStr">
        <is>
          <t>O-B26</t>
        </is>
      </c>
      <c r="B19" t="inlineStr">
        <is>
          <t>Production validation</t>
        </is>
      </c>
      <c r="C19" t="inlineStr">
        <is>
          <t>No signed repeat-batch evidence supplied</t>
        </is>
      </c>
      <c r="D19" t="inlineStr">
        <is>
          <t>Record three independent trials, quality, yield, safety and full cost before release</t>
        </is>
      </c>
    </row>
    <row r="20">
      <c r="A20" t="inlineStr">
        <is>
          <t>O-B27</t>
        </is>
      </c>
      <c r="B20" t="inlineStr">
        <is>
          <t>Production validation</t>
        </is>
      </c>
      <c r="C20" t="inlineStr">
        <is>
          <t>No signed repeat-batch evidence supplied</t>
        </is>
      </c>
      <c r="D20" t="inlineStr">
        <is>
          <t>Record three independent trials, quality, yield, safety and full cost before release</t>
        </is>
      </c>
    </row>
    <row r="21">
      <c r="A21" t="inlineStr">
        <is>
          <t>O-B28</t>
        </is>
      </c>
      <c r="B21" t="inlineStr">
        <is>
          <t>Production validation</t>
        </is>
      </c>
      <c r="C21" t="inlineStr">
        <is>
          <t>No signed repeat-batch evidence supplied</t>
        </is>
      </c>
      <c r="D21" t="inlineStr">
        <is>
          <t>Record three independent trials, quality, yield, safety and full cost before release</t>
        </is>
      </c>
    </row>
    <row r="22">
      <c r="A22" t="inlineStr">
        <is>
          <t>O-B29</t>
        </is>
      </c>
      <c r="B22" t="inlineStr">
        <is>
          <t>Production validation</t>
        </is>
      </c>
      <c r="C22" t="inlineStr">
        <is>
          <t>No signed repeat-batch evidence supplied</t>
        </is>
      </c>
      <c r="D22" t="inlineStr">
        <is>
          <t>Record three independent trials, quality, yield, safety and full cost before release</t>
        </is>
      </c>
    </row>
    <row r="23">
      <c r="A23" t="inlineStr">
        <is>
          <t>O-B30</t>
        </is>
      </c>
      <c r="B23" t="inlineStr">
        <is>
          <t>Production validation</t>
        </is>
      </c>
      <c r="C23" t="inlineStr">
        <is>
          <t>No signed repeat-batch evidence supplied</t>
        </is>
      </c>
      <c r="D23" t="inlineStr">
        <is>
          <t>Record three independent trials, quality, yield, safety and full cost before release</t>
        </is>
      </c>
    </row>
    <row r="24">
      <c r="A24" t="inlineStr">
        <is>
          <t>O-B31</t>
        </is>
      </c>
      <c r="B24" t="inlineStr">
        <is>
          <t>Production validation</t>
        </is>
      </c>
      <c r="C24" t="inlineStr">
        <is>
          <t>No signed repeat-batch evidence supplied</t>
        </is>
      </c>
      <c r="D24" t="inlineStr">
        <is>
          <t>Record three independent trials, quality, yield, safety and full cost before release</t>
        </is>
      </c>
    </row>
    <row r="25">
      <c r="A25" t="inlineStr">
        <is>
          <t>O-B32</t>
        </is>
      </c>
      <c r="B25" t="inlineStr">
        <is>
          <t>Production validation</t>
        </is>
      </c>
      <c r="C25" t="inlineStr">
        <is>
          <t>No signed repeat-batch evidence supplied</t>
        </is>
      </c>
      <c r="D25" t="inlineStr">
        <is>
          <t>Record three independent trials, quality, yield, safety and full cost before release</t>
        </is>
      </c>
    </row>
    <row r="26">
      <c r="A26" t="inlineStr">
        <is>
          <t>O-B33</t>
        </is>
      </c>
      <c r="B26" t="inlineStr">
        <is>
          <t>Production validation</t>
        </is>
      </c>
      <c r="C26" t="inlineStr">
        <is>
          <t>No signed repeat-batch evidence supplied</t>
        </is>
      </c>
      <c r="D26" t="inlineStr">
        <is>
          <t>Record three independent trials, quality, yield, safety and full cost before release</t>
        </is>
      </c>
    </row>
    <row r="27">
      <c r="A27" t="inlineStr">
        <is>
          <t>O-B34</t>
        </is>
      </c>
      <c r="B27" t="inlineStr">
        <is>
          <t>Production validation</t>
        </is>
      </c>
      <c r="C27" t="inlineStr">
        <is>
          <t>No signed repeat-batch evidence supplied</t>
        </is>
      </c>
      <c r="D27" t="inlineStr">
        <is>
          <t>Record three independent trials, quality, yield, safety and full cost before release</t>
        </is>
      </c>
    </row>
    <row r="28">
      <c r="A28" t="inlineStr">
        <is>
          <t>O-B17</t>
        </is>
      </c>
      <c r="B28" t="inlineStr">
        <is>
          <t>Production validation</t>
        </is>
      </c>
      <c r="C28" t="inlineStr">
        <is>
          <t>No signed repeat-batch evidence supplied</t>
        </is>
      </c>
      <c r="D28" t="inlineStr">
        <is>
          <t>Record three independent trials, quality, yield, safety and full cost before release</t>
        </is>
      </c>
    </row>
    <row r="29">
      <c r="A29" t="inlineStr">
        <is>
          <t>O-B18</t>
        </is>
      </c>
      <c r="B29" t="inlineStr">
        <is>
          <t>Production validation</t>
        </is>
      </c>
      <c r="C29" t="inlineStr">
        <is>
          <t>No signed repeat-batch evidence supplied</t>
        </is>
      </c>
      <c r="D29" t="inlineStr">
        <is>
          <t>Record three independent trials, quality, yield, safety and full cost before release</t>
        </is>
      </c>
    </row>
    <row r="30">
      <c r="A30" t="inlineStr">
        <is>
          <t>O-B19</t>
        </is>
      </c>
      <c r="B30" t="inlineStr">
        <is>
          <t>Production validation</t>
        </is>
      </c>
      <c r="C30" t="inlineStr">
        <is>
          <t>No signed repeat-batch evidence supplied</t>
        </is>
      </c>
      <c r="D30" t="inlineStr">
        <is>
          <t>Record three independent trials, quality, yield, safety and full cost before release</t>
        </is>
      </c>
    </row>
    <row r="31">
      <c r="A31" t="inlineStr">
        <is>
          <t>O-B20</t>
        </is>
      </c>
      <c r="B31" t="inlineStr">
        <is>
          <t>Production validation</t>
        </is>
      </c>
      <c r="C31" t="inlineStr">
        <is>
          <t>No signed repeat-batch evidence supplied</t>
        </is>
      </c>
      <c r="D31" t="inlineStr">
        <is>
          <t>Record three independent trials, quality, yield, safety and full cost before release</t>
        </is>
      </c>
    </row>
    <row r="32">
      <c r="A32" t="inlineStr">
        <is>
          <t>O-B21</t>
        </is>
      </c>
      <c r="B32" t="inlineStr">
        <is>
          <t>Production validation</t>
        </is>
      </c>
      <c r="C32" t="inlineStr">
        <is>
          <t>No signed repeat-batch evidence supplied</t>
        </is>
      </c>
      <c r="D32" t="inlineStr">
        <is>
          <t>Record three independent trials, quality, yield, safety and full cost before release</t>
        </is>
      </c>
    </row>
    <row r="33">
      <c r="A33" t="inlineStr">
        <is>
          <t>O-B22</t>
        </is>
      </c>
      <c r="B33" t="inlineStr">
        <is>
          <t>Production validation</t>
        </is>
      </c>
      <c r="C33" t="inlineStr">
        <is>
          <t>No signed repeat-batch evidence supplied</t>
        </is>
      </c>
      <c r="D33" t="inlineStr">
        <is>
          <t>Record three independent trials, quality, yield, safety and full cost before release</t>
        </is>
      </c>
    </row>
    <row r="34">
      <c r="A34" t="inlineStr">
        <is>
          <t>O-B23</t>
        </is>
      </c>
      <c r="B34" t="inlineStr">
        <is>
          <t>Production validation</t>
        </is>
      </c>
      <c r="C34" t="inlineStr">
        <is>
          <t>No signed repeat-batch evidence supplied</t>
        </is>
      </c>
      <c r="D34" t="inlineStr">
        <is>
          <t>Record three independent trials, quality, yield, safety and full cost before release</t>
        </is>
      </c>
    </row>
    <row r="35">
      <c r="A35" t="inlineStr">
        <is>
          <t>O-B24</t>
        </is>
      </c>
      <c r="B35" t="inlineStr">
        <is>
          <t>Production validation</t>
        </is>
      </c>
      <c r="C35" t="inlineStr">
        <is>
          <t>No signed repeat-batch evidence supplied</t>
        </is>
      </c>
      <c r="D35" t="inlineStr">
        <is>
          <t>Record three independent trials, quality, yield, safety and full cost before release</t>
        </is>
      </c>
    </row>
    <row r="36">
      <c r="A36" t="inlineStr">
        <is>
          <t>O-B35</t>
        </is>
      </c>
      <c r="B36" t="inlineStr">
        <is>
          <t>Production validation</t>
        </is>
      </c>
      <c r="C36" t="inlineStr">
        <is>
          <t>No signed repeat-batch evidence supplied</t>
        </is>
      </c>
      <c r="D36" t="inlineStr">
        <is>
          <t>Record three independent trials, quality, yield, safety and full cost before release</t>
        </is>
      </c>
    </row>
    <row r="37">
      <c r="A37" t="inlineStr">
        <is>
          <t>O-B36</t>
        </is>
      </c>
      <c r="B37" t="inlineStr">
        <is>
          <t>Production validation</t>
        </is>
      </c>
      <c r="C37" t="inlineStr">
        <is>
          <t>No signed repeat-batch evidence supplied</t>
        </is>
      </c>
      <c r="D37" t="inlineStr">
        <is>
          <t>Record three independent trials, quality, yield, safety and full cost before release</t>
        </is>
      </c>
    </row>
    <row r="38">
      <c r="A38" t="inlineStr">
        <is>
          <t>O-P01</t>
        </is>
      </c>
      <c r="B38" t="inlineStr">
        <is>
          <t>Production validation</t>
        </is>
      </c>
      <c r="C38" t="inlineStr">
        <is>
          <t>No signed repeat-batch evidence supplied</t>
        </is>
      </c>
      <c r="D38" t="inlineStr">
        <is>
          <t>Record three independent trials, quality, yield, safety and full cost before release</t>
        </is>
      </c>
    </row>
    <row r="39">
      <c r="A39" t="inlineStr">
        <is>
          <t>O-P02</t>
        </is>
      </c>
      <c r="B39" t="inlineStr">
        <is>
          <t>Production validation</t>
        </is>
      </c>
      <c r="C39" t="inlineStr">
        <is>
          <t>No signed repeat-batch evidence supplied</t>
        </is>
      </c>
      <c r="D39" t="inlineStr">
        <is>
          <t>Record three independent trials, quality, yield, safety and full cost before release</t>
        </is>
      </c>
    </row>
    <row r="40">
      <c r="A40" t="inlineStr">
        <is>
          <t>O-P03</t>
        </is>
      </c>
      <c r="B40" t="inlineStr">
        <is>
          <t>Production validation</t>
        </is>
      </c>
      <c r="C40" t="inlineStr">
        <is>
          <t>No signed repeat-batch evidence supplied</t>
        </is>
      </c>
      <c r="D40" t="inlineStr">
        <is>
          <t>Record three independent trials, quality, yield, safety and full cost before release</t>
        </is>
      </c>
    </row>
    <row r="41">
      <c r="A41" t="inlineStr">
        <is>
          <t>O-P04</t>
        </is>
      </c>
      <c r="B41" t="inlineStr">
        <is>
          <t>Production validation</t>
        </is>
      </c>
      <c r="C41" t="inlineStr">
        <is>
          <t>No signed repeat-batch evidence supplied</t>
        </is>
      </c>
      <c r="D41" t="inlineStr">
        <is>
          <t>Record three independent trials, quality, yield, safety and full cost before release</t>
        </is>
      </c>
    </row>
    <row r="42">
      <c r="A42" t="inlineStr">
        <is>
          <t>O-P05</t>
        </is>
      </c>
      <c r="B42" t="inlineStr">
        <is>
          <t>Production validation</t>
        </is>
      </c>
      <c r="C42" t="inlineStr">
        <is>
          <t>No signed repeat-batch evidence supplied</t>
        </is>
      </c>
      <c r="D42" t="inlineStr">
        <is>
          <t>Record three independent trials, quality, yield, safety and full cost before release</t>
        </is>
      </c>
    </row>
    <row r="43">
      <c r="A43" t="inlineStr">
        <is>
          <t>O-P06</t>
        </is>
      </c>
      <c r="B43" t="inlineStr">
        <is>
          <t>Production validation</t>
        </is>
      </c>
      <c r="C43" t="inlineStr">
        <is>
          <t>No signed repeat-batch evidence supplied</t>
        </is>
      </c>
      <c r="D43" t="inlineStr">
        <is>
          <t>Record three independent trials, quality, yield, safety and full cost before release</t>
        </is>
      </c>
    </row>
    <row r="44">
      <c r="A44" t="inlineStr">
        <is>
          <t>O-P07</t>
        </is>
      </c>
      <c r="B44" t="inlineStr">
        <is>
          <t>Production validation</t>
        </is>
      </c>
      <c r="C44" t="inlineStr">
        <is>
          <t>No signed repeat-batch evidence supplied</t>
        </is>
      </c>
      <c r="D44" t="inlineStr">
        <is>
          <t>Record three independent trials, quality, yield, safety and full cost before release</t>
        </is>
      </c>
    </row>
    <row r="45">
      <c r="A45" t="inlineStr">
        <is>
          <t>O-P08</t>
        </is>
      </c>
      <c r="B45" t="inlineStr">
        <is>
          <t>Production validation</t>
        </is>
      </c>
      <c r="C45" t="inlineStr">
        <is>
          <t>No signed repeat-batch evidence supplied</t>
        </is>
      </c>
      <c r="D45" t="inlineStr">
        <is>
          <t>Record three independent trials, quality, yield, safety and full cost before release</t>
        </is>
      </c>
    </row>
    <row r="46">
      <c r="A46" t="inlineStr">
        <is>
          <t>O-P09</t>
        </is>
      </c>
      <c r="B46" t="inlineStr">
        <is>
          <t>Production validation</t>
        </is>
      </c>
      <c r="C46" t="inlineStr">
        <is>
          <t>No signed repeat-batch evidence supplied</t>
        </is>
      </c>
      <c r="D46" t="inlineStr">
        <is>
          <t>Record three independent trials, quality, yield, safety and full cost before release</t>
        </is>
      </c>
    </row>
    <row r="47">
      <c r="A47" t="inlineStr">
        <is>
          <t>O-P10</t>
        </is>
      </c>
      <c r="B47" t="inlineStr">
        <is>
          <t>Production validation</t>
        </is>
      </c>
      <c r="C47" t="inlineStr">
        <is>
          <t>No signed repeat-batch evidence supplied</t>
        </is>
      </c>
      <c r="D47" t="inlineStr">
        <is>
          <t>Record three independent trials, quality, yield, safety and full cost before release</t>
        </is>
      </c>
    </row>
    <row r="48">
      <c r="A48" t="inlineStr">
        <is>
          <t>O-P11</t>
        </is>
      </c>
      <c r="B48" t="inlineStr">
        <is>
          <t>Production validation</t>
        </is>
      </c>
      <c r="C48" t="inlineStr">
        <is>
          <t>No signed repeat-batch evidence supplied</t>
        </is>
      </c>
      <c r="D48" t="inlineStr">
        <is>
          <t>Record three independent trials, quality, yield, safety and full cost before release</t>
        </is>
      </c>
    </row>
    <row r="49">
      <c r="A49" t="inlineStr">
        <is>
          <t>O-P12</t>
        </is>
      </c>
      <c r="B49" t="inlineStr">
        <is>
          <t>Production validation</t>
        </is>
      </c>
      <c r="C49" t="inlineStr">
        <is>
          <t>No signed repeat-batch evidence supplied</t>
        </is>
      </c>
      <c r="D49" t="inlineStr">
        <is>
          <t>Record three independent trials, quality, yield, safety and full cost before release</t>
        </is>
      </c>
    </row>
    <row r="50">
      <c r="A50" t="inlineStr">
        <is>
          <t>O-P13</t>
        </is>
      </c>
      <c r="B50" t="inlineStr">
        <is>
          <t>Production validation</t>
        </is>
      </c>
      <c r="C50" t="inlineStr">
        <is>
          <t>No signed repeat-batch evidence supplied</t>
        </is>
      </c>
      <c r="D50" t="inlineStr">
        <is>
          <t>Record three independent trials, quality, yield, safety and full cost before release</t>
        </is>
      </c>
    </row>
    <row r="51">
      <c r="A51" t="inlineStr">
        <is>
          <t>O-P14</t>
        </is>
      </c>
      <c r="B51" t="inlineStr">
        <is>
          <t>Production validation</t>
        </is>
      </c>
      <c r="C51" t="inlineStr">
        <is>
          <t>No signed repeat-batch evidence supplied</t>
        </is>
      </c>
      <c r="D51" t="inlineStr">
        <is>
          <t>Record three independent trials, quality, yield, safety and full cost before release</t>
        </is>
      </c>
    </row>
    <row r="52">
      <c r="A52" t="inlineStr">
        <is>
          <t>O-P15</t>
        </is>
      </c>
      <c r="B52" t="inlineStr">
        <is>
          <t>Production validation</t>
        </is>
      </c>
      <c r="C52" t="inlineStr">
        <is>
          <t>No signed repeat-batch evidence supplied</t>
        </is>
      </c>
      <c r="D52" t="inlineStr">
        <is>
          <t>Record three independent trials, quality, yield, safety and full cost before release</t>
        </is>
      </c>
    </row>
    <row r="53">
      <c r="A53" t="inlineStr">
        <is>
          <t>O-P16</t>
        </is>
      </c>
      <c r="B53" t="inlineStr">
        <is>
          <t>Production validation</t>
        </is>
      </c>
      <c r="C53" t="inlineStr">
        <is>
          <t>No signed repeat-batch evidence supplied</t>
        </is>
      </c>
      <c r="D53" t="inlineStr">
        <is>
          <t>Record three independent trials, quality, yield, safety and full cost before release</t>
        </is>
      </c>
    </row>
    <row r="54">
      <c r="A54" t="inlineStr">
        <is>
          <t>O-P17</t>
        </is>
      </c>
      <c r="B54" t="inlineStr">
        <is>
          <t>Production validation</t>
        </is>
      </c>
      <c r="C54" t="inlineStr">
        <is>
          <t>No signed repeat-batch evidence supplied</t>
        </is>
      </c>
      <c r="D54" t="inlineStr">
        <is>
          <t>Record three independent trials, quality, yield, safety and full cost before release</t>
        </is>
      </c>
    </row>
    <row r="55">
      <c r="A55" t="inlineStr">
        <is>
          <t>O-P18</t>
        </is>
      </c>
      <c r="B55" t="inlineStr">
        <is>
          <t>Production validation</t>
        </is>
      </c>
      <c r="C55" t="inlineStr">
        <is>
          <t>No signed repeat-batch evidence supplied</t>
        </is>
      </c>
      <c r="D55" t="inlineStr">
        <is>
          <t>Record three independent trials, quality, yield, safety and full cost before release</t>
        </is>
      </c>
    </row>
    <row r="56">
      <c r="A56" t="inlineStr">
        <is>
          <t>O-P19</t>
        </is>
      </c>
      <c r="B56" t="inlineStr">
        <is>
          <t>Production validation</t>
        </is>
      </c>
      <c r="C56" t="inlineStr">
        <is>
          <t>No signed repeat-batch evidence supplied</t>
        </is>
      </c>
      <c r="D56" t="inlineStr">
        <is>
          <t>Record three independent trials, quality, yield, safety and full cost before release</t>
        </is>
      </c>
    </row>
    <row r="57">
      <c r="A57" t="inlineStr">
        <is>
          <t>O-P20</t>
        </is>
      </c>
      <c r="B57" t="inlineStr">
        <is>
          <t>Production validation</t>
        </is>
      </c>
      <c r="C57" t="inlineStr">
        <is>
          <t>No signed repeat-batch evidence supplied</t>
        </is>
      </c>
      <c r="D57" t="inlineStr">
        <is>
          <t>Record three independent trials, quality, yield, safety and full cost before release</t>
        </is>
      </c>
    </row>
    <row r="58">
      <c r="A58" t="inlineStr">
        <is>
          <t>O-A01</t>
        </is>
      </c>
      <c r="B58" t="inlineStr">
        <is>
          <t>Production validation</t>
        </is>
      </c>
      <c r="C58" t="inlineStr">
        <is>
          <t>No signed repeat-batch evidence supplied</t>
        </is>
      </c>
      <c r="D58" t="inlineStr">
        <is>
          <t>Record three independent trials, quality, yield, safety and full cost before release</t>
        </is>
      </c>
    </row>
    <row r="59">
      <c r="A59" t="inlineStr">
        <is>
          <t>O-A02</t>
        </is>
      </c>
      <c r="B59" t="inlineStr">
        <is>
          <t>Production validation</t>
        </is>
      </c>
      <c r="C59" t="inlineStr">
        <is>
          <t>No signed repeat-batch evidence supplied</t>
        </is>
      </c>
      <c r="D59" t="inlineStr">
        <is>
          <t>Record three independent trials, quality, yield, safety and full cost before release</t>
        </is>
      </c>
    </row>
    <row r="60">
      <c r="A60" t="inlineStr">
        <is>
          <t>O-A03</t>
        </is>
      </c>
      <c r="B60" t="inlineStr">
        <is>
          <t>Production validation</t>
        </is>
      </c>
      <c r="C60" t="inlineStr">
        <is>
          <t>No signed repeat-batch evidence supplied</t>
        </is>
      </c>
      <c r="D60" t="inlineStr">
        <is>
          <t>Record three independent trials, quality, yield, safety and full cost before release</t>
        </is>
      </c>
    </row>
    <row r="61">
      <c r="A61" t="inlineStr">
        <is>
          <t>O-A04</t>
        </is>
      </c>
      <c r="B61" t="inlineStr">
        <is>
          <t>Production validation</t>
        </is>
      </c>
      <c r="C61" t="inlineStr">
        <is>
          <t>No signed repeat-batch evidence supplied</t>
        </is>
      </c>
      <c r="D61" t="inlineStr">
        <is>
          <t>Record three independent trials, quality, yield, safety and full cost before release</t>
        </is>
      </c>
    </row>
    <row r="62">
      <c r="A62" t="inlineStr">
        <is>
          <t>O-FBASE1</t>
        </is>
      </c>
      <c r="B62" t="inlineStr">
        <is>
          <t>Production validation</t>
        </is>
      </c>
      <c r="C62" t="inlineStr">
        <is>
          <t>No signed repeat-batch evidence supplied</t>
        </is>
      </c>
      <c r="D62" t="inlineStr">
        <is>
          <t>Record three independent trials, quality, yield, safety and full cost before release</t>
        </is>
      </c>
    </row>
    <row r="63">
      <c r="A63" t="inlineStr">
        <is>
          <t>O-FBASE2</t>
        </is>
      </c>
      <c r="B63" t="inlineStr">
        <is>
          <t>Production validation</t>
        </is>
      </c>
      <c r="C63" t="inlineStr">
        <is>
          <t>No signed repeat-batch evidence supplied</t>
        </is>
      </c>
      <c r="D63" t="inlineStr">
        <is>
          <t>Record three independent trials, quality, yield, safety and full cost before release</t>
        </is>
      </c>
    </row>
    <row r="64">
      <c r="A64" t="inlineStr">
        <is>
          <t>O-FBASE3</t>
        </is>
      </c>
      <c r="B64" t="inlineStr">
        <is>
          <t>Production validation</t>
        </is>
      </c>
      <c r="C64" t="inlineStr">
        <is>
          <t>No signed repeat-batch evidence supplied</t>
        </is>
      </c>
      <c r="D64" t="inlineStr">
        <is>
          <t>Record three independent trials, quality, yield, safety and full cost before release</t>
        </is>
      </c>
    </row>
    <row r="65">
      <c r="A65" t="inlineStr">
        <is>
          <t>O-FBASE4</t>
        </is>
      </c>
      <c r="B65" t="inlineStr">
        <is>
          <t>Production validation</t>
        </is>
      </c>
      <c r="C65" t="inlineStr">
        <is>
          <t>No signed repeat-batch evidence supplied</t>
        </is>
      </c>
      <c r="D65" t="inlineStr">
        <is>
          <t>Record three independent trials, quality, yield, safety and full cost before release</t>
        </is>
      </c>
    </row>
    <row r="66">
      <c r="A66" t="inlineStr">
        <is>
          <t>O-FBASE5</t>
        </is>
      </c>
      <c r="B66" t="inlineStr">
        <is>
          <t>Production validation</t>
        </is>
      </c>
      <c r="C66" t="inlineStr">
        <is>
          <t>No signed repeat-batch evidence supplied</t>
        </is>
      </c>
      <c r="D66" t="inlineStr">
        <is>
          <t>Record three independent trials, quality, yield, safety and full cost before release</t>
        </is>
      </c>
    </row>
    <row r="67">
      <c r="A67" t="inlineStr">
        <is>
          <t>O-FBASE6</t>
        </is>
      </c>
      <c r="B67" t="inlineStr">
        <is>
          <t>Production validation</t>
        </is>
      </c>
      <c r="C67" t="inlineStr">
        <is>
          <t>No signed repeat-batch evidence supplied</t>
        </is>
      </c>
      <c r="D67" t="inlineStr">
        <is>
          <t>Record three independent trials, quality, yield, safety and full cost before release</t>
        </is>
      </c>
    </row>
    <row r="68">
      <c r="A68" t="inlineStr">
        <is>
          <t>O-FBASE7</t>
        </is>
      </c>
      <c r="B68" t="inlineStr">
        <is>
          <t>Production validation</t>
        </is>
      </c>
      <c r="C68" t="inlineStr">
        <is>
          <t>No signed repeat-batch evidence supplied</t>
        </is>
      </c>
      <c r="D68" t="inlineStr">
        <is>
          <t>Record three independent trials, quality, yield, safety and full cost before release</t>
        </is>
      </c>
    </row>
    <row r="69">
      <c r="A69" t="inlineStr">
        <is>
          <t>O-F01</t>
        </is>
      </c>
      <c r="B69" t="inlineStr">
        <is>
          <t>Production validation</t>
        </is>
      </c>
      <c r="C69" t="inlineStr">
        <is>
          <t>No signed repeat-batch evidence supplied</t>
        </is>
      </c>
      <c r="D69" t="inlineStr">
        <is>
          <t>Record three independent trials, quality, yield, safety and full cost before release</t>
        </is>
      </c>
    </row>
    <row r="70">
      <c r="A70" t="inlineStr">
        <is>
          <t>O-F02</t>
        </is>
      </c>
      <c r="B70" t="inlineStr">
        <is>
          <t>Production validation</t>
        </is>
      </c>
      <c r="C70" t="inlineStr">
        <is>
          <t>No signed repeat-batch evidence supplied</t>
        </is>
      </c>
      <c r="D70" t="inlineStr">
        <is>
          <t>Record three independent trials, quality, yield, safety and full cost before release</t>
        </is>
      </c>
    </row>
    <row r="71">
      <c r="A71" t="inlineStr">
        <is>
          <t>O-F03</t>
        </is>
      </c>
      <c r="B71" t="inlineStr">
        <is>
          <t>Production validation</t>
        </is>
      </c>
      <c r="C71" t="inlineStr">
        <is>
          <t>No signed repeat-batch evidence supplied</t>
        </is>
      </c>
      <c r="D71" t="inlineStr">
        <is>
          <t>Record three independent trials, quality, yield, safety and full cost before release</t>
        </is>
      </c>
    </row>
    <row r="72">
      <c r="A72" t="inlineStr">
        <is>
          <t>O-F04</t>
        </is>
      </c>
      <c r="B72" t="inlineStr">
        <is>
          <t>Production validation</t>
        </is>
      </c>
      <c r="C72" t="inlineStr">
        <is>
          <t>No signed repeat-batch evidence supplied</t>
        </is>
      </c>
      <c r="D72" t="inlineStr">
        <is>
          <t>Record three independent trials, quality, yield, safety and full cost before release</t>
        </is>
      </c>
    </row>
    <row r="73">
      <c r="A73" t="inlineStr">
        <is>
          <t>O-F05</t>
        </is>
      </c>
      <c r="B73" t="inlineStr">
        <is>
          <t>Production validation</t>
        </is>
      </c>
      <c r="C73" t="inlineStr">
        <is>
          <t>No signed repeat-batch evidence supplied</t>
        </is>
      </c>
      <c r="D73" t="inlineStr">
        <is>
          <t>Record three independent trials, quality, yield, safety and full cost before release</t>
        </is>
      </c>
    </row>
    <row r="74">
      <c r="A74" t="inlineStr">
        <is>
          <t>O-F06</t>
        </is>
      </c>
      <c r="B74" t="inlineStr">
        <is>
          <t>Production validation</t>
        </is>
      </c>
      <c r="C74" t="inlineStr">
        <is>
          <t>No signed repeat-batch evidence supplied</t>
        </is>
      </c>
      <c r="D74" t="inlineStr">
        <is>
          <t>Record three independent trials, quality, yield, safety and full cost before release</t>
        </is>
      </c>
    </row>
    <row r="75">
      <c r="A75" t="inlineStr">
        <is>
          <t>O-F07</t>
        </is>
      </c>
      <c r="B75" t="inlineStr">
        <is>
          <t>Production validation</t>
        </is>
      </c>
      <c r="C75" t="inlineStr">
        <is>
          <t>No signed repeat-batch evidence supplied</t>
        </is>
      </c>
      <c r="D75" t="inlineStr">
        <is>
          <t>Record three independent trials, quality, yield, safety and full cost before release</t>
        </is>
      </c>
    </row>
    <row r="76">
      <c r="A76" t="inlineStr">
        <is>
          <t>O-F08</t>
        </is>
      </c>
      <c r="B76" t="inlineStr">
        <is>
          <t>Production validation</t>
        </is>
      </c>
      <c r="C76" t="inlineStr">
        <is>
          <t>No signed repeat-batch evidence supplied</t>
        </is>
      </c>
      <c r="D76" t="inlineStr">
        <is>
          <t>Record three independent trials, quality, yield, safety and full cost before release</t>
        </is>
      </c>
    </row>
    <row r="77">
      <c r="A77" t="inlineStr">
        <is>
          <t>S-B01</t>
        </is>
      </c>
      <c r="B77" t="inlineStr">
        <is>
          <t>Production validation</t>
        </is>
      </c>
      <c r="C77" t="inlineStr">
        <is>
          <t>No signed repeat-batch evidence supplied</t>
        </is>
      </c>
      <c r="D77" t="inlineStr">
        <is>
          <t>Record three independent trials, quality, yield, safety and full cost before release</t>
        </is>
      </c>
    </row>
    <row r="78">
      <c r="A78" t="inlineStr">
        <is>
          <t>S-B02</t>
        </is>
      </c>
      <c r="B78" t="inlineStr">
        <is>
          <t>Production validation</t>
        </is>
      </c>
      <c r="C78" t="inlineStr">
        <is>
          <t>No signed repeat-batch evidence supplied</t>
        </is>
      </c>
      <c r="D78" t="inlineStr">
        <is>
          <t>Record three independent trials, quality, yield, safety and full cost before release</t>
        </is>
      </c>
    </row>
    <row r="79">
      <c r="A79" t="inlineStr">
        <is>
          <t>S-B03</t>
        </is>
      </c>
      <c r="B79" t="inlineStr">
        <is>
          <t>Production validation</t>
        </is>
      </c>
      <c r="C79" t="inlineStr">
        <is>
          <t>No signed repeat-batch evidence supplied</t>
        </is>
      </c>
      <c r="D79" t="inlineStr">
        <is>
          <t>Record three independent trials, quality, yield, safety and full cost before release</t>
        </is>
      </c>
    </row>
    <row r="80">
      <c r="A80" t="inlineStr">
        <is>
          <t>S-B04</t>
        </is>
      </c>
      <c r="B80" t="inlineStr">
        <is>
          <t>Production validation</t>
        </is>
      </c>
      <c r="C80" t="inlineStr">
        <is>
          <t>No signed repeat-batch evidence supplied</t>
        </is>
      </c>
      <c r="D80" t="inlineStr">
        <is>
          <t>Record three independent trials, quality, yield, safety and full cost before release</t>
        </is>
      </c>
    </row>
    <row r="81">
      <c r="A81" t="inlineStr">
        <is>
          <t>S-B05</t>
        </is>
      </c>
      <c r="B81" t="inlineStr">
        <is>
          <t>Production validation</t>
        </is>
      </c>
      <c r="C81" t="inlineStr">
        <is>
          <t>No signed repeat-batch evidence supplied</t>
        </is>
      </c>
      <c r="D81" t="inlineStr">
        <is>
          <t>Record three independent trials, quality, yield, safety and full cost before release</t>
        </is>
      </c>
    </row>
    <row r="82">
      <c r="A82" t="inlineStr">
        <is>
          <t>S-B06</t>
        </is>
      </c>
      <c r="B82" t="inlineStr">
        <is>
          <t>Production validation</t>
        </is>
      </c>
      <c r="C82" t="inlineStr">
        <is>
          <t>No signed repeat-batch evidence supplied</t>
        </is>
      </c>
      <c r="D82" t="inlineStr">
        <is>
          <t>Record three independent trials, quality, yield, safety and full cost before release</t>
        </is>
      </c>
    </row>
    <row r="83">
      <c r="A83" t="inlineStr">
        <is>
          <t>S-B07</t>
        </is>
      </c>
      <c r="B83" t="inlineStr">
        <is>
          <t>Production validation</t>
        </is>
      </c>
      <c r="C83" t="inlineStr">
        <is>
          <t>No signed repeat-batch evidence supplied</t>
        </is>
      </c>
      <c r="D83" t="inlineStr">
        <is>
          <t>Record three independent trials, quality, yield, safety and full cost before release</t>
        </is>
      </c>
    </row>
    <row r="84">
      <c r="A84" t="inlineStr">
        <is>
          <t>S-P01</t>
        </is>
      </c>
      <c r="B84" t="inlineStr">
        <is>
          <t>Production validation</t>
        </is>
      </c>
      <c r="C84" t="inlineStr">
        <is>
          <t>No signed repeat-batch evidence supplied</t>
        </is>
      </c>
      <c r="D84" t="inlineStr">
        <is>
          <t>Record three independent trials, quality, yield, safety and full cost before release</t>
        </is>
      </c>
    </row>
    <row r="85">
      <c r="A85" t="inlineStr">
        <is>
          <t>S-P02</t>
        </is>
      </c>
      <c r="B85" t="inlineStr">
        <is>
          <t>Production validation</t>
        </is>
      </c>
      <c r="C85" t="inlineStr">
        <is>
          <t>No signed repeat-batch evidence supplied</t>
        </is>
      </c>
      <c r="D85" t="inlineStr">
        <is>
          <t>Record three independent trials, quality, yield, safety and full cost before release</t>
        </is>
      </c>
    </row>
    <row r="86">
      <c r="A86" t="inlineStr">
        <is>
          <t>S-P03</t>
        </is>
      </c>
      <c r="B86" t="inlineStr">
        <is>
          <t>Production validation</t>
        </is>
      </c>
      <c r="C86" t="inlineStr">
        <is>
          <t>No signed repeat-batch evidence supplied</t>
        </is>
      </c>
      <c r="D86" t="inlineStr">
        <is>
          <t>Record three independent trials, quality, yield, safety and full cost before release</t>
        </is>
      </c>
    </row>
    <row r="87">
      <c r="A87" t="inlineStr">
        <is>
          <t>S-P04</t>
        </is>
      </c>
      <c r="B87" t="inlineStr">
        <is>
          <t>Production validation</t>
        </is>
      </c>
      <c r="C87" t="inlineStr">
        <is>
          <t>No signed repeat-batch evidence supplied</t>
        </is>
      </c>
      <c r="D87" t="inlineStr">
        <is>
          <t>Record three independent trials, quality, yield, safety and full cost before release</t>
        </is>
      </c>
    </row>
    <row r="88">
      <c r="A88" t="inlineStr">
        <is>
          <t>S-P05</t>
        </is>
      </c>
      <c r="B88" t="inlineStr">
        <is>
          <t>Production validation</t>
        </is>
      </c>
      <c r="C88" t="inlineStr">
        <is>
          <t>No signed repeat-batch evidence supplied</t>
        </is>
      </c>
      <c r="D88" t="inlineStr">
        <is>
          <t>Record three independent trials, quality, yield, safety and full cost before release</t>
        </is>
      </c>
    </row>
    <row r="89">
      <c r="A89" t="inlineStr">
        <is>
          <t>S-P06</t>
        </is>
      </c>
      <c r="B89" t="inlineStr">
        <is>
          <t>Production validation</t>
        </is>
      </c>
      <c r="C89" t="inlineStr">
        <is>
          <t>No signed repeat-batch evidence supplied</t>
        </is>
      </c>
      <c r="D89" t="inlineStr">
        <is>
          <t>Record three independent trials, quality, yield, safety and full cost before release</t>
        </is>
      </c>
    </row>
    <row r="90">
      <c r="A90" t="inlineStr">
        <is>
          <t>S-F01</t>
        </is>
      </c>
      <c r="B90" t="inlineStr">
        <is>
          <t>Production validation</t>
        </is>
      </c>
      <c r="C90" t="inlineStr">
        <is>
          <t>No signed repeat-batch evidence supplied</t>
        </is>
      </c>
      <c r="D90" t="inlineStr">
        <is>
          <t>Record three independent trials, quality, yield, safety and full cost before release</t>
        </is>
      </c>
    </row>
    <row r="91">
      <c r="A91" t="inlineStr">
        <is>
          <t>S-F02</t>
        </is>
      </c>
      <c r="B91" t="inlineStr">
        <is>
          <t>Production validation</t>
        </is>
      </c>
      <c r="C91" t="inlineStr">
        <is>
          <t>No signed repeat-batch evidence supplied</t>
        </is>
      </c>
      <c r="D91" t="inlineStr">
        <is>
          <t>Record three independent trials, quality, yield, safety and full cost before release</t>
        </is>
      </c>
    </row>
    <row r="92">
      <c r="A92" t="inlineStr">
        <is>
          <t>S-F03</t>
        </is>
      </c>
      <c r="B92" t="inlineStr">
        <is>
          <t>Production validation</t>
        </is>
      </c>
      <c r="C92" t="inlineStr">
        <is>
          <t>No signed repeat-batch evidence supplied</t>
        </is>
      </c>
      <c r="D92" t="inlineStr">
        <is>
          <t>Record three independent trials, quality, yield, safety and full cost before release</t>
        </is>
      </c>
    </row>
    <row r="93">
      <c r="A93" t="inlineStr">
        <is>
          <t>S-F04</t>
        </is>
      </c>
      <c r="B93" t="inlineStr">
        <is>
          <t>Production validation</t>
        </is>
      </c>
      <c r="C93" t="inlineStr">
        <is>
          <t>No signed repeat-batch evidence supplied</t>
        </is>
      </c>
      <c r="D93" t="inlineStr">
        <is>
          <t>Record three independent trials, quality, yield, safety and full cost before release</t>
        </is>
      </c>
    </row>
    <row r="94">
      <c r="A94" t="inlineStr">
        <is>
          <t>S-F05</t>
        </is>
      </c>
      <c r="B94" t="inlineStr">
        <is>
          <t>Production validation</t>
        </is>
      </c>
      <c r="C94" t="inlineStr">
        <is>
          <t>No signed repeat-batch evidence supplied</t>
        </is>
      </c>
      <c r="D94" t="inlineStr">
        <is>
          <t>Record three independent trials, quality, yield, safety and full cost before release</t>
        </is>
      </c>
    </row>
    <row r="95">
      <c r="A95" t="inlineStr">
        <is>
          <t>S-F06</t>
        </is>
      </c>
      <c r="B95" t="inlineStr">
        <is>
          <t>Production validation</t>
        </is>
      </c>
      <c r="C95" t="inlineStr">
        <is>
          <t>No signed repeat-batch evidence supplied</t>
        </is>
      </c>
      <c r="D95" t="inlineStr">
        <is>
          <t>Record three independent trials, quality, yield, safety and full cost before release</t>
        </is>
      </c>
    </row>
    <row r="96">
      <c r="A96" t="inlineStr">
        <is>
          <t>S-D01</t>
        </is>
      </c>
      <c r="B96" t="inlineStr">
        <is>
          <t>Production validation</t>
        </is>
      </c>
      <c r="C96" t="inlineStr">
        <is>
          <t>No signed repeat-batch evidence supplied</t>
        </is>
      </c>
      <c r="D96" t="inlineStr">
        <is>
          <t>Record three independent trials, quality, yield, safety and full cost before release</t>
        </is>
      </c>
    </row>
    <row r="97">
      <c r="A97" t="inlineStr">
        <is>
          <t>S-D02</t>
        </is>
      </c>
      <c r="B97" t="inlineStr">
        <is>
          <t>Production validation</t>
        </is>
      </c>
      <c r="C97" t="inlineStr">
        <is>
          <t>No signed repeat-batch evidence supplied</t>
        </is>
      </c>
      <c r="D97" t="inlineStr">
        <is>
          <t>Record three independent trials, quality, yield, safety and full cost before release</t>
        </is>
      </c>
    </row>
    <row r="98">
      <c r="A98" t="inlineStr">
        <is>
          <t>S-I01</t>
        </is>
      </c>
      <c r="B98" t="inlineStr">
        <is>
          <t>Production validation</t>
        </is>
      </c>
      <c r="C98" t="inlineStr">
        <is>
          <t>No signed repeat-batch evidence supplied</t>
        </is>
      </c>
      <c r="D98" t="inlineStr">
        <is>
          <t>Record three independent trials, quality, yield, safety and full cost before release</t>
        </is>
      </c>
    </row>
    <row r="99">
      <c r="A99" t="inlineStr">
        <is>
          <t>S-I02</t>
        </is>
      </c>
      <c r="B99" t="inlineStr">
        <is>
          <t>Production validation</t>
        </is>
      </c>
      <c r="C99" t="inlineStr">
        <is>
          <t>No signed repeat-batch evidence supplied</t>
        </is>
      </c>
      <c r="D99" t="inlineStr">
        <is>
          <t>Record three independent trials, quality, yield, safety and full cost before release</t>
        </is>
      </c>
    </row>
    <row r="100">
      <c r="A100" t="inlineStr">
        <is>
          <t>S-I03</t>
        </is>
      </c>
      <c r="B100" t="inlineStr">
        <is>
          <t>Production validation</t>
        </is>
      </c>
      <c r="C100" t="inlineStr">
        <is>
          <t>No signed repeat-batch evidence supplied</t>
        </is>
      </c>
      <c r="D100" t="inlineStr">
        <is>
          <t>Record three independent trials, quality, yield, safety and full cost before release</t>
        </is>
      </c>
    </row>
    <row r="101">
      <c r="A101" t="inlineStr">
        <is>
          <t>S-I04</t>
        </is>
      </c>
      <c r="B101" t="inlineStr">
        <is>
          <t>Production validation</t>
        </is>
      </c>
      <c r="C101" t="inlineStr">
        <is>
          <t>No signed repeat-batch evidence supplied</t>
        </is>
      </c>
      <c r="D101" t="inlineStr">
        <is>
          <t>Record three independent trials, quality, yield, safety and full cost before release</t>
        </is>
      </c>
    </row>
    <row r="102">
      <c r="A102" t="inlineStr">
        <is>
          <t>S-Y01</t>
        </is>
      </c>
      <c r="B102" t="inlineStr">
        <is>
          <t>Production validation</t>
        </is>
      </c>
      <c r="C102" t="inlineStr">
        <is>
          <t>No signed repeat-batch evidence supplied</t>
        </is>
      </c>
      <c r="D102" t="inlineStr">
        <is>
          <t>Record three independent trials, quality, yield, safety and full cost before release</t>
        </is>
      </c>
    </row>
    <row r="103">
      <c r="A103" t="inlineStr">
        <is>
          <t>S-Y02</t>
        </is>
      </c>
      <c r="B103" t="inlineStr">
        <is>
          <t>Production validation</t>
        </is>
      </c>
      <c r="C103" t="inlineStr">
        <is>
          <t>No signed repeat-batch evidence supplied</t>
        </is>
      </c>
      <c r="D103" t="inlineStr">
        <is>
          <t>Record three independent trials, quality, yield, safety and full cost before release</t>
        </is>
      </c>
    </row>
    <row r="104">
      <c r="A104" t="inlineStr">
        <is>
          <t>S-Y03</t>
        </is>
      </c>
      <c r="B104" t="inlineStr">
        <is>
          <t>Production validation</t>
        </is>
      </c>
      <c r="C104" t="inlineStr">
        <is>
          <t>No signed repeat-batch evidence supplied</t>
        </is>
      </c>
      <c r="D104" t="inlineStr">
        <is>
          <t>Record three independent trials, quality, yield, safety and full cost before release</t>
        </is>
      </c>
    </row>
    <row r="105">
      <c r="A105" t="inlineStr">
        <is>
          <t>M1-B01</t>
        </is>
      </c>
      <c r="B105" t="inlineStr">
        <is>
          <t>Production validation</t>
        </is>
      </c>
      <c r="C105" t="inlineStr">
        <is>
          <t>No signed repeat-batch evidence supplied</t>
        </is>
      </c>
      <c r="D105" t="inlineStr">
        <is>
          <t>Record three independent trials, quality, yield, safety and full cost before release</t>
        </is>
      </c>
    </row>
    <row r="106">
      <c r="A106" t="inlineStr">
        <is>
          <t>M1-B02</t>
        </is>
      </c>
      <c r="B106" t="inlineStr">
        <is>
          <t>Production validation</t>
        </is>
      </c>
      <c r="C106" t="inlineStr">
        <is>
          <t>No signed repeat-batch evidence supplied</t>
        </is>
      </c>
      <c r="D106" t="inlineStr">
        <is>
          <t>Record three independent trials, quality, yield, safety and full cost before release</t>
        </is>
      </c>
    </row>
    <row r="107">
      <c r="A107" t="inlineStr">
        <is>
          <t>M1-B03</t>
        </is>
      </c>
      <c r="B107" t="inlineStr">
        <is>
          <t>Production validation</t>
        </is>
      </c>
      <c r="C107" t="inlineStr">
        <is>
          <t>No signed repeat-batch evidence supplied</t>
        </is>
      </c>
      <c r="D107" t="inlineStr">
        <is>
          <t>Record three independent trials, quality, yield, safety and full cost before release</t>
        </is>
      </c>
    </row>
    <row r="108">
      <c r="A108" t="inlineStr">
        <is>
          <t>M1-B04</t>
        </is>
      </c>
      <c r="B108" t="inlineStr">
        <is>
          <t>Production validation</t>
        </is>
      </c>
      <c r="C108" t="inlineStr">
        <is>
          <t>No signed repeat-batch evidence supplied</t>
        </is>
      </c>
      <c r="D108" t="inlineStr">
        <is>
          <t>Record three independent trials, quality, yield, safety and full cost before release</t>
        </is>
      </c>
    </row>
    <row r="109">
      <c r="A109" t="inlineStr">
        <is>
          <t>M1-B05</t>
        </is>
      </c>
      <c r="B109" t="inlineStr">
        <is>
          <t>Production validation</t>
        </is>
      </c>
      <c r="C109" t="inlineStr">
        <is>
          <t>No signed repeat-batch evidence supplied</t>
        </is>
      </c>
      <c r="D109" t="inlineStr">
        <is>
          <t>Record three independent trials, quality, yield, safety and full cost before release</t>
        </is>
      </c>
    </row>
    <row r="110">
      <c r="A110" t="inlineStr">
        <is>
          <t>M1-B06</t>
        </is>
      </c>
      <c r="B110" t="inlineStr">
        <is>
          <t>Production validation</t>
        </is>
      </c>
      <c r="C110" t="inlineStr">
        <is>
          <t>No signed repeat-batch evidence supplied</t>
        </is>
      </c>
      <c r="D110" t="inlineStr">
        <is>
          <t>Record three independent trials, quality, yield, safety and full cost before release</t>
        </is>
      </c>
    </row>
    <row r="111">
      <c r="A111" t="inlineStr">
        <is>
          <t>M1-B07</t>
        </is>
      </c>
      <c r="B111" t="inlineStr">
        <is>
          <t>Production validation</t>
        </is>
      </c>
      <c r="C111" t="inlineStr">
        <is>
          <t>No signed repeat-batch evidence supplied</t>
        </is>
      </c>
      <c r="D111" t="inlineStr">
        <is>
          <t>Record three independent trials, quality, yield, safety and full cost before release</t>
        </is>
      </c>
    </row>
    <row r="112">
      <c r="A112" t="inlineStr">
        <is>
          <t>M1-B08</t>
        </is>
      </c>
      <c r="B112" t="inlineStr">
        <is>
          <t>Production validation</t>
        </is>
      </c>
      <c r="C112" t="inlineStr">
        <is>
          <t>No signed repeat-batch evidence supplied</t>
        </is>
      </c>
      <c r="D112" t="inlineStr">
        <is>
          <t>Record three independent trials, quality, yield, safety and full cost before release</t>
        </is>
      </c>
    </row>
    <row r="113">
      <c r="A113" t="inlineStr">
        <is>
          <t>M1-B09</t>
        </is>
      </c>
      <c r="B113" t="inlineStr">
        <is>
          <t>Production validation</t>
        </is>
      </c>
      <c r="C113" t="inlineStr">
        <is>
          <t>No signed repeat-batch evidence supplied</t>
        </is>
      </c>
      <c r="D113" t="inlineStr">
        <is>
          <t>Record three independent trials, quality, yield, safety and full cost before release</t>
        </is>
      </c>
    </row>
    <row r="114">
      <c r="A114" t="inlineStr">
        <is>
          <t>M1-B10</t>
        </is>
      </c>
      <c r="B114" t="inlineStr">
        <is>
          <t>Production validation</t>
        </is>
      </c>
      <c r="C114" t="inlineStr">
        <is>
          <t>No signed repeat-batch evidence supplied</t>
        </is>
      </c>
      <c r="D114" t="inlineStr">
        <is>
          <t>Record three independent trials, quality, yield, safety and full cost before release</t>
        </is>
      </c>
    </row>
    <row r="115">
      <c r="A115" t="inlineStr">
        <is>
          <t>M1-B11</t>
        </is>
      </c>
      <c r="B115" t="inlineStr">
        <is>
          <t>Production validation</t>
        </is>
      </c>
      <c r="C115" t="inlineStr">
        <is>
          <t>No signed repeat-batch evidence supplied</t>
        </is>
      </c>
      <c r="D115" t="inlineStr">
        <is>
          <t>Record three independent trials, quality, yield, safety and full cost before release</t>
        </is>
      </c>
    </row>
    <row r="116">
      <c r="A116" t="inlineStr">
        <is>
          <t>M1-B12</t>
        </is>
      </c>
      <c r="B116" t="inlineStr">
        <is>
          <t>Production validation</t>
        </is>
      </c>
      <c r="C116" t="inlineStr">
        <is>
          <t>No signed repeat-batch evidence supplied</t>
        </is>
      </c>
      <c r="D116" t="inlineStr">
        <is>
          <t>Record three independent trials, quality, yield, safety and full cost before release</t>
        </is>
      </c>
    </row>
    <row r="117">
      <c r="A117" t="inlineStr">
        <is>
          <t>M1-B13</t>
        </is>
      </c>
      <c r="B117" t="inlineStr">
        <is>
          <t>Production validation</t>
        </is>
      </c>
      <c r="C117" t="inlineStr">
        <is>
          <t>No signed repeat-batch evidence supplied</t>
        </is>
      </c>
      <c r="D117" t="inlineStr">
        <is>
          <t>Record three independent trials, quality, yield, safety and full cost before release</t>
        </is>
      </c>
    </row>
    <row r="118">
      <c r="A118" t="inlineStr">
        <is>
          <t>T01</t>
        </is>
      </c>
      <c r="B118" t="inlineStr">
        <is>
          <t>Production validation</t>
        </is>
      </c>
      <c r="C118" t="inlineStr">
        <is>
          <t>No signed repeat-batch evidence supplied</t>
        </is>
      </c>
      <c r="D118" t="inlineStr">
        <is>
          <t>Record three independent trials, quality, yield, safety and full cost before release</t>
        </is>
      </c>
    </row>
    <row r="119">
      <c r="A119" t="inlineStr">
        <is>
          <t>H01</t>
        </is>
      </c>
      <c r="B119" t="inlineStr">
        <is>
          <t>Production validation</t>
        </is>
      </c>
      <c r="C119" t="inlineStr">
        <is>
          <t>No signed repeat-batch evidence supplied</t>
        </is>
      </c>
      <c r="D119" t="inlineStr">
        <is>
          <t>Record three independent trials, quality, yield, safety and full cost before release</t>
        </is>
      </c>
    </row>
    <row r="120">
      <c r="A120" t="inlineStr">
        <is>
          <t>H02</t>
        </is>
      </c>
      <c r="B120" t="inlineStr">
        <is>
          <t>Production validation</t>
        </is>
      </c>
      <c r="C120" t="inlineStr">
        <is>
          <t>No signed repeat-batch evidence supplied</t>
        </is>
      </c>
      <c r="D120" t="inlineStr">
        <is>
          <t>Record three independent trials, quality, yield, safety and full cost before release</t>
        </is>
      </c>
    </row>
    <row r="121">
      <c r="A121" t="inlineStr">
        <is>
          <t>H03</t>
        </is>
      </c>
      <c r="B121" t="inlineStr">
        <is>
          <t>Production validation</t>
        </is>
      </c>
      <c r="C121" t="inlineStr">
        <is>
          <t>No signed repeat-batch evidence supplied</t>
        </is>
      </c>
      <c r="D121" t="inlineStr">
        <is>
          <t>Record three independent trials, quality, yield, safety and full cost before release</t>
        </is>
      </c>
    </row>
    <row r="122">
      <c r="A122" t="inlineStr">
        <is>
          <t>H04</t>
        </is>
      </c>
      <c r="B122" t="inlineStr">
        <is>
          <t>Production validation</t>
        </is>
      </c>
      <c r="C122" t="inlineStr">
        <is>
          <t>No signed repeat-batch evidence supplied</t>
        </is>
      </c>
      <c r="D122" t="inlineStr">
        <is>
          <t>Record three independent trials, quality, yield, safety and full cost before release</t>
        </is>
      </c>
    </row>
    <row r="123">
      <c r="A123" t="inlineStr">
        <is>
          <t>H05</t>
        </is>
      </c>
      <c r="B123" t="inlineStr">
        <is>
          <t>Production validation</t>
        </is>
      </c>
      <c r="C123" t="inlineStr">
        <is>
          <t>No signed repeat-batch evidence supplied</t>
        </is>
      </c>
      <c r="D123" t="inlineStr">
        <is>
          <t>Record three independent trials, quality, yield, safety and full cost before release</t>
        </is>
      </c>
    </row>
    <row r="124">
      <c r="A124" t="inlineStr">
        <is>
          <t>H06</t>
        </is>
      </c>
      <c r="B124" t="inlineStr">
        <is>
          <t>Production validation</t>
        </is>
      </c>
      <c r="C124" t="inlineStr">
        <is>
          <t>No signed repeat-batch evidence supplied</t>
        </is>
      </c>
      <c r="D124" t="inlineStr">
        <is>
          <t>Record three independent trials, quality, yield, safety and full cost before release</t>
        </is>
      </c>
    </row>
    <row r="125">
      <c r="A125" t="inlineStr">
        <is>
          <t>H07</t>
        </is>
      </c>
      <c r="B125" t="inlineStr">
        <is>
          <t>Production validation</t>
        </is>
      </c>
      <c r="C125" t="inlineStr">
        <is>
          <t>No signed repeat-batch evidence supplied</t>
        </is>
      </c>
      <c r="D125" t="inlineStr">
        <is>
          <t>Record three independent trials, quality, yield, safety and full cost before release</t>
        </is>
      </c>
    </row>
    <row r="126">
      <c r="A126" t="inlineStr">
        <is>
          <t>H08</t>
        </is>
      </c>
      <c r="B126" t="inlineStr">
        <is>
          <t>Production validation</t>
        </is>
      </c>
      <c r="C126" t="inlineStr">
        <is>
          <t>No signed repeat-batch evidence supplied</t>
        </is>
      </c>
      <c r="D126" t="inlineStr">
        <is>
          <t>Record three independent trials, quality, yield, safety and full cost before release</t>
        </is>
      </c>
    </row>
    <row r="127">
      <c r="A127" t="inlineStr">
        <is>
          <t>H09</t>
        </is>
      </c>
      <c r="B127" t="inlineStr">
        <is>
          <t>Production validation</t>
        </is>
      </c>
      <c r="C127" t="inlineStr">
        <is>
          <t>No signed repeat-batch evidence supplied</t>
        </is>
      </c>
      <c r="D127" t="inlineStr">
        <is>
          <t>Record three independent trials, quality, yield, safety and full cost before release</t>
        </is>
      </c>
    </row>
    <row r="128">
      <c r="A128" t="inlineStr">
        <is>
          <t>H10</t>
        </is>
      </c>
      <c r="B128" t="inlineStr">
        <is>
          <t>Production validation</t>
        </is>
      </c>
      <c r="C128" t="inlineStr">
        <is>
          <t>No signed repeat-batch evidence supplied</t>
        </is>
      </c>
      <c r="D128" t="inlineStr">
        <is>
          <t>Record three independent trials, quality, yield, safety and full cost before release</t>
        </is>
      </c>
    </row>
    <row r="129">
      <c r="A129" t="inlineStr">
        <is>
          <t>H11</t>
        </is>
      </c>
      <c r="B129" t="inlineStr">
        <is>
          <t>Production validation</t>
        </is>
      </c>
      <c r="C129" t="inlineStr">
        <is>
          <t>No signed repeat-batch evidence supplied</t>
        </is>
      </c>
      <c r="D129" t="inlineStr">
        <is>
          <t>Record three independent trials, quality, yield, safety and full cost before release</t>
        </is>
      </c>
    </row>
    <row r="130">
      <c r="A130" t="inlineStr">
        <is>
          <t>H12</t>
        </is>
      </c>
      <c r="B130" t="inlineStr">
        <is>
          <t>Production validation</t>
        </is>
      </c>
      <c r="C130" t="inlineStr">
        <is>
          <t>No signed repeat-batch evidence supplied</t>
        </is>
      </c>
      <c r="D130" t="inlineStr">
        <is>
          <t>Record three independent trials, quality, yield, safety and full cost before release</t>
        </is>
      </c>
    </row>
    <row r="131">
      <c r="A131" t="inlineStr">
        <is>
          <t>H13</t>
        </is>
      </c>
      <c r="B131" t="inlineStr">
        <is>
          <t>Production validation</t>
        </is>
      </c>
      <c r="C131" t="inlineStr">
        <is>
          <t>No signed repeat-batch evidence supplied</t>
        </is>
      </c>
      <c r="D131" t="inlineStr">
        <is>
          <t>Record three independent trials, quality, yield, safety and full cost before release</t>
        </is>
      </c>
    </row>
    <row r="132">
      <c r="A132" t="inlineStr">
        <is>
          <t>H14</t>
        </is>
      </c>
      <c r="B132" t="inlineStr">
        <is>
          <t>Production validation</t>
        </is>
      </c>
      <c r="C132" t="inlineStr">
        <is>
          <t>No signed repeat-batch evidence supplied</t>
        </is>
      </c>
      <c r="D132" t="inlineStr">
        <is>
          <t>Record three independent trials, quality, yield, safety and full cost before release</t>
        </is>
      </c>
    </row>
    <row r="133">
      <c r="A133" t="inlineStr">
        <is>
          <t>H15</t>
        </is>
      </c>
      <c r="B133" t="inlineStr">
        <is>
          <t>Production validation</t>
        </is>
      </c>
      <c r="C133" t="inlineStr">
        <is>
          <t>No signed repeat-batch evidence supplied</t>
        </is>
      </c>
      <c r="D133" t="inlineStr">
        <is>
          <t>Record three independent trials, quality, yield, safety and full cost before release</t>
        </is>
      </c>
    </row>
    <row r="134">
      <c r="A134" t="inlineStr">
        <is>
          <t>H16</t>
        </is>
      </c>
      <c r="B134" t="inlineStr">
        <is>
          <t>Production validation</t>
        </is>
      </c>
      <c r="C134" t="inlineStr">
        <is>
          <t>No signed repeat-batch evidence supplied</t>
        </is>
      </c>
      <c r="D134" t="inlineStr">
        <is>
          <t>Record three independent trials, quality, yield, safety and full cost before release</t>
        </is>
      </c>
    </row>
    <row r="135">
      <c r="A135" t="inlineStr">
        <is>
          <t>H17</t>
        </is>
      </c>
      <c r="B135" t="inlineStr">
        <is>
          <t>Production validation</t>
        </is>
      </c>
      <c r="C135" t="inlineStr">
        <is>
          <t>No signed repeat-batch evidence supplied</t>
        </is>
      </c>
      <c r="D135" t="inlineStr">
        <is>
          <t>Record three independent trials, quality, yield, safety and full cost before release</t>
        </is>
      </c>
    </row>
    <row r="136">
      <c r="A136" t="inlineStr">
        <is>
          <t>H18</t>
        </is>
      </c>
      <c r="B136" t="inlineStr">
        <is>
          <t>Production validation</t>
        </is>
      </c>
      <c r="C136" t="inlineStr">
        <is>
          <t>No signed repeat-batch evidence supplied</t>
        </is>
      </c>
      <c r="D136" t="inlineStr">
        <is>
          <t>Record three independent trials, quality, yield, safety and full cost before release</t>
        </is>
      </c>
    </row>
    <row r="137">
      <c r="A137" t="inlineStr">
        <is>
          <t>H19</t>
        </is>
      </c>
      <c r="B137" t="inlineStr">
        <is>
          <t>Production validation</t>
        </is>
      </c>
      <c r="C137" t="inlineStr">
        <is>
          <t>No signed repeat-batch evidence supplied</t>
        </is>
      </c>
      <c r="D137" t="inlineStr">
        <is>
          <t>Record three independent trials, quality, yield, safety and full cost before release</t>
        </is>
      </c>
    </row>
    <row r="138">
      <c r="A138" t="inlineStr">
        <is>
          <t>H20</t>
        </is>
      </c>
      <c r="B138" t="inlineStr">
        <is>
          <t>Production validation</t>
        </is>
      </c>
      <c r="C138" t="inlineStr">
        <is>
          <t>No signed repeat-batch evidence supplied</t>
        </is>
      </c>
      <c r="D138" t="inlineStr">
        <is>
          <t>Record three independent trials, quality, yield, safety and full cost before release</t>
        </is>
      </c>
    </row>
    <row r="139">
      <c r="A139" t="inlineStr">
        <is>
          <t>L001</t>
        </is>
      </c>
      <c r="B139" t="inlineStr">
        <is>
          <t>Source formulation</t>
        </is>
      </c>
      <c r="C139" t="inlineStr">
        <is>
          <t>method, portion, losses and actual successful trial record not established by spreadsheet quantities alone</t>
        </is>
      </c>
      <c r="D139" t="inlineStr">
        <is>
          <t>Use selected working alternative or resolve and run a controlled pilot</t>
        </is>
      </c>
    </row>
    <row r="140">
      <c r="A140" t="inlineStr">
        <is>
          <t>L002</t>
        </is>
      </c>
      <c r="B140" t="inlineStr">
        <is>
          <t>Source formulation</t>
        </is>
      </c>
      <c r="C140" t="inlineStr">
        <is>
          <t>method, portion, losses and actual successful trial record not established by spreadsheet quantities alone</t>
        </is>
      </c>
      <c r="D140" t="inlineStr">
        <is>
          <t>Use selected working alternative or resolve and run a controlled pilot</t>
        </is>
      </c>
    </row>
    <row r="141">
      <c r="A141" t="inlineStr">
        <is>
          <t>L003</t>
        </is>
      </c>
      <c r="B141" t="inlineStr">
        <is>
          <t>Source formulation</t>
        </is>
      </c>
      <c r="C141" t="inlineStr">
        <is>
          <t>method, portion, losses and actual successful trial record not established by spreadsheet quantities alone</t>
        </is>
      </c>
      <c r="D141" t="inlineStr">
        <is>
          <t>Use selected working alternative or resolve and run a controlled pilot</t>
        </is>
      </c>
    </row>
    <row r="142">
      <c r="A142" t="inlineStr">
        <is>
          <t>L004</t>
        </is>
      </c>
      <c r="B142" t="inlineStr">
        <is>
          <t>Source formulation</t>
        </is>
      </c>
      <c r="C142" t="inlineStr">
        <is>
          <t>milk requires identity/specification; method, portion, losses and actual successful trial record not established by spreadsheet quantities alone</t>
        </is>
      </c>
      <c r="D142" t="inlineStr">
        <is>
          <t>Use selected working alternative or resolve and run a controlled pilot</t>
        </is>
      </c>
    </row>
    <row r="143">
      <c r="A143" t="inlineStr">
        <is>
          <t>L005</t>
        </is>
      </c>
      <c r="B143" t="inlineStr">
        <is>
          <t>Source formulation</t>
        </is>
      </c>
      <c r="C143" t="inlineStr">
        <is>
          <t>milk requires identity/specification; method, portion, losses and actual successful trial record not established by spreadsheet quantities alone</t>
        </is>
      </c>
      <c r="D143" t="inlineStr">
        <is>
          <t>Use selected working alternative or resolve and run a controlled pilot</t>
        </is>
      </c>
    </row>
    <row r="144">
      <c r="A144" t="inlineStr">
        <is>
          <t>L006</t>
        </is>
      </c>
      <c r="B144" t="inlineStr">
        <is>
          <t>Source formulation</t>
        </is>
      </c>
      <c r="C144" t="inlineStr">
        <is>
          <t>separate recipe oil, retained frying oil and fryer charge; current source mass is not edible yield; method, portion, losses and actual successful trial record not established by spreadsheet quantities alone</t>
        </is>
      </c>
      <c r="D144" t="inlineStr">
        <is>
          <t>Use selected working alternative or resolve and run a controlled pilot</t>
        </is>
      </c>
    </row>
    <row r="145">
      <c r="A145" t="inlineStr">
        <is>
          <t>L007</t>
        </is>
      </c>
      <c r="B145" t="inlineStr">
        <is>
          <t>Source formulation</t>
        </is>
      </c>
      <c r="C145" t="inlineStr">
        <is>
          <t>separate recipe oil, retained frying oil and fryer charge; current source mass is not edible yield; method, portion, losses and actual successful trial record not established by spreadsheet quantities alone</t>
        </is>
      </c>
      <c r="D145" t="inlineStr">
        <is>
          <t>Use selected working alternative or resolve and run a controlled pilot</t>
        </is>
      </c>
    </row>
    <row r="146">
      <c r="A146" t="inlineStr">
        <is>
          <t>L008</t>
        </is>
      </c>
      <c r="B146" t="inlineStr">
        <is>
          <t>Source formulation</t>
        </is>
      </c>
      <c r="C146" t="inlineStr">
        <is>
          <t>conc milk requires identity/specification; method, portion, losses and actual successful trial record not established by spreadsheet quantities alone</t>
        </is>
      </c>
      <c r="D146" t="inlineStr">
        <is>
          <t>Use selected working alternative or resolve and run a controlled pilot</t>
        </is>
      </c>
    </row>
    <row r="147">
      <c r="A147" t="inlineStr">
        <is>
          <t>L009</t>
        </is>
      </c>
      <c r="B147" t="inlineStr">
        <is>
          <t>Source formulation</t>
        </is>
      </c>
      <c r="C147" t="inlineStr">
        <is>
          <t>method, portion, losses and actual successful trial record not established by spreadsheet quantities alone</t>
        </is>
      </c>
      <c r="D147" t="inlineStr">
        <is>
          <t>Use selected working alternative or resolve and run a controlled pilot</t>
        </is>
      </c>
    </row>
    <row r="148">
      <c r="A148" t="inlineStr">
        <is>
          <t>L010</t>
        </is>
      </c>
      <c r="B148" t="inlineStr">
        <is>
          <t>Source formulation</t>
        </is>
      </c>
      <c r="C148" t="inlineStr">
        <is>
          <t>method, portion, losses and actual successful trial record not established by spreadsheet quantities alone</t>
        </is>
      </c>
      <c r="D148" t="inlineStr">
        <is>
          <t>Use selected working alternative or resolve and run a controlled pilot</t>
        </is>
      </c>
    </row>
    <row r="149">
      <c r="A149" t="inlineStr">
        <is>
          <t>L011</t>
        </is>
      </c>
      <c r="B149" t="inlineStr">
        <is>
          <t>Source formulation</t>
        </is>
      </c>
      <c r="C149" t="inlineStr">
        <is>
          <t>method, portion, losses and actual successful trial record not established by spreadsheet quantities alone</t>
        </is>
      </c>
      <c r="D149" t="inlineStr">
        <is>
          <t>Use selected working alternative or resolve and run a controlled pilot</t>
        </is>
      </c>
    </row>
    <row r="150">
      <c r="A150" t="inlineStr">
        <is>
          <t>L012</t>
        </is>
      </c>
      <c r="B150" t="inlineStr">
        <is>
          <t>Source formulation</t>
        </is>
      </c>
      <c r="C150" t="inlineStr">
        <is>
          <t>separate recipe oil, retained frying oil and fryer charge; current source mass is not edible yield; method, portion, losses and actual successful trial record not established by spreadsheet quantities alone</t>
        </is>
      </c>
      <c r="D150" t="inlineStr">
        <is>
          <t>Use selected working alternative or resolve and run a controlled pilot</t>
        </is>
      </c>
    </row>
    <row r="151">
      <c r="A151" t="inlineStr">
        <is>
          <t>L013</t>
        </is>
      </c>
      <c r="B151" t="inlineStr">
        <is>
          <t>Source formulation</t>
        </is>
      </c>
      <c r="C151" t="inlineStr">
        <is>
          <t>method, portion, losses and actual successful trial record not established by spreadsheet quantities alone</t>
        </is>
      </c>
      <c r="D151" t="inlineStr">
        <is>
          <t>Use selected working alternative or resolve and run a controlled pilot</t>
        </is>
      </c>
    </row>
    <row r="152">
      <c r="A152" t="inlineStr">
        <is>
          <t>L014</t>
        </is>
      </c>
      <c r="B152" t="inlineStr">
        <is>
          <t>Source formulation</t>
        </is>
      </c>
      <c r="C152" t="inlineStr">
        <is>
          <t>milk requires identity/specification; roll-in fat specification needed; Roma bucket suitability not established; method, portion, losses and actual successful trial record not established by spreadsheet quantities alone</t>
        </is>
      </c>
      <c r="D152" t="inlineStr">
        <is>
          <t>Use selected working alternative or resolve and run a controlled pilot</t>
        </is>
      </c>
    </row>
    <row r="153">
      <c r="A153" t="inlineStr">
        <is>
          <t>L015</t>
        </is>
      </c>
      <c r="B153" t="inlineStr">
        <is>
          <t>Source formulation</t>
        </is>
      </c>
      <c r="C153" t="inlineStr">
        <is>
          <t>method, portion, losses and actual successful trial record not established by spreadsheet quantities alone</t>
        </is>
      </c>
      <c r="D153" t="inlineStr">
        <is>
          <t>Use selected working alternative or resolve and run a controlled pilot</t>
        </is>
      </c>
    </row>
    <row r="154">
      <c r="A154" t="inlineStr">
        <is>
          <t>L016</t>
        </is>
      </c>
      <c r="B154" t="inlineStr">
        <is>
          <t>Source formulation</t>
        </is>
      </c>
      <c r="C154" t="inlineStr">
        <is>
          <t>milk requires identity/specification; method, portion, losses and actual successful trial record not established by spreadsheet quantities alone</t>
        </is>
      </c>
      <c r="D154" t="inlineStr">
        <is>
          <t>Use selected working alternative or resolve and run a controlled pilot</t>
        </is>
      </c>
    </row>
    <row r="155">
      <c r="A155" t="inlineStr">
        <is>
          <t>L017</t>
        </is>
      </c>
      <c r="B155" t="inlineStr">
        <is>
          <t>Source formulation</t>
        </is>
      </c>
      <c r="C155" t="inlineStr">
        <is>
          <t>milk requires identity/specification; salt exceeds 3% of flour; review before testing; method, portion, losses and actual successful trial record not established by spreadsheet quantities alone</t>
        </is>
      </c>
      <c r="D155" t="inlineStr">
        <is>
          <t>Use selected working alternative or resolve and run a controlled pilot</t>
        </is>
      </c>
    </row>
    <row r="156">
      <c r="A156" t="inlineStr">
        <is>
          <t>L018</t>
        </is>
      </c>
      <c r="B156" t="inlineStr">
        <is>
          <t>Source formulation</t>
        </is>
      </c>
      <c r="C156" t="inlineStr">
        <is>
          <t>milk requires identity/specification; separate recipe oil, retained frying oil and fryer charge; current source mass is not edible yield; method, portion, losses and actual successful trial record not established by spreadsheet quantities alone</t>
        </is>
      </c>
      <c r="D156" t="inlineStr">
        <is>
          <t>Use selected working alternative or resolve and run a controlled pilot</t>
        </is>
      </c>
    </row>
    <row r="157">
      <c r="A157" t="inlineStr">
        <is>
          <t>L019</t>
        </is>
      </c>
      <c r="B157" t="inlineStr">
        <is>
          <t>Source formulation</t>
        </is>
      </c>
      <c r="C157" t="inlineStr">
        <is>
          <t>separate recipe oil, retained frying oil and fryer charge; current source mass is not edible yield; method, portion, losses and actual successful trial record not established by spreadsheet quantities alone</t>
        </is>
      </c>
      <c r="D157" t="inlineStr">
        <is>
          <t>Use selected working alternative or resolve and run a controlled pilot</t>
        </is>
      </c>
    </row>
    <row r="158">
      <c r="A158" t="inlineStr">
        <is>
          <t>L020</t>
        </is>
      </c>
      <c r="B158" t="inlineStr">
        <is>
          <t>Source formulation</t>
        </is>
      </c>
      <c r="C158" t="inlineStr">
        <is>
          <t>method, portion, losses and actual successful trial record not established by spreadsheet quantities alone</t>
        </is>
      </c>
      <c r="D158" t="inlineStr">
        <is>
          <t>Use selected working alternative or resolve and run a controlled pilot</t>
        </is>
      </c>
    </row>
    <row r="159">
      <c r="A159" t="inlineStr">
        <is>
          <t>L021</t>
        </is>
      </c>
      <c r="B159" t="inlineStr">
        <is>
          <t>Source formulation</t>
        </is>
      </c>
      <c r="C159" t="inlineStr">
        <is>
          <t>milk requires identity/specification; low listed water; identify other liquid contributions before mixing; method, portion, losses and actual successful trial record not established by spreadsheet quantities alone</t>
        </is>
      </c>
      <c r="D159" t="inlineStr">
        <is>
          <t>Use selected working alternative or resolve and run a controlled pilot</t>
        </is>
      </c>
    </row>
    <row r="160">
      <c r="A160" t="inlineStr">
        <is>
          <t>L022</t>
        </is>
      </c>
      <c r="B160" t="inlineStr">
        <is>
          <t>Source formulation</t>
        </is>
      </c>
      <c r="C160" t="inlineStr">
        <is>
          <t>milk requires identity/specification; low listed water; identify other liquid contributions before mixing; method, portion, losses and actual successful trial record not established by spreadsheet quantities alone</t>
        </is>
      </c>
      <c r="D160" t="inlineStr">
        <is>
          <t>Use selected working alternative or resolve and run a controlled pilot</t>
        </is>
      </c>
    </row>
    <row r="161">
      <c r="A161" t="inlineStr">
        <is>
          <t>L023</t>
        </is>
      </c>
      <c r="B161" t="inlineStr">
        <is>
          <t>Source formulation</t>
        </is>
      </c>
      <c r="C161" t="inlineStr">
        <is>
          <t>milk requires identity/specification; method, portion, losses and actual successful trial record not established by spreadsheet quantities alone</t>
        </is>
      </c>
      <c r="D161" t="inlineStr">
        <is>
          <t>Use selected working alternative or resolve and run a controlled pilot</t>
        </is>
      </c>
    </row>
    <row r="162">
      <c r="A162" t="inlineStr">
        <is>
          <t>L024</t>
        </is>
      </c>
      <c r="B162" t="inlineStr">
        <is>
          <t>Source formulation</t>
        </is>
      </c>
      <c r="C162" t="inlineStr">
        <is>
          <t>milk requires identity/specification; low listed water; identify other liquid contributions before mixing; method, portion, losses and actual successful trial record not established by spreadsheet quantities alone</t>
        </is>
      </c>
      <c r="D162" t="inlineStr">
        <is>
          <t>Use selected working alternative or resolve and run a controlled pilot</t>
        </is>
      </c>
    </row>
    <row r="163">
      <c r="A163" t="inlineStr">
        <is>
          <t>L025</t>
        </is>
      </c>
      <c r="B163" t="inlineStr">
        <is>
          <t>Source formulation</t>
        </is>
      </c>
      <c r="C163" t="inlineStr">
        <is>
          <t>stabilizer requires identity/specification; others requires identity/specification; method, portion, losses and actual successful trial record not established by spreadsheet quantities alone</t>
        </is>
      </c>
      <c r="D163" t="inlineStr">
        <is>
          <t>Use selected working alternative or resolve and run a controlled pilot</t>
        </is>
      </c>
    </row>
    <row r="164">
      <c r="A164" t="inlineStr">
        <is>
          <t>L026</t>
        </is>
      </c>
      <c r="B164" t="inlineStr">
        <is>
          <t>Source formulation</t>
        </is>
      </c>
      <c r="C164" t="inlineStr">
        <is>
          <t>stabilizer requires identity/specification; method, portion, losses and actual successful trial record not established by spreadsheet quantities alone</t>
        </is>
      </c>
      <c r="D164" t="inlineStr">
        <is>
          <t>Use selected working alternative or resolve and run a controlled pilot</t>
        </is>
      </c>
    </row>
    <row r="165">
      <c r="A165" t="inlineStr">
        <is>
          <t>L027</t>
        </is>
      </c>
      <c r="B165" t="inlineStr">
        <is>
          <t>Source formulation</t>
        </is>
      </c>
      <c r="C165" t="inlineStr">
        <is>
          <t>conc milk requires identity/specification; separate recipe oil, retained frying oil and fryer charge; current source mass is not edible yield; method, portion, losses and actual successful trial record not established by spreadsheet quantities alone</t>
        </is>
      </c>
      <c r="D165" t="inlineStr">
        <is>
          <t>Use selected working alternative or resolve and run a controlled pilot</t>
        </is>
      </c>
    </row>
    <row r="166">
      <c r="A166" t="inlineStr">
        <is>
          <t>L028</t>
        </is>
      </c>
      <c r="B166" t="inlineStr">
        <is>
          <t>Source formulation</t>
        </is>
      </c>
      <c r="C166" t="inlineStr">
        <is>
          <t>conc milk requires identity/specification; separate recipe oil, retained frying oil and fryer charge; current source mass is not edible yield; method, portion, losses and actual successful trial record not established by spreadsheet quantities alone</t>
        </is>
      </c>
      <c r="D166" t="inlineStr">
        <is>
          <t>Use selected working alternative or resolve and run a controlled pilot</t>
        </is>
      </c>
    </row>
    <row r="167">
      <c r="A167" t="inlineStr">
        <is>
          <t>L029</t>
        </is>
      </c>
      <c r="B167" t="inlineStr">
        <is>
          <t>Source formulation</t>
        </is>
      </c>
      <c r="C167" t="inlineStr">
        <is>
          <t>method, portion, losses and actual successful trial record not established by spreadsheet quantities alone</t>
        </is>
      </c>
      <c r="D167" t="inlineStr">
        <is>
          <t>Use selected working alternative or resolve and run a controlled pilot</t>
        </is>
      </c>
    </row>
    <row r="168">
      <c r="A168" t="inlineStr">
        <is>
          <t>L030</t>
        </is>
      </c>
      <c r="B168" t="inlineStr">
        <is>
          <t>Source formulation</t>
        </is>
      </c>
      <c r="C168" t="inlineStr">
        <is>
          <t>method, portion, losses and actual successful trial record not established by spreadsheet quantities alone</t>
        </is>
      </c>
      <c r="D168" t="inlineStr">
        <is>
          <t>Use selected working alternative or resolve and run a controlled pilot</t>
        </is>
      </c>
    </row>
    <row r="169">
      <c r="A169" t="inlineStr">
        <is>
          <t>L031</t>
        </is>
      </c>
      <c r="B169" t="inlineStr">
        <is>
          <t>Source formulation</t>
        </is>
      </c>
      <c r="C169" t="inlineStr">
        <is>
          <t>method, portion, losses and actual successful trial record not established by spreadsheet quantities alone</t>
        </is>
      </c>
      <c r="D169" t="inlineStr">
        <is>
          <t>Use selected working alternative or resolve and run a controlled pilot</t>
        </is>
      </c>
    </row>
    <row r="170">
      <c r="A170" t="inlineStr">
        <is>
          <t>L032</t>
        </is>
      </c>
      <c r="B170" t="inlineStr">
        <is>
          <t>Source formulation</t>
        </is>
      </c>
      <c r="C170" t="inlineStr">
        <is>
          <t>method, portion, losses and actual successful trial record not established by spreadsheet quantities alone</t>
        </is>
      </c>
      <c r="D170" t="inlineStr">
        <is>
          <t>Use selected working alternative or resolve and run a controlled pilot</t>
        </is>
      </c>
    </row>
    <row r="171">
      <c r="A171" t="inlineStr">
        <is>
          <t>L033</t>
        </is>
      </c>
      <c r="B171" t="inlineStr">
        <is>
          <t>Source formulation</t>
        </is>
      </c>
      <c r="C171" t="inlineStr">
        <is>
          <t>method, portion, losses and actual successful trial record not established by spreadsheet quantities alone</t>
        </is>
      </c>
      <c r="D171" t="inlineStr">
        <is>
          <t>Use selected working alternative or resolve and run a controlled pilot</t>
        </is>
      </c>
    </row>
    <row r="172">
      <c r="A172" t="inlineStr">
        <is>
          <t>L034</t>
        </is>
      </c>
      <c r="B172" t="inlineStr">
        <is>
          <t>Source formulation</t>
        </is>
      </c>
      <c r="C172" t="inlineStr">
        <is>
          <t>milk requires identity/specification; low listed water; identify other liquid contributions before mixing; method, portion, losses and actual successful trial record not established by spreadsheet quantities alone</t>
        </is>
      </c>
      <c r="D172" t="inlineStr">
        <is>
          <t>Use selected working alternative or resolve and run a controlled pilot</t>
        </is>
      </c>
    </row>
    <row r="173">
      <c r="A173" t="inlineStr">
        <is>
          <t>L035</t>
        </is>
      </c>
      <c r="B173" t="inlineStr">
        <is>
          <t>Source formulation</t>
        </is>
      </c>
      <c r="C173" t="inlineStr">
        <is>
          <t>conc milk requires identity/specification; method, portion, losses and actual successful trial record not established by spreadsheet quantities alone</t>
        </is>
      </c>
      <c r="D173" t="inlineStr">
        <is>
          <t>Use selected working alternative or resolve and run a controlled pilot</t>
        </is>
      </c>
    </row>
    <row r="174">
      <c r="A174" t="inlineStr">
        <is>
          <t>L036</t>
        </is>
      </c>
      <c r="B174" t="inlineStr">
        <is>
          <t>Source formulation</t>
        </is>
      </c>
      <c r="C174" t="inlineStr">
        <is>
          <t>conc milk requires identity/specification; method, portion, losses and actual successful trial record not established by spreadsheet quantities alone</t>
        </is>
      </c>
      <c r="D174" t="inlineStr">
        <is>
          <t>Use selected working alternative or resolve and run a controlled pilot</t>
        </is>
      </c>
    </row>
    <row r="175">
      <c r="A175" t="inlineStr">
        <is>
          <t>L037</t>
        </is>
      </c>
      <c r="B175" t="inlineStr">
        <is>
          <t>Source formulation</t>
        </is>
      </c>
      <c r="C175" t="inlineStr">
        <is>
          <t>separate recipe oil, retained frying oil and fryer charge; current source mass is not edible yield; method, portion, losses and actual successful trial record not established by spreadsheet quantities alone</t>
        </is>
      </c>
      <c r="D175" t="inlineStr">
        <is>
          <t>Use selected working alternative or resolve and run a controlled pilot</t>
        </is>
      </c>
    </row>
    <row r="176">
      <c r="A176" t="inlineStr">
        <is>
          <t>L038</t>
        </is>
      </c>
      <c r="B176" t="inlineStr">
        <is>
          <t>Source formulation</t>
        </is>
      </c>
      <c r="C176" t="inlineStr">
        <is>
          <t>method, portion, losses and actual successful trial record not established by spreadsheet quantities alone</t>
        </is>
      </c>
      <c r="D176" t="inlineStr">
        <is>
          <t>Use selected working alternative or resolve and run a controlled pilot</t>
        </is>
      </c>
    </row>
    <row r="177">
      <c r="A177" t="inlineStr">
        <is>
          <t>L039</t>
        </is>
      </c>
      <c r="B177" t="inlineStr">
        <is>
          <t>Source formulation</t>
        </is>
      </c>
      <c r="C177" t="inlineStr">
        <is>
          <t>milk requires identity/specification; separate recipe oil, retained frying oil and fryer charge; current source mass is not edible yield; method, portion, losses and actual successful trial record not established by spreadsheet quantities alone</t>
        </is>
      </c>
      <c r="D177" t="inlineStr">
        <is>
          <t>Use selected working alternative or resolve and run a controlled pilot</t>
        </is>
      </c>
    </row>
    <row r="178">
      <c r="A178" t="inlineStr">
        <is>
          <t>L040</t>
        </is>
      </c>
      <c r="B178" t="inlineStr">
        <is>
          <t>Source formulation</t>
        </is>
      </c>
      <c r="C178"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178" t="inlineStr">
        <is>
          <t>Use selected working alternative or resolve and run a controlled pilot</t>
        </is>
      </c>
    </row>
    <row r="179">
      <c r="A179" t="inlineStr">
        <is>
          <t>L041</t>
        </is>
      </c>
      <c r="B179" t="inlineStr">
        <is>
          <t>Source formulation</t>
        </is>
      </c>
      <c r="C179" t="inlineStr">
        <is>
          <t>salt exceeds 3% of flour; review before testing; method, portion, losses and actual successful trial record not established by spreadsheet quantities alone</t>
        </is>
      </c>
      <c r="D179" t="inlineStr">
        <is>
          <t>Use selected working alternative or resolve and run a controlled pilot</t>
        </is>
      </c>
    </row>
    <row r="180">
      <c r="A180" t="inlineStr">
        <is>
          <t>L042</t>
        </is>
      </c>
      <c r="B180" t="inlineStr">
        <is>
          <t>Source formulation</t>
        </is>
      </c>
      <c r="C180" t="inlineStr">
        <is>
          <t>method, portion, losses and actual successful trial record not established by spreadsheet quantities alone</t>
        </is>
      </c>
      <c r="D180" t="inlineStr">
        <is>
          <t>Use selected working alternative or resolve and run a controlled pilot</t>
        </is>
      </c>
    </row>
    <row r="181">
      <c r="A181" t="inlineStr">
        <is>
          <t>L043</t>
        </is>
      </c>
      <c r="B181" t="inlineStr">
        <is>
          <t>Source formulation</t>
        </is>
      </c>
      <c r="C181" t="inlineStr">
        <is>
          <t>milk requires identity/specification; separate recipe oil, retained frying oil and fryer charge; current source mass is not edible yield; method, portion, losses and actual successful trial record not established by spreadsheet quantities alone</t>
        </is>
      </c>
      <c r="D181" t="inlineStr">
        <is>
          <t>Use selected working alternative or resolve and run a controlled pilot</t>
        </is>
      </c>
    </row>
    <row r="182">
      <c r="A182" t="inlineStr">
        <is>
          <t>L044</t>
        </is>
      </c>
      <c r="B182" t="inlineStr">
        <is>
          <t>Source formulation</t>
        </is>
      </c>
      <c r="C182"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182" t="inlineStr">
        <is>
          <t>Use selected working alternative or resolve and run a controlled pilot</t>
        </is>
      </c>
    </row>
    <row r="183">
      <c r="A183" t="inlineStr">
        <is>
          <t>L045</t>
        </is>
      </c>
      <c r="B183" t="inlineStr">
        <is>
          <t>Source formulation</t>
        </is>
      </c>
      <c r="C183" t="inlineStr">
        <is>
          <t>milk requires identity/specification; separate recipe oil, retained frying oil and fryer charge; current source mass is not edible yield; method, portion, losses and actual successful trial record not established by spreadsheet quantities alone</t>
        </is>
      </c>
      <c r="D183" t="inlineStr">
        <is>
          <t>Use selected working alternative or resolve and run a controlled pilot</t>
        </is>
      </c>
    </row>
    <row r="184">
      <c r="A184" t="inlineStr">
        <is>
          <t>L046</t>
        </is>
      </c>
      <c r="B184" t="inlineStr">
        <is>
          <t>Source formulation</t>
        </is>
      </c>
      <c r="C184"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184" t="inlineStr">
        <is>
          <t>Use selected working alternative or resolve and run a controlled pilot</t>
        </is>
      </c>
    </row>
    <row r="185">
      <c r="A185" t="inlineStr">
        <is>
          <t>L047</t>
        </is>
      </c>
      <c r="B185" t="inlineStr">
        <is>
          <t>Source formulation</t>
        </is>
      </c>
      <c r="C185" t="inlineStr">
        <is>
          <t>milk requires identity/specification; salt exceeds 3% of flour; review before testing; method, portion, losses and actual successful trial record not established by spreadsheet quantities alone</t>
        </is>
      </c>
      <c r="D185" t="inlineStr">
        <is>
          <t>Use selected working alternative or resolve and run a controlled pilot</t>
        </is>
      </c>
    </row>
    <row r="186">
      <c r="A186" t="inlineStr">
        <is>
          <t>L048</t>
        </is>
      </c>
      <c r="B186" t="inlineStr">
        <is>
          <t>Source formulation</t>
        </is>
      </c>
      <c r="C186" t="inlineStr">
        <is>
          <t>milk requires identity/specification; salt exceeds 3% of flour; review before testing; method, portion, losses and actual successful trial record not established by spreadsheet quantities alone</t>
        </is>
      </c>
      <c r="D186" t="inlineStr">
        <is>
          <t>Use selected working alternative or resolve and run a controlled pilot</t>
        </is>
      </c>
    </row>
    <row r="187">
      <c r="A187" t="inlineStr">
        <is>
          <t>L049</t>
        </is>
      </c>
      <c r="B187" t="inlineStr">
        <is>
          <t>Source formulation</t>
        </is>
      </c>
      <c r="C187" t="inlineStr">
        <is>
          <t>method, portion, losses and actual successful trial record not established by spreadsheet quantities alone</t>
        </is>
      </c>
      <c r="D187" t="inlineStr">
        <is>
          <t>Use selected working alternative or resolve and run a controlled pilot</t>
        </is>
      </c>
    </row>
    <row r="188">
      <c r="A188" t="inlineStr">
        <is>
          <t>L050</t>
        </is>
      </c>
      <c r="B188" t="inlineStr">
        <is>
          <t>Source formulation</t>
        </is>
      </c>
      <c r="C188" t="inlineStr">
        <is>
          <t>method, portion, losses and actual successful trial record not established by spreadsheet quantities alone</t>
        </is>
      </c>
      <c r="D188" t="inlineStr">
        <is>
          <t>Use selected working alternative or resolve and run a controlled pilot</t>
        </is>
      </c>
    </row>
    <row r="189">
      <c r="A189" t="inlineStr">
        <is>
          <t>L051</t>
        </is>
      </c>
      <c r="B189" t="inlineStr">
        <is>
          <t>Source formulation</t>
        </is>
      </c>
      <c r="C189" t="inlineStr">
        <is>
          <t>milk requires identity/specification; low listed water; identify other liquid contributions before mixing; method, portion, losses and actual successful trial record not established by spreadsheet quantities alone</t>
        </is>
      </c>
      <c r="D189" t="inlineStr">
        <is>
          <t>Use selected working alternative or resolve and run a controlled pilot</t>
        </is>
      </c>
    </row>
    <row r="190">
      <c r="A190" t="inlineStr">
        <is>
          <t>L052</t>
        </is>
      </c>
      <c r="B190" t="inlineStr">
        <is>
          <t>Source formulation</t>
        </is>
      </c>
      <c r="C190" t="inlineStr">
        <is>
          <t>milk requires identity/specification; low listed water; identify other liquid contributions before mixing; method, portion, losses and actual successful trial record not established by spreadsheet quantities alone</t>
        </is>
      </c>
      <c r="D190" t="inlineStr">
        <is>
          <t>Use selected working alternative or resolve and run a controlled pilot</t>
        </is>
      </c>
    </row>
    <row r="191">
      <c r="A191" t="inlineStr">
        <is>
          <t>L053</t>
        </is>
      </c>
      <c r="B191" t="inlineStr">
        <is>
          <t>Source formulation</t>
        </is>
      </c>
      <c r="C191" t="inlineStr">
        <is>
          <t>conc milk requires identity/specification; separate recipe oil, retained frying oil and fryer charge; current source mass is not edible yield; method, portion, losses and actual successful trial record not established by spreadsheet quantities alone</t>
        </is>
      </c>
      <c r="D191" t="inlineStr">
        <is>
          <t>Use selected working alternative or resolve and run a controlled pilot</t>
        </is>
      </c>
    </row>
    <row r="192">
      <c r="A192" t="inlineStr">
        <is>
          <t>L054</t>
        </is>
      </c>
      <c r="B192" t="inlineStr">
        <is>
          <t>Source formulation</t>
        </is>
      </c>
      <c r="C192" t="inlineStr">
        <is>
          <t>conc milk requires identity/specification; separate recipe oil, retained frying oil and fryer charge; current source mass is not edible yield; method, portion, losses and actual successful trial record not established by spreadsheet quantities alone</t>
        </is>
      </c>
      <c r="D192" t="inlineStr">
        <is>
          <t>Use selected working alternative or resolve and run a controlled pilot</t>
        </is>
      </c>
    </row>
    <row r="193">
      <c r="A193" t="inlineStr">
        <is>
          <t>L055</t>
        </is>
      </c>
      <c r="B193" t="inlineStr">
        <is>
          <t>Source formulation</t>
        </is>
      </c>
      <c r="C193" t="inlineStr">
        <is>
          <t>milk requires identity/specification; low listed water; identify other liquid contributions before mixing; method, portion, losses and actual successful trial record not established by spreadsheet quantities alone</t>
        </is>
      </c>
      <c r="D193" t="inlineStr">
        <is>
          <t>Use selected working alternative or resolve and run a controlled pilot</t>
        </is>
      </c>
    </row>
    <row r="194">
      <c r="A194" t="inlineStr">
        <is>
          <t>L056</t>
        </is>
      </c>
      <c r="B194" t="inlineStr">
        <is>
          <t>Source formulation</t>
        </is>
      </c>
      <c r="C194" t="inlineStr">
        <is>
          <t>milk requires identity/specification; method, portion, losses and actual successful trial record not established by spreadsheet quantities alone</t>
        </is>
      </c>
      <c r="D194" t="inlineStr">
        <is>
          <t>Use selected working alternative or resolve and run a controlled pilot</t>
        </is>
      </c>
    </row>
    <row r="195">
      <c r="A195" t="inlineStr">
        <is>
          <t>L057</t>
        </is>
      </c>
      <c r="B195" t="inlineStr">
        <is>
          <t>Source formulation</t>
        </is>
      </c>
      <c r="C195" t="inlineStr">
        <is>
          <t>milk requires identity/specification; low listed water; identify other liquid contributions before mixing; method, portion, losses and actual successful trial record not established by spreadsheet quantities alone</t>
        </is>
      </c>
      <c r="D195" t="inlineStr">
        <is>
          <t>Use selected working alternative or resolve and run a controlled pilot</t>
        </is>
      </c>
    </row>
    <row r="196">
      <c r="A196" t="inlineStr">
        <is>
          <t>L058</t>
        </is>
      </c>
      <c r="B196" t="inlineStr">
        <is>
          <t>Source formulation</t>
        </is>
      </c>
      <c r="C196" t="inlineStr">
        <is>
          <t>milk requires identity/specification; low listed water; identify other liquid contributions before mixing; method, portion, losses and actual successful trial record not established by spreadsheet quantities alone</t>
        </is>
      </c>
      <c r="D196" t="inlineStr">
        <is>
          <t>Use selected working alternative or resolve and run a controlled pilot</t>
        </is>
      </c>
    </row>
    <row r="197">
      <c r="A197" t="inlineStr">
        <is>
          <t>L059</t>
        </is>
      </c>
      <c r="B197" t="inlineStr">
        <is>
          <t>Source formulation</t>
        </is>
      </c>
      <c r="C197" t="inlineStr">
        <is>
          <t>milk requires identity/specification; method, portion, losses and actual successful trial record not established by spreadsheet quantities alone</t>
        </is>
      </c>
      <c r="D197" t="inlineStr">
        <is>
          <t>Use selected working alternative or resolve and run a controlled pilot</t>
        </is>
      </c>
    </row>
    <row r="198">
      <c r="A198" t="inlineStr">
        <is>
          <t>L060</t>
        </is>
      </c>
      <c r="B198" t="inlineStr">
        <is>
          <t>Source formulation</t>
        </is>
      </c>
      <c r="C198" t="inlineStr">
        <is>
          <t>milk requires identity/specification; method, portion, losses and actual successful trial record not established by spreadsheet quantities alone</t>
        </is>
      </c>
      <c r="D198" t="inlineStr">
        <is>
          <t>Use selected working alternative or resolve and run a controlled pilot</t>
        </is>
      </c>
    </row>
    <row r="199">
      <c r="A199" t="inlineStr">
        <is>
          <t>L061</t>
        </is>
      </c>
      <c r="B199" t="inlineStr">
        <is>
          <t>Source formulation</t>
        </is>
      </c>
      <c r="C199" t="inlineStr">
        <is>
          <t>method, portion, losses and actual successful trial record not established by spreadsheet quantities alone</t>
        </is>
      </c>
      <c r="D199" t="inlineStr">
        <is>
          <t>Use selected working alternative or resolve and run a controlled pilot</t>
        </is>
      </c>
    </row>
    <row r="200">
      <c r="A200" t="inlineStr">
        <is>
          <t>L062</t>
        </is>
      </c>
      <c r="B200" t="inlineStr">
        <is>
          <t>Source formulation</t>
        </is>
      </c>
      <c r="C200" t="inlineStr">
        <is>
          <t>milk requires identity/specification; low listed water; identify other liquid contributions before mixing; method, portion, losses and actual successful trial record not established by spreadsheet quantities alone</t>
        </is>
      </c>
      <c r="D200" t="inlineStr">
        <is>
          <t>Use selected working alternative or resolve and run a controlled pilot</t>
        </is>
      </c>
    </row>
    <row r="201">
      <c r="A201" t="inlineStr">
        <is>
          <t>L063</t>
        </is>
      </c>
      <c r="B201" t="inlineStr">
        <is>
          <t>Source formulation</t>
        </is>
      </c>
      <c r="C201" t="inlineStr">
        <is>
          <t>milk requires identity/specification; low listed water; identify other liquid contributions before mixing; method, portion, losses and actual successful trial record not established by spreadsheet quantities alone</t>
        </is>
      </c>
      <c r="D201" t="inlineStr">
        <is>
          <t>Use selected working alternative or resolve and run a controlled pilot</t>
        </is>
      </c>
    </row>
    <row r="202">
      <c r="A202" t="inlineStr">
        <is>
          <t>L064</t>
        </is>
      </c>
      <c r="B202" t="inlineStr">
        <is>
          <t>Source formulation</t>
        </is>
      </c>
      <c r="C202" t="inlineStr">
        <is>
          <t>milk requires identity/specification; method, portion, losses and actual successful trial record not established by spreadsheet quantities alone</t>
        </is>
      </c>
      <c r="D202" t="inlineStr">
        <is>
          <t>Use selected working alternative or resolve and run a controlled pilot</t>
        </is>
      </c>
    </row>
    <row r="203">
      <c r="A203" t="inlineStr">
        <is>
          <t>L065</t>
        </is>
      </c>
      <c r="B203" t="inlineStr">
        <is>
          <t>Source formulation</t>
        </is>
      </c>
      <c r="C203" t="inlineStr">
        <is>
          <t>milk requires identity/specification; method, portion, losses and actual successful trial record not established by spreadsheet quantities alone</t>
        </is>
      </c>
      <c r="D203" t="inlineStr">
        <is>
          <t>Use selected working alternative or resolve and run a controlled pilot</t>
        </is>
      </c>
    </row>
    <row r="204">
      <c r="A204" t="inlineStr">
        <is>
          <t>L066</t>
        </is>
      </c>
      <c r="B204" t="inlineStr">
        <is>
          <t>Source formulation</t>
        </is>
      </c>
      <c r="C204" t="inlineStr">
        <is>
          <t>conc milk requires identity/specification; separate recipe oil, retained frying oil and fryer charge; current source mass is not edible yield; method, portion, losses and actual successful trial record not established by spreadsheet quantities alone</t>
        </is>
      </c>
      <c r="D204" t="inlineStr">
        <is>
          <t>Use selected working alternative or resolve and run a controlled pilot</t>
        </is>
      </c>
    </row>
    <row r="205">
      <c r="A205" t="inlineStr">
        <is>
          <t>L067</t>
        </is>
      </c>
      <c r="B205" t="inlineStr">
        <is>
          <t>Source formulation</t>
        </is>
      </c>
      <c r="C205" t="inlineStr">
        <is>
          <t>conc milk requires identity/specification; separate recipe oil, retained frying oil and fryer charge; current source mass is not edible yield; method, portion, losses and actual successful trial record not established by spreadsheet quantities alone</t>
        </is>
      </c>
      <c r="D205" t="inlineStr">
        <is>
          <t>Use selected working alternative or resolve and run a controlled pilot</t>
        </is>
      </c>
    </row>
    <row r="206">
      <c r="A206" t="inlineStr">
        <is>
          <t>L068</t>
        </is>
      </c>
      <c r="B206" t="inlineStr">
        <is>
          <t>Source formulation</t>
        </is>
      </c>
      <c r="C206" t="inlineStr">
        <is>
          <t>conc 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06" t="inlineStr">
        <is>
          <t>Use selected working alternative or resolve and run a controlled pilot</t>
        </is>
      </c>
    </row>
    <row r="207">
      <c r="A207" t="inlineStr">
        <is>
          <t>L069</t>
        </is>
      </c>
      <c r="B207" t="inlineStr">
        <is>
          <t>Source formulation</t>
        </is>
      </c>
      <c r="C207" t="inlineStr">
        <is>
          <t>low listed water; identify other liquid contributions before mixing; method, portion, losses and actual successful trial record not established by spreadsheet quantities alone</t>
        </is>
      </c>
      <c r="D207" t="inlineStr">
        <is>
          <t>Use selected working alternative or resolve and run a controlled pilot</t>
        </is>
      </c>
    </row>
    <row r="208">
      <c r="A208" t="inlineStr">
        <is>
          <t>L070</t>
        </is>
      </c>
      <c r="B208" t="inlineStr">
        <is>
          <t>Source formulation</t>
        </is>
      </c>
      <c r="C208" t="inlineStr">
        <is>
          <t>separate recipe oil, retained frying oil and fryer charge; current source mass is not edible yield; method, portion, losses and actual successful trial record not established by spreadsheet quantities alone</t>
        </is>
      </c>
      <c r="D208" t="inlineStr">
        <is>
          <t>Use selected working alternative or resolve and run a controlled pilot</t>
        </is>
      </c>
    </row>
    <row r="209">
      <c r="A209" t="inlineStr">
        <is>
          <t>L071</t>
        </is>
      </c>
      <c r="B209" t="inlineStr">
        <is>
          <t>Source formulation</t>
        </is>
      </c>
      <c r="C209" t="inlineStr">
        <is>
          <t>method, portion, losses and actual successful trial record not established by spreadsheet quantities alone</t>
        </is>
      </c>
      <c r="D209" t="inlineStr">
        <is>
          <t>Use selected working alternative or resolve and run a controlled pilot</t>
        </is>
      </c>
    </row>
    <row r="210">
      <c r="A210" t="inlineStr">
        <is>
          <t>L072</t>
        </is>
      </c>
      <c r="B210" t="inlineStr">
        <is>
          <t>Source formulation</t>
        </is>
      </c>
      <c r="C210" t="inlineStr">
        <is>
          <t>separate recipe oil, retained frying oil and fryer charge; current source mass is not edible yield; method, portion, losses and actual successful trial record not established by spreadsheet quantities alone</t>
        </is>
      </c>
      <c r="D210" t="inlineStr">
        <is>
          <t>Use selected working alternative or resolve and run a controlled pilot</t>
        </is>
      </c>
    </row>
    <row r="211">
      <c r="A211" t="inlineStr">
        <is>
          <t>L073</t>
        </is>
      </c>
      <c r="B211" t="inlineStr">
        <is>
          <t>Source formulation</t>
        </is>
      </c>
      <c r="C211" t="inlineStr">
        <is>
          <t>milk requires identity/specification; method, portion, losses and actual successful trial record not established by spreadsheet quantities alone</t>
        </is>
      </c>
      <c r="D211" t="inlineStr">
        <is>
          <t>Use selected working alternative or resolve and run a controlled pilot</t>
        </is>
      </c>
    </row>
    <row r="212">
      <c r="A212" t="inlineStr">
        <is>
          <t>L074</t>
        </is>
      </c>
      <c r="B212" t="inlineStr">
        <is>
          <t>Source formulation</t>
        </is>
      </c>
      <c r="C212" t="inlineStr">
        <is>
          <t>milk requires identity/specification; low listed water; identify other liquid contributions before mixing; method, portion, losses and actual successful trial record not established by spreadsheet quantities alone</t>
        </is>
      </c>
      <c r="D212" t="inlineStr">
        <is>
          <t>Use selected working alternative or resolve and run a controlled pilot</t>
        </is>
      </c>
    </row>
    <row r="213">
      <c r="A213" t="inlineStr">
        <is>
          <t>L075</t>
        </is>
      </c>
      <c r="B213" t="inlineStr">
        <is>
          <t>Source formulation</t>
        </is>
      </c>
      <c r="C213" t="inlineStr">
        <is>
          <t>conc milk requires identity/specification; separate recipe oil, retained frying oil and fryer charge; current source mass is not edible yield; method, portion, losses and actual successful trial record not established by spreadsheet quantities alone</t>
        </is>
      </c>
      <c r="D213" t="inlineStr">
        <is>
          <t>Use selected working alternative or resolve and run a controlled pilot</t>
        </is>
      </c>
    </row>
    <row r="214">
      <c r="A214" t="inlineStr">
        <is>
          <t>L076</t>
        </is>
      </c>
      <c r="B214" t="inlineStr">
        <is>
          <t>Source formulation</t>
        </is>
      </c>
      <c r="C214" t="inlineStr">
        <is>
          <t>conc milk requires identity/specification; separate recipe oil, retained frying oil and fryer charge; current source mass is not edible yield; method, portion, losses and actual successful trial record not established by spreadsheet quantities alone</t>
        </is>
      </c>
      <c r="D214" t="inlineStr">
        <is>
          <t>Use selected working alternative or resolve and run a controlled pilot</t>
        </is>
      </c>
    </row>
    <row r="215">
      <c r="A215" t="inlineStr">
        <is>
          <t>L077</t>
        </is>
      </c>
      <c r="B215" t="inlineStr">
        <is>
          <t>Source formulation</t>
        </is>
      </c>
      <c r="C215" t="inlineStr">
        <is>
          <t>conc milk requires identity/specification; method, portion, losses and actual successful trial record not established by spreadsheet quantities alone</t>
        </is>
      </c>
      <c r="D215" t="inlineStr">
        <is>
          <t>Use selected working alternative or resolve and run a controlled pilot</t>
        </is>
      </c>
    </row>
    <row r="216">
      <c r="A216" t="inlineStr">
        <is>
          <t>L078</t>
        </is>
      </c>
      <c r="B216" t="inlineStr">
        <is>
          <t>Source formulation</t>
        </is>
      </c>
      <c r="C216" t="inlineStr">
        <is>
          <t>method, portion, losses and actual successful trial record not established by spreadsheet quantities alone</t>
        </is>
      </c>
      <c r="D216" t="inlineStr">
        <is>
          <t>Use selected working alternative or resolve and run a controlled pilot</t>
        </is>
      </c>
    </row>
    <row r="217">
      <c r="A217" t="inlineStr">
        <is>
          <t>L079</t>
        </is>
      </c>
      <c r="B217" t="inlineStr">
        <is>
          <t>Source formulation</t>
        </is>
      </c>
      <c r="C217" t="inlineStr">
        <is>
          <t>milk requires identity/specification; method, portion, losses and actual successful trial record not established by spreadsheet quantities alone</t>
        </is>
      </c>
      <c r="D217" t="inlineStr">
        <is>
          <t>Use selected working alternative or resolve and run a controlled pilot</t>
        </is>
      </c>
    </row>
    <row r="218">
      <c r="A218" t="inlineStr">
        <is>
          <t>L080</t>
        </is>
      </c>
      <c r="B218" t="inlineStr">
        <is>
          <t>Source formulation</t>
        </is>
      </c>
      <c r="C218" t="inlineStr">
        <is>
          <t>method, portion, losses and actual successful trial record not established by spreadsheet quantities alone</t>
        </is>
      </c>
      <c r="D218" t="inlineStr">
        <is>
          <t>Use selected working alternative or resolve and run a controlled pilot</t>
        </is>
      </c>
    </row>
    <row r="219">
      <c r="A219" t="inlineStr">
        <is>
          <t>L081</t>
        </is>
      </c>
      <c r="B219" t="inlineStr">
        <is>
          <t>Source formulation</t>
        </is>
      </c>
      <c r="C219" t="inlineStr">
        <is>
          <t>method, portion, losses and actual successful trial record not established by spreadsheet quantities alone</t>
        </is>
      </c>
      <c r="D219" t="inlineStr">
        <is>
          <t>Use selected working alternative or resolve and run a controlled pilot</t>
        </is>
      </c>
    </row>
    <row r="220">
      <c r="A220" t="inlineStr">
        <is>
          <t>L082</t>
        </is>
      </c>
      <c r="B220" t="inlineStr">
        <is>
          <t>Source formulation</t>
        </is>
      </c>
      <c r="C220"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20" t="inlineStr">
        <is>
          <t>Use selected working alternative or resolve and run a controlled pilot</t>
        </is>
      </c>
    </row>
    <row r="221">
      <c r="A221" t="inlineStr">
        <is>
          <t>L083</t>
        </is>
      </c>
      <c r="B221" t="inlineStr">
        <is>
          <t>Source formulation</t>
        </is>
      </c>
      <c r="C221"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21" t="inlineStr">
        <is>
          <t>Use selected working alternative or resolve and run a controlled pilot</t>
        </is>
      </c>
    </row>
    <row r="222">
      <c r="A222" t="inlineStr">
        <is>
          <t>L084</t>
        </is>
      </c>
      <c r="B222" t="inlineStr">
        <is>
          <t>Source formulation</t>
        </is>
      </c>
      <c r="C222" t="inlineStr">
        <is>
          <t>conc milk requires identity/specification; method, portion, losses and actual successful trial record not established by spreadsheet quantities alone</t>
        </is>
      </c>
      <c r="D222" t="inlineStr">
        <is>
          <t>Use selected working alternative or resolve and run a controlled pilot</t>
        </is>
      </c>
    </row>
    <row r="223">
      <c r="A223" t="inlineStr">
        <is>
          <t>L085</t>
        </is>
      </c>
      <c r="B223" t="inlineStr">
        <is>
          <t>Source formulation</t>
        </is>
      </c>
      <c r="C223" t="inlineStr">
        <is>
          <t>milk requires identity/specification; separate recipe oil, retained frying oil and fryer charge; current source mass is not edible yield; method, portion, losses and actual successful trial record not established by spreadsheet quantities alone</t>
        </is>
      </c>
      <c r="D223" t="inlineStr">
        <is>
          <t>Use selected working alternative or resolve and run a controlled pilot</t>
        </is>
      </c>
    </row>
    <row r="224">
      <c r="A224" t="inlineStr">
        <is>
          <t>L086</t>
        </is>
      </c>
      <c r="B224" t="inlineStr">
        <is>
          <t>Source formulation</t>
        </is>
      </c>
      <c r="C224" t="inlineStr">
        <is>
          <t>milk requires identity/specification; separate recipe oil, retained frying oil and fryer charge; current source mass is not edible yield; method, portion, losses and actual successful trial record not established by spreadsheet quantities alone</t>
        </is>
      </c>
      <c r="D224" t="inlineStr">
        <is>
          <t>Use selected working alternative or resolve and run a controlled pilot</t>
        </is>
      </c>
    </row>
    <row r="225">
      <c r="A225" t="inlineStr">
        <is>
          <t>L087</t>
        </is>
      </c>
      <c r="B225" t="inlineStr">
        <is>
          <t>Source formulation</t>
        </is>
      </c>
      <c r="C225" t="inlineStr">
        <is>
          <t>conc milk requires identity/specification; separate recipe oil, retained frying oil and fryer charge; current source mass is not edible yield; method, portion, losses and actual successful trial record not established by spreadsheet quantities alone</t>
        </is>
      </c>
      <c r="D225" t="inlineStr">
        <is>
          <t>Use selected working alternative or resolve and run a controlled pilot</t>
        </is>
      </c>
    </row>
    <row r="226">
      <c r="A226" t="inlineStr">
        <is>
          <t>L088</t>
        </is>
      </c>
      <c r="B226" t="inlineStr">
        <is>
          <t>Source formulation</t>
        </is>
      </c>
      <c r="C226" t="inlineStr">
        <is>
          <t>conc milk requires identity/specification; separate recipe oil, retained frying oil and fryer charge; current source mass is not edible yield; method, portion, losses and actual successful trial record not established by spreadsheet quantities alone</t>
        </is>
      </c>
      <c r="D226" t="inlineStr">
        <is>
          <t>Use selected working alternative or resolve and run a controlled pilot</t>
        </is>
      </c>
    </row>
    <row r="227">
      <c r="A227" t="inlineStr">
        <is>
          <t>L089</t>
        </is>
      </c>
      <c r="B227" t="inlineStr">
        <is>
          <t>Source formulation</t>
        </is>
      </c>
      <c r="C227" t="inlineStr">
        <is>
          <t>milk requires identity/specification; separate recipe oil, retained frying oil and fryer charge; current source mass is not edible yield; method, portion, losses and actual successful trial record not established by spreadsheet quantities alone</t>
        </is>
      </c>
      <c r="D227" t="inlineStr">
        <is>
          <t>Use selected working alternative or resolve and run a controlled pilot</t>
        </is>
      </c>
    </row>
    <row r="228">
      <c r="A228" t="inlineStr">
        <is>
          <t>L090</t>
        </is>
      </c>
      <c r="B228" t="inlineStr">
        <is>
          <t>Source formulation</t>
        </is>
      </c>
      <c r="C228"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28" t="inlineStr">
        <is>
          <t>Use selected working alternative or resolve and run a controlled pilot</t>
        </is>
      </c>
    </row>
    <row r="229">
      <c r="A229" t="inlineStr">
        <is>
          <t>L091</t>
        </is>
      </c>
      <c r="B229" t="inlineStr">
        <is>
          <t>Source formulation</t>
        </is>
      </c>
      <c r="C229"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29" t="inlineStr">
        <is>
          <t>Use selected working alternative or resolve and run a controlled pilot</t>
        </is>
      </c>
    </row>
    <row r="230">
      <c r="A230" t="inlineStr">
        <is>
          <t>L092</t>
        </is>
      </c>
      <c r="B230" t="inlineStr">
        <is>
          <t>Source formulation</t>
        </is>
      </c>
      <c r="C230"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30" t="inlineStr">
        <is>
          <t>Use selected working alternative or resolve and run a controlled pilot</t>
        </is>
      </c>
    </row>
    <row r="231">
      <c r="A231" t="inlineStr">
        <is>
          <t>L093</t>
        </is>
      </c>
      <c r="B231" t="inlineStr">
        <is>
          <t>Source formulation</t>
        </is>
      </c>
      <c r="C231" t="inlineStr">
        <is>
          <t>milk requires identity/specification; separate recipe oil, retained frying oil and fryer charge; current source mass is not edible yield; method, portion, losses and actual successful trial record not established by spreadsheet quantities alone</t>
        </is>
      </c>
      <c r="D231" t="inlineStr">
        <is>
          <t>Use selected working alternative or resolve and run a controlled pilot</t>
        </is>
      </c>
    </row>
    <row r="232">
      <c r="A232" t="inlineStr">
        <is>
          <t>L094</t>
        </is>
      </c>
      <c r="B232" t="inlineStr">
        <is>
          <t>Source formulation</t>
        </is>
      </c>
      <c r="C232" t="inlineStr">
        <is>
          <t>milk requires identity/specification; separate recipe oil, retained frying oil and fryer charge; current source mass is not edible yield; method, portion, losses and actual successful trial record not established by spreadsheet quantities alone</t>
        </is>
      </c>
      <c r="D232" t="inlineStr">
        <is>
          <t>Use selected working alternative or resolve and run a controlled pilot</t>
        </is>
      </c>
    </row>
    <row r="233">
      <c r="A233" t="inlineStr">
        <is>
          <t>L095</t>
        </is>
      </c>
      <c r="B233" t="inlineStr">
        <is>
          <t>Source formulation</t>
        </is>
      </c>
      <c r="C233" t="inlineStr">
        <is>
          <t>separate recipe oil, retained frying oil and fryer charge; current source mass is not edible yield; method, portion, losses and actual successful trial record not established by spreadsheet quantities alone</t>
        </is>
      </c>
      <c r="D233" t="inlineStr">
        <is>
          <t>Use selected working alternative or resolve and run a controlled pilot</t>
        </is>
      </c>
    </row>
    <row r="234">
      <c r="A234" t="inlineStr">
        <is>
          <t>L096</t>
        </is>
      </c>
      <c r="B234" t="inlineStr">
        <is>
          <t>Source formulation</t>
        </is>
      </c>
      <c r="C234"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34" t="inlineStr">
        <is>
          <t>Use selected working alternative or resolve and run a controlled pilot</t>
        </is>
      </c>
    </row>
    <row r="235">
      <c r="A235" t="inlineStr">
        <is>
          <t>L097</t>
        </is>
      </c>
      <c r="B235" t="inlineStr">
        <is>
          <t>Source formulation</t>
        </is>
      </c>
      <c r="C235"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35" t="inlineStr">
        <is>
          <t>Use selected working alternative or resolve and run a controlled pilot</t>
        </is>
      </c>
    </row>
    <row r="236">
      <c r="A236" t="inlineStr">
        <is>
          <t>L098</t>
        </is>
      </c>
      <c r="B236" t="inlineStr">
        <is>
          <t>Source formulation</t>
        </is>
      </c>
      <c r="C236"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36" t="inlineStr">
        <is>
          <t>Use selected working alternative or resolve and run a controlled pilot</t>
        </is>
      </c>
    </row>
    <row r="237">
      <c r="A237" t="inlineStr">
        <is>
          <t>L099</t>
        </is>
      </c>
      <c r="B237" t="inlineStr">
        <is>
          <t>Source formulation</t>
        </is>
      </c>
      <c r="C237" t="inlineStr">
        <is>
          <t>method, portion, losses and actual successful trial record not established by spreadsheet quantities alone</t>
        </is>
      </c>
      <c r="D237" t="inlineStr">
        <is>
          <t>Use selected working alternative or resolve and run a controlled pilot</t>
        </is>
      </c>
    </row>
    <row r="238">
      <c r="A238" t="inlineStr">
        <is>
          <t>L100</t>
        </is>
      </c>
      <c r="B238" t="inlineStr">
        <is>
          <t>Source formulation</t>
        </is>
      </c>
      <c r="C238" t="inlineStr">
        <is>
          <t>milk requires identity/specification; low listed water; identify other liquid contributions before mixing; method, portion, losses and actual successful trial record not established by spreadsheet quantities alone</t>
        </is>
      </c>
      <c r="D238" t="inlineStr">
        <is>
          <t>Use selected working alternative or resolve and run a controlled pilot</t>
        </is>
      </c>
    </row>
    <row r="239">
      <c r="A239" t="inlineStr">
        <is>
          <t>L101</t>
        </is>
      </c>
      <c r="B239" t="inlineStr">
        <is>
          <t>Source formulation</t>
        </is>
      </c>
      <c r="C239" t="inlineStr">
        <is>
          <t>nutmeg exceeds 2% of flour; probable source or cell-association error, do not produce from this record; method, portion, losses and actual successful trial record not established by spreadsheet quantities alone</t>
        </is>
      </c>
      <c r="D239" t="inlineStr">
        <is>
          <t>Use selected working alternative or resolve and run a controlled pilot</t>
        </is>
      </c>
    </row>
    <row r="240">
      <c r="A240" t="inlineStr">
        <is>
          <t>L102</t>
        </is>
      </c>
      <c r="B240" t="inlineStr">
        <is>
          <t>Source formulation</t>
        </is>
      </c>
      <c r="C240" t="inlineStr">
        <is>
          <t>milk requires identity/specification; low listed water; identify other liquid contributions before mixing; method, portion, losses and actual successful trial record not established by spreadsheet quantities alone</t>
        </is>
      </c>
      <c r="D240" t="inlineStr">
        <is>
          <t>Use selected working alternative or resolve and run a controlled pilot</t>
        </is>
      </c>
    </row>
    <row r="241">
      <c r="A241" t="inlineStr">
        <is>
          <t>L103</t>
        </is>
      </c>
      <c r="B241" t="inlineStr">
        <is>
          <t>Source formulation</t>
        </is>
      </c>
      <c r="C241" t="inlineStr">
        <is>
          <t>milk requires identity/specification; low listed water; identify other liquid contributions before mixing; method, portion, losses and actual successful trial record not established by spreadsheet quantities alone</t>
        </is>
      </c>
      <c r="D241" t="inlineStr">
        <is>
          <t>Use selected working alternative or resolve and run a controlled pilot</t>
        </is>
      </c>
    </row>
    <row r="242">
      <c r="A242" t="inlineStr">
        <is>
          <t>L104</t>
        </is>
      </c>
      <c r="B242" t="inlineStr">
        <is>
          <t>Source formulation</t>
        </is>
      </c>
      <c r="C242" t="inlineStr">
        <is>
          <t>conc milk requires identity/specification; separate recipe oil, retained frying oil and fryer charge; current source mass is not edible yield; method, portion, losses and actual successful trial record not established by spreadsheet quantities alone</t>
        </is>
      </c>
      <c r="D242" t="inlineStr">
        <is>
          <t>Use selected working alternative or resolve and run a controlled pilot</t>
        </is>
      </c>
    </row>
    <row r="243">
      <c r="A243" t="inlineStr">
        <is>
          <t>L105</t>
        </is>
      </c>
      <c r="B243" t="inlineStr">
        <is>
          <t>Source formulation</t>
        </is>
      </c>
      <c r="C243" t="inlineStr">
        <is>
          <t>milk requires identity/specification; separate recipe oil, retained frying oil and fryer charge; current source mass is not edible yield; method, portion, losses and actual successful trial record not established by spreadsheet quantities alone</t>
        </is>
      </c>
      <c r="D243" t="inlineStr">
        <is>
          <t>Use selected working alternative or resolve and run a controlled pilot</t>
        </is>
      </c>
    </row>
    <row r="244">
      <c r="A244" t="inlineStr">
        <is>
          <t>L106</t>
        </is>
      </c>
      <c r="B244" t="inlineStr">
        <is>
          <t>Source formulation</t>
        </is>
      </c>
      <c r="C244"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44" t="inlineStr">
        <is>
          <t>Use selected working alternative or resolve and run a controlled pilot</t>
        </is>
      </c>
    </row>
    <row r="245">
      <c r="A245" t="inlineStr">
        <is>
          <t>L107</t>
        </is>
      </c>
      <c r="B245" t="inlineStr">
        <is>
          <t>Source formulation</t>
        </is>
      </c>
      <c r="C245" t="inlineStr">
        <is>
          <t>method, portion, losses and actual successful trial record not established by spreadsheet quantities alone</t>
        </is>
      </c>
      <c r="D245" t="inlineStr">
        <is>
          <t>Use selected working alternative or resolve and run a controlled pilot</t>
        </is>
      </c>
    </row>
    <row r="246">
      <c r="A246" t="inlineStr">
        <is>
          <t>L108</t>
        </is>
      </c>
      <c r="B246" t="inlineStr">
        <is>
          <t>Source formulation</t>
        </is>
      </c>
      <c r="C246" t="inlineStr">
        <is>
          <t>method, portion, losses and actual successful trial record not established by spreadsheet quantities alone</t>
        </is>
      </c>
      <c r="D246" t="inlineStr">
        <is>
          <t>Use selected working alternative or resolve and run a controlled pilot</t>
        </is>
      </c>
    </row>
    <row r="247">
      <c r="A247" t="inlineStr">
        <is>
          <t>L109</t>
        </is>
      </c>
      <c r="B247" t="inlineStr">
        <is>
          <t>Source formulation</t>
        </is>
      </c>
      <c r="C247"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47" t="inlineStr">
        <is>
          <t>Use selected working alternative or resolve and run a controlled pilot</t>
        </is>
      </c>
    </row>
    <row r="248">
      <c r="A248" t="inlineStr">
        <is>
          <t>L110</t>
        </is>
      </c>
      <c r="B248" t="inlineStr">
        <is>
          <t>Source formulation</t>
        </is>
      </c>
      <c r="C248" t="inlineStr">
        <is>
          <t>milk requires identity/specification; stock yoghort requires identity/specification; method, portion, losses and actual successful trial record not established by spreadsheet quantities alone</t>
        </is>
      </c>
      <c r="D248" t="inlineStr">
        <is>
          <t>Use selected working alternative or resolve and run a controlled pilot</t>
        </is>
      </c>
    </row>
    <row r="249">
      <c r="A249" t="inlineStr">
        <is>
          <t>L111</t>
        </is>
      </c>
      <c r="B249" t="inlineStr">
        <is>
          <t>Source formulation</t>
        </is>
      </c>
      <c r="C249" t="inlineStr">
        <is>
          <t>milk requires identity/specification; method, portion, losses and actual successful trial record not established by spreadsheet quantities alone</t>
        </is>
      </c>
      <c r="D249" t="inlineStr">
        <is>
          <t>Use selected working alternative or resolve and run a controlled pilot</t>
        </is>
      </c>
    </row>
    <row r="250">
      <c r="A250" t="inlineStr">
        <is>
          <t>L112</t>
        </is>
      </c>
      <c r="B250" t="inlineStr">
        <is>
          <t>Source formulation</t>
        </is>
      </c>
      <c r="C250" t="inlineStr">
        <is>
          <t>milk requires identity/specification; method, portion, losses and actual successful trial record not established by spreadsheet quantities alone</t>
        </is>
      </c>
      <c r="D250" t="inlineStr">
        <is>
          <t>Use selected working alternative or resolve and run a controlled pilot</t>
        </is>
      </c>
    </row>
    <row r="251">
      <c r="A251" t="inlineStr">
        <is>
          <t>L113</t>
        </is>
      </c>
      <c r="B251" t="inlineStr">
        <is>
          <t>Source formulation</t>
        </is>
      </c>
      <c r="C251"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51" t="inlineStr">
        <is>
          <t>Use selected working alternative or resolve and run a controlled pilot</t>
        </is>
      </c>
    </row>
    <row r="252">
      <c r="A252" t="inlineStr">
        <is>
          <t>L114</t>
        </is>
      </c>
      <c r="B252" t="inlineStr">
        <is>
          <t>Source formulation</t>
        </is>
      </c>
      <c r="C252" t="inlineStr">
        <is>
          <t>milk requires identity/specification; separate recipe oil, retained frying oil and fryer charge; current source mass is not edible yield; method, portion, losses and actual successful trial record not established by spreadsheet quantities alone</t>
        </is>
      </c>
      <c r="D252" t="inlineStr">
        <is>
          <t>Use selected working alternative or resolve and run a controlled pilot</t>
        </is>
      </c>
    </row>
    <row r="253">
      <c r="A253" t="inlineStr">
        <is>
          <t>L115</t>
        </is>
      </c>
      <c r="B253" t="inlineStr">
        <is>
          <t>Source formulation</t>
        </is>
      </c>
      <c r="C253" t="inlineStr">
        <is>
          <t>milk requires identity/specification; separate recipe oil, retained frying oil and fryer charge; current source mass is not edible yield; method, portion, losses and actual successful trial record not established by spreadsheet quantities alone</t>
        </is>
      </c>
      <c r="D253" t="inlineStr">
        <is>
          <t>Use selected working alternative or resolve and run a controlled pilot</t>
        </is>
      </c>
    </row>
    <row r="254">
      <c r="A254" t="inlineStr">
        <is>
          <t>L116</t>
        </is>
      </c>
      <c r="B254" t="inlineStr">
        <is>
          <t>Source formulation</t>
        </is>
      </c>
      <c r="C254" t="inlineStr">
        <is>
          <t>method, portion, losses and actual successful trial record not established by spreadsheet quantities alone</t>
        </is>
      </c>
      <c r="D254" t="inlineStr">
        <is>
          <t>Use selected working alternative or resolve and run a controlled pilot</t>
        </is>
      </c>
    </row>
    <row r="255">
      <c r="A255" t="inlineStr">
        <is>
          <t>L117</t>
        </is>
      </c>
      <c r="B255" t="inlineStr">
        <is>
          <t>Source formulation</t>
        </is>
      </c>
      <c r="C255" t="inlineStr">
        <is>
          <t>method, portion, losses and actual successful trial record not established by spreadsheet quantities alone</t>
        </is>
      </c>
      <c r="D255" t="inlineStr">
        <is>
          <t>Use selected working alternative or resolve and run a controlled pilot</t>
        </is>
      </c>
    </row>
    <row r="256">
      <c r="A256" t="inlineStr">
        <is>
          <t>L118</t>
        </is>
      </c>
      <c r="B256" t="inlineStr">
        <is>
          <t>Source formulation</t>
        </is>
      </c>
      <c r="C256" t="inlineStr">
        <is>
          <t>method, portion, losses and actual successful trial record not established by spreadsheet quantities alone</t>
        </is>
      </c>
      <c r="D256" t="inlineStr">
        <is>
          <t>Use selected working alternative or resolve and run a controlled pilot</t>
        </is>
      </c>
    </row>
    <row r="257">
      <c r="A257" t="inlineStr">
        <is>
          <t>L119</t>
        </is>
      </c>
      <c r="B257" t="inlineStr">
        <is>
          <t>Source formulation</t>
        </is>
      </c>
      <c r="C257" t="inlineStr">
        <is>
          <t>separate recipe oil, retained frying oil and fryer charge; current source mass is not edible yield; method, portion, losses and actual successful trial record not established by spreadsheet quantities alone</t>
        </is>
      </c>
      <c r="D257" t="inlineStr">
        <is>
          <t>Use selected working alternative or resolve and run a controlled pilot</t>
        </is>
      </c>
    </row>
    <row r="258">
      <c r="A258" t="inlineStr">
        <is>
          <t>L120</t>
        </is>
      </c>
      <c r="B258" t="inlineStr">
        <is>
          <t>Source formulation</t>
        </is>
      </c>
      <c r="C258" t="inlineStr">
        <is>
          <t>method, portion, losses and actual successful trial record not established by spreadsheet quantities alone</t>
        </is>
      </c>
      <c r="D258" t="inlineStr">
        <is>
          <t>Use selected working alternative or resolve and run a controlled pilot</t>
        </is>
      </c>
    </row>
    <row r="259">
      <c r="A259" t="inlineStr">
        <is>
          <t>L121</t>
        </is>
      </c>
      <c r="B259" t="inlineStr">
        <is>
          <t>Source formulation</t>
        </is>
      </c>
      <c r="C259" t="inlineStr">
        <is>
          <t>milk requires identity/specification; low listed water; identify other liquid contributions before mixing; method, portion, losses and actual successful trial record not established by spreadsheet quantities alone</t>
        </is>
      </c>
      <c r="D259" t="inlineStr">
        <is>
          <t>Use selected working alternative or resolve and run a controlled pilot</t>
        </is>
      </c>
    </row>
    <row r="260">
      <c r="A260" t="inlineStr">
        <is>
          <t>L122</t>
        </is>
      </c>
      <c r="B260" t="inlineStr">
        <is>
          <t>Source formulation</t>
        </is>
      </c>
      <c r="C260" t="inlineStr">
        <is>
          <t>milk requires identity/specification; low listed water; identify other liquid contributions before mixing; method, portion, losses and actual successful trial record not established by spreadsheet quantities alone</t>
        </is>
      </c>
      <c r="D260" t="inlineStr">
        <is>
          <t>Use selected working alternative or resolve and run a controlled pilot</t>
        </is>
      </c>
    </row>
    <row r="261">
      <c r="A261" t="inlineStr">
        <is>
          <t>L123</t>
        </is>
      </c>
      <c r="B261" t="inlineStr">
        <is>
          <t>Source formulation</t>
        </is>
      </c>
      <c r="C261" t="inlineStr">
        <is>
          <t>conc milk requires identity/specification; separate recipe oil, retained frying oil and fryer charge; current source mass is not edible yield; method, portion, losses and actual successful trial record not established by spreadsheet quantities alone</t>
        </is>
      </c>
      <c r="D261" t="inlineStr">
        <is>
          <t>Use selected working alternative or resolve and run a controlled pilot</t>
        </is>
      </c>
    </row>
    <row r="262">
      <c r="A262" t="inlineStr">
        <is>
          <t>L124</t>
        </is>
      </c>
      <c r="B262" t="inlineStr">
        <is>
          <t>Source formulation</t>
        </is>
      </c>
      <c r="C262" t="inlineStr">
        <is>
          <t>method, portion, losses and actual successful trial record not established by spreadsheet quantities alone</t>
        </is>
      </c>
      <c r="D262" t="inlineStr">
        <is>
          <t>Use selected working alternative or resolve and run a controlled pilot</t>
        </is>
      </c>
    </row>
    <row r="263">
      <c r="A263" t="inlineStr">
        <is>
          <t>L125</t>
        </is>
      </c>
      <c r="B263" t="inlineStr">
        <is>
          <t>Source formulation</t>
        </is>
      </c>
      <c r="C263" t="inlineStr">
        <is>
          <t>method, portion, losses and actual successful trial record not established by spreadsheet quantities alone</t>
        </is>
      </c>
      <c r="D263" t="inlineStr">
        <is>
          <t>Use selected working alternative or resolve and run a controlled pilot</t>
        </is>
      </c>
    </row>
    <row r="264">
      <c r="A264" t="inlineStr">
        <is>
          <t>L126</t>
        </is>
      </c>
      <c r="B264" t="inlineStr">
        <is>
          <t>Source formulation</t>
        </is>
      </c>
      <c r="C264" t="inlineStr">
        <is>
          <t>method, portion, losses and actual successful trial record not established by spreadsheet quantities alone</t>
        </is>
      </c>
      <c r="D264" t="inlineStr">
        <is>
          <t>Use selected working alternative or resolve and run a controlled pilot</t>
        </is>
      </c>
    </row>
    <row r="265">
      <c r="A265" t="inlineStr">
        <is>
          <t>L127</t>
        </is>
      </c>
      <c r="B265" t="inlineStr">
        <is>
          <t>Source formulation</t>
        </is>
      </c>
      <c r="C265"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65" t="inlineStr">
        <is>
          <t>Use selected working alternative or resolve and run a controlled pilot</t>
        </is>
      </c>
    </row>
    <row r="266">
      <c r="A266" t="inlineStr">
        <is>
          <t>L128</t>
        </is>
      </c>
      <c r="B266" t="inlineStr">
        <is>
          <t>Source formulation</t>
        </is>
      </c>
      <c r="C266" t="inlineStr">
        <is>
          <t>milk requires identity/specification; stock yoghort requires identity/specification; method, portion, losses and actual successful trial record not established by spreadsheet quantities alone</t>
        </is>
      </c>
      <c r="D266" t="inlineStr">
        <is>
          <t>Use selected working alternative or resolve and run a controlled pilot</t>
        </is>
      </c>
    </row>
    <row r="267">
      <c r="A267" t="inlineStr">
        <is>
          <t>L129</t>
        </is>
      </c>
      <c r="B267" t="inlineStr">
        <is>
          <t>Source formulation</t>
        </is>
      </c>
      <c r="C267" t="inlineStr">
        <is>
          <t>milk requires identity/specification; stock yoghort requires identity/specification; method, portion, losses and actual successful trial record not established by spreadsheet quantities alone</t>
        </is>
      </c>
      <c r="D267" t="inlineStr">
        <is>
          <t>Use selected working alternative or resolve and run a controlled pilot</t>
        </is>
      </c>
    </row>
    <row r="268">
      <c r="A268" t="inlineStr">
        <is>
          <t>L130</t>
        </is>
      </c>
      <c r="B268" t="inlineStr">
        <is>
          <t>Source formulation</t>
        </is>
      </c>
      <c r="C268" t="inlineStr">
        <is>
          <t>milk requires identity/specification; method, portion, losses and actual successful trial record not established by spreadsheet quantities alone</t>
        </is>
      </c>
      <c r="D268" t="inlineStr">
        <is>
          <t>Use selected working alternative or resolve and run a controlled pilot</t>
        </is>
      </c>
    </row>
    <row r="269">
      <c r="A269" t="inlineStr">
        <is>
          <t>L131</t>
        </is>
      </c>
      <c r="B269" t="inlineStr">
        <is>
          <t>Source formulation</t>
        </is>
      </c>
      <c r="C269" t="inlineStr">
        <is>
          <t>milk requires identity/specification; separate recipe oil, retained frying oil and fryer charge; current source mass is not edible yield; method, portion, losses and actual successful trial record not established by spreadsheet quantities alone</t>
        </is>
      </c>
      <c r="D269" t="inlineStr">
        <is>
          <t>Use selected working alternative or resolve and run a controlled pilot</t>
        </is>
      </c>
    </row>
    <row r="270">
      <c r="A270" t="inlineStr">
        <is>
          <t>L132</t>
        </is>
      </c>
      <c r="B270" t="inlineStr">
        <is>
          <t>Source formulation</t>
        </is>
      </c>
      <c r="C270" t="inlineStr">
        <is>
          <t>milk requires identity/specification; separate recipe oil, retained frying oil and fryer charge; current source mass is not edible yield; method, portion, losses and actual successful trial record not established by spreadsheet quantities alone</t>
        </is>
      </c>
      <c r="D270" t="inlineStr">
        <is>
          <t>Use selected working alternative or resolve and run a controlled pilot</t>
        </is>
      </c>
    </row>
    <row r="271">
      <c r="A271" t="inlineStr">
        <is>
          <t>L133</t>
        </is>
      </c>
      <c r="B271" t="inlineStr">
        <is>
          <t>Source formulation</t>
        </is>
      </c>
      <c r="C271" t="inlineStr">
        <is>
          <t>method, portion, losses and actual successful trial record not established by spreadsheet quantities alone</t>
        </is>
      </c>
      <c r="D271" t="inlineStr">
        <is>
          <t>Use selected working alternative or resolve and run a controlled pilot</t>
        </is>
      </c>
    </row>
    <row r="272">
      <c r="A272" t="inlineStr">
        <is>
          <t>L134</t>
        </is>
      </c>
      <c r="B272" t="inlineStr">
        <is>
          <t>Source formulation</t>
        </is>
      </c>
      <c r="C272" t="inlineStr">
        <is>
          <t>baking powder exceeds 5% of flour; possible quantity error; milk requires identity/specification; nutmeg exceeds 2% of flour; probable source or cell-association error, do not produce from this record; method, portion, losses and actual successful trial record not established by spreadsheet quantities alone</t>
        </is>
      </c>
      <c r="D272" t="inlineStr">
        <is>
          <t>Use selected working alternative or resolve and run a controlled pilot</t>
        </is>
      </c>
    </row>
    <row r="273">
      <c r="A273" t="inlineStr">
        <is>
          <t>L135</t>
        </is>
      </c>
      <c r="B273" t="inlineStr">
        <is>
          <t>Source formulation</t>
        </is>
      </c>
      <c r="C273" t="inlineStr">
        <is>
          <t>baking powder exceeds 5% of flour; possible quantity error; milk requires identity/specification; nutmeg exceeds 2% of flour; probable source or cell-association error, do not produce from this record; method, portion, losses and actual successful trial record not established by spreadsheet quantities alone</t>
        </is>
      </c>
      <c r="D273" t="inlineStr">
        <is>
          <t>Use selected working alternative or resolve and run a controlled pilot</t>
        </is>
      </c>
    </row>
    <row r="274">
      <c r="A274" t="inlineStr">
        <is>
          <t>L136</t>
        </is>
      </c>
      <c r="B274" t="inlineStr">
        <is>
          <t>Source formulation</t>
        </is>
      </c>
      <c r="C274" t="inlineStr">
        <is>
          <t>baking powder exceeds 5% of flour; possible quantity error; milk requires identity/specification; nutmeg exceeds 2% of flour; probable source or cell-association error, do not produce from this record; method, portion, losses and actual successful trial record not established by spreadsheet quantities alone</t>
        </is>
      </c>
      <c r="D274" t="inlineStr">
        <is>
          <t>Use selected working alternative or resolve and run a controlled pilot</t>
        </is>
      </c>
    </row>
    <row r="275">
      <c r="A275" t="inlineStr">
        <is>
          <t>L137</t>
        </is>
      </c>
      <c r="B275" t="inlineStr">
        <is>
          <t>Source formulation</t>
        </is>
      </c>
      <c r="C275" t="inlineStr">
        <is>
          <t>separate recipe oil, retained frying oil and fryer charge; current source mass is not edible yield; method, portion, losses and actual successful trial record not established by spreadsheet quantities alone</t>
        </is>
      </c>
      <c r="D275" t="inlineStr">
        <is>
          <t>Use selected working alternative or resolve and run a controlled pilot</t>
        </is>
      </c>
    </row>
    <row r="276">
      <c r="A276" t="inlineStr">
        <is>
          <t>L138</t>
        </is>
      </c>
      <c r="B276" t="inlineStr">
        <is>
          <t>Source formulation</t>
        </is>
      </c>
      <c r="C276" t="inlineStr">
        <is>
          <t>method, portion, losses and actual successful trial record not established by spreadsheet quantities alone</t>
        </is>
      </c>
      <c r="D276" t="inlineStr">
        <is>
          <t>Use selected working alternative or resolve and run a controlled pilot</t>
        </is>
      </c>
    </row>
    <row r="277">
      <c r="A277" t="inlineStr">
        <is>
          <t>L139</t>
        </is>
      </c>
      <c r="B277" t="inlineStr">
        <is>
          <t>Source formulation</t>
        </is>
      </c>
      <c r="C277" t="inlineStr">
        <is>
          <t>milk requires identity/specification; low listed water; identify other liquid contributions before mixing; method, portion, losses and actual successful trial record not established by spreadsheet quantities alone</t>
        </is>
      </c>
      <c r="D277" t="inlineStr">
        <is>
          <t>Use selected working alternative or resolve and run a controlled pilot</t>
        </is>
      </c>
    </row>
    <row r="278">
      <c r="A278" t="inlineStr">
        <is>
          <t>L140</t>
        </is>
      </c>
      <c r="B278" t="inlineStr">
        <is>
          <t>Source formulation</t>
        </is>
      </c>
      <c r="C278"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78" t="inlineStr">
        <is>
          <t>Use selected working alternative or resolve and run a controlled pilot</t>
        </is>
      </c>
    </row>
    <row r="279">
      <c r="A279" t="inlineStr">
        <is>
          <t>L141</t>
        </is>
      </c>
      <c r="B279" t="inlineStr">
        <is>
          <t>Source formulation</t>
        </is>
      </c>
      <c r="C279"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79" t="inlineStr">
        <is>
          <t>Use selected working alternative or resolve and run a controlled pilot</t>
        </is>
      </c>
    </row>
    <row r="280">
      <c r="A280" t="inlineStr">
        <is>
          <t>L142</t>
        </is>
      </c>
      <c r="B280" t="inlineStr">
        <is>
          <t>Source formulation</t>
        </is>
      </c>
      <c r="C280" t="inlineStr">
        <is>
          <t>method, portion, losses and actual successful trial record not established by spreadsheet quantities alone</t>
        </is>
      </c>
      <c r="D280" t="inlineStr">
        <is>
          <t>Use selected working alternative or resolve and run a controlled pilot</t>
        </is>
      </c>
    </row>
    <row r="281">
      <c r="A281" t="inlineStr">
        <is>
          <t>L143</t>
        </is>
      </c>
      <c r="B281" t="inlineStr">
        <is>
          <t>Source formulation</t>
        </is>
      </c>
      <c r="C281" t="inlineStr">
        <is>
          <t>method, portion, losses and actual successful trial record not established by spreadsheet quantities alone</t>
        </is>
      </c>
      <c r="D281" t="inlineStr">
        <is>
          <t>Use selected working alternative or resolve and run a controlled pilot</t>
        </is>
      </c>
    </row>
    <row r="282">
      <c r="A282" t="inlineStr">
        <is>
          <t>L144</t>
        </is>
      </c>
      <c r="B282" t="inlineStr">
        <is>
          <t>Source formulation</t>
        </is>
      </c>
      <c r="C282"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82" t="inlineStr">
        <is>
          <t>Use selected working alternative or resolve and run a controlled pilot</t>
        </is>
      </c>
    </row>
    <row r="283">
      <c r="A283" t="inlineStr">
        <is>
          <t>L145</t>
        </is>
      </c>
      <c r="B283" t="inlineStr">
        <is>
          <t>Source formulation</t>
        </is>
      </c>
      <c r="C283"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83" t="inlineStr">
        <is>
          <t>Use selected working alternative or resolve and run a controlled pilot</t>
        </is>
      </c>
    </row>
    <row r="284">
      <c r="A284" t="inlineStr">
        <is>
          <t>L146</t>
        </is>
      </c>
      <c r="B284" t="inlineStr">
        <is>
          <t>Source formulation</t>
        </is>
      </c>
      <c r="C284" t="inlineStr">
        <is>
          <t>milk requires identity/specification; low listed water; identify other liquid contributions before mixing; method, portion, losses and actual successful trial record not established by spreadsheet quantities alone</t>
        </is>
      </c>
      <c r="D284" t="inlineStr">
        <is>
          <t>Use selected working alternative or resolve and run a controlled pilot</t>
        </is>
      </c>
    </row>
    <row r="285">
      <c r="A285" t="inlineStr">
        <is>
          <t>L147</t>
        </is>
      </c>
      <c r="B285" t="inlineStr">
        <is>
          <t>Source formulation</t>
        </is>
      </c>
      <c r="C285" t="inlineStr">
        <is>
          <t>milk requires identity/specification; method, portion, losses and actual successful trial record not established by spreadsheet quantities alone</t>
        </is>
      </c>
      <c r="D285" t="inlineStr">
        <is>
          <t>Use selected working alternative or resolve and run a controlled pilot</t>
        </is>
      </c>
    </row>
    <row r="286">
      <c r="A286" t="inlineStr">
        <is>
          <t>L148</t>
        </is>
      </c>
      <c r="B286" t="inlineStr">
        <is>
          <t>Source formulation</t>
        </is>
      </c>
      <c r="C286" t="inlineStr">
        <is>
          <t>conc milk requires identity/specification; separate recipe oil, retained frying oil and fryer charge; current source mass is not edible yield; method, portion, losses and actual successful trial record not established by spreadsheet quantities alone</t>
        </is>
      </c>
      <c r="D286" t="inlineStr">
        <is>
          <t>Use selected working alternative or resolve and run a controlled pilot</t>
        </is>
      </c>
    </row>
    <row r="287">
      <c r="A287" t="inlineStr">
        <is>
          <t>L149</t>
        </is>
      </c>
      <c r="B287" t="inlineStr">
        <is>
          <t>Source formulation</t>
        </is>
      </c>
      <c r="C287" t="inlineStr">
        <is>
          <t>conc milk requires identity/specification; separate recipe oil, retained frying oil and fryer charge; current source mass is not edible yield; method, portion, losses and actual successful trial record not established by spreadsheet quantities alone</t>
        </is>
      </c>
      <c r="D287" t="inlineStr">
        <is>
          <t>Use selected working alternative or resolve and run a controlled pilot</t>
        </is>
      </c>
    </row>
    <row r="288">
      <c r="A288" t="inlineStr">
        <is>
          <t>L150</t>
        </is>
      </c>
      <c r="B288" t="inlineStr">
        <is>
          <t>Source formulation</t>
        </is>
      </c>
      <c r="C288" t="inlineStr">
        <is>
          <t>conc milk requires identity/specification; separate recipe oil, retained frying oil and fryer charge; current source mass is not edible yield; method, portion, losses and actual successful trial record not established by spreadsheet quantities alone</t>
        </is>
      </c>
      <c r="D288" t="inlineStr">
        <is>
          <t>Use selected working alternative or resolve and run a controlled pilot</t>
        </is>
      </c>
    </row>
    <row r="289">
      <c r="A289" t="inlineStr">
        <is>
          <t>L151</t>
        </is>
      </c>
      <c r="B289" t="inlineStr">
        <is>
          <t>Source formulation</t>
        </is>
      </c>
      <c r="C289" t="inlineStr">
        <is>
          <t>conc milk requires identity/specification; separate recipe oil, retained frying oil and fryer charge; current source mass is not edible yield; method, portion, losses and actual successful trial record not established by spreadsheet quantities alone</t>
        </is>
      </c>
      <c r="D289" t="inlineStr">
        <is>
          <t>Use selected working alternative or resolve and run a controlled pilot</t>
        </is>
      </c>
    </row>
    <row r="290">
      <c r="A290" t="inlineStr">
        <is>
          <t>L152</t>
        </is>
      </c>
      <c r="B290" t="inlineStr">
        <is>
          <t>Source formulation</t>
        </is>
      </c>
      <c r="C290" t="inlineStr">
        <is>
          <t>separate recipe oil, retained frying oil and fryer charge; current source mass is not edible yield; method, portion, losses and actual successful trial record not established by spreadsheet quantities alone</t>
        </is>
      </c>
      <c r="D290" t="inlineStr">
        <is>
          <t>Use selected working alternative or resolve and run a controlled pilot</t>
        </is>
      </c>
    </row>
    <row r="291">
      <c r="A291" t="inlineStr">
        <is>
          <t>L153</t>
        </is>
      </c>
      <c r="B291" t="inlineStr">
        <is>
          <t>Source formulation</t>
        </is>
      </c>
      <c r="C291" t="inlineStr">
        <is>
          <t>milk requires identity/specification; low listed water; identify other liquid contributions before mixing; method, portion, losses and actual successful trial record not established by spreadsheet quantities alone</t>
        </is>
      </c>
      <c r="D291" t="inlineStr">
        <is>
          <t>Use selected working alternative or resolve and run a controlled pilot</t>
        </is>
      </c>
    </row>
    <row r="292">
      <c r="A292" t="inlineStr">
        <is>
          <t>L154</t>
        </is>
      </c>
      <c r="B292" t="inlineStr">
        <is>
          <t>Source formulation</t>
        </is>
      </c>
      <c r="C292" t="inlineStr">
        <is>
          <t>method, portion, losses and actual successful trial record not established by spreadsheet quantities alone</t>
        </is>
      </c>
      <c r="D292" t="inlineStr">
        <is>
          <t>Use selected working alternative or resolve and run a controlled pilot</t>
        </is>
      </c>
    </row>
    <row r="293">
      <c r="A293" t="inlineStr">
        <is>
          <t>L155</t>
        </is>
      </c>
      <c r="B293" t="inlineStr">
        <is>
          <t>Source formulation</t>
        </is>
      </c>
      <c r="C293" t="inlineStr">
        <is>
          <t>method, portion, losses and actual successful trial record not established by spreadsheet quantities alone</t>
        </is>
      </c>
      <c r="D293" t="inlineStr">
        <is>
          <t>Use selected working alternative or resolve and run a controlled pilot</t>
        </is>
      </c>
    </row>
    <row r="294">
      <c r="A294" t="inlineStr">
        <is>
          <t>L156</t>
        </is>
      </c>
      <c r="B294" t="inlineStr">
        <is>
          <t>Source formulation</t>
        </is>
      </c>
      <c r="C294"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94" t="inlineStr">
        <is>
          <t>Use selected working alternative or resolve and run a controlled pilot</t>
        </is>
      </c>
    </row>
    <row r="295">
      <c r="A295" t="inlineStr">
        <is>
          <t>L157</t>
        </is>
      </c>
      <c r="B295" t="inlineStr">
        <is>
          <t>Source formulation</t>
        </is>
      </c>
      <c r="C295"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95" t="inlineStr">
        <is>
          <t>Use selected working alternative or resolve and run a controlled pilot</t>
        </is>
      </c>
    </row>
    <row r="296">
      <c r="A296" t="inlineStr">
        <is>
          <t>L158</t>
        </is>
      </c>
      <c r="B296" t="inlineStr">
        <is>
          <t>Source formulation</t>
        </is>
      </c>
      <c r="C296" t="inlineStr">
        <is>
          <t>conc milk requires identity/specification; separate recipe oil, retained frying oil and fryer charge; current source mass is not edible yield; method, portion, losses and actual successful trial record not established by spreadsheet quantities alone</t>
        </is>
      </c>
      <c r="D296" t="inlineStr">
        <is>
          <t>Use selected working alternative or resolve and run a controlled pilot</t>
        </is>
      </c>
    </row>
    <row r="297">
      <c r="A297" t="inlineStr">
        <is>
          <t>L159</t>
        </is>
      </c>
      <c r="B297" t="inlineStr">
        <is>
          <t>Source formulation</t>
        </is>
      </c>
      <c r="C297" t="inlineStr">
        <is>
          <t>conc milk requires identity/specification; separate recipe oil, retained frying oil and fryer charge; current source mass is not edible yield; method, portion, losses and actual successful trial record not established by spreadsheet quantities alone</t>
        </is>
      </c>
      <c r="D297" t="inlineStr">
        <is>
          <t>Use selected working alternative or resolve and run a controlled pilot</t>
        </is>
      </c>
    </row>
    <row r="298">
      <c r="A298" t="inlineStr">
        <is>
          <t>L160</t>
        </is>
      </c>
      <c r="B298" t="inlineStr">
        <is>
          <t>Source formulation</t>
        </is>
      </c>
      <c r="C298"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98" t="inlineStr">
        <is>
          <t>Use selected working alternative or resolve and run a controlled pilot</t>
        </is>
      </c>
    </row>
    <row r="299">
      <c r="A299" t="inlineStr">
        <is>
          <t>L161</t>
        </is>
      </c>
      <c r="B299" t="inlineStr">
        <is>
          <t>Source formulation</t>
        </is>
      </c>
      <c r="C299"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299" t="inlineStr">
        <is>
          <t>Use selected working alternative or resolve and run a controlled pilot</t>
        </is>
      </c>
    </row>
    <row r="300">
      <c r="A300" t="inlineStr">
        <is>
          <t>L162</t>
        </is>
      </c>
      <c r="B300" t="inlineStr">
        <is>
          <t>Source formulation</t>
        </is>
      </c>
      <c r="C300" t="inlineStr">
        <is>
          <t>milk requires identity/specification; low listed water; identify other liquid contributions before mixing; method, portion, losses and actual successful trial record not established by spreadsheet quantities alone</t>
        </is>
      </c>
      <c r="D300" t="inlineStr">
        <is>
          <t>Use selected working alternative or resolve and run a controlled pilot</t>
        </is>
      </c>
    </row>
    <row r="301">
      <c r="A301" t="inlineStr">
        <is>
          <t>L163</t>
        </is>
      </c>
      <c r="B301" t="inlineStr">
        <is>
          <t>Source formulation</t>
        </is>
      </c>
      <c r="C301" t="inlineStr">
        <is>
          <t>method, portion, losses and actual successful trial record not established by spreadsheet quantities alone</t>
        </is>
      </c>
      <c r="D301" t="inlineStr">
        <is>
          <t>Use selected working alternative or resolve and run a controlled pilot</t>
        </is>
      </c>
    </row>
    <row r="302">
      <c r="A302" t="inlineStr">
        <is>
          <t>L164</t>
        </is>
      </c>
      <c r="B302" t="inlineStr">
        <is>
          <t>Source formulation</t>
        </is>
      </c>
      <c r="C302" t="inlineStr">
        <is>
          <t>method, portion, losses and actual successful trial record not established by spreadsheet quantities alone</t>
        </is>
      </c>
      <c r="D302" t="inlineStr">
        <is>
          <t>Use selected working alternative or resolve and run a controlled pilot</t>
        </is>
      </c>
    </row>
    <row r="303">
      <c r="A303" t="inlineStr">
        <is>
          <t>L165</t>
        </is>
      </c>
      <c r="B303" t="inlineStr">
        <is>
          <t>Source formulation</t>
        </is>
      </c>
      <c r="C303" t="inlineStr">
        <is>
          <t>conc milk requires identity/specification; separate recipe oil, retained frying oil and fryer charge; current source mass is not edible yield; method, portion, losses and actual successful trial record not established by spreadsheet quantities alone</t>
        </is>
      </c>
      <c r="D303" t="inlineStr">
        <is>
          <t>Use selected working alternative or resolve and run a controlled pilot</t>
        </is>
      </c>
    </row>
    <row r="304">
      <c r="A304" t="inlineStr">
        <is>
          <t>L166</t>
        </is>
      </c>
      <c r="B304" t="inlineStr">
        <is>
          <t>Source formulation</t>
        </is>
      </c>
      <c r="C304" t="inlineStr">
        <is>
          <t>separate recipe oil, retained frying oil and fryer charge; current source mass is not edible yield; method, portion, losses and actual successful trial record not established by spreadsheet quantities alone</t>
        </is>
      </c>
      <c r="D304" t="inlineStr">
        <is>
          <t>Use selected working alternative or resolve and run a controlled pilot</t>
        </is>
      </c>
    </row>
    <row r="305">
      <c r="A305" t="inlineStr">
        <is>
          <t>L167</t>
        </is>
      </c>
      <c r="B305" t="inlineStr">
        <is>
          <t>Source formulation</t>
        </is>
      </c>
      <c r="C305" t="inlineStr">
        <is>
          <t>method, portion, losses and actual successful trial record not established by spreadsheet quantities alone</t>
        </is>
      </c>
      <c r="D305" t="inlineStr">
        <is>
          <t>Use selected working alternative or resolve and run a controlled pilot</t>
        </is>
      </c>
    </row>
    <row r="306">
      <c r="A306" t="inlineStr">
        <is>
          <t>L168</t>
        </is>
      </c>
      <c r="B306" t="inlineStr">
        <is>
          <t>Source formulation</t>
        </is>
      </c>
      <c r="C306" t="inlineStr">
        <is>
          <t>milk requires identity/specification; method, portion, losses and actual successful trial record not established by spreadsheet quantities alone</t>
        </is>
      </c>
      <c r="D306" t="inlineStr">
        <is>
          <t>Use selected working alternative or resolve and run a controlled pilot</t>
        </is>
      </c>
    </row>
    <row r="307">
      <c r="A307" t="inlineStr">
        <is>
          <t>L169</t>
        </is>
      </c>
      <c r="B307" t="inlineStr">
        <is>
          <t>Source formulation</t>
        </is>
      </c>
      <c r="C307" t="inlineStr">
        <is>
          <t>milk requires identity/specification; low listed water; identify other liquid contributions before mixing; method, portion, losses and actual successful trial record not established by spreadsheet quantities alone</t>
        </is>
      </c>
      <c r="D307" t="inlineStr">
        <is>
          <t>Use selected working alternative or resolve and run a controlled pilot</t>
        </is>
      </c>
    </row>
    <row r="308">
      <c r="A308" t="inlineStr">
        <is>
          <t>L170</t>
        </is>
      </c>
      <c r="B308" t="inlineStr">
        <is>
          <t>Source formulation</t>
        </is>
      </c>
      <c r="C308" t="inlineStr">
        <is>
          <t>milk requires identity/specification; separate recipe oil, retained frying oil and fryer charge; current source mass is not edible yield; method, portion, losses and actual successful trial record not established by spreadsheet quantities alone</t>
        </is>
      </c>
      <c r="D308" t="inlineStr">
        <is>
          <t>Use selected working alternative or resolve and run a controlled pilot</t>
        </is>
      </c>
    </row>
    <row r="309">
      <c r="A309" t="inlineStr">
        <is>
          <t>L171</t>
        </is>
      </c>
      <c r="B309" t="inlineStr">
        <is>
          <t>Source formulation</t>
        </is>
      </c>
      <c r="C309" t="inlineStr">
        <is>
          <t>separate recipe oil, retained frying oil and fryer charge; current source mass is not edible yield; method, portion, losses and actual successful trial record not established by spreadsheet quantities alone</t>
        </is>
      </c>
      <c r="D309" t="inlineStr">
        <is>
          <t>Use selected working alternative or resolve and run a controlled pilot</t>
        </is>
      </c>
    </row>
    <row r="310">
      <c r="A310" t="inlineStr">
        <is>
          <t>L172</t>
        </is>
      </c>
      <c r="B310" t="inlineStr">
        <is>
          <t>Source formulation</t>
        </is>
      </c>
      <c r="C310" t="inlineStr">
        <is>
          <t>method, portion, losses and actual successful trial record not established by spreadsheet quantities alone</t>
        </is>
      </c>
      <c r="D310" t="inlineStr">
        <is>
          <t>Use selected working alternative or resolve and run a controlled pilot</t>
        </is>
      </c>
    </row>
    <row r="311">
      <c r="A311" t="inlineStr">
        <is>
          <t>L173</t>
        </is>
      </c>
      <c r="B311" t="inlineStr">
        <is>
          <t>Source formulation</t>
        </is>
      </c>
      <c r="C311" t="inlineStr">
        <is>
          <t>milk requires identity/specification; method, portion, losses and actual successful trial record not established by spreadsheet quantities alone</t>
        </is>
      </c>
      <c r="D311" t="inlineStr">
        <is>
          <t>Use selected working alternative or resolve and run a controlled pilot</t>
        </is>
      </c>
    </row>
    <row r="312">
      <c r="A312" t="inlineStr">
        <is>
          <t>L174</t>
        </is>
      </c>
      <c r="B312" t="inlineStr">
        <is>
          <t>Source formulation</t>
        </is>
      </c>
      <c r="C312" t="inlineStr">
        <is>
          <t>conc milk requires identity/specification; separate recipe oil, retained frying oil and fryer charge; current source mass is not edible yield; method, portion, losses and actual successful trial record not established by spreadsheet quantities alone</t>
        </is>
      </c>
      <c r="D312" t="inlineStr">
        <is>
          <t>Use selected working alternative or resolve and run a controlled pilot</t>
        </is>
      </c>
    </row>
    <row r="313">
      <c r="A313" t="inlineStr">
        <is>
          <t>L175</t>
        </is>
      </c>
      <c r="B313" t="inlineStr">
        <is>
          <t>Source formulation</t>
        </is>
      </c>
      <c r="C313" t="inlineStr">
        <is>
          <t>conc milk requires identity/specification; separate recipe oil, retained frying oil and fryer charge; current source mass is not edible yield; method, portion, losses and actual successful trial record not established by spreadsheet quantities alone</t>
        </is>
      </c>
      <c r="D313" t="inlineStr">
        <is>
          <t>Use selected working alternative or resolve and run a controlled pilot</t>
        </is>
      </c>
    </row>
    <row r="314">
      <c r="A314" t="inlineStr">
        <is>
          <t>L176</t>
        </is>
      </c>
      <c r="B314" t="inlineStr">
        <is>
          <t>Source formulation</t>
        </is>
      </c>
      <c r="C314" t="inlineStr">
        <is>
          <t>salt exceeds 3% of flour; review before testing; method, portion, losses and actual successful trial record not established by spreadsheet quantities alone</t>
        </is>
      </c>
      <c r="D314" t="inlineStr">
        <is>
          <t>Use selected working alternative or resolve and run a controlled pilot</t>
        </is>
      </c>
    </row>
    <row r="315">
      <c r="A315" t="inlineStr">
        <is>
          <t>L177</t>
        </is>
      </c>
      <c r="B315" t="inlineStr">
        <is>
          <t>Source formulation</t>
        </is>
      </c>
      <c r="C315" t="inlineStr">
        <is>
          <t>method, portion, losses and actual successful trial record not established by spreadsheet quantities alone</t>
        </is>
      </c>
      <c r="D315" t="inlineStr">
        <is>
          <t>Use selected working alternative or resolve and run a controlled pilot</t>
        </is>
      </c>
    </row>
    <row r="316">
      <c r="A316" t="inlineStr">
        <is>
          <t>L178</t>
        </is>
      </c>
      <c r="B316" t="inlineStr">
        <is>
          <t>Source formulation</t>
        </is>
      </c>
      <c r="C316" t="inlineStr">
        <is>
          <t>milk requires identity/specification; separate recipe oil, retained frying oil and fryer charge; current source mass is not edible yield; method, portion, losses and actual successful trial record not established by spreadsheet quantities alone</t>
        </is>
      </c>
      <c r="D316" t="inlineStr">
        <is>
          <t>Use selected working alternative or resolve and run a controlled pilot</t>
        </is>
      </c>
    </row>
    <row r="317">
      <c r="A317" t="inlineStr">
        <is>
          <t>L179</t>
        </is>
      </c>
      <c r="B317" t="inlineStr">
        <is>
          <t>Source formulation</t>
        </is>
      </c>
      <c r="C317" t="inlineStr">
        <is>
          <t>milk requires identity/specification; separate recipe oil, retained frying oil and fryer charge; current source mass is not edible yield; method, portion, losses and actual successful trial record not established by spreadsheet quantities alone</t>
        </is>
      </c>
      <c r="D317" t="inlineStr">
        <is>
          <t>Use selected working alternative or resolve and run a controlled pilot</t>
        </is>
      </c>
    </row>
    <row r="318">
      <c r="A318" t="inlineStr">
        <is>
          <t>L180</t>
        </is>
      </c>
      <c r="B318" t="inlineStr">
        <is>
          <t>Source formulation</t>
        </is>
      </c>
      <c r="C318" t="inlineStr">
        <is>
          <t>conc milk requires identity/specification; method, portion, losses and actual successful trial record not established by spreadsheet quantities alone</t>
        </is>
      </c>
      <c r="D318" t="inlineStr">
        <is>
          <t>Use selected working alternative or resolve and run a controlled pilot</t>
        </is>
      </c>
    </row>
    <row r="319">
      <c r="A319" t="inlineStr">
        <is>
          <t>L181</t>
        </is>
      </c>
      <c r="B319" t="inlineStr">
        <is>
          <t>Source formulation</t>
        </is>
      </c>
      <c r="C319" t="inlineStr">
        <is>
          <t>separate recipe oil, retained frying oil and fryer charge; current source mass is not edible yield; method, portion, losses and actual successful trial record not established by spreadsheet quantities alone</t>
        </is>
      </c>
      <c r="D319" t="inlineStr">
        <is>
          <t>Use selected working alternative or resolve and run a controlled pilot</t>
        </is>
      </c>
    </row>
    <row r="320">
      <c r="A320" t="inlineStr">
        <is>
          <t>L182</t>
        </is>
      </c>
      <c r="B320" t="inlineStr">
        <is>
          <t>Source formulation</t>
        </is>
      </c>
      <c r="C320" t="inlineStr">
        <is>
          <t>milk requires identity/specification; separate recipe oil, retained frying oil and fryer charge; current source mass is not edible yield; method, portion, losses and actual successful trial record not established by spreadsheet quantities alone</t>
        </is>
      </c>
      <c r="D320" t="inlineStr">
        <is>
          <t>Use selected working alternative or resolve and run a controlled pilot</t>
        </is>
      </c>
    </row>
    <row r="321">
      <c r="A321" t="inlineStr">
        <is>
          <t>L183</t>
        </is>
      </c>
      <c r="B321" t="inlineStr">
        <is>
          <t>Source formulation</t>
        </is>
      </c>
      <c r="C321" t="inlineStr">
        <is>
          <t>milk requires identity/specification; method, portion, losses and actual successful trial record not established by spreadsheet quantities alone</t>
        </is>
      </c>
      <c r="D321" t="inlineStr">
        <is>
          <t>Use selected working alternative or resolve and run a controlled pilot</t>
        </is>
      </c>
    </row>
    <row r="322">
      <c r="A322" t="inlineStr">
        <is>
          <t>L184</t>
        </is>
      </c>
      <c r="B322" t="inlineStr">
        <is>
          <t>Source formulation</t>
        </is>
      </c>
      <c r="C322" t="inlineStr">
        <is>
          <t>milk requires identity/specification; salt exceeds 3% of flour; review before testing; method, portion, losses and actual successful trial record not established by spreadsheet quantities alone</t>
        </is>
      </c>
      <c r="D322" t="inlineStr">
        <is>
          <t>Use selected working alternative or resolve and run a controlled pilot</t>
        </is>
      </c>
    </row>
    <row r="323">
      <c r="A323" t="inlineStr">
        <is>
          <t>L185</t>
        </is>
      </c>
      <c r="B323" t="inlineStr">
        <is>
          <t>Source formulation</t>
        </is>
      </c>
      <c r="C323"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323" t="inlineStr">
        <is>
          <t>Use selected working alternative or resolve and run a controlled pilot</t>
        </is>
      </c>
    </row>
    <row r="324">
      <c r="A324" t="inlineStr">
        <is>
          <t>L186</t>
        </is>
      </c>
      <c r="B324" t="inlineStr">
        <is>
          <t>Source formulation</t>
        </is>
      </c>
      <c r="C324" t="inlineStr">
        <is>
          <t>separate recipe oil, retained frying oil and fryer charge; current source mass is not edible yield; method, portion, losses and actual successful trial record not established by spreadsheet quantities alone</t>
        </is>
      </c>
      <c r="D324" t="inlineStr">
        <is>
          <t>Use selected working alternative or resolve and run a controlled pilot</t>
        </is>
      </c>
    </row>
    <row r="325">
      <c r="A325" t="inlineStr">
        <is>
          <t>L187</t>
        </is>
      </c>
      <c r="B325" t="inlineStr">
        <is>
          <t>Source formulation</t>
        </is>
      </c>
      <c r="C325" t="inlineStr">
        <is>
          <t>method, portion, losses and actual successful trial record not established by spreadsheet quantities alone</t>
        </is>
      </c>
      <c r="D325" t="inlineStr">
        <is>
          <t>Use selected working alternative or resolve and run a controlled pilot</t>
        </is>
      </c>
    </row>
    <row r="326">
      <c r="A326" t="inlineStr">
        <is>
          <t>L188</t>
        </is>
      </c>
      <c r="B326" t="inlineStr">
        <is>
          <t>Source formulation</t>
        </is>
      </c>
      <c r="C326" t="inlineStr">
        <is>
          <t>conc milk requires identity/specification; separate recipe oil, retained frying oil and fryer charge; current source mass is not edible yield; method, portion, losses and actual successful trial record not established by spreadsheet quantities alone</t>
        </is>
      </c>
      <c r="D326" t="inlineStr">
        <is>
          <t>Use selected working alternative or resolve and run a controlled pilot</t>
        </is>
      </c>
    </row>
    <row r="327">
      <c r="A327" t="inlineStr">
        <is>
          <t>L189</t>
        </is>
      </c>
      <c r="B327" t="inlineStr">
        <is>
          <t>Source formulation</t>
        </is>
      </c>
      <c r="C327" t="inlineStr">
        <is>
          <t>conc milk requires identity/specification; separate recipe oil, retained frying oil and fryer charge; current source mass is not edible yield; method, portion, losses and actual successful trial record not established by spreadsheet quantities alone</t>
        </is>
      </c>
      <c r="D327" t="inlineStr">
        <is>
          <t>Use selected working alternative or resolve and run a controlled pilot</t>
        </is>
      </c>
    </row>
    <row r="328">
      <c r="A328" t="inlineStr">
        <is>
          <t>L190</t>
        </is>
      </c>
      <c r="B328" t="inlineStr">
        <is>
          <t>Source formulation</t>
        </is>
      </c>
      <c r="C328" t="inlineStr">
        <is>
          <t>method, portion, losses and actual successful trial record not established by spreadsheet quantities alone</t>
        </is>
      </c>
      <c r="D328" t="inlineStr">
        <is>
          <t>Use selected working alternative or resolve and run a controlled pilot</t>
        </is>
      </c>
    </row>
    <row r="329">
      <c r="A329" t="inlineStr">
        <is>
          <t>L191</t>
        </is>
      </c>
      <c r="B329" t="inlineStr">
        <is>
          <t>Source formulation</t>
        </is>
      </c>
      <c r="C329" t="inlineStr">
        <is>
          <t>method, portion, losses and actual successful trial record not established by spreadsheet quantities alone</t>
        </is>
      </c>
      <c r="D329" t="inlineStr">
        <is>
          <t>Use selected working alternative or resolve and run a controlled pilot</t>
        </is>
      </c>
    </row>
    <row r="330">
      <c r="A330" t="inlineStr">
        <is>
          <t>L192</t>
        </is>
      </c>
      <c r="B330" t="inlineStr">
        <is>
          <t>Source formulation</t>
        </is>
      </c>
      <c r="C330"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330" t="inlineStr">
        <is>
          <t>Use selected working alternative or resolve and run a controlled pilot</t>
        </is>
      </c>
    </row>
    <row r="331">
      <c r="A331" t="inlineStr">
        <is>
          <t>L193</t>
        </is>
      </c>
      <c r="B331" t="inlineStr">
        <is>
          <t>Source formulation</t>
        </is>
      </c>
      <c r="C331"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331" t="inlineStr">
        <is>
          <t>Use selected working alternative or resolve and run a controlled pilot</t>
        </is>
      </c>
    </row>
    <row r="332">
      <c r="A332" t="inlineStr">
        <is>
          <t>L194</t>
        </is>
      </c>
      <c r="B332" t="inlineStr">
        <is>
          <t>Source formulation</t>
        </is>
      </c>
      <c r="C332" t="inlineStr">
        <is>
          <t>separate recipe oil, retained frying oil and fryer charge; current source mass is not edible yield; method, portion, losses and actual successful trial record not established by spreadsheet quantities alone</t>
        </is>
      </c>
      <c r="D332" t="inlineStr">
        <is>
          <t>Use selected working alternative or resolve and run a controlled pilot</t>
        </is>
      </c>
    </row>
    <row r="333">
      <c r="A333" t="inlineStr">
        <is>
          <t>L195</t>
        </is>
      </c>
      <c r="B333" t="inlineStr">
        <is>
          <t>Source formulation</t>
        </is>
      </c>
      <c r="C333" t="inlineStr">
        <is>
          <t>method, portion, losses and actual successful trial record not established by spreadsheet quantities alone</t>
        </is>
      </c>
      <c r="D333" t="inlineStr">
        <is>
          <t>Use selected working alternative or resolve and run a controlled pilot</t>
        </is>
      </c>
    </row>
    <row r="334">
      <c r="A334" t="inlineStr">
        <is>
          <t>L196</t>
        </is>
      </c>
      <c r="B334" t="inlineStr">
        <is>
          <t>Source formulation</t>
        </is>
      </c>
      <c r="C334" t="inlineStr">
        <is>
          <t>milk requires identity/specification; low listed water; identify other liquid contributions before mixing; method, portion, losses and actual successful trial record not established by spreadsheet quantities alone</t>
        </is>
      </c>
      <c r="D334" t="inlineStr">
        <is>
          <t>Use selected working alternative or resolve and run a controlled pilot</t>
        </is>
      </c>
    </row>
    <row r="335">
      <c r="A335" t="inlineStr">
        <is>
          <t>L197</t>
        </is>
      </c>
      <c r="B335" t="inlineStr">
        <is>
          <t>Source formulation</t>
        </is>
      </c>
      <c r="C335" t="inlineStr">
        <is>
          <t>method, portion, losses and actual successful trial record not established by spreadsheet quantities alone</t>
        </is>
      </c>
      <c r="D335" t="inlineStr">
        <is>
          <t>Use selected working alternative or resolve and run a controlled pilot</t>
        </is>
      </c>
    </row>
    <row r="336">
      <c r="A336" t="inlineStr">
        <is>
          <t>L198</t>
        </is>
      </c>
      <c r="B336" t="inlineStr">
        <is>
          <t>Source formulation</t>
        </is>
      </c>
      <c r="C336" t="inlineStr">
        <is>
          <t>milk requires identity/specification; separate recipe oil, retained frying oil and fryer charge; current source mass is not edible yield; method, portion, losses and actual successful trial record not established by spreadsheet quantities alone</t>
        </is>
      </c>
      <c r="D336" t="inlineStr">
        <is>
          <t>Use selected working alternative or resolve and run a controlled pilot</t>
        </is>
      </c>
    </row>
    <row r="337">
      <c r="A337" t="inlineStr">
        <is>
          <t>L199</t>
        </is>
      </c>
      <c r="B337" t="inlineStr">
        <is>
          <t>Source formulation</t>
        </is>
      </c>
      <c r="C337" t="inlineStr">
        <is>
          <t>method, portion, losses and actual successful trial record not established by spreadsheet quantities alone</t>
        </is>
      </c>
      <c r="D337" t="inlineStr">
        <is>
          <t>Use selected working alternative or resolve and run a controlled pilot</t>
        </is>
      </c>
    </row>
    <row r="338">
      <c r="A338" t="inlineStr">
        <is>
          <t>L200</t>
        </is>
      </c>
      <c r="B338" t="inlineStr">
        <is>
          <t>Source formulation</t>
        </is>
      </c>
      <c r="C338" t="inlineStr">
        <is>
          <t>method, portion, losses and actual successful trial record not established by spreadsheet quantities alone</t>
        </is>
      </c>
      <c r="D338" t="inlineStr">
        <is>
          <t>Use selected working alternative or resolve and run a controlled pilot</t>
        </is>
      </c>
    </row>
    <row r="339">
      <c r="A339" t="inlineStr">
        <is>
          <t>L201</t>
        </is>
      </c>
      <c r="B339" t="inlineStr">
        <is>
          <t>Source formulation</t>
        </is>
      </c>
      <c r="C339" t="inlineStr">
        <is>
          <t>method, portion, losses and actual successful trial record not established by spreadsheet quantities alone</t>
        </is>
      </c>
      <c r="D339" t="inlineStr">
        <is>
          <t>Use selected working alternative or resolve and run a controlled pilot</t>
        </is>
      </c>
    </row>
    <row r="340">
      <c r="A340" t="inlineStr">
        <is>
          <t>L202</t>
        </is>
      </c>
      <c r="B340" t="inlineStr">
        <is>
          <t>Source formulation</t>
        </is>
      </c>
      <c r="C340" t="inlineStr">
        <is>
          <t>conc milk requires identity/specification; separate recipe oil, retained frying oil and fryer charge; current source mass is not edible yield; method, portion, losses and actual successful trial record not established by spreadsheet quantities alone</t>
        </is>
      </c>
      <c r="D340" t="inlineStr">
        <is>
          <t>Use selected working alternative or resolve and run a controlled pilot</t>
        </is>
      </c>
    </row>
    <row r="341">
      <c r="A341" t="inlineStr">
        <is>
          <t>L203</t>
        </is>
      </c>
      <c r="B341" t="inlineStr">
        <is>
          <t>Source formulation</t>
        </is>
      </c>
      <c r="C341" t="inlineStr">
        <is>
          <t>conc milk requires identity/specification; separate recipe oil, retained frying oil and fryer charge; current source mass is not edible yield; method, portion, losses and actual successful trial record not established by spreadsheet quantities alone</t>
        </is>
      </c>
      <c r="D341" t="inlineStr">
        <is>
          <t>Use selected working alternative or resolve and run a controlled pilot</t>
        </is>
      </c>
    </row>
    <row r="342">
      <c r="A342" t="inlineStr">
        <is>
          <t>L204</t>
        </is>
      </c>
      <c r="B342" t="inlineStr">
        <is>
          <t>Source formulation</t>
        </is>
      </c>
      <c r="C342" t="inlineStr">
        <is>
          <t>conc milk requires identity/specification; separate recipe oil, retained frying oil and fryer charge; current source mass is not edible yield; method, portion, losses and actual successful trial record not established by spreadsheet quantities alone</t>
        </is>
      </c>
      <c r="D342" t="inlineStr">
        <is>
          <t>Use selected working alternative or resolve and run a controlled pilot</t>
        </is>
      </c>
    </row>
    <row r="343">
      <c r="A343" t="inlineStr">
        <is>
          <t>L205</t>
        </is>
      </c>
      <c r="B343" t="inlineStr">
        <is>
          <t>Source formulation</t>
        </is>
      </c>
      <c r="C343" t="inlineStr">
        <is>
          <t>conc milk requires identity/specification; low listed water; identify other liquid contributions before mixing; method, portion, losses and actual successful trial record not established by spreadsheet quantities alone</t>
        </is>
      </c>
      <c r="D343" t="inlineStr">
        <is>
          <t>Use selected working alternative or resolve and run a controlled pilot</t>
        </is>
      </c>
    </row>
    <row r="344">
      <c r="A344" t="inlineStr">
        <is>
          <t>L206</t>
        </is>
      </c>
      <c r="B344" t="inlineStr">
        <is>
          <t>Source formulation</t>
        </is>
      </c>
      <c r="C344" t="inlineStr">
        <is>
          <t>nutmeg exceeds 2% of flour; probable source or cell-association error, do not produce from this record; method, portion, losses and actual successful trial record not established by spreadsheet quantities alone</t>
        </is>
      </c>
      <c r="D344" t="inlineStr">
        <is>
          <t>Use selected working alternative or resolve and run a controlled pilot</t>
        </is>
      </c>
    </row>
    <row r="345">
      <c r="A345" t="inlineStr">
        <is>
          <t>L207</t>
        </is>
      </c>
      <c r="B345" t="inlineStr">
        <is>
          <t>Source formulation</t>
        </is>
      </c>
      <c r="C345" t="inlineStr">
        <is>
          <t>milk requires identity/specification; method, portion, losses and actual successful trial record not established by spreadsheet quantities alone</t>
        </is>
      </c>
      <c r="D345" t="inlineStr">
        <is>
          <t>Use selected working alternative or resolve and run a controlled pilot</t>
        </is>
      </c>
    </row>
    <row r="346">
      <c r="A346" t="inlineStr">
        <is>
          <t>L208</t>
        </is>
      </c>
      <c r="B346" t="inlineStr">
        <is>
          <t>Source formulation</t>
        </is>
      </c>
      <c r="C346" t="inlineStr">
        <is>
          <t>low listed water; identify other liquid contributions before mixing; method, portion, losses and actual successful trial record not established by spreadsheet quantities alone</t>
        </is>
      </c>
      <c r="D346" t="inlineStr">
        <is>
          <t>Use selected working alternative or resolve and run a controlled pilot</t>
        </is>
      </c>
    </row>
    <row r="347">
      <c r="A347" t="inlineStr">
        <is>
          <t>L209</t>
        </is>
      </c>
      <c r="B347" t="inlineStr">
        <is>
          <t>Source formulation</t>
        </is>
      </c>
      <c r="C347" t="inlineStr">
        <is>
          <t>conc milk requires identity/specification; separate recipe oil, retained frying oil and fryer charge; current source mass is not edible yield; method, portion, losses and actual successful trial record not established by spreadsheet quantities alone</t>
        </is>
      </c>
      <c r="D347" t="inlineStr">
        <is>
          <t>Use selected working alternative or resolve and run a controlled pilot</t>
        </is>
      </c>
    </row>
    <row r="348">
      <c r="A348" t="inlineStr">
        <is>
          <t>L210</t>
        </is>
      </c>
      <c r="B348" t="inlineStr">
        <is>
          <t>Source formulation</t>
        </is>
      </c>
      <c r="C348" t="inlineStr">
        <is>
          <t>milk requires identity/specification; low listed water; identify other liquid contributions before mixing; method, portion, losses and actual successful trial record not established by spreadsheet quantities alone</t>
        </is>
      </c>
      <c r="D348" t="inlineStr">
        <is>
          <t>Use selected working alternative or resolve and run a controlled pilot</t>
        </is>
      </c>
    </row>
    <row r="349">
      <c r="A349" t="inlineStr">
        <is>
          <t>L211</t>
        </is>
      </c>
      <c r="B349" t="inlineStr">
        <is>
          <t>Source formulation</t>
        </is>
      </c>
      <c r="C349" t="inlineStr">
        <is>
          <t>milk requires identity/specification; separate recipe oil, retained frying oil and fryer charge; current source mass is not edible yield; method, portion, losses and actual successful trial record not established by spreadsheet quantities alone</t>
        </is>
      </c>
      <c r="D349" t="inlineStr">
        <is>
          <t>Use selected working alternative or resolve and run a controlled pilot</t>
        </is>
      </c>
    </row>
    <row r="350">
      <c r="A350" t="inlineStr">
        <is>
          <t>L212</t>
        </is>
      </c>
      <c r="B350" t="inlineStr">
        <is>
          <t>Source formulation</t>
        </is>
      </c>
      <c r="C350" t="inlineStr">
        <is>
          <t>milk requires identity/specification; low listed water; identify other liquid contributions before mixing; method, portion, losses and actual successful trial record not established by spreadsheet quantities alone</t>
        </is>
      </c>
      <c r="D350" t="inlineStr">
        <is>
          <t>Use selected working alternative or resolve and run a controlled pilot</t>
        </is>
      </c>
    </row>
    <row r="351">
      <c r="A351" t="inlineStr">
        <is>
          <t>L213</t>
        </is>
      </c>
      <c r="B351" t="inlineStr">
        <is>
          <t>Source formulation</t>
        </is>
      </c>
      <c r="C351" t="inlineStr">
        <is>
          <t>method, portion, losses and actual successful trial record not established by spreadsheet quantities alone</t>
        </is>
      </c>
      <c r="D351" t="inlineStr">
        <is>
          <t>Use selected working alternative or resolve and run a controlled pilot</t>
        </is>
      </c>
    </row>
    <row r="352">
      <c r="A352" t="inlineStr">
        <is>
          <t>L214</t>
        </is>
      </c>
      <c r="B352" t="inlineStr">
        <is>
          <t>Source formulation</t>
        </is>
      </c>
      <c r="C352" t="inlineStr">
        <is>
          <t>conc milk requires identity/specification; separate recipe oil, retained frying oil and fryer charge; current source mass is not edible yield; method, portion, losses and actual successful trial record not established by spreadsheet quantities alone</t>
        </is>
      </c>
      <c r="D352" t="inlineStr">
        <is>
          <t>Use selected working alternative or resolve and run a controlled pilot</t>
        </is>
      </c>
    </row>
    <row r="353">
      <c r="A353" t="inlineStr">
        <is>
          <t>L215</t>
        </is>
      </c>
      <c r="B353" t="inlineStr">
        <is>
          <t>Source formulation</t>
        </is>
      </c>
      <c r="C353" t="inlineStr">
        <is>
          <t>conc milk requires identity/specification; separate recipe oil, retained frying oil and fryer charge; current source mass is not edible yield; method, portion, losses and actual successful trial record not established by spreadsheet quantities alone</t>
        </is>
      </c>
      <c r="D353" t="inlineStr">
        <is>
          <t>Use selected working alternative or resolve and run a controlled pilot</t>
        </is>
      </c>
    </row>
    <row r="354">
      <c r="A354" t="inlineStr">
        <is>
          <t>L216</t>
        </is>
      </c>
      <c r="B354" t="inlineStr">
        <is>
          <t>Source formulation</t>
        </is>
      </c>
      <c r="C354" t="inlineStr">
        <is>
          <t>method, portion, losses and actual successful trial record not established by spreadsheet quantities alone</t>
        </is>
      </c>
      <c r="D354" t="inlineStr">
        <is>
          <t>Use selected working alternative or resolve and run a controlled pilot</t>
        </is>
      </c>
    </row>
    <row r="355">
      <c r="A355" t="inlineStr">
        <is>
          <t>L217</t>
        </is>
      </c>
      <c r="B355" t="inlineStr">
        <is>
          <t>Source formulation</t>
        </is>
      </c>
      <c r="C355" t="inlineStr">
        <is>
          <t>milk requires identity/specification; low listed water; identify other liquid contributions before mixing; method, portion, losses and actual successful trial record not established by spreadsheet quantities alone</t>
        </is>
      </c>
      <c r="D355" t="inlineStr">
        <is>
          <t>Use selected working alternative or resolve and run a controlled pilot</t>
        </is>
      </c>
    </row>
    <row r="356">
      <c r="A356" t="inlineStr">
        <is>
          <t>L218</t>
        </is>
      </c>
      <c r="B356" t="inlineStr">
        <is>
          <t>Source formulation</t>
        </is>
      </c>
      <c r="C356" t="inlineStr">
        <is>
          <t>milk requires identity/specification; low listed water; identify other liquid contributions before mixing; method, portion, losses and actual successful trial record not established by spreadsheet quantities alone</t>
        </is>
      </c>
      <c r="D356" t="inlineStr">
        <is>
          <t>Use selected working alternative or resolve and run a controlled pilot</t>
        </is>
      </c>
    </row>
    <row r="357">
      <c r="A357" t="inlineStr">
        <is>
          <t>L219</t>
        </is>
      </c>
      <c r="B357" t="inlineStr">
        <is>
          <t>Source formulation</t>
        </is>
      </c>
      <c r="C357" t="inlineStr">
        <is>
          <t>conc milk requires identity/specification; separate recipe oil, retained frying oil and fryer charge; current source mass is not edible yield; method, portion, losses and actual successful trial record not established by spreadsheet quantities alone</t>
        </is>
      </c>
      <c r="D357" t="inlineStr">
        <is>
          <t>Use selected working alternative or resolve and run a controlled pilot</t>
        </is>
      </c>
    </row>
    <row r="358">
      <c r="A358" t="inlineStr">
        <is>
          <t>L220</t>
        </is>
      </c>
      <c r="B358" t="inlineStr">
        <is>
          <t>Source formulation</t>
        </is>
      </c>
      <c r="C358" t="inlineStr">
        <is>
          <t>conc milk requires identity/specification; separate recipe oil, retained frying oil and fryer charge; current source mass is not edible yield; method, portion, losses and actual successful trial record not established by spreadsheet quantities alone</t>
        </is>
      </c>
      <c r="D358" t="inlineStr">
        <is>
          <t>Use selected working alternative or resolve and run a controlled pilot</t>
        </is>
      </c>
    </row>
    <row r="359">
      <c r="A359" t="inlineStr">
        <is>
          <t>L221</t>
        </is>
      </c>
      <c r="B359" t="inlineStr">
        <is>
          <t>Source formulation</t>
        </is>
      </c>
      <c r="C359"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359" t="inlineStr">
        <is>
          <t>Use selected working alternative or resolve and run a controlled pilot</t>
        </is>
      </c>
    </row>
    <row r="360">
      <c r="A360" t="inlineStr">
        <is>
          <t>L222</t>
        </is>
      </c>
      <c r="B360" t="inlineStr">
        <is>
          <t>Source formulation</t>
        </is>
      </c>
      <c r="C360" t="inlineStr">
        <is>
          <t>milk requires identity/specification; stock yoghort requires identity/specification; method, portion, losses and actual successful trial record not established by spreadsheet quantities alone</t>
        </is>
      </c>
      <c r="D360" t="inlineStr">
        <is>
          <t>Use selected working alternative or resolve and run a controlled pilot</t>
        </is>
      </c>
    </row>
    <row r="361">
      <c r="A361" t="inlineStr">
        <is>
          <t>L223</t>
        </is>
      </c>
      <c r="B361" t="inlineStr">
        <is>
          <t>Source formulation</t>
        </is>
      </c>
      <c r="C361" t="inlineStr">
        <is>
          <t>milk requires identity/specification; method, portion, losses and actual successful trial record not established by spreadsheet quantities alone</t>
        </is>
      </c>
      <c r="D361" t="inlineStr">
        <is>
          <t>Use selected working alternative or resolve and run a controlled pilot</t>
        </is>
      </c>
    </row>
    <row r="362">
      <c r="A362" t="inlineStr">
        <is>
          <t>L224</t>
        </is>
      </c>
      <c r="B362" t="inlineStr">
        <is>
          <t>Source formulation</t>
        </is>
      </c>
      <c r="C362" t="inlineStr">
        <is>
          <t>milk requires identity/specification; method, portion, losses and actual successful trial record not established by spreadsheet quantities alone</t>
        </is>
      </c>
      <c r="D362" t="inlineStr">
        <is>
          <t>Use selected working alternative or resolve and run a controlled pilot</t>
        </is>
      </c>
    </row>
    <row r="363">
      <c r="A363" t="inlineStr">
        <is>
          <t>L225</t>
        </is>
      </c>
      <c r="B363" t="inlineStr">
        <is>
          <t>Source formulation</t>
        </is>
      </c>
      <c r="C363" t="inlineStr">
        <is>
          <t>method, portion, losses and actual successful trial record not established by spreadsheet quantities alone</t>
        </is>
      </c>
      <c r="D363" t="inlineStr">
        <is>
          <t>Use selected working alternative or resolve and run a controlled pilot</t>
        </is>
      </c>
    </row>
    <row r="364">
      <c r="A364" t="inlineStr">
        <is>
          <t>L226</t>
        </is>
      </c>
      <c r="B364" t="inlineStr">
        <is>
          <t>Source formulation</t>
        </is>
      </c>
      <c r="C364" t="inlineStr">
        <is>
          <t>milk requires identity/specification; method, portion, losses and actual successful trial record not established by spreadsheet quantities alone</t>
        </is>
      </c>
      <c r="D364" t="inlineStr">
        <is>
          <t>Use selected working alternative or resolve and run a controlled pilot</t>
        </is>
      </c>
    </row>
    <row r="365">
      <c r="A365" t="inlineStr">
        <is>
          <t>L227</t>
        </is>
      </c>
      <c r="B365" t="inlineStr">
        <is>
          <t>Source formulation</t>
        </is>
      </c>
      <c r="C365" t="inlineStr">
        <is>
          <t>milk requires identity/specification; method, portion, losses and actual successful trial record not established by spreadsheet quantities alone</t>
        </is>
      </c>
      <c r="D365" t="inlineStr">
        <is>
          <t>Use selected working alternative or resolve and run a controlled pilot</t>
        </is>
      </c>
    </row>
    <row r="366">
      <c r="A366" t="inlineStr">
        <is>
          <t>L228</t>
        </is>
      </c>
      <c r="B366" t="inlineStr">
        <is>
          <t>Source formulation</t>
        </is>
      </c>
      <c r="C366" t="inlineStr">
        <is>
          <t>separate recipe oil, retained frying oil and fryer charge; current source mass is not edible yield; method, portion, losses and actual successful trial record not established by spreadsheet quantities alone</t>
        </is>
      </c>
      <c r="D366" t="inlineStr">
        <is>
          <t>Use selected working alternative or resolve and run a controlled pilot</t>
        </is>
      </c>
    </row>
    <row r="367">
      <c r="A367" t="inlineStr">
        <is>
          <t>L229</t>
        </is>
      </c>
      <c r="B367" t="inlineStr">
        <is>
          <t>Source formulation</t>
        </is>
      </c>
      <c r="C367" t="inlineStr">
        <is>
          <t>milk requires identity/specification; low listed water; identify other liquid contributions before mixing; method, portion, losses and actual successful trial record not established by spreadsheet quantities alone</t>
        </is>
      </c>
      <c r="D367" t="inlineStr">
        <is>
          <t>Use selected working alternative or resolve and run a controlled pilot</t>
        </is>
      </c>
    </row>
    <row r="368">
      <c r="A368" t="inlineStr">
        <is>
          <t>L230</t>
        </is>
      </c>
      <c r="B368" t="inlineStr">
        <is>
          <t>Source formulation</t>
        </is>
      </c>
      <c r="C368" t="inlineStr">
        <is>
          <t>corrupted or unusually long ingredient label; check original cells before any trial; nutmeg exceeds 2% of flour; probable source or cell-association error, do not produce from this record; separate recipe oil, retained frying oil and fryer charge; current source mass is not edible yield; method, portion, losses and actual successful trial record not established by spreadsheet quantities alone</t>
        </is>
      </c>
      <c r="D368" t="inlineStr">
        <is>
          <t>Use selected working alternative or resolve and run a controlled pilot</t>
        </is>
      </c>
    </row>
    <row r="369">
      <c r="A369" t="inlineStr">
        <is>
          <t>L231</t>
        </is>
      </c>
      <c r="B369" t="inlineStr">
        <is>
          <t>Source formulation</t>
        </is>
      </c>
      <c r="C369" t="inlineStr">
        <is>
          <t>corrupted or unusually long ingredient label; check original cells before any trial; nutmeg exceeds 2% of flour; probable source or cell-association error, do not produce from this record; separate recipe oil, retained frying oil and fryer charge; current source mass is not edible yield; method, portion, losses and actual successful trial record not established by spreadsheet quantities alone</t>
        </is>
      </c>
      <c r="D369" t="inlineStr">
        <is>
          <t>Use selected working alternative or resolve and run a controlled pilot</t>
        </is>
      </c>
    </row>
    <row r="370">
      <c r="A370" t="inlineStr">
        <is>
          <t>L232</t>
        </is>
      </c>
      <c r="B370" t="inlineStr">
        <is>
          <t>Source formulation</t>
        </is>
      </c>
      <c r="C370" t="inlineStr">
        <is>
          <t>conc milk requires identity/specification; separate recipe oil, retained frying oil and fryer charge; current source mass is not edible yield; method, portion, losses and actual successful trial record not established by spreadsheet quantities alone</t>
        </is>
      </c>
      <c r="D370" t="inlineStr">
        <is>
          <t>Use selected working alternative or resolve and run a controlled pilot</t>
        </is>
      </c>
    </row>
    <row r="371">
      <c r="A371" t="inlineStr">
        <is>
          <t>L233</t>
        </is>
      </c>
      <c r="B371" t="inlineStr">
        <is>
          <t>Source formulation</t>
        </is>
      </c>
      <c r="C371" t="inlineStr">
        <is>
          <t>conc milk requires identity/specification; separate recipe oil, retained frying oil and fryer charge; current source mass is not edible yield; method, portion, losses and actual successful trial record not established by spreadsheet quantities alone</t>
        </is>
      </c>
      <c r="D371" t="inlineStr">
        <is>
          <t>Use selected working alternative or resolve and run a controlled pilot</t>
        </is>
      </c>
    </row>
    <row r="372">
      <c r="A372" t="inlineStr">
        <is>
          <t>L234</t>
        </is>
      </c>
      <c r="B372" t="inlineStr">
        <is>
          <t>Source formulation</t>
        </is>
      </c>
      <c r="C372" t="inlineStr">
        <is>
          <t>separate recipe oil, retained frying oil and fryer charge; current source mass is not edible yield; method, portion, losses and actual successful trial record not established by spreadsheet quantities alone</t>
        </is>
      </c>
      <c r="D372" t="inlineStr">
        <is>
          <t>Use selected working alternative or resolve and run a controlled pilot</t>
        </is>
      </c>
    </row>
    <row r="373">
      <c r="A373" t="inlineStr">
        <is>
          <t>L235</t>
        </is>
      </c>
      <c r="B373" t="inlineStr">
        <is>
          <t>Source formulation</t>
        </is>
      </c>
      <c r="C373" t="inlineStr">
        <is>
          <t>conc milk requires identity/specification; separate recipe oil, retained frying oil and fryer charge; current source mass is not edible yield; method, portion, losses and actual successful trial record not established by spreadsheet quantities alone</t>
        </is>
      </c>
      <c r="D373" t="inlineStr">
        <is>
          <t>Use selected working alternative or resolve and run a controlled pilot</t>
        </is>
      </c>
    </row>
    <row r="374">
      <c r="A374" t="inlineStr">
        <is>
          <t>L236</t>
        </is>
      </c>
      <c r="B374" t="inlineStr">
        <is>
          <t>Source formulation</t>
        </is>
      </c>
      <c r="C374" t="inlineStr">
        <is>
          <t>milk requires identity/specification; low listed water; identify other liquid contributions before mixing; method, portion, losses and actual successful trial record not established by spreadsheet quantities alone</t>
        </is>
      </c>
      <c r="D374" t="inlineStr">
        <is>
          <t>Use selected working alternative or resolve and run a controlled pilot</t>
        </is>
      </c>
    </row>
    <row r="375">
      <c r="A375" t="inlineStr">
        <is>
          <t>L237</t>
        </is>
      </c>
      <c r="B375" t="inlineStr">
        <is>
          <t>Source formulation</t>
        </is>
      </c>
      <c r="C375" t="inlineStr">
        <is>
          <t>method, portion, losses and actual successful trial record not established by spreadsheet quantities alone</t>
        </is>
      </c>
      <c r="D375" t="inlineStr">
        <is>
          <t>Use selected working alternative or resolve and run a controlled pilot</t>
        </is>
      </c>
    </row>
    <row r="376">
      <c r="A376" t="inlineStr">
        <is>
          <t>L238</t>
        </is>
      </c>
      <c r="B376" t="inlineStr">
        <is>
          <t>Source formulation</t>
        </is>
      </c>
      <c r="C376" t="inlineStr">
        <is>
          <t>method, portion, losses and actual successful trial record not established by spreadsheet quantities alone</t>
        </is>
      </c>
      <c r="D376" t="inlineStr">
        <is>
          <t>Use selected working alternative or resolve and run a controlled pilot</t>
        </is>
      </c>
    </row>
    <row r="377">
      <c r="A377" t="inlineStr">
        <is>
          <t>L239</t>
        </is>
      </c>
      <c r="B377" t="inlineStr">
        <is>
          <t>Source formulation</t>
        </is>
      </c>
      <c r="C377"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377" t="inlineStr">
        <is>
          <t>Use selected working alternative or resolve and run a controlled pilot</t>
        </is>
      </c>
    </row>
    <row r="378">
      <c r="A378" t="inlineStr">
        <is>
          <t>L240</t>
        </is>
      </c>
      <c r="B378" t="inlineStr">
        <is>
          <t>Source formulation</t>
        </is>
      </c>
      <c r="C378" t="inlineStr">
        <is>
          <t>baking powder exceeds 5% of flour; possible quantity error; milk requires identity/specification; nutmeg exceeds 2% of flour; probable source or cell-association error, do not produce from this record; method, portion, losses and actual successful trial record not established by spreadsheet quantities alone</t>
        </is>
      </c>
      <c r="D378" t="inlineStr">
        <is>
          <t>Use selected working alternative or resolve and run a controlled pilot</t>
        </is>
      </c>
    </row>
    <row r="379">
      <c r="A379" t="inlineStr">
        <is>
          <t>L241</t>
        </is>
      </c>
      <c r="B379" t="inlineStr">
        <is>
          <t>Source formulation</t>
        </is>
      </c>
      <c r="C379" t="inlineStr">
        <is>
          <t>milk requires identity/specification; method, portion, losses and actual successful trial record not established by spreadsheet quantities alone</t>
        </is>
      </c>
      <c r="D379" t="inlineStr">
        <is>
          <t>Use selected working alternative or resolve and run a controlled pilot</t>
        </is>
      </c>
    </row>
    <row r="380">
      <c r="A380" t="inlineStr">
        <is>
          <t>L242</t>
        </is>
      </c>
      <c r="B380" t="inlineStr">
        <is>
          <t>Source formulation</t>
        </is>
      </c>
      <c r="C380" t="inlineStr">
        <is>
          <t>milk requires identity/specification; low listed water; identify other liquid contributions before mixing; method, portion, losses and actual successful trial record not established by spreadsheet quantities alone</t>
        </is>
      </c>
      <c r="D380" t="inlineStr">
        <is>
          <t>Use selected working alternative or resolve and run a controlled pilot</t>
        </is>
      </c>
    </row>
    <row r="381">
      <c r="A381" t="inlineStr">
        <is>
          <t>L243</t>
        </is>
      </c>
      <c r="B381" t="inlineStr">
        <is>
          <t>Source formulation</t>
        </is>
      </c>
      <c r="C381" t="inlineStr">
        <is>
          <t>milk requires identity/specification; separate recipe oil, retained frying oil and fryer charge; current source mass is not edible yield; method, portion, losses and actual successful trial record not established by spreadsheet quantities alone</t>
        </is>
      </c>
      <c r="D381" t="inlineStr">
        <is>
          <t>Use selected working alternative or resolve and run a controlled pilot</t>
        </is>
      </c>
    </row>
    <row r="382">
      <c r="A382" t="inlineStr">
        <is>
          <t>L244</t>
        </is>
      </c>
      <c r="B382" t="inlineStr">
        <is>
          <t>Source formulation</t>
        </is>
      </c>
      <c r="C382"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382" t="inlineStr">
        <is>
          <t>Use selected working alternative or resolve and run a controlled pilot</t>
        </is>
      </c>
    </row>
    <row r="383">
      <c r="A383" t="inlineStr">
        <is>
          <t>L245</t>
        </is>
      </c>
      <c r="B383" t="inlineStr">
        <is>
          <t>Source formulation</t>
        </is>
      </c>
      <c r="C383" t="inlineStr">
        <is>
          <t>milk requires identity/specification; stock yoghort requires identity/specification; method, portion, losses and actual successful trial record not established by spreadsheet quantities alone</t>
        </is>
      </c>
      <c r="D383" t="inlineStr">
        <is>
          <t>Use selected working alternative or resolve and run a controlled pilot</t>
        </is>
      </c>
    </row>
    <row r="384">
      <c r="A384" t="inlineStr">
        <is>
          <t>L246</t>
        </is>
      </c>
      <c r="B384" t="inlineStr">
        <is>
          <t>Source formulation</t>
        </is>
      </c>
      <c r="C384" t="inlineStr">
        <is>
          <t>milk requires identity/specification; method, portion, losses and actual successful trial record not established by spreadsheet quantities alone</t>
        </is>
      </c>
      <c r="D384" t="inlineStr">
        <is>
          <t>Use selected working alternative or resolve and run a controlled pilot</t>
        </is>
      </c>
    </row>
    <row r="385">
      <c r="A385" t="inlineStr">
        <is>
          <t>L247</t>
        </is>
      </c>
      <c r="B385" t="inlineStr">
        <is>
          <t>Source formulation</t>
        </is>
      </c>
      <c r="C385" t="inlineStr">
        <is>
          <t>milk requires identity/specification; separate recipe oil, retained frying oil and fryer charge; current source mass is not edible yield; method, portion, losses and actual successful trial record not established by spreadsheet quantities alone</t>
        </is>
      </c>
      <c r="D385" t="inlineStr">
        <is>
          <t>Use selected working alternative or resolve and run a controlled pilot</t>
        </is>
      </c>
    </row>
    <row r="386">
      <c r="A386" t="inlineStr">
        <is>
          <t>L248</t>
        </is>
      </c>
      <c r="B386" t="inlineStr">
        <is>
          <t>Source formulation</t>
        </is>
      </c>
      <c r="C386" t="inlineStr">
        <is>
          <t>milk requires identity/specification; separate recipe oil, retained frying oil and fryer charge; current source mass is not edible yield; method, portion, losses and actual successful trial record not established by spreadsheet quantities alone</t>
        </is>
      </c>
      <c r="D386" t="inlineStr">
        <is>
          <t>Use selected working alternative or resolve and run a controlled pilot</t>
        </is>
      </c>
    </row>
    <row r="387">
      <c r="A387" t="inlineStr">
        <is>
          <t>L249</t>
        </is>
      </c>
      <c r="B387" t="inlineStr">
        <is>
          <t>Source formulation</t>
        </is>
      </c>
      <c r="C387" t="inlineStr">
        <is>
          <t>milk requires identity/specification; nutmeg exceeds 2% of flour; probable source or cell-association error, do not produce from this record; method, portion, losses and actual successful trial record not established by spreadsheet quantities alone</t>
        </is>
      </c>
      <c r="D387" t="inlineStr">
        <is>
          <t>Use selected working alternative or resolve and run a controlled pilot</t>
        </is>
      </c>
    </row>
    <row r="388">
      <c r="A388" t="inlineStr">
        <is>
          <t>L250</t>
        </is>
      </c>
      <c r="B388" t="inlineStr">
        <is>
          <t>Source formulation</t>
        </is>
      </c>
      <c r="C388" t="inlineStr">
        <is>
          <t>method, portion, losses and actual successful trial record not established by spreadsheet quantities alone</t>
        </is>
      </c>
      <c r="D388" t="inlineStr">
        <is>
          <t>Use selected working alternative or resolve and run a controlled pilot</t>
        </is>
      </c>
    </row>
    <row r="389">
      <c r="A389" t="inlineStr">
        <is>
          <t>L251</t>
        </is>
      </c>
      <c r="B389" t="inlineStr">
        <is>
          <t>Source formulation</t>
        </is>
      </c>
      <c r="C389" t="inlineStr">
        <is>
          <t>milk requires identity/specification; separate recipe oil, retained frying oil and fryer charge; current source mass is not edible yield; low listed water; identify other liquid contributions before mixing; method, portion, losses and actual successful trial record not established by spreadsheet quantities alone</t>
        </is>
      </c>
      <c r="D389" t="inlineStr">
        <is>
          <t>Use selected working alternative or resolve and run a controlled pilot</t>
        </is>
      </c>
    </row>
    <row r="390">
      <c r="A390" t="inlineStr">
        <is>
          <t>L252</t>
        </is>
      </c>
      <c r="B390" t="inlineStr">
        <is>
          <t>Source formulation</t>
        </is>
      </c>
      <c r="C390" t="inlineStr">
        <is>
          <t>milk requires identity/specification; stock yoghort requires identity/specification; method, portion, losses and actual successful trial record not established by spreadsheet quantities alone</t>
        </is>
      </c>
      <c r="D390" t="inlineStr">
        <is>
          <t>Use selected working alternative or resolve and run a controlled pilot</t>
        </is>
      </c>
    </row>
    <row r="391">
      <c r="A391" t="inlineStr">
        <is>
          <t>L253</t>
        </is>
      </c>
      <c r="B391" t="inlineStr">
        <is>
          <t>Source formulation</t>
        </is>
      </c>
      <c r="C391" t="inlineStr">
        <is>
          <t>milk requires identity/specification; method, portion, losses and actual successful trial record not established by spreadsheet quantities alone</t>
        </is>
      </c>
      <c r="D391" t="inlineStr">
        <is>
          <t>Use selected working alternative or resolve and run a controlled pilot</t>
        </is>
      </c>
    </row>
    <row r="392">
      <c r="A392" t="inlineStr">
        <is>
          <t>L254</t>
        </is>
      </c>
      <c r="B392" t="inlineStr">
        <is>
          <t>Source formulation</t>
        </is>
      </c>
      <c r="C392" t="inlineStr">
        <is>
          <t>milk requires identity/specification; method, portion, losses and actual successful trial record not established by spreadsheet quantities alone</t>
        </is>
      </c>
      <c r="D392" t="inlineStr">
        <is>
          <t>Use selected working alternative or resolve and run a controlled pilot</t>
        </is>
      </c>
    </row>
    <row r="393">
      <c r="A393" t="inlineStr">
        <is>
          <t>R001</t>
        </is>
      </c>
      <c r="B393" t="inlineStr">
        <is>
          <t>Research normalization</t>
        </is>
      </c>
      <c r="C393" t="inlineStr">
        <is>
          <t>Household cup/spoon/egg measures and cream composition need weighing. Frozen-base treatment, post-process additions and storage require commercial qualification; do not inherit domestic shelf-life or nutritional claims.</t>
        </is>
      </c>
      <c r="D393" t="inlineStr">
        <is>
          <t>Verify source, specify ingredients and process, normalize, cost and trial before release</t>
        </is>
      </c>
    </row>
    <row r="394">
      <c r="A394" t="inlineStr">
        <is>
          <t>R002</t>
        </is>
      </c>
      <c r="B394" t="inlineStr">
        <is>
          <t>Research normalization</t>
        </is>
      </c>
      <c r="C394" t="inlineStr">
        <is>
          <t>Household cup/spoon/egg measures and cream composition need weighing. Frozen-base treatment, post-process additions and storage require commercial qualification; do not inherit domestic shelf-life or nutritional claims.</t>
        </is>
      </c>
      <c r="D394" t="inlineStr">
        <is>
          <t>Verify source, specify ingredients and process, normalize, cost and trial before release</t>
        </is>
      </c>
    </row>
    <row r="395">
      <c r="A395" t="inlineStr">
        <is>
          <t>R003</t>
        </is>
      </c>
      <c r="B395" t="inlineStr">
        <is>
          <t>Research normalization</t>
        </is>
      </c>
      <c r="C395" t="inlineStr">
        <is>
          <t>Household cup/spoon/egg measures and cream composition need weighing. Frozen-base treatment, post-process additions and storage require commercial qualification; do not inherit domestic shelf-life or nutritional claims.</t>
        </is>
      </c>
      <c r="D395" t="inlineStr">
        <is>
          <t>Verify source, specify ingredients and process, normalize, cost and trial before release</t>
        </is>
      </c>
    </row>
    <row r="396">
      <c r="A396" t="inlineStr">
        <is>
          <t>R004</t>
        </is>
      </c>
      <c r="B396" t="inlineStr">
        <is>
          <t>Research normalization</t>
        </is>
      </c>
      <c r="C396" t="inlineStr">
        <is>
          <t>Household cup/spoon/egg measures and cream composition need weighing. Frozen-base treatment, post-process additions and storage require commercial qualification; do not inherit domestic shelf-life or nutritional claims.</t>
        </is>
      </c>
      <c r="D396" t="inlineStr">
        <is>
          <t>Verify source, specify ingredients and process, normalize, cost and trial before release</t>
        </is>
      </c>
    </row>
    <row r="397">
      <c r="A397" t="inlineStr">
        <is>
          <t>R005</t>
        </is>
      </c>
      <c r="B397" t="inlineStr">
        <is>
          <t>Research normalization</t>
        </is>
      </c>
      <c r="C397" t="inlineStr">
        <is>
          <t>Household cup/spoon/egg measures and cream composition need weighing. Frozen-base treatment, post-process additions and storage require commercial qualification; do not inherit domestic shelf-life or nutritional claims.</t>
        </is>
      </c>
      <c r="D397" t="inlineStr">
        <is>
          <t>Verify source, specify ingredients and process, normalize, cost and trial before release</t>
        </is>
      </c>
    </row>
    <row r="398">
      <c r="A398" t="inlineStr">
        <is>
          <t>R006</t>
        </is>
      </c>
      <c r="B398" t="inlineStr">
        <is>
          <t>Research normalization</t>
        </is>
      </c>
      <c r="C398" t="inlineStr">
        <is>
          <t>Household cup/spoon/egg measures and cream composition need weighing. Frozen-base treatment, post-process additions and storage require commercial qualification; do not inherit domestic shelf-life or nutritional claims.</t>
        </is>
      </c>
      <c r="D398" t="inlineStr">
        <is>
          <t>Verify source, specify ingredients and process, normalize, cost and trial before release</t>
        </is>
      </c>
    </row>
    <row r="399">
      <c r="A399" t="inlineStr">
        <is>
          <t>R007</t>
        </is>
      </c>
      <c r="B399" t="inlineStr">
        <is>
          <t>Research normalization</t>
        </is>
      </c>
      <c r="C399" t="inlineStr">
        <is>
          <t>Household cup/spoon/egg measures and cream composition need weighing. Frozen-base treatment, post-process additions and storage require commercial qualification; do not inherit domestic shelf-life or nutritional claims.</t>
        </is>
      </c>
      <c r="D399" t="inlineStr">
        <is>
          <t>Verify source, specify ingredients and process, normalize, cost and trial before release</t>
        </is>
      </c>
    </row>
    <row r="400">
      <c r="A400" t="inlineStr">
        <is>
          <t>R008</t>
        </is>
      </c>
      <c r="B400" t="inlineStr">
        <is>
          <t>Research normalization</t>
        </is>
      </c>
      <c r="C400" t="inlineStr">
        <is>
          <t>Household cup/spoon/egg measures and cream composition need weighing. Frozen-base treatment, post-process additions and storage require commercial qualification; do not inherit domestic shelf-life or nutritional claims.</t>
        </is>
      </c>
      <c r="D400" t="inlineStr">
        <is>
          <t>Verify source, specify ingredients and process, normalize, cost and trial before release</t>
        </is>
      </c>
    </row>
    <row r="401">
      <c r="A401" t="inlineStr">
        <is>
          <t>R009</t>
        </is>
      </c>
      <c r="B401" t="inlineStr">
        <is>
          <t>Research normalization</t>
        </is>
      </c>
      <c r="C401" t="inlineStr">
        <is>
          <t>Household cup/spoon/egg measures and cream composition need weighing. Frozen-base treatment, post-process additions and storage require commercial qualification; do not inherit domestic shelf-life or nutritional claims.</t>
        </is>
      </c>
      <c r="D401" t="inlineStr">
        <is>
          <t>Verify source, specify ingredients and process, normalize, cost and trial before release</t>
        </is>
      </c>
    </row>
    <row r="402">
      <c r="A402" t="inlineStr">
        <is>
          <t>R010</t>
        </is>
      </c>
      <c r="B402" t="inlineStr">
        <is>
          <t>Research normalization</t>
        </is>
      </c>
      <c r="C402" t="inlineStr">
        <is>
          <t>Household cup/spoon/egg measures and cream composition need weighing. Frozen-base treatment, post-process additions and storage require commercial qualification; do not inherit domestic shelf-life or nutritional claims.</t>
        </is>
      </c>
      <c r="D402" t="inlineStr">
        <is>
          <t>Verify source, specify ingredients and process, normalize, cost and trial before release</t>
        </is>
      </c>
    </row>
    <row r="403">
      <c r="A403" t="inlineStr">
        <is>
          <t>R011</t>
        </is>
      </c>
      <c r="B403" t="inlineStr">
        <is>
          <t>Research normalization</t>
        </is>
      </c>
      <c r="C403" t="inlineStr">
        <is>
          <t>Household cup/spoon/egg measures and cream composition need weighing. Frozen-base treatment, post-process additions and storage require commercial qualification; do not inherit domestic shelf-life or nutritional claims.</t>
        </is>
      </c>
      <c r="D403" t="inlineStr">
        <is>
          <t>Verify source, specify ingredients and process, normalize, cost and trial before release</t>
        </is>
      </c>
    </row>
    <row r="404">
      <c r="A404" t="inlineStr">
        <is>
          <t>R012</t>
        </is>
      </c>
      <c r="B404" t="inlineStr">
        <is>
          <t>Research normalization</t>
        </is>
      </c>
      <c r="C404" t="inlineStr">
        <is>
          <t>Household cup/spoon/egg measures and cream composition need weighing. Frozen-base treatment, post-process additions and storage require commercial qualification; do not inherit domestic shelf-life or nutritional claims.</t>
        </is>
      </c>
      <c r="D404" t="inlineStr">
        <is>
          <t>Verify source, specify ingredients and process, normalize, cost and trial before release</t>
        </is>
      </c>
    </row>
    <row r="405">
      <c r="A405" t="inlineStr">
        <is>
          <t>R013</t>
        </is>
      </c>
      <c r="B405" t="inlineStr">
        <is>
          <t>Research normalization</t>
        </is>
      </c>
      <c r="C405" t="inlineStr">
        <is>
          <t>Household cup/spoon/egg measures and cream composition need weighing. Frozen-base treatment, post-process additions and storage require commercial qualification; do not inherit domestic shelf-life or nutritional claims.</t>
        </is>
      </c>
      <c r="D405" t="inlineStr">
        <is>
          <t>Verify source, specify ingredients and process, normalize, cost and trial before release</t>
        </is>
      </c>
    </row>
    <row r="406">
      <c r="A406" t="inlineStr">
        <is>
          <t>R014</t>
        </is>
      </c>
      <c r="B406" t="inlineStr">
        <is>
          <t>Research normalization</t>
        </is>
      </c>
      <c r="C406" t="inlineStr">
        <is>
          <t>Household cup/spoon/egg measures and cream composition need weighing. Frozen-base treatment, post-process additions and storage require commercial qualification; do not inherit domestic shelf-life or nutritional claims.</t>
        </is>
      </c>
      <c r="D406" t="inlineStr">
        <is>
          <t>Verify source, specify ingredients and process, normalize, cost and trial before release</t>
        </is>
      </c>
    </row>
    <row r="407">
      <c r="A407" t="inlineStr">
        <is>
          <t>R015</t>
        </is>
      </c>
      <c r="B407" t="inlineStr">
        <is>
          <t>Research normalization</t>
        </is>
      </c>
      <c r="C407" t="inlineStr">
        <is>
          <t>Household cup/spoon/egg measures and cream composition need weighing. Frozen-base treatment, post-process additions and storage require commercial qualification; do not inherit domestic shelf-life or nutritional claims.</t>
        </is>
      </c>
      <c r="D407" t="inlineStr">
        <is>
          <t>Verify source, specify ingredients and process, normalize, cost and trial before release</t>
        </is>
      </c>
    </row>
    <row r="408">
      <c r="A408" t="inlineStr">
        <is>
          <t>R016</t>
        </is>
      </c>
      <c r="B408" t="inlineStr">
        <is>
          <t>Research normalization</t>
        </is>
      </c>
      <c r="C408" t="inlineStr">
        <is>
          <t>Household cup/spoon/egg measures and cream composition need weighing. Frozen-base treatment, post-process additions and storage require commercial qualification; do not inherit domestic shelf-life or nutritional claims.</t>
        </is>
      </c>
      <c r="D408" t="inlineStr">
        <is>
          <t>Verify source, specify ingredients and process, normalize, cost and trial before release</t>
        </is>
      </c>
    </row>
    <row r="409">
      <c r="A409" t="inlineStr">
        <is>
          <t>R017</t>
        </is>
      </c>
      <c r="B409" t="inlineStr">
        <is>
          <t>Research normalization</t>
        </is>
      </c>
      <c r="C409" t="inlineStr">
        <is>
          <t>Household cup/spoon/egg measures and cream composition need weighing. Frozen-base treatment, post-process additions and storage require commercial qualification; do not inherit domestic shelf-life or nutritional claims.</t>
        </is>
      </c>
      <c r="D409" t="inlineStr">
        <is>
          <t>Verify source, specify ingredients and process, normalize, cost and trial before release</t>
        </is>
      </c>
    </row>
    <row r="410">
      <c r="A410" t="inlineStr">
        <is>
          <t>R018</t>
        </is>
      </c>
      <c r="B410" t="inlineStr">
        <is>
          <t>Research normalization</t>
        </is>
      </c>
      <c r="C410" t="inlineStr">
        <is>
          <t>Household cup/spoon/egg measures and cream composition need weighing. Frozen-base treatment, post-process additions and storage require commercial qualification; do not inherit domestic shelf-life or nutritional claims.</t>
        </is>
      </c>
      <c r="D410" t="inlineStr">
        <is>
          <t>Verify source, specify ingredients and process, normalize, cost and trial before release</t>
        </is>
      </c>
    </row>
    <row r="411">
      <c r="A411" t="inlineStr">
        <is>
          <t>R019</t>
        </is>
      </c>
      <c r="B411" t="inlineStr">
        <is>
          <t>Research normalization</t>
        </is>
      </c>
      <c r="C411" t="inlineStr">
        <is>
          <t>Household cup/spoon/egg measures and cream composition need weighing. Frozen-base treatment, post-process additions and storage require commercial qualification; do not inherit domestic shelf-life or nutritional claims.</t>
        </is>
      </c>
      <c r="D411" t="inlineStr">
        <is>
          <t>Verify source, specify ingredients and process, normalize, cost and trial before release</t>
        </is>
      </c>
    </row>
    <row r="412">
      <c r="A412" t="inlineStr">
        <is>
          <t>R020</t>
        </is>
      </c>
      <c r="B412" t="inlineStr">
        <is>
          <t>Research normalization</t>
        </is>
      </c>
      <c r="C412" t="inlineStr">
        <is>
          <t>Household cup/spoon/egg measures and cream composition need weighing. Frozen-base treatment, post-process additions and storage require commercial qualification; do not inherit domestic shelf-life or nutritional claims.</t>
        </is>
      </c>
      <c r="D412" t="inlineStr">
        <is>
          <t>Verify source, specify ingredients and process, normalize, cost and trial before release</t>
        </is>
      </c>
    </row>
    <row r="413">
      <c r="A413" t="inlineStr">
        <is>
          <t>R021</t>
        </is>
      </c>
      <c r="B413" t="inlineStr">
        <is>
          <t>Research normalization</t>
        </is>
      </c>
      <c r="C413" t="inlineStr">
        <is>
          <t>Household cup/spoon/egg measures and cream composition need weighing. Frozen-base treatment, post-process additions and storage require commercial qualification; do not inherit domestic shelf-life or nutritional claims.</t>
        </is>
      </c>
      <c r="D413" t="inlineStr">
        <is>
          <t>Verify source, specify ingredients and process, normalize, cost and trial before release</t>
        </is>
      </c>
    </row>
    <row r="414">
      <c r="A414" t="inlineStr">
        <is>
          <t>R022</t>
        </is>
      </c>
      <c r="B414" t="inlineStr">
        <is>
          <t>Research normalization</t>
        </is>
      </c>
      <c r="C414" t="inlineStr">
        <is>
          <t>Household cup/spoon/egg measures and cream composition need weighing. Frozen-base treatment, post-process additions and storage require commercial qualification; do not inherit domestic shelf-life or nutritional claims.</t>
        </is>
      </c>
      <c r="D414" t="inlineStr">
        <is>
          <t>Verify source, specify ingredients and process, normalize, cost and trial before release</t>
        </is>
      </c>
    </row>
    <row r="415">
      <c r="A415" t="inlineStr">
        <is>
          <t>R023</t>
        </is>
      </c>
      <c r="B415" t="inlineStr">
        <is>
          <t>Research normalization</t>
        </is>
      </c>
      <c r="C415" t="inlineStr">
        <is>
          <t>Household cup/spoon/egg measures and cream composition need weighing. Frozen-base treatment, post-process additions and storage require commercial qualification; do not inherit domestic shelf-life or nutritional claims.</t>
        </is>
      </c>
      <c r="D415" t="inlineStr">
        <is>
          <t>Verify source, specify ingredients and process, normalize, cost and trial before release</t>
        </is>
      </c>
    </row>
    <row r="416">
      <c r="A416" t="inlineStr">
        <is>
          <t>R024</t>
        </is>
      </c>
      <c r="B416" t="inlineStr">
        <is>
          <t>Research normalization</t>
        </is>
      </c>
      <c r="C416" t="inlineStr">
        <is>
          <t>Household cup/spoon/egg measures and cream composition need weighing. Frozen-base treatment, post-process additions and storage require commercial qualification; do not inherit domestic shelf-life or nutritional claims.</t>
        </is>
      </c>
      <c r="D416" t="inlineStr">
        <is>
          <t>Verify source, specify ingredients and process, normalize, cost and trial before release</t>
        </is>
      </c>
    </row>
    <row r="417">
      <c r="A417" t="inlineStr">
        <is>
          <t>R025</t>
        </is>
      </c>
      <c r="B417" t="inlineStr">
        <is>
          <t>Research normalization</t>
        </is>
      </c>
      <c r="C417" t="inlineStr">
        <is>
          <t>Household cup/spoon/egg measures and cream composition need weighing. Frozen-base treatment, post-process additions and storage require commercial qualification; do not inherit domestic shelf-life or nutritional claims.</t>
        </is>
      </c>
      <c r="D417" t="inlineStr">
        <is>
          <t>Verify source, specify ingredients and process, normalize, cost and trial before release</t>
        </is>
      </c>
    </row>
    <row r="418">
      <c r="A418" t="inlineStr">
        <is>
          <t>R026</t>
        </is>
      </c>
      <c r="B418" t="inlineStr">
        <is>
          <t>Research normalization</t>
        </is>
      </c>
      <c r="C418" t="inlineStr">
        <is>
          <t>Household cup/spoon/egg measures and cream composition need weighing. Frozen-base treatment, post-process additions and storage require commercial qualification; do not inherit domestic shelf-life or nutritional claims.</t>
        </is>
      </c>
      <c r="D418" t="inlineStr">
        <is>
          <t>Verify source, specify ingredients and process, normalize, cost and trial before release</t>
        </is>
      </c>
    </row>
    <row r="419">
      <c r="A419" t="inlineStr">
        <is>
          <t>R027</t>
        </is>
      </c>
      <c r="B419" t="inlineStr">
        <is>
          <t>Research normalization</t>
        </is>
      </c>
      <c r="C419" t="inlineStr">
        <is>
          <t>Household cup/spoon/egg measures and cream composition need weighing. Frozen-base treatment, post-process additions and storage require commercial qualification; do not inherit domestic shelf-life or nutritional claims.</t>
        </is>
      </c>
      <c r="D419" t="inlineStr">
        <is>
          <t>Verify source, specify ingredients and process, normalize, cost and trial before release</t>
        </is>
      </c>
    </row>
    <row r="420">
      <c r="A420" t="inlineStr">
        <is>
          <t>R028</t>
        </is>
      </c>
      <c r="B420" t="inlineStr">
        <is>
          <t>Research normalization</t>
        </is>
      </c>
      <c r="C420" t="inlineStr">
        <is>
          <t>Household cup/spoon/egg measures and cream composition need weighing. Frozen-base treatment, post-process additions and storage require commercial qualification; do not inherit domestic shelf-life or nutritional claims.</t>
        </is>
      </c>
      <c r="D420" t="inlineStr">
        <is>
          <t>Verify source, specify ingredients and process, normalize, cost and trial before release</t>
        </is>
      </c>
    </row>
    <row r="421">
      <c r="A421" t="inlineStr">
        <is>
          <t>R029</t>
        </is>
      </c>
      <c r="B421" t="inlineStr">
        <is>
          <t>Research normalization</t>
        </is>
      </c>
      <c r="C421" t="inlineStr">
        <is>
          <t>Household cup/spoon/egg measures and cream composition need weighing. Frozen-base treatment, post-process additions and storage require commercial qualification; do not inherit domestic shelf-life or nutritional claims.</t>
        </is>
      </c>
      <c r="D421" t="inlineStr">
        <is>
          <t>Verify source, specify ingredients and process, normalize, cost and trial before release</t>
        </is>
      </c>
    </row>
    <row r="422">
      <c r="A422" t="inlineStr">
        <is>
          <t>R030</t>
        </is>
      </c>
      <c r="B422" t="inlineStr">
        <is>
          <t>Research normalization</t>
        </is>
      </c>
      <c r="C422" t="inlineStr">
        <is>
          <t>Household cup/spoon/egg measures and cream composition need weighing. Frozen-base treatment, post-process additions and storage require commercial qualification; do not inherit domestic shelf-life or nutritional claims.</t>
        </is>
      </c>
      <c r="D422" t="inlineStr">
        <is>
          <t>Verify source, specify ingredients and process, normalize, cost and trial before release</t>
        </is>
      </c>
    </row>
    <row r="423">
      <c r="A423" t="inlineStr">
        <is>
          <t>R031</t>
        </is>
      </c>
      <c r="B423" t="inlineStr">
        <is>
          <t>Research normalization</t>
        </is>
      </c>
      <c r="C423" t="inlineStr">
        <is>
          <t>Household cup/spoon/egg measures and cream composition need weighing. Frozen-base treatment, post-process additions and storage require commercial qualification; do not inherit domestic shelf-life or nutritional claims.</t>
        </is>
      </c>
      <c r="D423" t="inlineStr">
        <is>
          <t>Verify source, specify ingredients and process, normalize, cost and trial before release</t>
        </is>
      </c>
    </row>
    <row r="424">
      <c r="A424" t="inlineStr">
        <is>
          <t>R032</t>
        </is>
      </c>
      <c r="B424" t="inlineStr">
        <is>
          <t>Research normalization</t>
        </is>
      </c>
      <c r="C424" t="inlineStr">
        <is>
          <t>Household cup/spoon/egg measures and cream composition need weighing. Frozen-base treatment, post-process additions and storage require commercial qualification; do not inherit domestic shelf-life or nutritional claims.</t>
        </is>
      </c>
      <c r="D424" t="inlineStr">
        <is>
          <t>Verify source, specify ingredients and process, normalize, cost and trial before release</t>
        </is>
      </c>
    </row>
    <row r="425">
      <c r="A425" t="inlineStr">
        <is>
          <t>R033</t>
        </is>
      </c>
      <c r="B425" t="inlineStr">
        <is>
          <t>Research normalization</t>
        </is>
      </c>
      <c r="C425" t="inlineStr">
        <is>
          <t>Household cup/spoon/egg measures and cream composition need weighing. Frozen-base treatment, post-process additions and storage require commercial qualification; do not inherit domestic shelf-life or nutritional claims.</t>
        </is>
      </c>
      <c r="D425" t="inlineStr">
        <is>
          <t>Verify source, specify ingredients and process, normalize, cost and trial before release</t>
        </is>
      </c>
    </row>
    <row r="426">
      <c r="A426" t="inlineStr">
        <is>
          <t>R034</t>
        </is>
      </c>
      <c r="B426" t="inlineStr">
        <is>
          <t>Research normalization</t>
        </is>
      </c>
      <c r="C426" t="inlineStr">
        <is>
          <t>Household cup/spoon/egg measures and cream composition need weighing. Frozen-base treatment, post-process additions and storage require commercial qualification; do not inherit domestic shelf-life or nutritional claims.</t>
        </is>
      </c>
      <c r="D426" t="inlineStr">
        <is>
          <t>Verify source, specify ingredients and process, normalize, cost and trial before release</t>
        </is>
      </c>
    </row>
    <row r="427">
      <c r="A427" t="inlineStr">
        <is>
          <t>R035</t>
        </is>
      </c>
      <c r="B427" t="inlineStr">
        <is>
          <t>Research normalization</t>
        </is>
      </c>
      <c r="C427" t="inlineStr">
        <is>
          <t>Household cup/spoon/egg measures and cream composition need weighing. Frozen-base treatment, post-process additions and storage require commercial qualification; do not inherit domestic shelf-life or nutritional claims.</t>
        </is>
      </c>
      <c r="D427" t="inlineStr">
        <is>
          <t>Verify source, specify ingredients and process, normalize, cost and trial before release</t>
        </is>
      </c>
    </row>
    <row r="428">
      <c r="A428" t="inlineStr">
        <is>
          <t>R036</t>
        </is>
      </c>
      <c r="B428" t="inlineStr">
        <is>
          <t>Research normalization</t>
        </is>
      </c>
      <c r="C428" t="inlineStr">
        <is>
          <t>Household cup/spoon/egg measures and cream composition need weighing. Frozen-base treatment, post-process additions and storage require commercial qualification; do not inherit domestic shelf-life or nutritional claims.</t>
        </is>
      </c>
      <c r="D428" t="inlineStr">
        <is>
          <t>Verify source, specify ingredients and process, normalize, cost and trial before release</t>
        </is>
      </c>
    </row>
    <row r="429">
      <c r="A429" t="inlineStr">
        <is>
          <t>R037</t>
        </is>
      </c>
      <c r="B429" t="inlineStr">
        <is>
          <t>Research normalization</t>
        </is>
      </c>
      <c r="C429" t="inlineStr">
        <is>
          <t>Household cup/spoon/egg measures and cream composition need weighing. Frozen-base treatment, post-process additions and storage require commercial qualification; do not inherit domestic shelf-life or nutritional claims.</t>
        </is>
      </c>
      <c r="D429" t="inlineStr">
        <is>
          <t>Verify source, specify ingredients and process, normalize, cost and trial before release</t>
        </is>
      </c>
    </row>
    <row r="430">
      <c r="A430" t="inlineStr">
        <is>
          <t>R038</t>
        </is>
      </c>
      <c r="B430" t="inlineStr">
        <is>
          <t>Research normalization</t>
        </is>
      </c>
      <c r="C430" t="inlineStr">
        <is>
          <t>Household cup/spoon/egg measures and cream composition need weighing. Frozen-base treatment, post-process additions and storage require commercial qualification; do not inherit domestic shelf-life or nutritional claims.</t>
        </is>
      </c>
      <c r="D430" t="inlineStr">
        <is>
          <t>Verify source, specify ingredients and process, normalize, cost and trial before release</t>
        </is>
      </c>
    </row>
    <row r="431">
      <c r="A431" t="inlineStr">
        <is>
          <t>R039</t>
        </is>
      </c>
      <c r="B431" t="inlineStr">
        <is>
          <t>Research normalization</t>
        </is>
      </c>
      <c r="C431" t="inlineStr">
        <is>
          <t>Household cup/spoon/egg measures and cream composition need weighing. Frozen-base treatment, post-process additions and storage require commercial qualification; do not inherit domestic shelf-life or nutritional claims.</t>
        </is>
      </c>
      <c r="D431" t="inlineStr">
        <is>
          <t>Verify source, specify ingredients and process, normalize, cost and trial before release</t>
        </is>
      </c>
    </row>
    <row r="432">
      <c r="A432" t="inlineStr">
        <is>
          <t>R040</t>
        </is>
      </c>
      <c r="B432" t="inlineStr">
        <is>
          <t>Research normalization</t>
        </is>
      </c>
      <c r="C432" t="inlineStr">
        <is>
          <t>Household cup/spoon/egg measures and cream composition need weighing. Frozen-base treatment, post-process additions and storage require commercial qualification; do not inherit domestic shelf-life or nutritional claims.</t>
        </is>
      </c>
      <c r="D432" t="inlineStr">
        <is>
          <t>Verify source, specify ingredients and process, normalize, cost and trial before release</t>
        </is>
      </c>
    </row>
    <row r="433">
      <c r="A433" t="inlineStr">
        <is>
          <t>R041</t>
        </is>
      </c>
      <c r="B433" t="inlineStr">
        <is>
          <t>Research normalization</t>
        </is>
      </c>
      <c r="C433" t="inlineStr">
        <is>
          <t>Household cup/spoon/egg measures and cream composition need weighing. Frozen-base treatment, post-process additions and storage require commercial qualification; do not inherit domestic shelf-life or nutritional claims.</t>
        </is>
      </c>
      <c r="D433" t="inlineStr">
        <is>
          <t>Verify source, specify ingredients and process, normalize, cost and trial before release</t>
        </is>
      </c>
    </row>
    <row r="434">
      <c r="A434" t="inlineStr">
        <is>
          <t>R042</t>
        </is>
      </c>
      <c r="B434" t="inlineStr">
        <is>
          <t>Research normalization</t>
        </is>
      </c>
      <c r="C434" t="inlineStr">
        <is>
          <t>Household cup/spoon/egg measures and cream composition need weighing. Frozen-base treatment, post-process additions and storage require commercial qualification; do not inherit domestic shelf-life or nutritional claims.</t>
        </is>
      </c>
      <c r="D434" t="inlineStr">
        <is>
          <t>Verify source, specify ingredients and process, normalize, cost and trial before release</t>
        </is>
      </c>
    </row>
    <row r="435">
      <c r="A435" t="inlineStr">
        <is>
          <t>R043</t>
        </is>
      </c>
      <c r="B435" t="inlineStr">
        <is>
          <t>Research normalization</t>
        </is>
      </c>
      <c r="C435" t="inlineStr">
        <is>
          <t>Household cup/spoon/egg measures and cream composition need weighing. Frozen-base treatment, post-process additions and storage require commercial qualification; do not inherit domestic shelf-life or nutritional claims.</t>
        </is>
      </c>
      <c r="D435" t="inlineStr">
        <is>
          <t>Verify source, specify ingredients and process, normalize, cost and trial before release</t>
        </is>
      </c>
    </row>
    <row r="436">
      <c r="A436" t="inlineStr">
        <is>
          <t>R044</t>
        </is>
      </c>
      <c r="B436" t="inlineStr">
        <is>
          <t>Research normalization</t>
        </is>
      </c>
      <c r="C436" t="inlineStr">
        <is>
          <t>Household cup/spoon/egg measures and cream composition need weighing. Frozen-base treatment, post-process additions and storage require commercial qualification; do not inherit domestic shelf-life or nutritional claims.</t>
        </is>
      </c>
      <c r="D436" t="inlineStr">
        <is>
          <t>Verify source, specify ingredients and process, normalize, cost and trial before release</t>
        </is>
      </c>
    </row>
    <row r="437">
      <c r="A437" t="inlineStr">
        <is>
          <t>R045</t>
        </is>
      </c>
      <c r="B437" t="inlineStr">
        <is>
          <t>Research normalization</t>
        </is>
      </c>
      <c r="C437" t="inlineStr">
        <is>
          <t>Household cup/spoon/egg measures and cream composition need weighing. Frozen-base treatment, post-process additions and storage require commercial qualification; do not inherit domestic shelf-life or nutritional claims.</t>
        </is>
      </c>
      <c r="D437" t="inlineStr">
        <is>
          <t>Verify source, specify ingredients and process, normalize, cost and trial before release</t>
        </is>
      </c>
    </row>
    <row r="438">
      <c r="A438" t="inlineStr">
        <is>
          <t>R046</t>
        </is>
      </c>
      <c r="B438" t="inlineStr">
        <is>
          <t>Research normalization</t>
        </is>
      </c>
      <c r="C438" t="inlineStr">
        <is>
          <t>Household cup/spoon/egg measures and cream composition need weighing. Frozen-base treatment, post-process additions and storage require commercial qualification; do not inherit domestic shelf-life or nutritional claims.</t>
        </is>
      </c>
      <c r="D438" t="inlineStr">
        <is>
          <t>Verify source, specify ingredients and process, normalize, cost and trial before release</t>
        </is>
      </c>
    </row>
    <row r="439">
      <c r="A439" t="inlineStr">
        <is>
          <t>R047</t>
        </is>
      </c>
      <c r="B439" t="inlineStr">
        <is>
          <t>Research normalization</t>
        </is>
      </c>
      <c r="C439" t="inlineStr">
        <is>
          <t>Household cup/spoon/egg measures and cream composition need weighing. Frozen-base treatment, post-process additions and storage require commercial qualification; do not inherit domestic shelf-life or nutritional claims.</t>
        </is>
      </c>
      <c r="D439" t="inlineStr">
        <is>
          <t>Verify source, specify ingredients and process, normalize, cost and trial before release</t>
        </is>
      </c>
    </row>
    <row r="440">
      <c r="A440" t="inlineStr">
        <is>
          <t>R048</t>
        </is>
      </c>
      <c r="B440" t="inlineStr">
        <is>
          <t>Research normalization</t>
        </is>
      </c>
      <c r="C440" t="inlineStr">
        <is>
          <t>Household cup/spoon/egg measures and cream composition need weighing. Frozen-base treatment, post-process additions and storage require commercial qualification; do not inherit domestic shelf-life or nutritional claims.</t>
        </is>
      </c>
      <c r="D440" t="inlineStr">
        <is>
          <t>Verify source, specify ingredients and process, normalize, cost and trial before release</t>
        </is>
      </c>
    </row>
    <row r="441">
      <c r="A441" t="inlineStr">
        <is>
          <t>R049</t>
        </is>
      </c>
      <c r="B441" t="inlineStr">
        <is>
          <t>Research normalization</t>
        </is>
      </c>
      <c r="C441" t="inlineStr">
        <is>
          <t>Household cup/spoon/egg measures and cream composition need weighing. Frozen-base treatment, post-process additions and storage require commercial qualification; do not inherit domestic shelf-life or nutritional claims.</t>
        </is>
      </c>
      <c r="D441" t="inlineStr">
        <is>
          <t>Verify source, specify ingredients and process, normalize, cost and trial before release</t>
        </is>
      </c>
    </row>
    <row r="442">
      <c r="A442" t="inlineStr">
        <is>
          <t>R050</t>
        </is>
      </c>
      <c r="B442" t="inlineStr">
        <is>
          <t>Research normalization</t>
        </is>
      </c>
      <c r="C442" t="inlineStr">
        <is>
          <t>Household cup/spoon/egg measures and cream composition need weighing. Frozen-base treatment, post-process additions and storage require commercial qualification; do not inherit domestic shelf-life or nutritional claims.</t>
        </is>
      </c>
      <c r="D442" t="inlineStr">
        <is>
          <t>Verify source, specify ingredients and process, normalize, cost and trial before release</t>
        </is>
      </c>
    </row>
    <row r="443">
      <c r="A443" t="inlineStr">
        <is>
          <t>R051</t>
        </is>
      </c>
      <c r="B443" t="inlineStr">
        <is>
          <t>Research normalization</t>
        </is>
      </c>
      <c r="C443" t="inlineStr">
        <is>
          <t>Household cup/spoon/egg measures and cream composition need weighing. Frozen-base treatment, post-process additions and storage require commercial qualification; do not inherit domestic shelf-life or nutritional claims.</t>
        </is>
      </c>
      <c r="D443" t="inlineStr">
        <is>
          <t>Verify source, specify ingredients and process, normalize, cost and trial before release</t>
        </is>
      </c>
    </row>
    <row r="444">
      <c r="A444" t="inlineStr">
        <is>
          <t>R052</t>
        </is>
      </c>
      <c r="B444" t="inlineStr">
        <is>
          <t>Research normalization</t>
        </is>
      </c>
      <c r="C444" t="inlineStr">
        <is>
          <t>Household cup/spoon/egg measures and cream composition need weighing. Frozen-base treatment, post-process additions and storage require commercial qualification; do not inherit domestic shelf-life or nutritional claims.</t>
        </is>
      </c>
      <c r="D444" t="inlineStr">
        <is>
          <t>Verify source, specify ingredients and process, normalize, cost and trial before release</t>
        </is>
      </c>
    </row>
    <row r="445">
      <c r="A445" t="inlineStr">
        <is>
          <t>R053</t>
        </is>
      </c>
      <c r="B445" t="inlineStr">
        <is>
          <t>Research normalization</t>
        </is>
      </c>
      <c r="C445" t="inlineStr">
        <is>
          <t>Household cup/spoon/egg measures and cream composition need weighing. Frozen-base treatment, post-process additions and storage require commercial qualification; do not inherit domestic shelf-life or nutritional claims.</t>
        </is>
      </c>
      <c r="D445" t="inlineStr">
        <is>
          <t>Verify source, specify ingredients and process, normalize, cost and trial before release</t>
        </is>
      </c>
    </row>
    <row r="446">
      <c r="A446" t="inlineStr">
        <is>
          <t>R054</t>
        </is>
      </c>
      <c r="B446" t="inlineStr">
        <is>
          <t>Research normalization</t>
        </is>
      </c>
      <c r="C446" t="inlineStr">
        <is>
          <t>Household cup/spoon/egg measures and cream composition need weighing. Frozen-base treatment, post-process additions and storage require commercial qualification; do not inherit domestic shelf-life or nutritional claims.</t>
        </is>
      </c>
      <c r="D446" t="inlineStr">
        <is>
          <t>Verify source, specify ingredients and process, normalize, cost and trial before release</t>
        </is>
      </c>
    </row>
    <row r="447">
      <c r="A447" t="inlineStr">
        <is>
          <t>R055</t>
        </is>
      </c>
      <c r="B447" t="inlineStr">
        <is>
          <t>Research normalization</t>
        </is>
      </c>
      <c r="C447" t="inlineStr">
        <is>
          <t>Household cup/spoon/egg measures and cream composition need weighing. Frozen-base treatment, post-process additions and storage require commercial qualification; do not inherit domestic shelf-life or nutritional claims.</t>
        </is>
      </c>
      <c r="D447" t="inlineStr">
        <is>
          <t>Verify source, specify ingredients and process, normalize, cost and trial before release</t>
        </is>
      </c>
    </row>
    <row r="448">
      <c r="A448" t="inlineStr">
        <is>
          <t>R056</t>
        </is>
      </c>
      <c r="B448" t="inlineStr">
        <is>
          <t>Research normalization</t>
        </is>
      </c>
      <c r="C448" t="inlineStr">
        <is>
          <t>Household cup/spoon/egg measures and cream composition need weighing. Frozen-base treatment, post-process additions and storage require commercial qualification; do not inherit domestic shelf-life or nutritional claims.</t>
        </is>
      </c>
      <c r="D448" t="inlineStr">
        <is>
          <t>Verify source, specify ingredients and process, normalize, cost and trial before release</t>
        </is>
      </c>
    </row>
    <row r="449">
      <c r="A449" t="inlineStr">
        <is>
          <t>R057</t>
        </is>
      </c>
      <c r="B449" t="inlineStr">
        <is>
          <t>Research normalization</t>
        </is>
      </c>
      <c r="C449" t="inlineStr">
        <is>
          <t>Household cup/spoon/egg measures and cream composition need weighing. Frozen-base treatment, post-process additions and storage require commercial qualification; do not inherit domestic shelf-life or nutritional claims.</t>
        </is>
      </c>
      <c r="D449" t="inlineStr">
        <is>
          <t>Verify source, specify ingredients and process, normalize, cost and trial before release</t>
        </is>
      </c>
    </row>
    <row r="450">
      <c r="A450" t="inlineStr">
        <is>
          <t>R058</t>
        </is>
      </c>
      <c r="B450" t="inlineStr">
        <is>
          <t>Research normalization</t>
        </is>
      </c>
      <c r="C450" t="inlineStr">
        <is>
          <t>Household cup/spoon/egg measures and cream composition need weighing. Frozen-base treatment, post-process additions and storage require commercial qualification; do not inherit domestic shelf-life or nutritional claims.</t>
        </is>
      </c>
      <c r="D450" t="inlineStr">
        <is>
          <t>Verify source, specify ingredients and process, normalize, cost and trial before release</t>
        </is>
      </c>
    </row>
    <row r="451">
      <c r="A451" t="inlineStr">
        <is>
          <t>R059</t>
        </is>
      </c>
      <c r="B451" t="inlineStr">
        <is>
          <t>Research normalization</t>
        </is>
      </c>
      <c r="C451" t="inlineStr">
        <is>
          <t>Household cup/spoon/egg measures and cream composition need weighing. Frozen-base treatment, post-process additions and storage require commercial qualification; do not inherit domestic shelf-life or nutritional claims.</t>
        </is>
      </c>
      <c r="D451" t="inlineStr">
        <is>
          <t>Verify source, specify ingredients and process, normalize, cost and trial before release</t>
        </is>
      </c>
    </row>
    <row r="452">
      <c r="A452" t="inlineStr">
        <is>
          <t>R060</t>
        </is>
      </c>
      <c r="B452" t="inlineStr">
        <is>
          <t>Research normalization</t>
        </is>
      </c>
      <c r="C452" t="inlineStr">
        <is>
          <t>Household cup/spoon/egg measures and cream composition need weighing. Frozen-base treatment, post-process additions and storage require commercial qualification; do not inherit domestic shelf-life or nutritional claims.</t>
        </is>
      </c>
      <c r="D452" t="inlineStr">
        <is>
          <t>Verify source, specify ingredients and process, normalize, cost and trial before release</t>
        </is>
      </c>
    </row>
    <row r="453">
      <c r="A453" t="inlineStr">
        <is>
          <t>R061</t>
        </is>
      </c>
      <c r="B453" t="inlineStr">
        <is>
          <t>Research normalization</t>
        </is>
      </c>
      <c r="C453" t="inlineStr">
        <is>
          <t>Household cup/spoon/egg measures and cream composition need weighing. Frozen-base treatment, post-process additions and storage require commercial qualification; do not inherit domestic shelf-life or nutritional claims.</t>
        </is>
      </c>
      <c r="D453" t="inlineStr">
        <is>
          <t>Verify source, specify ingredients and process, normalize, cost and trial before release</t>
        </is>
      </c>
    </row>
    <row r="454">
      <c r="A454" t="inlineStr">
        <is>
          <t>R062</t>
        </is>
      </c>
      <c r="B454" t="inlineStr">
        <is>
          <t>Research normalization</t>
        </is>
      </c>
      <c r="C454" t="inlineStr">
        <is>
          <t>Household cup/spoon/egg measures and cream composition need weighing. Frozen-base treatment, post-process additions and storage require commercial qualification; do not inherit domestic shelf-life or nutritional claims.</t>
        </is>
      </c>
      <c r="D454" t="inlineStr">
        <is>
          <t>Verify source, specify ingredients and process, normalize, cost and trial before release</t>
        </is>
      </c>
    </row>
    <row r="455">
      <c r="A455" t="inlineStr">
        <is>
          <t>R063</t>
        </is>
      </c>
      <c r="B455" t="inlineStr">
        <is>
          <t>Research normalization</t>
        </is>
      </c>
      <c r="C455" t="inlineStr">
        <is>
          <t>Household cup/spoon/egg measures and cream composition need weighing. Frozen-base treatment, post-process additions and storage require commercial qualification; do not inherit domestic shelf-life or nutritional claims.</t>
        </is>
      </c>
      <c r="D455" t="inlineStr">
        <is>
          <t>Verify source, specify ingredients and process, normalize, cost and trial before release</t>
        </is>
      </c>
    </row>
    <row r="456">
      <c r="A456" t="inlineStr">
        <is>
          <t>R064</t>
        </is>
      </c>
      <c r="B456" t="inlineStr">
        <is>
          <t>Research normalization</t>
        </is>
      </c>
      <c r="C456" t="inlineStr">
        <is>
          <t>Household cup/spoon/egg measures and cream composition need weighing. Frozen-base treatment, post-process additions and storage require commercial qualification; do not inherit domestic shelf-life or nutritional claims.</t>
        </is>
      </c>
      <c r="D456" t="inlineStr">
        <is>
          <t>Verify source, specify ingredients and process, normalize, cost and trial before release</t>
        </is>
      </c>
    </row>
    <row r="457">
      <c r="A457" t="inlineStr">
        <is>
          <t>R065</t>
        </is>
      </c>
      <c r="B457" t="inlineStr">
        <is>
          <t>Research normalization</t>
        </is>
      </c>
      <c r="C457" t="inlineStr">
        <is>
          <t>Household cup/spoon/egg measures and cream composition need weighing. Frozen-base treatment, post-process additions and storage require commercial qualification; do not inherit domestic shelf-life or nutritional claims.</t>
        </is>
      </c>
      <c r="D457" t="inlineStr">
        <is>
          <t>Verify source, specify ingredients and process, normalize, cost and trial before release</t>
        </is>
      </c>
    </row>
    <row r="458">
      <c r="A458" t="inlineStr">
        <is>
          <t>R066</t>
        </is>
      </c>
      <c r="B458" t="inlineStr">
        <is>
          <t>Research normalization</t>
        </is>
      </c>
      <c r="C458" t="inlineStr">
        <is>
          <t>Household cup/spoon/egg measures and cream composition need weighing. Frozen-base treatment, post-process additions and storage require commercial qualification; do not inherit domestic shelf-life or nutritional claims.</t>
        </is>
      </c>
      <c r="D458" t="inlineStr">
        <is>
          <t>Verify source, specify ingredients and process, normalize, cost and trial before release</t>
        </is>
      </c>
    </row>
    <row r="459">
      <c r="A459" t="inlineStr">
        <is>
          <t>R067</t>
        </is>
      </c>
      <c r="B459" t="inlineStr">
        <is>
          <t>Research normalization</t>
        </is>
      </c>
      <c r="C459" t="inlineStr">
        <is>
          <t>Household cup/spoon/egg measures and cream composition need weighing. Frozen-base treatment, post-process additions and storage require commercial qualification; do not inherit domestic shelf-life or nutritional claims.</t>
        </is>
      </c>
      <c r="D459" t="inlineStr">
        <is>
          <t>Verify source, specify ingredients and process, normalize, cost and trial before release</t>
        </is>
      </c>
    </row>
    <row r="460">
      <c r="A460" t="inlineStr">
        <is>
          <t>R068</t>
        </is>
      </c>
      <c r="B460" t="inlineStr">
        <is>
          <t>Research normalization</t>
        </is>
      </c>
      <c r="C460" t="inlineStr">
        <is>
          <t>Household cup/spoon/egg measures and cream composition need weighing. Frozen-base treatment, post-process additions and storage require commercial qualification; do not inherit domestic shelf-life or nutritional claims.</t>
        </is>
      </c>
      <c r="D460" t="inlineStr">
        <is>
          <t>Verify source, specify ingredients and process, normalize, cost and trial before release</t>
        </is>
      </c>
    </row>
    <row r="461">
      <c r="A461" t="inlineStr">
        <is>
          <t>R069</t>
        </is>
      </c>
      <c r="B461" t="inlineStr">
        <is>
          <t>Research normalization</t>
        </is>
      </c>
      <c r="C461" t="inlineStr">
        <is>
          <t>Household cup/spoon/egg measures and cream composition need weighing. Frozen-base treatment, post-process additions and storage require commercial qualification; do not inherit domestic shelf-life or nutritional claims.</t>
        </is>
      </c>
      <c r="D461" t="inlineStr">
        <is>
          <t>Verify source, specify ingredients and process, normalize, cost and trial before release</t>
        </is>
      </c>
    </row>
    <row r="462">
      <c r="A462" t="inlineStr">
        <is>
          <t>R070</t>
        </is>
      </c>
      <c r="B462" t="inlineStr">
        <is>
          <t>Research normalization</t>
        </is>
      </c>
      <c r="C462" t="inlineStr">
        <is>
          <t>Household cup/spoon/egg measures and cream composition need weighing. Frozen-base treatment, post-process additions and storage require commercial qualification; do not inherit domestic shelf-life or nutritional claims.</t>
        </is>
      </c>
      <c r="D462" t="inlineStr">
        <is>
          <t>Verify source, specify ingredients and process, normalize, cost and trial before release</t>
        </is>
      </c>
    </row>
    <row r="463">
      <c r="A463" t="inlineStr">
        <is>
          <t>R071</t>
        </is>
      </c>
      <c r="B463" t="inlineStr">
        <is>
          <t>Research normalization</t>
        </is>
      </c>
      <c r="C463" t="inlineStr">
        <is>
          <t>Household cup/spoon/egg measures and cream composition need weighing. Frozen-base treatment, post-process additions and storage require commercial qualification; do not inherit domestic shelf-life or nutritional claims.</t>
        </is>
      </c>
      <c r="D463" t="inlineStr">
        <is>
          <t>Verify source, specify ingredients and process, normalize, cost and trial before release</t>
        </is>
      </c>
    </row>
    <row r="464">
      <c r="A464" t="inlineStr">
        <is>
          <t>R072</t>
        </is>
      </c>
      <c r="B464" t="inlineStr">
        <is>
          <t>Research normalization</t>
        </is>
      </c>
      <c r="C464" t="inlineStr">
        <is>
          <t>Household cup/spoon/egg measures and cream composition need weighing. Frozen-base treatment, post-process additions and storage require commercial qualification; do not inherit domestic shelf-life or nutritional claims.</t>
        </is>
      </c>
      <c r="D464" t="inlineStr">
        <is>
          <t>Verify source, specify ingredients and process, normalize, cost and trial before release</t>
        </is>
      </c>
    </row>
    <row r="465">
      <c r="A465" t="inlineStr">
        <is>
          <t>R073</t>
        </is>
      </c>
      <c r="B465" t="inlineStr">
        <is>
          <t>Research normalization</t>
        </is>
      </c>
      <c r="C465" t="inlineStr">
        <is>
          <t>Household cup/spoon/egg measures and cream composition need weighing. Frozen-base treatment, post-process additions and storage require commercial qualification; do not inherit domestic shelf-life or nutritional claims.</t>
        </is>
      </c>
      <c r="D465" t="inlineStr">
        <is>
          <t>Verify source, specify ingredients and process, normalize, cost and trial before release</t>
        </is>
      </c>
    </row>
    <row r="466">
      <c r="A466" t="inlineStr">
        <is>
          <t>R074</t>
        </is>
      </c>
      <c r="B466" t="inlineStr">
        <is>
          <t>Research normalization</t>
        </is>
      </c>
      <c r="C466" t="inlineStr">
        <is>
          <t>Household cup/spoon/egg measures and cream composition need weighing. Frozen-base treatment, post-process additions and storage require commercial qualification; do not inherit domestic shelf-life or nutritional claims.</t>
        </is>
      </c>
      <c r="D466" t="inlineStr">
        <is>
          <t>Verify source, specify ingredients and process, normalize, cost and trial before release</t>
        </is>
      </c>
    </row>
    <row r="467">
      <c r="A467" t="inlineStr">
        <is>
          <t>R075</t>
        </is>
      </c>
      <c r="B467" t="inlineStr">
        <is>
          <t>Research normalization</t>
        </is>
      </c>
      <c r="C467" t="inlineStr">
        <is>
          <t>Household cup/spoon/egg measures and cream composition need weighing. Frozen-base treatment, post-process additions and storage require commercial qualification; do not inherit domestic shelf-life or nutritional claims.</t>
        </is>
      </c>
      <c r="D467" t="inlineStr">
        <is>
          <t>Verify source, specify ingredients and process, normalize, cost and trial before release</t>
        </is>
      </c>
    </row>
    <row r="468">
      <c r="A468" t="inlineStr">
        <is>
          <t>R076</t>
        </is>
      </c>
      <c r="B468" t="inlineStr">
        <is>
          <t>Research normalization</t>
        </is>
      </c>
      <c r="C468" t="inlineStr">
        <is>
          <t>Household cup/spoon/egg measures and cream composition need weighing. Frozen-base treatment, post-process additions and storage require commercial qualification; do not inherit domestic shelf-life or nutritional claims.</t>
        </is>
      </c>
      <c r="D468" t="inlineStr">
        <is>
          <t>Verify source, specify ingredients and process, normalize, cost and trial before release</t>
        </is>
      </c>
    </row>
    <row r="469">
      <c r="A469" t="inlineStr">
        <is>
          <t>R077</t>
        </is>
      </c>
      <c r="B469" t="inlineStr">
        <is>
          <t>Research normalization</t>
        </is>
      </c>
      <c r="C469" t="inlineStr">
        <is>
          <t>Household cup/spoon/egg measures and cream composition need weighing. Frozen-base treatment, post-process additions and storage require commercial qualification; do not inherit domestic shelf-life or nutritional claims.</t>
        </is>
      </c>
      <c r="D469" t="inlineStr">
        <is>
          <t>Verify source, specify ingredients and process, normalize, cost and trial before release</t>
        </is>
      </c>
    </row>
    <row r="470">
      <c r="A470" t="inlineStr">
        <is>
          <t>R078</t>
        </is>
      </c>
      <c r="B470" t="inlineStr">
        <is>
          <t>Research normalization</t>
        </is>
      </c>
      <c r="C470" t="inlineStr">
        <is>
          <t>Household cup/spoon/egg measures and cream composition need weighing. Frozen-base treatment, post-process additions and storage require commercial qualification; do not inherit domestic shelf-life or nutritional claims.</t>
        </is>
      </c>
      <c r="D470" t="inlineStr">
        <is>
          <t>Verify source, specify ingredients and process, normalize, cost and trial before release</t>
        </is>
      </c>
    </row>
    <row r="471">
      <c r="A471" t="inlineStr">
        <is>
          <t>R079</t>
        </is>
      </c>
      <c r="B471" t="inlineStr">
        <is>
          <t>Research normalization</t>
        </is>
      </c>
      <c r="C471" t="inlineStr">
        <is>
          <t>Household cup/spoon/egg measures and cream composition need weighing. Frozen-base treatment, post-process additions and storage require commercial qualification; do not inherit domestic shelf-life or nutritional claims.</t>
        </is>
      </c>
      <c r="D471" t="inlineStr">
        <is>
          <t>Verify source, specify ingredients and process, normalize, cost and trial before release</t>
        </is>
      </c>
    </row>
    <row r="472">
      <c r="A472" t="inlineStr">
        <is>
          <t>R080</t>
        </is>
      </c>
      <c r="B472" t="inlineStr">
        <is>
          <t>Research normalization</t>
        </is>
      </c>
      <c r="C472" t="inlineStr">
        <is>
          <t>Household cup/spoon/egg measures and cream composition need weighing. Frozen-base treatment, post-process additions and storage require commercial qualification; do not inherit domestic shelf-life or nutritional claims.</t>
        </is>
      </c>
      <c r="D472" t="inlineStr">
        <is>
          <t>Verify source, specify ingredients and process, normalize, cost and trial before release</t>
        </is>
      </c>
    </row>
    <row r="473">
      <c r="A473" t="inlineStr">
        <is>
          <t>R081</t>
        </is>
      </c>
      <c r="B473" t="inlineStr">
        <is>
          <t>Research normalization</t>
        </is>
      </c>
      <c r="C473" t="inlineStr">
        <is>
          <t>Household cup/spoon/egg measures and cream composition need weighing. Frozen-base treatment, post-process additions and storage require commercial qualification; do not inherit domestic shelf-life or nutritional claims.</t>
        </is>
      </c>
      <c r="D473" t="inlineStr">
        <is>
          <t>Verify source, specify ingredients and process, normalize, cost and trial before release</t>
        </is>
      </c>
    </row>
    <row r="474">
      <c r="A474" t="inlineStr">
        <is>
          <t>R082</t>
        </is>
      </c>
      <c r="B474" t="inlineStr">
        <is>
          <t>Research normalization</t>
        </is>
      </c>
      <c r="C474" t="inlineStr">
        <is>
          <t>Household cup/spoon/egg measures and cream composition need weighing. Frozen-base treatment, post-process additions and storage require commercial qualification; do not inherit domestic shelf-life or nutritional claims.</t>
        </is>
      </c>
      <c r="D474" t="inlineStr">
        <is>
          <t>Verify source, specify ingredients and process, normalize, cost and trial before release</t>
        </is>
      </c>
    </row>
    <row r="475">
      <c r="A475" t="inlineStr">
        <is>
          <t>R083</t>
        </is>
      </c>
      <c r="B475" t="inlineStr">
        <is>
          <t>Research normalization</t>
        </is>
      </c>
      <c r="C475" t="inlineStr">
        <is>
          <t>Household cup/spoon/egg measures and cream composition need weighing. Frozen-base treatment, post-process additions and storage require commercial qualification; do not inherit domestic shelf-life or nutritional claims.</t>
        </is>
      </c>
      <c r="D475" t="inlineStr">
        <is>
          <t>Verify source, specify ingredients and process, normalize, cost and trial before release</t>
        </is>
      </c>
    </row>
    <row r="476">
      <c r="A476" t="inlineStr">
        <is>
          <t>R084</t>
        </is>
      </c>
      <c r="B476" t="inlineStr">
        <is>
          <t>Research normalization</t>
        </is>
      </c>
      <c r="C476" t="inlineStr">
        <is>
          <t>Household cup/spoon/egg measures and cream composition need weighing. Frozen-base treatment, post-process additions and storage require commercial qualification; do not inherit domestic shelf-life or nutritional claims.</t>
        </is>
      </c>
      <c r="D476" t="inlineStr">
        <is>
          <t>Verify source, specify ingredients and process, normalize, cost and trial before release</t>
        </is>
      </c>
    </row>
    <row r="477">
      <c r="A477" t="inlineStr">
        <is>
          <t>R085</t>
        </is>
      </c>
      <c r="B477" t="inlineStr">
        <is>
          <t>Research normalization</t>
        </is>
      </c>
      <c r="C477" t="inlineStr">
        <is>
          <t>Household cup/spoon/egg measures and cream composition need weighing. Frozen-base treatment, post-process additions and storage require commercial qualification; do not inherit domestic shelf-life or nutritional claims.</t>
        </is>
      </c>
      <c r="D477" t="inlineStr">
        <is>
          <t>Verify source, specify ingredients and process, normalize, cost and trial before release</t>
        </is>
      </c>
    </row>
    <row r="478">
      <c r="A478" t="inlineStr">
        <is>
          <t>R086</t>
        </is>
      </c>
      <c r="B478" t="inlineStr">
        <is>
          <t>Research normalization</t>
        </is>
      </c>
      <c r="C478" t="inlineStr">
        <is>
          <t>Household cup/spoon/egg measures and cream composition need weighing. Frozen-base treatment, post-process additions and storage require commercial qualification; do not inherit domestic shelf-life or nutritional claims.</t>
        </is>
      </c>
      <c r="D478" t="inlineStr">
        <is>
          <t>Verify source, specify ingredients and process, normalize, cost and trial before release</t>
        </is>
      </c>
    </row>
    <row r="479">
      <c r="A479" t="inlineStr">
        <is>
          <t>R087</t>
        </is>
      </c>
      <c r="B479" t="inlineStr">
        <is>
          <t>Research normalization</t>
        </is>
      </c>
      <c r="C479" t="inlineStr">
        <is>
          <t>Household cup/spoon/egg measures and cream composition need weighing. Frozen-base treatment, post-process additions and storage require commercial qualification; do not inherit domestic shelf-life or nutritional claims.</t>
        </is>
      </c>
      <c r="D479" t="inlineStr">
        <is>
          <t>Verify source, specify ingredients and process, normalize, cost and trial before release</t>
        </is>
      </c>
    </row>
    <row r="480">
      <c r="A480" t="inlineStr">
        <is>
          <t>R088</t>
        </is>
      </c>
      <c r="B480" t="inlineStr">
        <is>
          <t>Research normalization</t>
        </is>
      </c>
      <c r="C480" t="inlineStr">
        <is>
          <t>Household cup/spoon/egg measures and cream composition need weighing. Frozen-base treatment, post-process additions and storage require commercial qualification; do not inherit domestic shelf-life or nutritional claims.</t>
        </is>
      </c>
      <c r="D480" t="inlineStr">
        <is>
          <t>Verify source, specify ingredients and process, normalize, cost and trial before release</t>
        </is>
      </c>
    </row>
    <row r="481">
      <c r="A481" t="inlineStr">
        <is>
          <t>R089</t>
        </is>
      </c>
      <c r="B481" t="inlineStr">
        <is>
          <t>Research normalization</t>
        </is>
      </c>
      <c r="C481" t="inlineStr">
        <is>
          <t>Household cup/spoon/egg measures and cream composition need weighing. Frozen-base treatment, post-process additions and storage require commercial qualification; do not inherit domestic shelf-life or nutritional claims.</t>
        </is>
      </c>
      <c r="D481" t="inlineStr">
        <is>
          <t>Verify source, specify ingredients and process, normalize, cost and trial before release</t>
        </is>
      </c>
    </row>
    <row r="482">
      <c r="A482" t="inlineStr">
        <is>
          <t>R090</t>
        </is>
      </c>
      <c r="B482" t="inlineStr">
        <is>
          <t>Research normalization</t>
        </is>
      </c>
      <c r="C482" t="inlineStr">
        <is>
          <t>Household cup/spoon/egg measures and cream composition need weighing. Frozen-base treatment, post-process additions and storage require commercial qualification; do not inherit domestic shelf-life or nutritional claims.</t>
        </is>
      </c>
      <c r="D482" t="inlineStr">
        <is>
          <t>Verify source, specify ingredients and process, normalize, cost and trial before release</t>
        </is>
      </c>
    </row>
    <row r="483">
      <c r="A483" t="inlineStr">
        <is>
          <t>R091</t>
        </is>
      </c>
      <c r="B483" t="inlineStr">
        <is>
          <t>Research normalization</t>
        </is>
      </c>
      <c r="C48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83" t="inlineStr">
        <is>
          <t>Verify source, specify ingredients and process, normalize, cost and trial before release</t>
        </is>
      </c>
    </row>
    <row r="484">
      <c r="A484" t="inlineStr">
        <is>
          <t>R092</t>
        </is>
      </c>
      <c r="B484" t="inlineStr">
        <is>
          <t>Research normalization</t>
        </is>
      </c>
      <c r="C48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84" t="inlineStr">
        <is>
          <t>Verify source, specify ingredients and process, normalize, cost and trial before release</t>
        </is>
      </c>
    </row>
    <row r="485">
      <c r="A485" t="inlineStr">
        <is>
          <t>R093</t>
        </is>
      </c>
      <c r="B485" t="inlineStr">
        <is>
          <t>Research normalization</t>
        </is>
      </c>
      <c r="C485"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85" t="inlineStr">
        <is>
          <t>Verify source, specify ingredients and process, normalize, cost and trial before release</t>
        </is>
      </c>
    </row>
    <row r="486">
      <c r="A486" t="inlineStr">
        <is>
          <t>R094</t>
        </is>
      </c>
      <c r="B486" t="inlineStr">
        <is>
          <t>Research normalization</t>
        </is>
      </c>
      <c r="C486"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86" t="inlineStr">
        <is>
          <t>Verify source, specify ingredients and process, normalize, cost and trial before release</t>
        </is>
      </c>
    </row>
    <row r="487">
      <c r="A487" t="inlineStr">
        <is>
          <t>R095</t>
        </is>
      </c>
      <c r="B487" t="inlineStr">
        <is>
          <t>Research normalization</t>
        </is>
      </c>
      <c r="C487"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87" t="inlineStr">
        <is>
          <t>Verify source, specify ingredients and process, normalize, cost and trial before release</t>
        </is>
      </c>
    </row>
    <row r="488">
      <c r="A488" t="inlineStr">
        <is>
          <t>R096</t>
        </is>
      </c>
      <c r="B488" t="inlineStr">
        <is>
          <t>Research normalization</t>
        </is>
      </c>
      <c r="C488"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88" t="inlineStr">
        <is>
          <t>Verify source, specify ingredients and process, normalize, cost and trial before release</t>
        </is>
      </c>
    </row>
    <row r="489">
      <c r="A489" t="inlineStr">
        <is>
          <t>R097</t>
        </is>
      </c>
      <c r="B489" t="inlineStr">
        <is>
          <t>Research normalization</t>
        </is>
      </c>
      <c r="C489"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89" t="inlineStr">
        <is>
          <t>Verify source, specify ingredients and process, normalize, cost and trial before release</t>
        </is>
      </c>
    </row>
    <row r="490">
      <c r="A490" t="inlineStr">
        <is>
          <t>R098</t>
        </is>
      </c>
      <c r="B490" t="inlineStr">
        <is>
          <t>Research normalization</t>
        </is>
      </c>
      <c r="C490"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90" t="inlineStr">
        <is>
          <t>Verify source, specify ingredients and process, normalize, cost and trial before release</t>
        </is>
      </c>
    </row>
    <row r="491">
      <c r="A491" t="inlineStr">
        <is>
          <t>R099</t>
        </is>
      </c>
      <c r="B491" t="inlineStr">
        <is>
          <t>Research normalization</t>
        </is>
      </c>
      <c r="C491"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91" t="inlineStr">
        <is>
          <t>Verify source, specify ingredients and process, normalize, cost and trial before release</t>
        </is>
      </c>
    </row>
    <row r="492">
      <c r="A492" t="inlineStr">
        <is>
          <t>R100</t>
        </is>
      </c>
      <c r="B492" t="inlineStr">
        <is>
          <t>Research normalization</t>
        </is>
      </c>
      <c r="C492"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92" t="inlineStr">
        <is>
          <t>Verify source, specify ingredients and process, normalize, cost and trial before release</t>
        </is>
      </c>
    </row>
    <row r="493">
      <c r="A493" t="inlineStr">
        <is>
          <t>R101</t>
        </is>
      </c>
      <c r="B493" t="inlineStr">
        <is>
          <t>Research normalization</t>
        </is>
      </c>
      <c r="C49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93" t="inlineStr">
        <is>
          <t>Verify source, specify ingredients and process, normalize, cost and trial before release</t>
        </is>
      </c>
    </row>
    <row r="494">
      <c r="A494" t="inlineStr">
        <is>
          <t>R102</t>
        </is>
      </c>
      <c r="B494" t="inlineStr">
        <is>
          <t>Research normalization</t>
        </is>
      </c>
      <c r="C49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94" t="inlineStr">
        <is>
          <t>Verify source, specify ingredients and process, normalize, cost and trial before release</t>
        </is>
      </c>
    </row>
    <row r="495">
      <c r="A495" t="inlineStr">
        <is>
          <t>R103</t>
        </is>
      </c>
      <c r="B495" t="inlineStr">
        <is>
          <t>Research normalization</t>
        </is>
      </c>
      <c r="C495"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95" t="inlineStr">
        <is>
          <t>Verify source, specify ingredients and process, normalize, cost and trial before release</t>
        </is>
      </c>
    </row>
    <row r="496">
      <c r="A496" t="inlineStr">
        <is>
          <t>R104</t>
        </is>
      </c>
      <c r="B496" t="inlineStr">
        <is>
          <t>Research normalization</t>
        </is>
      </c>
      <c r="C496"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96" t="inlineStr">
        <is>
          <t>Verify source, specify ingredients and process, normalize, cost and trial before release</t>
        </is>
      </c>
    </row>
    <row r="497">
      <c r="A497" t="inlineStr">
        <is>
          <t>R105</t>
        </is>
      </c>
      <c r="B497" t="inlineStr">
        <is>
          <t>Research normalization</t>
        </is>
      </c>
      <c r="C497"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97" t="inlineStr">
        <is>
          <t>Verify source, specify ingredients and process, normalize, cost and trial before release</t>
        </is>
      </c>
    </row>
    <row r="498">
      <c r="A498" t="inlineStr">
        <is>
          <t>R106</t>
        </is>
      </c>
      <c r="B498" t="inlineStr">
        <is>
          <t>Research normalization</t>
        </is>
      </c>
      <c r="C498"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98" t="inlineStr">
        <is>
          <t>Verify source, specify ingredients and process, normalize, cost and trial before release</t>
        </is>
      </c>
    </row>
    <row r="499">
      <c r="A499" t="inlineStr">
        <is>
          <t>R107</t>
        </is>
      </c>
      <c r="B499" t="inlineStr">
        <is>
          <t>Research normalization</t>
        </is>
      </c>
      <c r="C499"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499" t="inlineStr">
        <is>
          <t>Verify source, specify ingredients and process, normalize, cost and trial before release</t>
        </is>
      </c>
    </row>
    <row r="500">
      <c r="A500" t="inlineStr">
        <is>
          <t>R108</t>
        </is>
      </c>
      <c r="B500" t="inlineStr">
        <is>
          <t>Research normalization</t>
        </is>
      </c>
      <c r="C500"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00" t="inlineStr">
        <is>
          <t>Verify source, specify ingredients and process, normalize, cost and trial before release</t>
        </is>
      </c>
    </row>
    <row r="501">
      <c r="A501" t="inlineStr">
        <is>
          <t>R109</t>
        </is>
      </c>
      <c r="B501" t="inlineStr">
        <is>
          <t>Research normalization</t>
        </is>
      </c>
      <c r="C501"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01" t="inlineStr">
        <is>
          <t>Verify source, specify ingredients and process, normalize, cost and trial before release</t>
        </is>
      </c>
    </row>
    <row r="502">
      <c r="A502" t="inlineStr">
        <is>
          <t>R110</t>
        </is>
      </c>
      <c r="B502" t="inlineStr">
        <is>
          <t>Research normalization</t>
        </is>
      </c>
      <c r="C502"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02" t="inlineStr">
        <is>
          <t>Verify source, specify ingredients and process, normalize, cost and trial before release</t>
        </is>
      </c>
    </row>
    <row r="503">
      <c r="A503" t="inlineStr">
        <is>
          <t>R111</t>
        </is>
      </c>
      <c r="B503" t="inlineStr">
        <is>
          <t>Research normalization</t>
        </is>
      </c>
      <c r="C50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03" t="inlineStr">
        <is>
          <t>Verify source, specify ingredients and process, normalize, cost and trial before release</t>
        </is>
      </c>
    </row>
    <row r="504">
      <c r="A504" t="inlineStr">
        <is>
          <t>R112</t>
        </is>
      </c>
      <c r="B504" t="inlineStr">
        <is>
          <t>Research normalization</t>
        </is>
      </c>
      <c r="C50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04" t="inlineStr">
        <is>
          <t>Verify source, specify ingredients and process, normalize, cost and trial before release</t>
        </is>
      </c>
    </row>
    <row r="505">
      <c r="A505" t="inlineStr">
        <is>
          <t>R113</t>
        </is>
      </c>
      <c r="B505" t="inlineStr">
        <is>
          <t>Research normalization</t>
        </is>
      </c>
      <c r="C505"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05" t="inlineStr">
        <is>
          <t>Verify source, specify ingredients and process, normalize, cost and trial before release</t>
        </is>
      </c>
    </row>
    <row r="506">
      <c r="A506" t="inlineStr">
        <is>
          <t>R114</t>
        </is>
      </c>
      <c r="B506" t="inlineStr">
        <is>
          <t>Research normalization</t>
        </is>
      </c>
      <c r="C506"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06" t="inlineStr">
        <is>
          <t>Verify source, specify ingredients and process, normalize, cost and trial before release</t>
        </is>
      </c>
    </row>
    <row r="507">
      <c r="A507" t="inlineStr">
        <is>
          <t>R115</t>
        </is>
      </c>
      <c r="B507" t="inlineStr">
        <is>
          <t>Research normalization</t>
        </is>
      </c>
      <c r="C507"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07" t="inlineStr">
        <is>
          <t>Verify source, specify ingredients and process, normalize, cost and trial before release</t>
        </is>
      </c>
    </row>
    <row r="508">
      <c r="A508" t="inlineStr">
        <is>
          <t>R116</t>
        </is>
      </c>
      <c r="B508" t="inlineStr">
        <is>
          <t>Research normalization</t>
        </is>
      </c>
      <c r="C508"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08" t="inlineStr">
        <is>
          <t>Verify source, specify ingredients and process, normalize, cost and trial before release</t>
        </is>
      </c>
    </row>
    <row r="509">
      <c r="A509" t="inlineStr">
        <is>
          <t>R117</t>
        </is>
      </c>
      <c r="B509" t="inlineStr">
        <is>
          <t>Research normalization</t>
        </is>
      </c>
      <c r="C509"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09" t="inlineStr">
        <is>
          <t>Verify source, specify ingredients and process, normalize, cost and trial before release</t>
        </is>
      </c>
    </row>
    <row r="510">
      <c r="A510" t="inlineStr">
        <is>
          <t>R118</t>
        </is>
      </c>
      <c r="B510" t="inlineStr">
        <is>
          <t>Research normalization</t>
        </is>
      </c>
      <c r="C510"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10" t="inlineStr">
        <is>
          <t>Verify source, specify ingredients and process, normalize, cost and trial before release</t>
        </is>
      </c>
    </row>
    <row r="511">
      <c r="A511" t="inlineStr">
        <is>
          <t>R119</t>
        </is>
      </c>
      <c r="B511" t="inlineStr">
        <is>
          <t>Research normalization</t>
        </is>
      </c>
      <c r="C511"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11" t="inlineStr">
        <is>
          <t>Verify source, specify ingredients and process, normalize, cost and trial before release</t>
        </is>
      </c>
    </row>
    <row r="512">
      <c r="A512" t="inlineStr">
        <is>
          <t>R120</t>
        </is>
      </c>
      <c r="B512" t="inlineStr">
        <is>
          <t>Research normalization</t>
        </is>
      </c>
      <c r="C512"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12" t="inlineStr">
        <is>
          <t>Verify source, specify ingredients and process, normalize, cost and trial before release</t>
        </is>
      </c>
    </row>
    <row r="513">
      <c r="A513" t="inlineStr">
        <is>
          <t>R121</t>
        </is>
      </c>
      <c r="B513" t="inlineStr">
        <is>
          <t>Research normalization</t>
        </is>
      </c>
      <c r="C51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13" t="inlineStr">
        <is>
          <t>Verify source, specify ingredients and process, normalize, cost and trial before release</t>
        </is>
      </c>
    </row>
    <row r="514">
      <c r="A514" t="inlineStr">
        <is>
          <t>R122</t>
        </is>
      </c>
      <c r="B514" t="inlineStr">
        <is>
          <t>Research normalization</t>
        </is>
      </c>
      <c r="C51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14" t="inlineStr">
        <is>
          <t>Verify source, specify ingredients and process, normalize, cost and trial before release</t>
        </is>
      </c>
    </row>
    <row r="515">
      <c r="A515" t="inlineStr">
        <is>
          <t>R123</t>
        </is>
      </c>
      <c r="B515" t="inlineStr">
        <is>
          <t>Research normalization</t>
        </is>
      </c>
      <c r="C515"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15" t="inlineStr">
        <is>
          <t>Verify source, specify ingredients and process, normalize, cost and trial before release</t>
        </is>
      </c>
    </row>
    <row r="516">
      <c r="A516" t="inlineStr">
        <is>
          <t>R124</t>
        </is>
      </c>
      <c r="B516" t="inlineStr">
        <is>
          <t>Research normalization</t>
        </is>
      </c>
      <c r="C516"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16" t="inlineStr">
        <is>
          <t>Verify source, specify ingredients and process, normalize, cost and trial before release</t>
        </is>
      </c>
    </row>
    <row r="517">
      <c r="A517" t="inlineStr">
        <is>
          <t>R125</t>
        </is>
      </c>
      <c r="B517" t="inlineStr">
        <is>
          <t>Research normalization</t>
        </is>
      </c>
      <c r="C517"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17" t="inlineStr">
        <is>
          <t>Verify source, specify ingredients and process, normalize, cost and trial before release</t>
        </is>
      </c>
    </row>
    <row r="518">
      <c r="A518" t="inlineStr">
        <is>
          <t>R126</t>
        </is>
      </c>
      <c r="B518" t="inlineStr">
        <is>
          <t>Research normalization</t>
        </is>
      </c>
      <c r="C518"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18" t="inlineStr">
        <is>
          <t>Verify source, specify ingredients and process, normalize, cost and trial before release</t>
        </is>
      </c>
    </row>
    <row r="519">
      <c r="A519" t="inlineStr">
        <is>
          <t>R127</t>
        </is>
      </c>
      <c r="B519" t="inlineStr">
        <is>
          <t>Research normalization</t>
        </is>
      </c>
      <c r="C519"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19" t="inlineStr">
        <is>
          <t>Verify source, specify ingredients and process, normalize, cost and trial before release</t>
        </is>
      </c>
    </row>
    <row r="520">
      <c r="A520" t="inlineStr">
        <is>
          <t>R128</t>
        </is>
      </c>
      <c r="B520" t="inlineStr">
        <is>
          <t>Research normalization</t>
        </is>
      </c>
      <c r="C520"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20" t="inlineStr">
        <is>
          <t>Verify source, specify ingredients and process, normalize, cost and trial before release</t>
        </is>
      </c>
    </row>
    <row r="521">
      <c r="A521" t="inlineStr">
        <is>
          <t>R129</t>
        </is>
      </c>
      <c r="B521" t="inlineStr">
        <is>
          <t>Research normalization</t>
        </is>
      </c>
      <c r="C521"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21" t="inlineStr">
        <is>
          <t>Verify source, specify ingredients and process, normalize, cost and trial before release</t>
        </is>
      </c>
    </row>
    <row r="522">
      <c r="A522" t="inlineStr">
        <is>
          <t>R130</t>
        </is>
      </c>
      <c r="B522" t="inlineStr">
        <is>
          <t>Research normalization</t>
        </is>
      </c>
      <c r="C522"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22" t="inlineStr">
        <is>
          <t>Verify source, specify ingredients and process, normalize, cost and trial before release</t>
        </is>
      </c>
    </row>
    <row r="523">
      <c r="A523" t="inlineStr">
        <is>
          <t>R131</t>
        </is>
      </c>
      <c r="B523" t="inlineStr">
        <is>
          <t>Research normalization</t>
        </is>
      </c>
      <c r="C52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23" t="inlineStr">
        <is>
          <t>Verify source, specify ingredients and process, normalize, cost and trial before release</t>
        </is>
      </c>
    </row>
    <row r="524">
      <c r="A524" t="inlineStr">
        <is>
          <t>R132</t>
        </is>
      </c>
      <c r="B524" t="inlineStr">
        <is>
          <t>Research normalization</t>
        </is>
      </c>
      <c r="C52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24" t="inlineStr">
        <is>
          <t>Verify source, specify ingredients and process, normalize, cost and trial before release</t>
        </is>
      </c>
    </row>
    <row r="525">
      <c r="A525" t="inlineStr">
        <is>
          <t>R133</t>
        </is>
      </c>
      <c r="B525" t="inlineStr">
        <is>
          <t>Research normalization</t>
        </is>
      </c>
      <c r="C525"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25" t="inlineStr">
        <is>
          <t>Verify source, specify ingredients and process, normalize, cost and trial before release</t>
        </is>
      </c>
    </row>
    <row r="526">
      <c r="A526" t="inlineStr">
        <is>
          <t>R134</t>
        </is>
      </c>
      <c r="B526" t="inlineStr">
        <is>
          <t>Research normalization</t>
        </is>
      </c>
      <c r="C526"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26" t="inlineStr">
        <is>
          <t>Verify source, specify ingredients and process, normalize, cost and trial before release</t>
        </is>
      </c>
    </row>
    <row r="527">
      <c r="A527" t="inlineStr">
        <is>
          <t>R135</t>
        </is>
      </c>
      <c r="B527" t="inlineStr">
        <is>
          <t>Research normalization</t>
        </is>
      </c>
      <c r="C527"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27" t="inlineStr">
        <is>
          <t>Verify source, specify ingredients and process, normalize, cost and trial before release</t>
        </is>
      </c>
    </row>
    <row r="528">
      <c r="A528" t="inlineStr">
        <is>
          <t>R136</t>
        </is>
      </c>
      <c r="B528" t="inlineStr">
        <is>
          <t>Research normalization</t>
        </is>
      </c>
      <c r="C528"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28" t="inlineStr">
        <is>
          <t>Verify source, specify ingredients and process, normalize, cost and trial before release</t>
        </is>
      </c>
    </row>
    <row r="529">
      <c r="A529" t="inlineStr">
        <is>
          <t>R137</t>
        </is>
      </c>
      <c r="B529" t="inlineStr">
        <is>
          <t>Research normalization</t>
        </is>
      </c>
      <c r="C529"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29" t="inlineStr">
        <is>
          <t>Verify source, specify ingredients and process, normalize, cost and trial before release</t>
        </is>
      </c>
    </row>
    <row r="530">
      <c r="A530" t="inlineStr">
        <is>
          <t>R138</t>
        </is>
      </c>
      <c r="B530" t="inlineStr">
        <is>
          <t>Research normalization</t>
        </is>
      </c>
      <c r="C530"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30" t="inlineStr">
        <is>
          <t>Verify source, specify ingredients and process, normalize, cost and trial before release</t>
        </is>
      </c>
    </row>
    <row r="531">
      <c r="A531" t="inlineStr">
        <is>
          <t>R139</t>
        </is>
      </c>
      <c r="B531" t="inlineStr">
        <is>
          <t>Research normalization</t>
        </is>
      </c>
      <c r="C531"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31" t="inlineStr">
        <is>
          <t>Verify source, specify ingredients and process, normalize, cost and trial before release</t>
        </is>
      </c>
    </row>
    <row r="532">
      <c r="A532" t="inlineStr">
        <is>
          <t>R140</t>
        </is>
      </c>
      <c r="B532" t="inlineStr">
        <is>
          <t>Research normalization</t>
        </is>
      </c>
      <c r="C532"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32" t="inlineStr">
        <is>
          <t>Verify source, specify ingredients and process, normalize, cost and trial before release</t>
        </is>
      </c>
    </row>
    <row r="533">
      <c r="A533" t="inlineStr">
        <is>
          <t>R141</t>
        </is>
      </c>
      <c r="B533" t="inlineStr">
        <is>
          <t>Research normalization</t>
        </is>
      </c>
      <c r="C533"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33" t="inlineStr">
        <is>
          <t>Verify source, specify ingredients and process, normalize, cost and trial before release</t>
        </is>
      </c>
    </row>
    <row r="534">
      <c r="A534" t="inlineStr">
        <is>
          <t>R142</t>
        </is>
      </c>
      <c r="B534" t="inlineStr">
        <is>
          <t>Research normalization</t>
        </is>
      </c>
      <c r="C534" t="inlineStr">
        <is>
          <t>Page-range mapping follows the printed index; some index numerals are uncertain. Verify every adopted ingredient quantity, decimal and temperature on the original image. Specialist equipment, fruit/nut supply, components, chilled handling and full costs are not validated. No gluten-free claim is adopted merely from a title.</t>
        </is>
      </c>
      <c r="D534" t="inlineStr">
        <is>
          <t>Verify source, specify ingredients and process, normalize, cost and trial before release</t>
        </is>
      </c>
    </row>
    <row r="535">
      <c r="A535" t="inlineStr">
        <is>
          <t>R143</t>
        </is>
      </c>
      <c r="B535" t="inlineStr">
        <is>
          <t>Research normalization</t>
        </is>
      </c>
      <c r="C535"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35" t="inlineStr">
        <is>
          <t>Verify source, specify ingredients and process, normalize, cost and trial before release</t>
        </is>
      </c>
    </row>
    <row r="536">
      <c r="A536" t="inlineStr">
        <is>
          <t>R144</t>
        </is>
      </c>
      <c r="B536" t="inlineStr">
        <is>
          <t>Research normalization</t>
        </is>
      </c>
      <c r="C536"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36" t="inlineStr">
        <is>
          <t>Verify source, specify ingredients and process, normalize, cost and trial before release</t>
        </is>
      </c>
    </row>
    <row r="537">
      <c r="A537" t="inlineStr">
        <is>
          <t>R145</t>
        </is>
      </c>
      <c r="B537" t="inlineStr">
        <is>
          <t>Research normalization</t>
        </is>
      </c>
      <c r="C537"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37" t="inlineStr">
        <is>
          <t>Verify source, specify ingredients and process, normalize, cost and trial before release</t>
        </is>
      </c>
    </row>
    <row r="538">
      <c r="A538" t="inlineStr">
        <is>
          <t>R146</t>
        </is>
      </c>
      <c r="B538" t="inlineStr">
        <is>
          <t>Research normalization</t>
        </is>
      </c>
      <c r="C538"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38" t="inlineStr">
        <is>
          <t>Verify source, specify ingredients and process, normalize, cost and trial before release</t>
        </is>
      </c>
    </row>
    <row r="539">
      <c r="A539" t="inlineStr">
        <is>
          <t>R147</t>
        </is>
      </c>
      <c r="B539" t="inlineStr">
        <is>
          <t>Research normalization</t>
        </is>
      </c>
      <c r="C539"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39" t="inlineStr">
        <is>
          <t>Verify source, specify ingredients and process, normalize, cost and trial before release</t>
        </is>
      </c>
    </row>
    <row r="540">
      <c r="A540" t="inlineStr">
        <is>
          <t>R148</t>
        </is>
      </c>
      <c r="B540" t="inlineStr">
        <is>
          <t>Research normalization</t>
        </is>
      </c>
      <c r="C540"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40" t="inlineStr">
        <is>
          <t>Verify source, specify ingredients and process, normalize, cost and trial before release</t>
        </is>
      </c>
    </row>
    <row r="541">
      <c r="A541" t="inlineStr">
        <is>
          <t>R149</t>
        </is>
      </c>
      <c r="B541" t="inlineStr">
        <is>
          <t>Research normalization</t>
        </is>
      </c>
      <c r="C541"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41" t="inlineStr">
        <is>
          <t>Verify source, specify ingredients and process, normalize, cost and trial before release</t>
        </is>
      </c>
    </row>
    <row r="542">
      <c r="A542" t="inlineStr">
        <is>
          <t>R150</t>
        </is>
      </c>
      <c r="B542" t="inlineStr">
        <is>
          <t>Research normalization</t>
        </is>
      </c>
      <c r="C542"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42" t="inlineStr">
        <is>
          <t>Verify source, specify ingredients and process, normalize, cost and trial before release</t>
        </is>
      </c>
    </row>
    <row r="543">
      <c r="A543" t="inlineStr">
        <is>
          <t>R151</t>
        </is>
      </c>
      <c r="B543" t="inlineStr">
        <is>
          <t>Research normalization</t>
        </is>
      </c>
      <c r="C543"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43" t="inlineStr">
        <is>
          <t>Verify source, specify ingredients and process, normalize, cost and trial before release</t>
        </is>
      </c>
    </row>
    <row r="544">
      <c r="A544" t="inlineStr">
        <is>
          <t>R152</t>
        </is>
      </c>
      <c r="B544" t="inlineStr">
        <is>
          <t>Research normalization</t>
        </is>
      </c>
      <c r="C544"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44" t="inlineStr">
        <is>
          <t>Verify source, specify ingredients and process, normalize, cost and trial before release</t>
        </is>
      </c>
    </row>
    <row r="545">
      <c r="A545" t="inlineStr">
        <is>
          <t>R153</t>
        </is>
      </c>
      <c r="B545" t="inlineStr">
        <is>
          <t>Research normalization</t>
        </is>
      </c>
      <c r="C545"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45" t="inlineStr">
        <is>
          <t>Verify source, specify ingredients and process, normalize, cost and trial before release</t>
        </is>
      </c>
    </row>
    <row r="546">
      <c r="A546" t="inlineStr">
        <is>
          <t>R154</t>
        </is>
      </c>
      <c r="B546" t="inlineStr">
        <is>
          <t>Research normalization</t>
        </is>
      </c>
      <c r="C546"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46" t="inlineStr">
        <is>
          <t>Verify source, specify ingredients and process, normalize, cost and trial before release</t>
        </is>
      </c>
    </row>
    <row r="547">
      <c r="A547" t="inlineStr">
        <is>
          <t>R155</t>
        </is>
      </c>
      <c r="B547" t="inlineStr">
        <is>
          <t>Research normalization</t>
        </is>
      </c>
      <c r="C547"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47" t="inlineStr">
        <is>
          <t>Verify source, specify ingredients and process, normalize, cost and trial before release</t>
        </is>
      </c>
    </row>
    <row r="548">
      <c r="A548" t="inlineStr">
        <is>
          <t>R156</t>
        </is>
      </c>
      <c r="B548" t="inlineStr">
        <is>
          <t>Research normalization</t>
        </is>
      </c>
      <c r="C548"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48" t="inlineStr">
        <is>
          <t>Verify source, specify ingredients and process, normalize, cost and trial before release</t>
        </is>
      </c>
    </row>
    <row r="549">
      <c r="A549" t="inlineStr">
        <is>
          <t>R157</t>
        </is>
      </c>
      <c r="B549" t="inlineStr">
        <is>
          <t>Research normalization</t>
        </is>
      </c>
      <c r="C549"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49" t="inlineStr">
        <is>
          <t>Verify source, specify ingredients and process, normalize, cost and trial before release</t>
        </is>
      </c>
    </row>
    <row r="550">
      <c r="A550" t="inlineStr">
        <is>
          <t>R158</t>
        </is>
      </c>
      <c r="B550" t="inlineStr">
        <is>
          <t>Research normalization</t>
        </is>
      </c>
      <c r="C550"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50" t="inlineStr">
        <is>
          <t>Verify source, specify ingredients and process, normalize, cost and trial before release</t>
        </is>
      </c>
    </row>
    <row r="551">
      <c r="A551" t="inlineStr">
        <is>
          <t>R159</t>
        </is>
      </c>
      <c r="B551" t="inlineStr">
        <is>
          <t>Research normalization</t>
        </is>
      </c>
      <c r="C551"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51" t="inlineStr">
        <is>
          <t>Verify source, specify ingredients and process, normalize, cost and trial before release</t>
        </is>
      </c>
    </row>
    <row r="552">
      <c r="A552" t="inlineStr">
        <is>
          <t>R160</t>
        </is>
      </c>
      <c r="B552" t="inlineStr">
        <is>
          <t>Research normalization</t>
        </is>
      </c>
      <c r="C552"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52" t="inlineStr">
        <is>
          <t>Verify source, specify ingredients and process, normalize, cost and trial before release</t>
        </is>
      </c>
    </row>
    <row r="553">
      <c r="A553" t="inlineStr">
        <is>
          <t>R161</t>
        </is>
      </c>
      <c r="B553" t="inlineStr">
        <is>
          <t>Research normalization</t>
        </is>
      </c>
      <c r="C553"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53" t="inlineStr">
        <is>
          <t>Verify source, specify ingredients and process, normalize, cost and trial before release</t>
        </is>
      </c>
    </row>
    <row r="554">
      <c r="A554" t="inlineStr">
        <is>
          <t>R162</t>
        </is>
      </c>
      <c r="B554" t="inlineStr">
        <is>
          <t>Research normalization</t>
        </is>
      </c>
      <c r="C554"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54" t="inlineStr">
        <is>
          <t>Verify source, specify ingredients and process, normalize, cost and trial before release</t>
        </is>
      </c>
    </row>
    <row r="555">
      <c r="A555" t="inlineStr">
        <is>
          <t>R163</t>
        </is>
      </c>
      <c r="B555" t="inlineStr">
        <is>
          <t>Research normalization</t>
        </is>
      </c>
      <c r="C555"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55" t="inlineStr">
        <is>
          <t>Verify source, specify ingredients and process, normalize, cost and trial before release</t>
        </is>
      </c>
    </row>
    <row r="556">
      <c r="A556" t="inlineStr">
        <is>
          <t>R164</t>
        </is>
      </c>
      <c r="B556" t="inlineStr">
        <is>
          <t>Research normalization</t>
        </is>
      </c>
      <c r="C556"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56" t="inlineStr">
        <is>
          <t>Verify source, specify ingredients and process, normalize, cost and trial before release</t>
        </is>
      </c>
    </row>
    <row r="557">
      <c r="A557" t="inlineStr">
        <is>
          <t>R165</t>
        </is>
      </c>
      <c r="B557" t="inlineStr">
        <is>
          <t>Research normalization</t>
        </is>
      </c>
      <c r="C557"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57" t="inlineStr">
        <is>
          <t>Verify source, specify ingredients and process, normalize, cost and trial before release</t>
        </is>
      </c>
    </row>
    <row r="558">
      <c r="A558" t="inlineStr">
        <is>
          <t>R166</t>
        </is>
      </c>
      <c r="B558" t="inlineStr">
        <is>
          <t>Research normalization</t>
        </is>
      </c>
      <c r="C558"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58" t="inlineStr">
        <is>
          <t>Verify source, specify ingredients and process, normalize, cost and trial before release</t>
        </is>
      </c>
    </row>
    <row r="559">
      <c r="A559" t="inlineStr">
        <is>
          <t>R167</t>
        </is>
      </c>
      <c r="B559" t="inlineStr">
        <is>
          <t>Research normalization</t>
        </is>
      </c>
      <c r="C559"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59" t="inlineStr">
        <is>
          <t>Verify source, specify ingredients and process, normalize, cost and trial before release</t>
        </is>
      </c>
    </row>
    <row r="560">
      <c r="A560" t="inlineStr">
        <is>
          <t>R168</t>
        </is>
      </c>
      <c r="B560" t="inlineStr">
        <is>
          <t>Research normalization</t>
        </is>
      </c>
      <c r="C560"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60" t="inlineStr">
        <is>
          <t>Verify source, specify ingredients and process, normalize, cost and trial before release</t>
        </is>
      </c>
    </row>
    <row r="561">
      <c r="A561" t="inlineStr">
        <is>
          <t>R169</t>
        </is>
      </c>
      <c r="B561" t="inlineStr">
        <is>
          <t>Research normalization</t>
        </is>
      </c>
      <c r="C561"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61" t="inlineStr">
        <is>
          <t>Verify source, specify ingredients and process, normalize, cost and trial before release</t>
        </is>
      </c>
    </row>
    <row r="562">
      <c r="A562" t="inlineStr">
        <is>
          <t>R170</t>
        </is>
      </c>
      <c r="B562" t="inlineStr">
        <is>
          <t>Research normalization</t>
        </is>
      </c>
      <c r="C562"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62" t="inlineStr">
        <is>
          <t>Verify source, specify ingredients and process, normalize, cost and trial before release</t>
        </is>
      </c>
    </row>
    <row r="563">
      <c r="A563" t="inlineStr">
        <is>
          <t>R171</t>
        </is>
      </c>
      <c r="B563" t="inlineStr">
        <is>
          <t>Research normalization</t>
        </is>
      </c>
      <c r="C563"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63" t="inlineStr">
        <is>
          <t>Verify source, specify ingredients and process, normalize, cost and trial before release</t>
        </is>
      </c>
    </row>
    <row r="564">
      <c r="A564" t="inlineStr">
        <is>
          <t>R172</t>
        </is>
      </c>
      <c r="B564" t="inlineStr">
        <is>
          <t>Research normalization</t>
        </is>
      </c>
      <c r="C564"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64" t="inlineStr">
        <is>
          <t>Verify source, specify ingredients and process, normalize, cost and trial before release</t>
        </is>
      </c>
    </row>
    <row r="565">
      <c r="A565" t="inlineStr">
        <is>
          <t>R173</t>
        </is>
      </c>
      <c r="B565" t="inlineStr">
        <is>
          <t>Research normalization</t>
        </is>
      </c>
      <c r="C565"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65" t="inlineStr">
        <is>
          <t>Verify source, specify ingredients and process, normalize, cost and trial before release</t>
        </is>
      </c>
    </row>
    <row r="566">
      <c r="A566" t="inlineStr">
        <is>
          <t>R174</t>
        </is>
      </c>
      <c r="B566" t="inlineStr">
        <is>
          <t>Research normalization</t>
        </is>
      </c>
      <c r="C566"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66" t="inlineStr">
        <is>
          <t>Verify source, specify ingredients and process, normalize, cost and trial before release</t>
        </is>
      </c>
    </row>
    <row r="567">
      <c r="A567" t="inlineStr">
        <is>
          <t>R175</t>
        </is>
      </c>
      <c r="B567" t="inlineStr">
        <is>
          <t>Research normalization</t>
        </is>
      </c>
      <c r="C567"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67" t="inlineStr">
        <is>
          <t>Verify source, specify ingredients and process, normalize, cost and trial before release</t>
        </is>
      </c>
    </row>
    <row r="568">
      <c r="A568" t="inlineStr">
        <is>
          <t>R176</t>
        </is>
      </c>
      <c r="B568" t="inlineStr">
        <is>
          <t>Research normalization</t>
        </is>
      </c>
      <c r="C568"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68" t="inlineStr">
        <is>
          <t>Verify source, specify ingredients and process, normalize, cost and trial before release</t>
        </is>
      </c>
    </row>
    <row r="569">
      <c r="A569" t="inlineStr">
        <is>
          <t>R177</t>
        </is>
      </c>
      <c r="B569" t="inlineStr">
        <is>
          <t>Research normalization</t>
        </is>
      </c>
      <c r="C569"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69" t="inlineStr">
        <is>
          <t>Verify source, specify ingredients and process, normalize, cost and trial before release</t>
        </is>
      </c>
    </row>
    <row r="570">
      <c r="A570" t="inlineStr">
        <is>
          <t>R178</t>
        </is>
      </c>
      <c r="B570" t="inlineStr">
        <is>
          <t>Research normalization</t>
        </is>
      </c>
      <c r="C570"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70" t="inlineStr">
        <is>
          <t>Verify source, specify ingredients and process, normalize, cost and trial before release</t>
        </is>
      </c>
    </row>
    <row r="571">
      <c r="A571" t="inlineStr">
        <is>
          <t>R179</t>
        </is>
      </c>
      <c r="B571" t="inlineStr">
        <is>
          <t>Research normalization</t>
        </is>
      </c>
      <c r="C571"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71" t="inlineStr">
        <is>
          <t>Verify source, specify ingredients and process, normalize, cost and trial before release</t>
        </is>
      </c>
    </row>
    <row r="572">
      <c r="A572" t="inlineStr">
        <is>
          <t>R180</t>
        </is>
      </c>
      <c r="B572" t="inlineStr">
        <is>
          <t>Research normalization</t>
        </is>
      </c>
      <c r="C572"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72" t="inlineStr">
        <is>
          <t>Verify source, specify ingredients and process, normalize, cost and trial before release</t>
        </is>
      </c>
    </row>
    <row r="573">
      <c r="A573" t="inlineStr">
        <is>
          <t>R181</t>
        </is>
      </c>
      <c r="B573" t="inlineStr">
        <is>
          <t>Research normalization</t>
        </is>
      </c>
      <c r="C573"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73" t="inlineStr">
        <is>
          <t>Verify source, specify ingredients and process, normalize, cost and trial before release</t>
        </is>
      </c>
    </row>
    <row r="574">
      <c r="A574" t="inlineStr">
        <is>
          <t>R182</t>
        </is>
      </c>
      <c r="B574" t="inlineStr">
        <is>
          <t>Research normalization</t>
        </is>
      </c>
      <c r="C574"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74" t="inlineStr">
        <is>
          <t>Verify source, specify ingredients and process, normalize, cost and trial before release</t>
        </is>
      </c>
    </row>
    <row r="575">
      <c r="A575" t="inlineStr">
        <is>
          <t>R183</t>
        </is>
      </c>
      <c r="B575" t="inlineStr">
        <is>
          <t>Research normalization</t>
        </is>
      </c>
      <c r="C575"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75" t="inlineStr">
        <is>
          <t>Verify source, specify ingredients and process, normalize, cost and trial before release</t>
        </is>
      </c>
    </row>
    <row r="576">
      <c r="A576" t="inlineStr">
        <is>
          <t>R184</t>
        </is>
      </c>
      <c r="B576" t="inlineStr">
        <is>
          <t>Research normalization</t>
        </is>
      </c>
      <c r="C576"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76" t="inlineStr">
        <is>
          <t>Verify source, specify ingredients and process, normalize, cost and trial before release</t>
        </is>
      </c>
    </row>
    <row r="577">
      <c r="A577" t="inlineStr">
        <is>
          <t>R185</t>
        </is>
      </c>
      <c r="B577" t="inlineStr">
        <is>
          <t>Research normalization</t>
        </is>
      </c>
      <c r="C577"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77" t="inlineStr">
        <is>
          <t>Verify source, specify ingredients and process, normalize, cost and trial before release</t>
        </is>
      </c>
    </row>
    <row r="578">
      <c r="A578" t="inlineStr">
        <is>
          <t>R186</t>
        </is>
      </c>
      <c r="B578" t="inlineStr">
        <is>
          <t>Research normalization</t>
        </is>
      </c>
      <c r="C578"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78" t="inlineStr">
        <is>
          <t>Verify source, specify ingredients and process, normalize, cost and trial before release</t>
        </is>
      </c>
    </row>
    <row r="579">
      <c r="A579" t="inlineStr">
        <is>
          <t>R187</t>
        </is>
      </c>
      <c r="B579" t="inlineStr">
        <is>
          <t>Research normalization</t>
        </is>
      </c>
      <c r="C579" t="inlineStr">
        <is>
          <t>Retain flavour/formula difference; do not adopt the stated volume as mass yield. Whole powder is not Millac by default; concentrated milk, stabilizer and emulsifier identities/doses need specification. Heating only when eggs are present, brief unvalidated pot holds, raw post-heat fruit additions and assumed weeks of storage are not approved. Source-specific commercial-use terms are recorded in the original file; this is an internal working comparison.</t>
        </is>
      </c>
      <c r="D579" t="inlineStr">
        <is>
          <t>Verify source, specify ingredients and process, normalize, cost and trial before release</t>
        </is>
      </c>
    </row>
    <row r="580">
      <c r="A580" t="inlineStr">
        <is>
          <t>R188</t>
        </is>
      </c>
      <c r="B580" t="inlineStr">
        <is>
          <t>Research normalization</t>
        </is>
      </c>
      <c r="C580"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80" t="inlineStr">
        <is>
          <t>Verify source, specify ingredients and process, normalize, cost and trial before release</t>
        </is>
      </c>
    </row>
    <row r="581">
      <c r="A581" t="inlineStr">
        <is>
          <t>R189</t>
        </is>
      </c>
      <c r="B581" t="inlineStr">
        <is>
          <t>Research normalization</t>
        </is>
      </c>
      <c r="C581"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81" t="inlineStr">
        <is>
          <t>Verify source, specify ingredients and process, normalize, cost and trial before release</t>
        </is>
      </c>
    </row>
    <row r="582">
      <c r="A582" t="inlineStr">
        <is>
          <t>R190</t>
        </is>
      </c>
      <c r="B582" t="inlineStr">
        <is>
          <t>Research normalization</t>
        </is>
      </c>
      <c r="C582"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82" t="inlineStr">
        <is>
          <t>Verify source, specify ingredients and process, normalize, cost and trial before release</t>
        </is>
      </c>
    </row>
    <row r="583">
      <c r="A583" t="inlineStr">
        <is>
          <t>R191</t>
        </is>
      </c>
      <c r="B583" t="inlineStr">
        <is>
          <t>Research normalization</t>
        </is>
      </c>
      <c r="C583"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83" t="inlineStr">
        <is>
          <t>Verify source, specify ingredients and process, normalize, cost and trial before release</t>
        </is>
      </c>
    </row>
    <row r="584">
      <c r="A584" t="inlineStr">
        <is>
          <t>R192</t>
        </is>
      </c>
      <c r="B584" t="inlineStr">
        <is>
          <t>Research normalization</t>
        </is>
      </c>
      <c r="C584"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84" t="inlineStr">
        <is>
          <t>Verify source, specify ingredients and process, normalize, cost and trial before release</t>
        </is>
      </c>
    </row>
    <row r="585">
      <c r="A585" t="inlineStr">
        <is>
          <t>R193</t>
        </is>
      </c>
      <c r="B585" t="inlineStr">
        <is>
          <t>Research normalization</t>
        </is>
      </c>
      <c r="C585"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85" t="inlineStr">
        <is>
          <t>Verify source, specify ingredients and process, normalize, cost and trial before release</t>
        </is>
      </c>
    </row>
    <row r="586">
      <c r="A586" t="inlineStr">
        <is>
          <t>R194</t>
        </is>
      </c>
      <c r="B586" t="inlineStr">
        <is>
          <t>Research normalization</t>
        </is>
      </c>
      <c r="C586"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86" t="inlineStr">
        <is>
          <t>Verify source, specify ingredients and process, normalize, cost and trial before release</t>
        </is>
      </c>
    </row>
    <row r="587">
      <c r="A587" t="inlineStr">
        <is>
          <t>R195</t>
        </is>
      </c>
      <c r="B587" t="inlineStr">
        <is>
          <t>Research normalization</t>
        </is>
      </c>
      <c r="C587"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87" t="inlineStr">
        <is>
          <t>Verify source, specify ingredients and process, normalize, cost and trial before release</t>
        </is>
      </c>
    </row>
    <row r="588">
      <c r="A588" t="inlineStr">
        <is>
          <t>R196</t>
        </is>
      </c>
      <c r="B588" t="inlineStr">
        <is>
          <t>Research normalization</t>
        </is>
      </c>
      <c r="C588"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88" t="inlineStr">
        <is>
          <t>Verify source, specify ingredients and process, normalize, cost and trial before release</t>
        </is>
      </c>
    </row>
    <row r="589">
      <c r="A589" t="inlineStr">
        <is>
          <t>R197</t>
        </is>
      </c>
      <c r="B589" t="inlineStr">
        <is>
          <t>Research normalization</t>
        </is>
      </c>
      <c r="C589"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89" t="inlineStr">
        <is>
          <t>Verify source, specify ingredients and process, normalize, cost and trial before release</t>
        </is>
      </c>
    </row>
    <row r="590">
      <c r="A590" t="inlineStr">
        <is>
          <t>R198</t>
        </is>
      </c>
      <c r="B590" t="inlineStr">
        <is>
          <t>Research normalization</t>
        </is>
      </c>
      <c r="C590"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90" t="inlineStr">
        <is>
          <t>Verify source, specify ingredients and process, normalize, cost and trial before release</t>
        </is>
      </c>
    </row>
    <row r="591">
      <c r="A591" t="inlineStr">
        <is>
          <t>R199</t>
        </is>
      </c>
      <c r="B591" t="inlineStr">
        <is>
          <t>Research normalization</t>
        </is>
      </c>
      <c r="C591"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91" t="inlineStr">
        <is>
          <t>Verify source, specify ingredients and process, normalize, cost and trial before release</t>
        </is>
      </c>
    </row>
    <row r="592">
      <c r="A592" t="inlineStr">
        <is>
          <t>R200</t>
        </is>
      </c>
      <c r="B592" t="inlineStr">
        <is>
          <t>Research normalization</t>
        </is>
      </c>
      <c r="C592"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92" t="inlineStr">
        <is>
          <t>Verify source, specify ingredients and process, normalize, cost and trial before release</t>
        </is>
      </c>
    </row>
    <row r="593">
      <c r="A593" t="inlineStr">
        <is>
          <t>R201</t>
        </is>
      </c>
      <c r="B593" t="inlineStr">
        <is>
          <t>Research normalization</t>
        </is>
      </c>
      <c r="C593"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93" t="inlineStr">
        <is>
          <t>Verify source, specify ingredients and process, normalize, cost and trial before release</t>
        </is>
      </c>
    </row>
    <row r="594">
      <c r="A594" t="inlineStr">
        <is>
          <t>R202</t>
        </is>
      </c>
      <c r="B594" t="inlineStr">
        <is>
          <t>Research normalization</t>
        </is>
      </c>
      <c r="C594"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94" t="inlineStr">
        <is>
          <t>Verify source, specify ingredients and process, normalize, cost and trial before release</t>
        </is>
      </c>
    </row>
    <row r="595">
      <c r="A595" t="inlineStr">
        <is>
          <t>R203</t>
        </is>
      </c>
      <c r="B595" t="inlineStr">
        <is>
          <t>Research normalization</t>
        </is>
      </c>
      <c r="C595"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95" t="inlineStr">
        <is>
          <t>Verify source, specify ingredients and process, normalize, cost and trial before release</t>
        </is>
      </c>
    </row>
    <row r="596">
      <c r="A596" t="inlineStr">
        <is>
          <t>R204</t>
        </is>
      </c>
      <c r="B596" t="inlineStr">
        <is>
          <t>Research normalization</t>
        </is>
      </c>
      <c r="C596"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96" t="inlineStr">
        <is>
          <t>Verify source, specify ingredients and process, normalize, cost and trial before release</t>
        </is>
      </c>
    </row>
    <row r="597">
      <c r="A597" t="inlineStr">
        <is>
          <t>R205</t>
        </is>
      </c>
      <c r="B597" t="inlineStr">
        <is>
          <t>Research normalization</t>
        </is>
      </c>
      <c r="C597"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97" t="inlineStr">
        <is>
          <t>Verify source, specify ingredients and process, normalize, cost and trial before release</t>
        </is>
      </c>
    </row>
    <row r="598">
      <c r="A598" t="inlineStr">
        <is>
          <t>R206</t>
        </is>
      </c>
      <c r="B598" t="inlineStr">
        <is>
          <t>Research normalization</t>
        </is>
      </c>
      <c r="C598"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98" t="inlineStr">
        <is>
          <t>Verify source, specify ingredients and process, normalize, cost and trial before release</t>
        </is>
      </c>
    </row>
    <row r="599">
      <c r="A599" t="inlineStr">
        <is>
          <t>R207</t>
        </is>
      </c>
      <c r="B599" t="inlineStr">
        <is>
          <t>Research normalization</t>
        </is>
      </c>
      <c r="C599"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599" t="inlineStr">
        <is>
          <t>Verify source, specify ingredients and process, normalize, cost and trial before release</t>
        </is>
      </c>
    </row>
    <row r="600">
      <c r="A600" t="inlineStr">
        <is>
          <t>R208</t>
        </is>
      </c>
      <c r="B600" t="inlineStr">
        <is>
          <t>Research normalization</t>
        </is>
      </c>
      <c r="C600"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600" t="inlineStr">
        <is>
          <t>Verify source, specify ingredients and process, normalize, cost and trial before release</t>
        </is>
      </c>
    </row>
    <row r="601">
      <c r="A601" t="inlineStr">
        <is>
          <t>R209</t>
        </is>
      </c>
      <c r="B601" t="inlineStr">
        <is>
          <t>Research normalization</t>
        </is>
      </c>
      <c r="C601"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601" t="inlineStr">
        <is>
          <t>Verify source, specify ingredients and process, normalize, cost and trial before release</t>
        </is>
      </c>
    </row>
    <row r="602">
      <c r="A602" t="inlineStr">
        <is>
          <t>R210</t>
        </is>
      </c>
      <c r="B602" t="inlineStr">
        <is>
          <t>Research normalization</t>
        </is>
      </c>
      <c r="C602"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602" t="inlineStr">
        <is>
          <t>Verify source, specify ingredients and process, normalize, cost and trial before release</t>
        </is>
      </c>
    </row>
    <row r="603">
      <c r="A603" t="inlineStr">
        <is>
          <t>R211</t>
        </is>
      </c>
      <c r="B603" t="inlineStr">
        <is>
          <t>Research normalization</t>
        </is>
      </c>
      <c r="C603"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603" t="inlineStr">
        <is>
          <t>Verify source, specify ingredients and process, normalize, cost and trial before release</t>
        </is>
      </c>
    </row>
    <row r="604">
      <c r="A604" t="inlineStr">
        <is>
          <t>R212</t>
        </is>
      </c>
      <c r="B604" t="inlineStr">
        <is>
          <t>Research normalization</t>
        </is>
      </c>
      <c r="C604"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604" t="inlineStr">
        <is>
          <t>Verify source, specify ingredients and process, normalize, cost and trial before release</t>
        </is>
      </c>
    </row>
    <row r="605">
      <c r="A605" t="inlineStr">
        <is>
          <t>R213</t>
        </is>
      </c>
      <c r="B605" t="inlineStr">
        <is>
          <t>Research normalization</t>
        </is>
      </c>
      <c r="C605"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605" t="inlineStr">
        <is>
          <t>Verify source, specify ingredients and process, normalize, cost and trial before release</t>
        </is>
      </c>
    </row>
    <row r="606">
      <c r="A606" t="inlineStr">
        <is>
          <t>R214</t>
        </is>
      </c>
      <c r="B606" t="inlineStr">
        <is>
          <t>Research normalization</t>
        </is>
      </c>
      <c r="C606"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606" t="inlineStr">
        <is>
          <t>Verify source, specify ingredients and process, normalize, cost and trial before release</t>
        </is>
      </c>
    </row>
    <row r="607">
      <c r="A607" t="inlineStr">
        <is>
          <t>R215</t>
        </is>
      </c>
      <c r="B607" t="inlineStr">
        <is>
          <t>Research normalization</t>
        </is>
      </c>
      <c r="C607"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607" t="inlineStr">
        <is>
          <t>Verify source, specify ingredients and process, normalize, cost and trial before release</t>
        </is>
      </c>
    </row>
    <row r="608">
      <c r="A608" t="inlineStr">
        <is>
          <t>R216</t>
        </is>
      </c>
      <c r="B608" t="inlineStr">
        <is>
          <t>Research normalization</t>
        </is>
      </c>
      <c r="C608" t="inlineStr">
        <is>
          <t>Domestic batch-freezer recipe; preserve its own cup convention, cream type and paddle method. Weigh the formulation and qualify commercial processing. Adjacent recipes may share this reference page; ingredient association must be checked before adoption. No diabetic, dairy-free or other health claim is adopted.</t>
        </is>
      </c>
      <c r="D608" t="inlineStr">
        <is>
          <t>Verify source, specify ingredients and process, normalize, cost and trial before release</t>
        </is>
      </c>
    </row>
    <row r="609">
      <c r="A609" t="inlineStr">
        <is>
          <t>R217</t>
        </is>
      </c>
      <c r="B609" t="inlineStr">
        <is>
          <t>Research normalization</t>
        </is>
      </c>
      <c r="C609"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09" t="inlineStr">
        <is>
          <t>Verify source, specify ingredients and process, normalize, cost and trial before release</t>
        </is>
      </c>
    </row>
    <row r="610">
      <c r="A610" t="inlineStr">
        <is>
          <t>R218</t>
        </is>
      </c>
      <c r="B610" t="inlineStr">
        <is>
          <t>Research normalization</t>
        </is>
      </c>
      <c r="C610"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10" t="inlineStr">
        <is>
          <t>Verify source, specify ingredients and process, normalize, cost and trial before release</t>
        </is>
      </c>
    </row>
    <row r="611">
      <c r="A611" t="inlineStr">
        <is>
          <t>R219</t>
        </is>
      </c>
      <c r="B611" t="inlineStr">
        <is>
          <t>Research normalization</t>
        </is>
      </c>
      <c r="C611"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11" t="inlineStr">
        <is>
          <t>Verify source, specify ingredients and process, normalize, cost and trial before release</t>
        </is>
      </c>
    </row>
    <row r="612">
      <c r="A612" t="inlineStr">
        <is>
          <t>R220</t>
        </is>
      </c>
      <c r="B612" t="inlineStr">
        <is>
          <t>Research normalization</t>
        </is>
      </c>
      <c r="C612"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12" t="inlineStr">
        <is>
          <t>Verify source, specify ingredients and process, normalize, cost and trial before release</t>
        </is>
      </c>
    </row>
    <row r="613">
      <c r="A613" t="inlineStr">
        <is>
          <t>R221</t>
        </is>
      </c>
      <c r="B613" t="inlineStr">
        <is>
          <t>Research normalization</t>
        </is>
      </c>
      <c r="C613"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13" t="inlineStr">
        <is>
          <t>Verify source, specify ingredients and process, normalize, cost and trial before release</t>
        </is>
      </c>
    </row>
    <row r="614">
      <c r="A614" t="inlineStr">
        <is>
          <t>R222</t>
        </is>
      </c>
      <c r="B614" t="inlineStr">
        <is>
          <t>Research normalization</t>
        </is>
      </c>
      <c r="C614"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14" t="inlineStr">
        <is>
          <t>Verify source, specify ingredients and process, normalize, cost and trial before release</t>
        </is>
      </c>
    </row>
    <row r="615">
      <c r="A615" t="inlineStr">
        <is>
          <t>R223</t>
        </is>
      </c>
      <c r="B615" t="inlineStr">
        <is>
          <t>Research normalization</t>
        </is>
      </c>
      <c r="C615"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15" t="inlineStr">
        <is>
          <t>Verify source, specify ingredients and process, normalize, cost and trial before release</t>
        </is>
      </c>
    </row>
    <row r="616">
      <c r="A616" t="inlineStr">
        <is>
          <t>R224</t>
        </is>
      </c>
      <c r="B616" t="inlineStr">
        <is>
          <t>Research normalization</t>
        </is>
      </c>
      <c r="C616"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16" t="inlineStr">
        <is>
          <t>Verify source, specify ingredients and process, normalize, cost and trial before release</t>
        </is>
      </c>
    </row>
    <row r="617">
      <c r="A617" t="inlineStr">
        <is>
          <t>R225</t>
        </is>
      </c>
      <c r="B617" t="inlineStr">
        <is>
          <t>Research normalization</t>
        </is>
      </c>
      <c r="C617"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17" t="inlineStr">
        <is>
          <t>Verify source, specify ingredients and process, normalize, cost and trial before release</t>
        </is>
      </c>
    </row>
    <row r="618">
      <c r="A618" t="inlineStr">
        <is>
          <t>R226</t>
        </is>
      </c>
      <c r="B618" t="inlineStr">
        <is>
          <t>Research normalization</t>
        </is>
      </c>
      <c r="C618"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18" t="inlineStr">
        <is>
          <t>Verify source, specify ingredients and process, normalize, cost and trial before release</t>
        </is>
      </c>
    </row>
    <row r="619">
      <c r="A619" t="inlineStr">
        <is>
          <t>R227</t>
        </is>
      </c>
      <c r="B619" t="inlineStr">
        <is>
          <t>Research normalization</t>
        </is>
      </c>
      <c r="C619"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19" t="inlineStr">
        <is>
          <t>Verify source, specify ingredients and process, normalize, cost and trial before release</t>
        </is>
      </c>
    </row>
    <row r="620">
      <c r="A620" t="inlineStr">
        <is>
          <t>R228</t>
        </is>
      </c>
      <c r="B620" t="inlineStr">
        <is>
          <t>Research normalization</t>
        </is>
      </c>
      <c r="C620"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20" t="inlineStr">
        <is>
          <t>Verify source, specify ingredients and process, normalize, cost and trial before release</t>
        </is>
      </c>
    </row>
    <row r="621">
      <c r="A621" t="inlineStr">
        <is>
          <t>R229</t>
        </is>
      </c>
      <c r="B621" t="inlineStr">
        <is>
          <t>Research normalization</t>
        </is>
      </c>
      <c r="C621"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21" t="inlineStr">
        <is>
          <t>Verify source, specify ingredients and process, normalize, cost and trial before release</t>
        </is>
      </c>
    </row>
    <row r="622">
      <c r="A622" t="inlineStr">
        <is>
          <t>R230</t>
        </is>
      </c>
      <c r="B622" t="inlineStr">
        <is>
          <t>Research normalization</t>
        </is>
      </c>
      <c r="C622"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22" t="inlineStr">
        <is>
          <t>Verify source, specify ingredients and process, normalize, cost and trial before release</t>
        </is>
      </c>
    </row>
    <row r="623">
      <c r="A623" t="inlineStr">
        <is>
          <t>R231</t>
        </is>
      </c>
      <c r="B623" t="inlineStr">
        <is>
          <t>Research normalization</t>
        </is>
      </c>
      <c r="C623"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23" t="inlineStr">
        <is>
          <t>Verify source, specify ingredients and process, normalize, cost and trial before release</t>
        </is>
      </c>
    </row>
    <row r="624">
      <c r="A624" t="inlineStr">
        <is>
          <t>R232</t>
        </is>
      </c>
      <c r="B624" t="inlineStr">
        <is>
          <t>Research normalization</t>
        </is>
      </c>
      <c r="C624"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24" t="inlineStr">
        <is>
          <t>Verify source, specify ingredients and process, normalize, cost and trial before release</t>
        </is>
      </c>
    </row>
    <row r="625">
      <c r="A625" t="inlineStr">
        <is>
          <t>R233</t>
        </is>
      </c>
      <c r="B625" t="inlineStr">
        <is>
          <t>Research normalization</t>
        </is>
      </c>
      <c r="C625"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25" t="inlineStr">
        <is>
          <t>Verify source, specify ingredients and process, normalize, cost and trial before release</t>
        </is>
      </c>
    </row>
    <row r="626">
      <c r="A626" t="inlineStr">
        <is>
          <t>R234</t>
        </is>
      </c>
      <c r="B626" t="inlineStr">
        <is>
          <t>Research normalization</t>
        </is>
      </c>
      <c r="C626"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26" t="inlineStr">
        <is>
          <t>Verify source, specify ingredients and process, normalize, cost and trial before release</t>
        </is>
      </c>
    </row>
    <row r="627">
      <c r="A627" t="inlineStr">
        <is>
          <t>R235</t>
        </is>
      </c>
      <c r="B627" t="inlineStr">
        <is>
          <t>Research normalization</t>
        </is>
      </c>
      <c r="C627"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27" t="inlineStr">
        <is>
          <t>Verify source, specify ingredients and process, normalize, cost and trial before release</t>
        </is>
      </c>
    </row>
    <row r="628">
      <c r="A628" t="inlineStr">
        <is>
          <t>R236</t>
        </is>
      </c>
      <c r="B628" t="inlineStr">
        <is>
          <t>Research normalization</t>
        </is>
      </c>
      <c r="C628"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28" t="inlineStr">
        <is>
          <t>Verify source, specify ingredients and process, normalize, cost and trial before release</t>
        </is>
      </c>
    </row>
    <row r="629">
      <c r="A629" t="inlineStr">
        <is>
          <t>R237</t>
        </is>
      </c>
      <c r="B629" t="inlineStr">
        <is>
          <t>Research normalization</t>
        </is>
      </c>
      <c r="C629"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29" t="inlineStr">
        <is>
          <t>Verify source, specify ingredients and process, normalize, cost and trial before release</t>
        </is>
      </c>
    </row>
    <row r="630">
      <c r="A630" t="inlineStr">
        <is>
          <t>R238</t>
        </is>
      </c>
      <c r="B630" t="inlineStr">
        <is>
          <t>Research normalization</t>
        </is>
      </c>
      <c r="C630"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30" t="inlineStr">
        <is>
          <t>Verify source, specify ingredients and process, normalize, cost and trial before release</t>
        </is>
      </c>
    </row>
    <row r="631">
      <c r="A631" t="inlineStr">
        <is>
          <t>R239</t>
        </is>
      </c>
      <c r="B631" t="inlineStr">
        <is>
          <t>Research normalization</t>
        </is>
      </c>
      <c r="C631"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31" t="inlineStr">
        <is>
          <t>Verify source, specify ingredients and process, normalize, cost and trial before release</t>
        </is>
      </c>
    </row>
    <row r="632">
      <c r="A632" t="inlineStr">
        <is>
          <t>R240</t>
        </is>
      </c>
      <c r="B632" t="inlineStr">
        <is>
          <t>Research normalization</t>
        </is>
      </c>
      <c r="C632"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32" t="inlineStr">
        <is>
          <t>Verify source, specify ingredients and process, normalize, cost and trial before release</t>
        </is>
      </c>
    </row>
    <row r="633">
      <c r="A633" t="inlineStr">
        <is>
          <t>R241</t>
        </is>
      </c>
      <c r="B633" t="inlineStr">
        <is>
          <t>Research normalization</t>
        </is>
      </c>
      <c r="C633"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33" t="inlineStr">
        <is>
          <t>Verify source, specify ingredients and process, normalize, cost and trial before release</t>
        </is>
      </c>
    </row>
    <row r="634">
      <c r="A634" t="inlineStr">
        <is>
          <t>R242</t>
        </is>
      </c>
      <c r="B634" t="inlineStr">
        <is>
          <t>Research normalization</t>
        </is>
      </c>
      <c r="C634"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34" t="inlineStr">
        <is>
          <t>Verify source, specify ingredients and process, normalize, cost and trial before release</t>
        </is>
      </c>
    </row>
    <row r="635">
      <c r="A635" t="inlineStr">
        <is>
          <t>R243</t>
        </is>
      </c>
      <c r="B635" t="inlineStr">
        <is>
          <t>Research normalization</t>
        </is>
      </c>
      <c r="C635"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35" t="inlineStr">
        <is>
          <t>Verify source, specify ingredients and process, normalize, cost and trial before release</t>
        </is>
      </c>
    </row>
    <row r="636">
      <c r="A636" t="inlineStr">
        <is>
          <t>R244</t>
        </is>
      </c>
      <c r="B636" t="inlineStr">
        <is>
          <t>Research normalization</t>
        </is>
      </c>
      <c r="C636" t="inlineStr">
        <is>
          <t>Source page may contain several variants or continued recipes; retain all listed quantities and see the adjoining original page for context. Vague household measures, product specifications and commercial process/yield remain unresolved. Do not use peach/apricot pits or bitter kernels for flavour extraction. Raw-egg and raw-fruit cold mixtures need a qualified safe process; frozen savoury stock is a perishable food.</t>
        </is>
      </c>
      <c r="D636" t="inlineStr">
        <is>
          <t>Verify source, specify ingredients and process, normalize, cost and trial before release</t>
        </is>
      </c>
    </row>
    <row r="637">
      <c r="A637" t="inlineStr">
        <is>
          <t>R245</t>
        </is>
      </c>
      <c r="B637" t="inlineStr">
        <is>
          <t>Research normalization</t>
        </is>
      </c>
      <c r="C637" t="inlineStr">
        <is>
          <t>Source page may contain several variants or continued recipes; retain all listed quantities and see the adjoining original page for context. Vague household measures, product specifications and commercial process/yield remain unresolved.</t>
        </is>
      </c>
      <c r="D637" t="inlineStr">
        <is>
          <t>Verify source, specify ingredients and process, normalize, cost and trial before release</t>
        </is>
      </c>
    </row>
    <row r="638">
      <c r="A638" t="inlineStr">
        <is>
          <t>R246</t>
        </is>
      </c>
      <c r="B638" t="inlineStr">
        <is>
          <t>Research normalization</t>
        </is>
      </c>
      <c r="C638" t="inlineStr">
        <is>
          <t>Source page may contain several variants or continued recipes; retain all listed quantities and see the adjoining original page for context. Vague household measures, product specifications and commercial process/yield remain unresolved.</t>
        </is>
      </c>
      <c r="D638" t="inlineStr">
        <is>
          <t>Verify source, specify ingredients and process, normalize, cost and trial before release</t>
        </is>
      </c>
    </row>
    <row r="639">
      <c r="A639" t="inlineStr">
        <is>
          <t>R247</t>
        </is>
      </c>
      <c r="B639" t="inlineStr">
        <is>
          <t>Research normalization</t>
        </is>
      </c>
      <c r="C639" t="inlineStr">
        <is>
          <t>Source page may contain several variants or continued recipes; retain all listed quantities and see the adjoining original page for context. Vague household measures, product specifications and commercial process/yield remain unresolved.</t>
        </is>
      </c>
      <c r="D639" t="inlineStr">
        <is>
          <t>Verify source, specify ingredients and process, normalize, cost and trial before release</t>
        </is>
      </c>
    </row>
    <row r="640">
      <c r="A640" t="inlineStr">
        <is>
          <t>R248</t>
        </is>
      </c>
      <c r="B640" t="inlineStr">
        <is>
          <t>Research normalization</t>
        </is>
      </c>
      <c r="C640"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c r="D640" t="inlineStr">
        <is>
          <t>Verify source, specify ingredients and process, normalize, cost and trial before release</t>
        </is>
      </c>
    </row>
    <row r="641">
      <c r="A641" t="inlineStr">
        <is>
          <t>R249</t>
        </is>
      </c>
      <c r="B641" t="inlineStr">
        <is>
          <t>Research normalization</t>
        </is>
      </c>
      <c r="C641"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c r="D641" t="inlineStr">
        <is>
          <t>Verify source, specify ingredients and process, normalize, cost and trial before release</t>
        </is>
      </c>
    </row>
    <row r="642">
      <c r="A642" t="inlineStr">
        <is>
          <t>R250</t>
        </is>
      </c>
      <c r="B642" t="inlineStr">
        <is>
          <t>Research normalization</t>
        </is>
      </c>
      <c r="C642"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c r="D642" t="inlineStr">
        <is>
          <t>Verify source, specify ingredients and process, normalize, cost and trial before release</t>
        </is>
      </c>
    </row>
    <row r="643">
      <c r="A643" t="inlineStr">
        <is>
          <t>R251</t>
        </is>
      </c>
      <c r="B643" t="inlineStr">
        <is>
          <t>Research normalization</t>
        </is>
      </c>
      <c r="C643"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c r="D643" t="inlineStr">
        <is>
          <t>Verify source, specify ingredients and process, normalize, cost and trial before release</t>
        </is>
      </c>
    </row>
    <row r="644">
      <c r="A644" t="inlineStr">
        <is>
          <t>R252</t>
        </is>
      </c>
      <c r="B644" t="inlineStr">
        <is>
          <t>Research normalization</t>
        </is>
      </c>
      <c r="C644"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c r="D644" t="inlineStr">
        <is>
          <t>Verify source, specify ingredients and process, normalize, cost and trial before release</t>
        </is>
      </c>
    </row>
    <row r="645">
      <c r="A645" t="inlineStr">
        <is>
          <t>R253</t>
        </is>
      </c>
      <c r="B645" t="inlineStr">
        <is>
          <t>Research normalization</t>
        </is>
      </c>
      <c r="C645"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c r="D645" t="inlineStr">
        <is>
          <t>Verify source, specify ingredients and process, normalize, cost and trial before release</t>
        </is>
      </c>
    </row>
    <row r="646">
      <c r="A646" t="inlineStr">
        <is>
          <t>R254</t>
        </is>
      </c>
      <c r="B646" t="inlineStr">
        <is>
          <t>Research normalization</t>
        </is>
      </c>
      <c r="C646"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c r="D646" t="inlineStr">
        <is>
          <t>Verify source, specify ingredients and process, normalize, cost and trial before release</t>
        </is>
      </c>
    </row>
    <row r="647">
      <c r="A647" t="inlineStr">
        <is>
          <t>R255</t>
        </is>
      </c>
      <c r="B647" t="inlineStr">
        <is>
          <t>Research normalization</t>
        </is>
      </c>
      <c r="C647"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c r="D647" t="inlineStr">
        <is>
          <t>Verify source, specify ingredients and process, normalize, cost and trial before release</t>
        </is>
      </c>
    </row>
    <row r="648">
      <c r="A648" t="inlineStr">
        <is>
          <t>R256</t>
        </is>
      </c>
      <c r="B648" t="inlineStr">
        <is>
          <t>Research normalization</t>
        </is>
      </c>
      <c r="C648" t="inlineStr">
        <is>
          <t>Source page may contain several variants or continued recipes; retain all listed quantities and see the adjoining original page for context. Vague household measures, product specifications and commercial process/yield remain unresolved. Spontaneous/chilli-stem starter, indefinite culture reuse, generic preservatives and promised long shelf life are rejected. Use an identified commercial starter and C04.</t>
        </is>
      </c>
      <c r="D648" t="inlineStr">
        <is>
          <t>Verify source, specify ingredients and process, normalize, cost and trial before release</t>
        </is>
      </c>
    </row>
    <row r="649">
      <c r="A649" t="inlineStr">
        <is>
          <t>R257</t>
        </is>
      </c>
      <c r="B649" t="inlineStr">
        <is>
          <t>Research normalization</t>
        </is>
      </c>
      <c r="C649"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49" t="inlineStr">
        <is>
          <t>Verify source, specify ingredients and process, normalize, cost and trial before release</t>
        </is>
      </c>
    </row>
    <row r="650">
      <c r="A650" t="inlineStr">
        <is>
          <t>R258</t>
        </is>
      </c>
      <c r="B650" t="inlineStr">
        <is>
          <t>Research normalization</t>
        </is>
      </c>
      <c r="C650"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50" t="inlineStr">
        <is>
          <t>Verify source, specify ingredients and process, normalize, cost and trial before release</t>
        </is>
      </c>
    </row>
    <row r="651">
      <c r="A651" t="inlineStr">
        <is>
          <t>R259</t>
        </is>
      </c>
      <c r="B651" t="inlineStr">
        <is>
          <t>Research normalization</t>
        </is>
      </c>
      <c r="C651"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51" t="inlineStr">
        <is>
          <t>Verify source, specify ingredients and process, normalize, cost and trial before release</t>
        </is>
      </c>
    </row>
    <row r="652">
      <c r="A652" t="inlineStr">
        <is>
          <t>R260</t>
        </is>
      </c>
      <c r="B652" t="inlineStr">
        <is>
          <t>Research normalization</t>
        </is>
      </c>
      <c r="C652"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52" t="inlineStr">
        <is>
          <t>Verify source, specify ingredients and process, normalize, cost and trial before release</t>
        </is>
      </c>
    </row>
    <row r="653">
      <c r="A653" t="inlineStr">
        <is>
          <t>R261</t>
        </is>
      </c>
      <c r="B653" t="inlineStr">
        <is>
          <t>Research normalization</t>
        </is>
      </c>
      <c r="C653"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53" t="inlineStr">
        <is>
          <t>Verify source, specify ingredients and process, normalize, cost and trial before release</t>
        </is>
      </c>
    </row>
    <row r="654">
      <c r="A654" t="inlineStr">
        <is>
          <t>R262</t>
        </is>
      </c>
      <c r="B654" t="inlineStr">
        <is>
          <t>Research normalization</t>
        </is>
      </c>
      <c r="C654"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54" t="inlineStr">
        <is>
          <t>Verify source, specify ingredients and process, normalize, cost and trial before release</t>
        </is>
      </c>
    </row>
    <row r="655">
      <c r="A655" t="inlineStr">
        <is>
          <t>R263</t>
        </is>
      </c>
      <c r="B655" t="inlineStr">
        <is>
          <t>Research normalization</t>
        </is>
      </c>
      <c r="C655"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55" t="inlineStr">
        <is>
          <t>Verify source, specify ingredients and process, normalize, cost and trial before release</t>
        </is>
      </c>
    </row>
    <row r="656">
      <c r="A656" t="inlineStr">
        <is>
          <t>R264</t>
        </is>
      </c>
      <c r="B656" t="inlineStr">
        <is>
          <t>Research normalization</t>
        </is>
      </c>
      <c r="C656"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56" t="inlineStr">
        <is>
          <t>Verify source, specify ingredients and process, normalize, cost and trial before release</t>
        </is>
      </c>
    </row>
    <row r="657">
      <c r="A657" t="inlineStr">
        <is>
          <t>R265</t>
        </is>
      </c>
      <c r="B657" t="inlineStr">
        <is>
          <t>Research normalization</t>
        </is>
      </c>
      <c r="C657"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57" t="inlineStr">
        <is>
          <t>Verify source, specify ingredients and process, normalize, cost and trial before release</t>
        </is>
      </c>
    </row>
    <row r="658">
      <c r="A658" t="inlineStr">
        <is>
          <t>R266</t>
        </is>
      </c>
      <c r="B658" t="inlineStr">
        <is>
          <t>Research normalization</t>
        </is>
      </c>
      <c r="C658"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58" t="inlineStr">
        <is>
          <t>Verify source, specify ingredients and process, normalize, cost and trial before release</t>
        </is>
      </c>
    </row>
    <row r="659">
      <c r="A659" t="inlineStr">
        <is>
          <t>R267</t>
        </is>
      </c>
      <c r="B659" t="inlineStr">
        <is>
          <t>Research normalization</t>
        </is>
      </c>
      <c r="C659"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59" t="inlineStr">
        <is>
          <t>Verify source, specify ingredients and process, normalize, cost and trial before release</t>
        </is>
      </c>
    </row>
    <row r="660">
      <c r="A660" t="inlineStr">
        <is>
          <t>R268</t>
        </is>
      </c>
      <c r="B660" t="inlineStr">
        <is>
          <t>Research normalization</t>
        </is>
      </c>
      <c r="C660"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60" t="inlineStr">
        <is>
          <t>Verify source, specify ingredients and process, normalize, cost and trial before release</t>
        </is>
      </c>
    </row>
    <row r="661">
      <c r="A661" t="inlineStr">
        <is>
          <t>R269</t>
        </is>
      </c>
      <c r="B661" t="inlineStr">
        <is>
          <t>Research normalization</t>
        </is>
      </c>
      <c r="C661"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61" t="inlineStr">
        <is>
          <t>Verify source, specify ingredients and process, normalize, cost and trial before release</t>
        </is>
      </c>
    </row>
    <row r="662">
      <c r="A662" t="inlineStr">
        <is>
          <t>R270</t>
        </is>
      </c>
      <c r="B662" t="inlineStr">
        <is>
          <t>Research normalization</t>
        </is>
      </c>
      <c r="C662"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62" t="inlineStr">
        <is>
          <t>Verify source, specify ingredients and process, normalize, cost and trial before release</t>
        </is>
      </c>
    </row>
    <row r="663">
      <c r="A663" t="inlineStr">
        <is>
          <t>R271</t>
        </is>
      </c>
      <c r="B663" t="inlineStr">
        <is>
          <t>Research normalization</t>
        </is>
      </c>
      <c r="C663"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63" t="inlineStr">
        <is>
          <t>Verify source, specify ingredients and process, normalize, cost and trial before release</t>
        </is>
      </c>
    </row>
    <row r="664">
      <c r="A664" t="inlineStr">
        <is>
          <t>R272</t>
        </is>
      </c>
      <c r="B664" t="inlineStr">
        <is>
          <t>Research normalization</t>
        </is>
      </c>
      <c r="C664"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64" t="inlineStr">
        <is>
          <t>Verify source, specify ingredients and process, normalize, cost and trial before release</t>
        </is>
      </c>
    </row>
    <row r="665">
      <c r="A665" t="inlineStr">
        <is>
          <t>R273</t>
        </is>
      </c>
      <c r="B665" t="inlineStr">
        <is>
          <t>Research normalization</t>
        </is>
      </c>
      <c r="C665"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65" t="inlineStr">
        <is>
          <t>Verify source, specify ingredients and process, normalize, cost and trial before release</t>
        </is>
      </c>
    </row>
    <row r="666">
      <c r="A666" t="inlineStr">
        <is>
          <t>R274</t>
        </is>
      </c>
      <c r="B666" t="inlineStr">
        <is>
          <t>Research normalization</t>
        </is>
      </c>
      <c r="C666"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66" t="inlineStr">
        <is>
          <t>Verify source, specify ingredients and process, normalize, cost and trial before release</t>
        </is>
      </c>
    </row>
    <row r="667">
      <c r="A667" t="inlineStr">
        <is>
          <t>R275</t>
        </is>
      </c>
      <c r="B667" t="inlineStr">
        <is>
          <t>Research normalization</t>
        </is>
      </c>
      <c r="C667"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67" t="inlineStr">
        <is>
          <t>Verify source, specify ingredients and process, normalize, cost and trial before release</t>
        </is>
      </c>
    </row>
    <row r="668">
      <c r="A668" t="inlineStr">
        <is>
          <t>R276</t>
        </is>
      </c>
      <c r="B668" t="inlineStr">
        <is>
          <t>Research normalization</t>
        </is>
      </c>
      <c r="C668"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68" t="inlineStr">
        <is>
          <t>Verify source, specify ingredients and process, normalize, cost and trial before release</t>
        </is>
      </c>
    </row>
    <row r="669">
      <c r="A669" t="inlineStr">
        <is>
          <t>R277</t>
        </is>
      </c>
      <c r="B669" t="inlineStr">
        <is>
          <t>Research normalization</t>
        </is>
      </c>
      <c r="C669"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69" t="inlineStr">
        <is>
          <t>Verify source, specify ingredients and process, normalize, cost and trial before release</t>
        </is>
      </c>
    </row>
    <row r="670">
      <c r="A670" t="inlineStr">
        <is>
          <t>R278</t>
        </is>
      </c>
      <c r="B670" t="inlineStr">
        <is>
          <t>Research normalization</t>
        </is>
      </c>
      <c r="C670"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70" t="inlineStr">
        <is>
          <t>Verify source, specify ingredients and process, normalize, cost and trial before release</t>
        </is>
      </c>
    </row>
    <row r="671">
      <c r="A671" t="inlineStr">
        <is>
          <t>R279</t>
        </is>
      </c>
      <c r="B671" t="inlineStr">
        <is>
          <t>Research normalization</t>
        </is>
      </c>
      <c r="C671"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71" t="inlineStr">
        <is>
          <t>Verify source, specify ingredients and process, normalize, cost and trial before release</t>
        </is>
      </c>
    </row>
    <row r="672">
      <c r="A672" t="inlineStr">
        <is>
          <t>R280</t>
        </is>
      </c>
      <c r="B672" t="inlineStr">
        <is>
          <t>Research normalization</t>
        </is>
      </c>
      <c r="C672"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72" t="inlineStr">
        <is>
          <t>Verify source, specify ingredients and process, normalize, cost and trial before release</t>
        </is>
      </c>
    </row>
    <row r="673">
      <c r="A673" t="inlineStr">
        <is>
          <t>R281</t>
        </is>
      </c>
      <c r="B673" t="inlineStr">
        <is>
          <t>Research normalization</t>
        </is>
      </c>
      <c r="C673"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73" t="inlineStr">
        <is>
          <t>Verify source, specify ingredients and process, normalize, cost and trial before release</t>
        </is>
      </c>
    </row>
    <row r="674">
      <c r="A674" t="inlineStr">
        <is>
          <t>R282</t>
        </is>
      </c>
      <c r="B674" t="inlineStr">
        <is>
          <t>Research normalization</t>
        </is>
      </c>
      <c r="C674"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74" t="inlineStr">
        <is>
          <t>Verify source, specify ingredients and process, normalize, cost and trial before release</t>
        </is>
      </c>
    </row>
    <row r="675">
      <c r="A675" t="inlineStr">
        <is>
          <t>R283</t>
        </is>
      </c>
      <c r="B675" t="inlineStr">
        <is>
          <t>Research normalization</t>
        </is>
      </c>
      <c r="C675"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75" t="inlineStr">
        <is>
          <t>Verify source, specify ingredients and process, normalize, cost and trial before release</t>
        </is>
      </c>
    </row>
    <row r="676">
      <c r="A676" t="inlineStr">
        <is>
          <t>R284</t>
        </is>
      </c>
      <c r="B676" t="inlineStr">
        <is>
          <t>Research normalization</t>
        </is>
      </c>
      <c r="C676" t="inlineStr">
        <is>
          <t>Source page may contain several variants or continued recipes; retain all listed quantities and see the adjoining original page for context. Vague household measures, product specifications and commercial process/yield remain unresolved. Unidentified EDC, softener and antimould doses from this third-party book are not covered by the owner’s workbook clarification. Omit improver in any adaptation; no preservative or manufacturing-license claim is adopted.</t>
        </is>
      </c>
      <c r="D676" t="inlineStr">
        <is>
          <t>Verify source, specify ingredients and process, normalize, cost and trial before release</t>
        </is>
      </c>
    </row>
    <row r="677">
      <c r="A677" t="inlineStr">
        <is>
          <t>R285</t>
        </is>
      </c>
      <c r="B677" t="inlineStr">
        <is>
          <t>Research normalization</t>
        </is>
      </c>
      <c r="C677"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77" t="inlineStr">
        <is>
          <t>Verify source, specify ingredients and process, normalize, cost and trial before release</t>
        </is>
      </c>
    </row>
    <row r="678">
      <c r="A678" t="inlineStr">
        <is>
          <t>R286</t>
        </is>
      </c>
      <c r="B678" t="inlineStr">
        <is>
          <t>Research normalization</t>
        </is>
      </c>
      <c r="C678"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78" t="inlineStr">
        <is>
          <t>Verify source, specify ingredients and process, normalize, cost and trial before release</t>
        </is>
      </c>
    </row>
    <row r="679">
      <c r="A679" t="inlineStr">
        <is>
          <t>R287</t>
        </is>
      </c>
      <c r="B679" t="inlineStr">
        <is>
          <t>Research normalization</t>
        </is>
      </c>
      <c r="C679"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79" t="inlineStr">
        <is>
          <t>Verify source, specify ingredients and process, normalize, cost and trial before release</t>
        </is>
      </c>
    </row>
    <row r="680">
      <c r="A680" t="inlineStr">
        <is>
          <t>R288</t>
        </is>
      </c>
      <c r="B680" t="inlineStr">
        <is>
          <t>Research normalization</t>
        </is>
      </c>
      <c r="C680"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80" t="inlineStr">
        <is>
          <t>Verify source, specify ingredients and process, normalize, cost and trial before release</t>
        </is>
      </c>
    </row>
    <row r="681">
      <c r="A681" t="inlineStr">
        <is>
          <t>R289</t>
        </is>
      </c>
      <c r="B681" t="inlineStr">
        <is>
          <t>Research normalization</t>
        </is>
      </c>
      <c r="C681"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81" t="inlineStr">
        <is>
          <t>Verify source, specify ingredients and process, normalize, cost and trial before release</t>
        </is>
      </c>
    </row>
    <row r="682">
      <c r="A682" t="inlineStr">
        <is>
          <t>R290</t>
        </is>
      </c>
      <c r="B682" t="inlineStr">
        <is>
          <t>Research normalization</t>
        </is>
      </c>
      <c r="C682"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82" t="inlineStr">
        <is>
          <t>Verify source, specify ingredients and process, normalize, cost and trial before release</t>
        </is>
      </c>
    </row>
    <row r="683">
      <c r="A683" t="inlineStr">
        <is>
          <t>R291</t>
        </is>
      </c>
      <c r="B683" t="inlineStr">
        <is>
          <t>Research normalization</t>
        </is>
      </c>
      <c r="C683"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83" t="inlineStr">
        <is>
          <t>Verify source, specify ingredients and process, normalize, cost and trial before release</t>
        </is>
      </c>
    </row>
    <row r="684">
      <c r="A684" t="inlineStr">
        <is>
          <t>R292</t>
        </is>
      </c>
      <c r="B684" t="inlineStr">
        <is>
          <t>Research normalization</t>
        </is>
      </c>
      <c r="C684"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84" t="inlineStr">
        <is>
          <t>Verify source, specify ingredients and process, normalize, cost and trial before release</t>
        </is>
      </c>
    </row>
    <row r="685">
      <c r="A685" t="inlineStr">
        <is>
          <t>R293</t>
        </is>
      </c>
      <c r="B685" t="inlineStr">
        <is>
          <t>Research normalization</t>
        </is>
      </c>
      <c r="C685"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85" t="inlineStr">
        <is>
          <t>Verify source, specify ingredients and process, normalize, cost and trial before release</t>
        </is>
      </c>
    </row>
    <row r="686">
      <c r="A686" t="inlineStr">
        <is>
          <t>R294</t>
        </is>
      </c>
      <c r="B686" t="inlineStr">
        <is>
          <t>Research normalization</t>
        </is>
      </c>
      <c r="C686"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86" t="inlineStr">
        <is>
          <t>Verify source, specify ingredients and process, normalize, cost and trial before release</t>
        </is>
      </c>
    </row>
    <row r="687">
      <c r="A687" t="inlineStr">
        <is>
          <t>R295</t>
        </is>
      </c>
      <c r="B687" t="inlineStr">
        <is>
          <t>Research normalization</t>
        </is>
      </c>
      <c r="C687"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87" t="inlineStr">
        <is>
          <t>Verify source, specify ingredients and process, normalize, cost and trial before release</t>
        </is>
      </c>
    </row>
    <row r="688">
      <c r="A688" t="inlineStr">
        <is>
          <t>R296</t>
        </is>
      </c>
      <c r="B688" t="inlineStr">
        <is>
          <t>Research normalization</t>
        </is>
      </c>
      <c r="C688"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88" t="inlineStr">
        <is>
          <t>Verify source, specify ingredients and process, normalize, cost and trial before release</t>
        </is>
      </c>
    </row>
    <row r="689">
      <c r="A689" t="inlineStr">
        <is>
          <t>R297</t>
        </is>
      </c>
      <c r="B689" t="inlineStr">
        <is>
          <t>Research normalization</t>
        </is>
      </c>
      <c r="C689"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89" t="inlineStr">
        <is>
          <t>Verify source, specify ingredients and process, normalize, cost and trial before release</t>
        </is>
      </c>
    </row>
    <row r="690">
      <c r="A690" t="inlineStr">
        <is>
          <t>R298</t>
        </is>
      </c>
      <c r="B690" t="inlineStr">
        <is>
          <t>Research normalization</t>
        </is>
      </c>
      <c r="C690"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90" t="inlineStr">
        <is>
          <t>Verify source, specify ingredients and process, normalize, cost and trial before release</t>
        </is>
      </c>
    </row>
    <row r="691">
      <c r="A691" t="inlineStr">
        <is>
          <t>R299</t>
        </is>
      </c>
      <c r="B691" t="inlineStr">
        <is>
          <t>Research normalization</t>
        </is>
      </c>
      <c r="C691"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91" t="inlineStr">
        <is>
          <t>Verify source, specify ingredients and process, normalize, cost and trial before release</t>
        </is>
      </c>
    </row>
    <row r="692">
      <c r="A692" t="inlineStr">
        <is>
          <t>R300</t>
        </is>
      </c>
      <c r="B692" t="inlineStr">
        <is>
          <t>Research normalization</t>
        </is>
      </c>
      <c r="C692"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92" t="inlineStr">
        <is>
          <t>Verify source, specify ingredients and process, normalize, cost and trial before release</t>
        </is>
      </c>
    </row>
    <row r="693">
      <c r="A693" t="inlineStr">
        <is>
          <t>R301</t>
        </is>
      </c>
      <c r="B693" t="inlineStr">
        <is>
          <t>Research normalization</t>
        </is>
      </c>
      <c r="C693"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93" t="inlineStr">
        <is>
          <t>Verify source, specify ingredients and process, normalize, cost and trial before release</t>
        </is>
      </c>
    </row>
    <row r="694">
      <c r="A694" t="inlineStr">
        <is>
          <t>R302</t>
        </is>
      </c>
      <c r="B694" t="inlineStr">
        <is>
          <t>Research normalization</t>
        </is>
      </c>
      <c r="C694"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94" t="inlineStr">
        <is>
          <t>Verify source, specify ingredients and process, normalize, cost and trial before release</t>
        </is>
      </c>
    </row>
    <row r="695">
      <c r="A695" t="inlineStr">
        <is>
          <t>R303</t>
        </is>
      </c>
      <c r="B695" t="inlineStr">
        <is>
          <t>Research normalization</t>
        </is>
      </c>
      <c r="C695"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95" t="inlineStr">
        <is>
          <t>Verify source, specify ingredients and process, normalize, cost and trial before release</t>
        </is>
      </c>
    </row>
    <row r="696">
      <c r="A696" t="inlineStr">
        <is>
          <t>R304</t>
        </is>
      </c>
      <c r="B696" t="inlineStr">
        <is>
          <t>Research normalization</t>
        </is>
      </c>
      <c r="C696"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96" t="inlineStr">
        <is>
          <t>Verify source, specify ingredients and process, normalize, cost and trial before release</t>
        </is>
      </c>
    </row>
    <row r="697">
      <c r="A697" t="inlineStr">
        <is>
          <t>R305</t>
        </is>
      </c>
      <c r="B697" t="inlineStr">
        <is>
          <t>Research normalization</t>
        </is>
      </c>
      <c r="C697" t="inlineStr">
        <is>
          <t>Retained source variant or collection. Compare with the named working card; do not copy old prices, capacity guarantees, oven exhaust advice or shelf-life promises. Unspecified measures and component splits stay unresolved; source butter is not automatically the owner’s workbook margarine.</t>
        </is>
      </c>
      <c r="D697" t="inlineStr">
        <is>
          <t>Verify source, specify ingredients and process, normalize, cost and trial before release</t>
        </is>
      </c>
    </row>
    <row r="698">
      <c r="A698" t="inlineStr">
        <is>
          <t>R306</t>
        </is>
      </c>
      <c r="B698" t="inlineStr">
        <is>
          <t>Research normalization</t>
        </is>
      </c>
      <c r="C698" t="inlineStr">
        <is>
          <t>Check OCR against the image; weigh count/cup/spoon ingredients before scaling. A short cook time or microwave finish does not establish a safe burger centre. Wet fillings require C01 cooling and cold holding. H18/H19 provide two explicit filling adaptations.</t>
        </is>
      </c>
      <c r="D698" t="inlineStr">
        <is>
          <t>Verify source, specify ingredients and process, normalize, cost and trial before release</t>
        </is>
      </c>
    </row>
    <row r="699">
      <c r="A699" t="inlineStr">
        <is>
          <t>R307</t>
        </is>
      </c>
      <c r="B699" t="inlineStr">
        <is>
          <t>Research normalization</t>
        </is>
      </c>
      <c r="C699" t="inlineStr">
        <is>
          <t>Check OCR against the image; weigh count/cup/spoon ingredients before scaling. A short cook time or microwave finish does not establish a safe burger centre. Wet fillings require C01 cooling and cold holding. H18/H19 provide two explicit filling adaptations.</t>
        </is>
      </c>
      <c r="D699" t="inlineStr">
        <is>
          <t>Verify source, specify ingredients and process, normalize, cost and trial before release</t>
        </is>
      </c>
    </row>
    <row r="700">
      <c r="A700" t="inlineStr">
        <is>
          <t>R308</t>
        </is>
      </c>
      <c r="B700" t="inlineStr">
        <is>
          <t>Research normalization</t>
        </is>
      </c>
      <c r="C700" t="inlineStr">
        <is>
          <t>Check OCR against the image; weigh count/cup/spoon ingredients before scaling. A short cook time or microwave finish does not establish a safe burger centre. Wet fillings require C01 cooling and cold holding. H18/H19 provide two explicit filling adaptations.</t>
        </is>
      </c>
      <c r="D700" t="inlineStr">
        <is>
          <t>Verify source, specify ingredients and process, normalize, cost and trial before release</t>
        </is>
      </c>
    </row>
    <row r="701">
      <c r="A701" t="inlineStr">
        <is>
          <t>R309</t>
        </is>
      </c>
      <c r="B701" t="inlineStr">
        <is>
          <t>Research normalization</t>
        </is>
      </c>
      <c r="C701" t="inlineStr">
        <is>
          <t>Check OCR against the image; weigh count/cup/spoon ingredients before scaling. A short cook time or microwave finish does not establish a safe burger centre. Wet fillings require C01 cooling and cold holding. H18/H19 provide two explicit filling adaptations.</t>
        </is>
      </c>
      <c r="D701" t="inlineStr">
        <is>
          <t>Verify source, specify ingredients and process, normalize, cost and trial before release</t>
        </is>
      </c>
    </row>
    <row r="702">
      <c r="A702" t="inlineStr">
        <is>
          <t>R310</t>
        </is>
      </c>
      <c r="B702" t="inlineStr">
        <is>
          <t>Research normalization</t>
        </is>
      </c>
      <c r="C702" t="inlineStr">
        <is>
          <t>Check OCR against the image; weigh count/cup/spoon ingredients before scaling. A short cook time or microwave finish does not establish a safe burger centre. Wet fillings require C01 cooling and cold holding. H18/H19 provide two explicit filling adaptations.</t>
        </is>
      </c>
      <c r="D702" t="inlineStr">
        <is>
          <t>Verify source, specify ingredients and process, normalize, cost and trial before release</t>
        </is>
      </c>
    </row>
    <row r="703">
      <c r="A703" t="inlineStr">
        <is>
          <t>R311</t>
        </is>
      </c>
      <c r="B703" t="inlineStr">
        <is>
          <t>Research normalization</t>
        </is>
      </c>
      <c r="C703" t="inlineStr">
        <is>
          <t>Check OCR against the image; weigh count/cup/spoon ingredients before scaling. A short cook time or microwave finish does not establish a safe burger centre. Wet fillings require C01 cooling and cold holding. H18/H19 provide two explicit filling adaptations.</t>
        </is>
      </c>
      <c r="D703" t="inlineStr">
        <is>
          <t>Verify source, specify ingredients and process, normalize, cost and trial before release</t>
        </is>
      </c>
    </row>
    <row r="704">
      <c r="A704" t="inlineStr">
        <is>
          <t>R312</t>
        </is>
      </c>
      <c r="B704" t="inlineStr">
        <is>
          <t>Research normalization</t>
        </is>
      </c>
      <c r="C704" t="inlineStr">
        <is>
          <t>Check OCR against the image; weigh count/cup/spoon ingredients before scaling. A short cook time or microwave finish does not establish a safe burger centre. Wet fillings require C01 cooling and cold holding. H18/H19 provide two explicit filling adaptations.</t>
        </is>
      </c>
      <c r="D704" t="inlineStr">
        <is>
          <t>Verify source, specify ingredients and process, normalize, cost and trial before release</t>
        </is>
      </c>
    </row>
    <row r="705">
      <c r="A705" t="inlineStr">
        <is>
          <t>R313</t>
        </is>
      </c>
      <c r="B705" t="inlineStr">
        <is>
          <t>Research normalization</t>
        </is>
      </c>
      <c r="C705" t="inlineStr">
        <is>
          <t>Check OCR against the image; weigh count/cup/spoon ingredients before scaling. A short cook time or microwave finish does not establish a safe burger centre. Wet fillings require C01 cooling and cold holding. H18/H19 provide two explicit filling adaptations.</t>
        </is>
      </c>
      <c r="D705" t="inlineStr">
        <is>
          <t>Verify source, specify ingredients and process, normalize, cost and trial before release</t>
        </is>
      </c>
    </row>
    <row r="706">
      <c r="A706" t="inlineStr">
        <is>
          <t>R314</t>
        </is>
      </c>
      <c r="B706" t="inlineStr">
        <is>
          <t>Research normalization</t>
        </is>
      </c>
      <c r="C706" t="inlineStr">
        <is>
          <t>Check OCR against the image; weigh count/cup/spoon ingredients before scaling. A short cook time or microwave finish does not establish a safe burger centre. Wet fillings require C01 cooling and cold holding. H18/H19 provide two explicit filling adaptations.</t>
        </is>
      </c>
      <c r="D706" t="inlineStr">
        <is>
          <t>Verify source, specify ingredients and process, normalize, cost and trial before release</t>
        </is>
      </c>
    </row>
    <row r="707">
      <c r="A707" t="inlineStr">
        <is>
          <t>R315</t>
        </is>
      </c>
      <c r="B707" t="inlineStr">
        <is>
          <t>Research normalization</t>
        </is>
      </c>
      <c r="C707" t="inlineStr">
        <is>
          <t>Check OCR against the image; weigh count/cup/spoon ingredients before scaling. A short cook time or microwave finish does not establish a safe burger centre. Wet fillings require C01 cooling and cold holding. H18/H19 provide two explicit filling adaptations.</t>
        </is>
      </c>
      <c r="D707" t="inlineStr">
        <is>
          <t>Verify source, specify ingredients and process, normalize, cost and trial before release</t>
        </is>
      </c>
    </row>
    <row r="708">
      <c r="A708" t="inlineStr">
        <is>
          <t>R316</t>
        </is>
      </c>
      <c r="B708" t="inlineStr">
        <is>
          <t>Research normalization</t>
        </is>
      </c>
      <c r="C708" t="inlineStr">
        <is>
          <t>Check OCR against the image; weigh count/cup/spoon ingredients before scaling. A short cook time or microwave finish does not establish a safe burger centre. Wet fillings require C01 cooling and cold holding. H18/H19 provide two explicit filling adaptations.</t>
        </is>
      </c>
      <c r="D708" t="inlineStr">
        <is>
          <t>Verify source, specify ingredients and process, normalize, cost and trial before release</t>
        </is>
      </c>
    </row>
    <row r="709">
      <c r="A709" t="inlineStr">
        <is>
          <t>R317</t>
        </is>
      </c>
      <c r="B709" t="inlineStr">
        <is>
          <t>Research normalization</t>
        </is>
      </c>
      <c r="C709" t="inlineStr">
        <is>
          <t>Check OCR against the image; weigh count/cup/spoon ingredients before scaling. A short cook time or microwave finish does not establish a safe burger centre. Wet fillings require C01 cooling and cold holding. H18/H19 provide two explicit filling adaptations.</t>
        </is>
      </c>
      <c r="D709" t="inlineStr">
        <is>
          <t>Verify source, specify ingredients and process, normalize, cost and trial before release</t>
        </is>
      </c>
    </row>
    <row r="710">
      <c r="A710" t="inlineStr">
        <is>
          <t>R318</t>
        </is>
      </c>
      <c r="B710" t="inlineStr">
        <is>
          <t>Research normalization</t>
        </is>
      </c>
      <c r="C710" t="inlineStr">
        <is>
          <t>Supporting preparation preserved separately from the named flavours. Confirm quantities, component yield and household measures on the original page. Follow the commercial safety controls; no domestic storage-duration claim is adopted.</t>
        </is>
      </c>
      <c r="D710" t="inlineStr">
        <is>
          <t>Verify source, specify ingredients and process, normalize, cost and trial before release</t>
        </is>
      </c>
    </row>
    <row r="711">
      <c r="A711" t="inlineStr">
        <is>
          <t>R319</t>
        </is>
      </c>
      <c r="B711" t="inlineStr">
        <is>
          <t>Research normalization</t>
        </is>
      </c>
      <c r="C711" t="inlineStr">
        <is>
          <t>Supporting preparation preserved separately from the named flavours. Confirm quantities, component yield and household measures on the original page. Follow the commercial safety controls; no domestic storage-duration claim is adopted.</t>
        </is>
      </c>
      <c r="D711" t="inlineStr">
        <is>
          <t>Verify source, specify ingredients and process, normalize, cost and trial before release</t>
        </is>
      </c>
    </row>
    <row r="712">
      <c r="A712" t="inlineStr">
        <is>
          <t>R320</t>
        </is>
      </c>
      <c r="B712" t="inlineStr">
        <is>
          <t>Research normalization</t>
        </is>
      </c>
      <c r="C712" t="inlineStr">
        <is>
          <t>Supporting preparation preserved separately from the named flavours. Confirm quantities, component yield and household measures on the original page. Follow the commercial safety controls; no domestic storage-duration claim is adopted.</t>
        </is>
      </c>
      <c r="D712" t="inlineStr">
        <is>
          <t>Verify source, specify ingredients and process, normalize, cost and trial before release</t>
        </is>
      </c>
    </row>
    <row r="713">
      <c r="A713" t="inlineStr">
        <is>
          <t>R321</t>
        </is>
      </c>
      <c r="B713" t="inlineStr">
        <is>
          <t>Research normalization</t>
        </is>
      </c>
      <c r="C713" t="inlineStr">
        <is>
          <t>Supporting preparation preserved separately from the named flavours. Confirm quantities, component yield and household measures on the original page. Follow the commercial safety controls; no domestic storage-duration claim is adopted.</t>
        </is>
      </c>
      <c r="D713" t="inlineStr">
        <is>
          <t>Verify source, specify ingredients and process, normalize, cost and trial before release</t>
        </is>
      </c>
    </row>
    <row r="714">
      <c r="A714" t="inlineStr">
        <is>
          <t>R322</t>
        </is>
      </c>
      <c r="B714" t="inlineStr">
        <is>
          <t>Research normalization</t>
        </is>
      </c>
      <c r="C714" t="inlineStr">
        <is>
          <t>This screenshot is retained even if it duplicates a workbook column. Milk type, method, piece weight and successful-trial evidence remain unresolved. Use a selected milk-bread working card until this original variant has been specified and trialled.</t>
        </is>
      </c>
      <c r="D714" t="inlineStr">
        <is>
          <t>Verify source, specify ingredients and process, normalize, cost and trial before release</t>
        </is>
      </c>
    </row>
    <row r="715">
      <c r="A715" t="inlineStr">
        <is>
          <t>H2-01</t>
        </is>
      </c>
      <c r="B715" t="inlineStr">
        <is>
          <t>Capacity</t>
        </is>
      </c>
      <c r="C715" t="inlineStr">
        <is>
          <t>Tray/rack geometry and rack-set inventory unconfirmed</t>
        </is>
      </c>
      <c r="D715" t="inlineStr">
        <is>
          <t>Test 5/tray ×16; confirm four active sets plus contingency</t>
        </is>
      </c>
    </row>
    <row r="716">
      <c r="A716" t="inlineStr">
        <is>
          <t>H2-02</t>
        </is>
      </c>
      <c r="B716" t="inlineStr">
        <is>
          <t>Proofing</t>
        </is>
      </c>
      <c r="C716" t="inlineStr">
        <is>
          <t>Two units do not establish two usable full-rack bays</t>
        </is>
      </c>
      <c r="D716" t="inlineStr">
        <is>
          <t>Check clearances, loaded temperature/humidity and 60-min proof endpoint</t>
        </is>
      </c>
    </row>
    <row r="717">
      <c r="A717" t="inlineStr">
        <is>
          <t>H2-03</t>
        </is>
      </c>
      <c r="B717" t="inlineStr">
        <is>
          <t>Process</t>
        </is>
      </c>
      <c r="C717" t="inlineStr">
        <is>
          <t>Fermentation and oven recovery timings remain trial assumptions</t>
        </is>
      </c>
      <c r="D717" t="inlineStr">
        <is>
          <t>Run independent timed campaigns; recalculate any changed duration</t>
        </is>
      </c>
    </row>
    <row r="718">
      <c r="A718" t="inlineStr">
        <is>
          <t>H2-04</t>
        </is>
      </c>
      <c r="B718" t="inlineStr">
        <is>
          <t>Labour</t>
        </is>
      </c>
      <c r="C718" t="inlineStr">
        <is>
          <t>Five production roles, relief and driver not assigned to named staff</t>
        </is>
      </c>
      <c r="D718" t="inlineStr">
        <is>
          <t>Allocate paid shifts, breaks, supervision and handovers without overlap</t>
        </is>
      </c>
    </row>
    <row r="719">
      <c r="A719" t="inlineStr">
        <is>
          <t>H2-05</t>
        </is>
      </c>
      <c r="B719" t="inlineStr">
        <is>
          <t>Dispatch</t>
        </is>
      </c>
      <c r="C719" t="inlineStr">
        <is>
          <t>30-min outward/return route and vehicle capacity unmeasured</t>
        </is>
      </c>
      <c r="D719" t="inlineStr">
        <is>
          <t>Time actual route; confirm crates/outlet space and avoid overlapping trips</t>
        </is>
      </c>
    </row>
    <row r="720">
      <c r="A720" t="inlineStr">
        <is>
          <t>H2-06</t>
        </is>
      </c>
      <c r="B720" t="inlineStr">
        <is>
          <t>Cost</t>
        </is>
      </c>
      <c r="C720" t="inlineStr">
        <is>
          <t>Missing water, operating costs, price and demand</t>
        </is>
      </c>
      <c r="D720" t="inlineStr">
        <is>
          <t>Complete workbook inputs; no guaranteed profitability</t>
        </is>
      </c>
    </row>
    <row r="721">
      <c r="A721" t="inlineStr">
        <is>
          <t>H2-07</t>
        </is>
      </c>
      <c r="B721" t="inlineStr">
        <is>
          <t>Recipe</t>
        </is>
      </c>
      <c r="C721" t="inlineStr">
        <is>
          <t>New BAG-H2-01 not interchangeable with M1-B12/M1-B13/S-B01</t>
        </is>
      </c>
      <c r="D721" t="inlineStr">
        <is>
          <t>Keep formula/version on every batch sheet</t>
        </is>
      </c>
    </row>
    <row r="722">
      <c r="A722" t="inlineStr">
        <is>
          <t>L004</t>
        </is>
      </c>
      <c r="B722" t="inlineStr">
        <is>
          <t>EDC identity correction</t>
        </is>
      </c>
      <c r="C722" t="inlineStr">
        <is>
          <t>EDC was incorrectly merged with margarine</t>
        </is>
      </c>
      <c r="D722" t="inlineStr">
        <is>
          <t>Identify exact product, specification, intended dose and price; re-cost and validate before release</t>
        </is>
      </c>
    </row>
    <row r="723">
      <c r="A723" t="inlineStr">
        <is>
          <t>L005</t>
        </is>
      </c>
      <c r="B723" t="inlineStr">
        <is>
          <t>EDC identity correction</t>
        </is>
      </c>
      <c r="C723" t="inlineStr">
        <is>
          <t>EDC was incorrectly merged with margarine</t>
        </is>
      </c>
      <c r="D723" t="inlineStr">
        <is>
          <t>Identify exact product, specification, intended dose and price; re-cost and validate before release</t>
        </is>
      </c>
    </row>
    <row r="724">
      <c r="A724" t="inlineStr">
        <is>
          <t>L015</t>
        </is>
      </c>
      <c r="B724" t="inlineStr">
        <is>
          <t>EDC identity correction</t>
        </is>
      </c>
      <c r="C724" t="inlineStr">
        <is>
          <t>EDC was incorrectly merged with margarine</t>
        </is>
      </c>
      <c r="D724" t="inlineStr">
        <is>
          <t>Identify exact product, specification, intended dose and price; re-cost and validate before release</t>
        </is>
      </c>
    </row>
    <row r="725">
      <c r="A725" t="inlineStr">
        <is>
          <t>L016</t>
        </is>
      </c>
      <c r="B725" t="inlineStr">
        <is>
          <t>EDC identity correction</t>
        </is>
      </c>
      <c r="C725" t="inlineStr">
        <is>
          <t>EDC was incorrectly merged with margarine</t>
        </is>
      </c>
      <c r="D725" t="inlineStr">
        <is>
          <t>Identify exact product, specification, intended dose and price; re-cost and validate before release</t>
        </is>
      </c>
    </row>
    <row r="726">
      <c r="A726" t="inlineStr">
        <is>
          <t>L017</t>
        </is>
      </c>
      <c r="B726" t="inlineStr">
        <is>
          <t>EDC identity correction</t>
        </is>
      </c>
      <c r="C726" t="inlineStr">
        <is>
          <t>EDC was incorrectly merged with margarine</t>
        </is>
      </c>
      <c r="D726" t="inlineStr">
        <is>
          <t>Identify exact product, specification, intended dose and price; re-cost and validate before release</t>
        </is>
      </c>
    </row>
    <row r="727">
      <c r="A727" t="inlineStr">
        <is>
          <t>L021</t>
        </is>
      </c>
      <c r="B727" t="inlineStr">
        <is>
          <t>EDC identity correction</t>
        </is>
      </c>
      <c r="C727" t="inlineStr">
        <is>
          <t>EDC was incorrectly merged with margarine</t>
        </is>
      </c>
      <c r="D727" t="inlineStr">
        <is>
          <t>Identify exact product, specification, intended dose and price; re-cost and validate before release</t>
        </is>
      </c>
    </row>
    <row r="728">
      <c r="A728" t="inlineStr">
        <is>
          <t>L022</t>
        </is>
      </c>
      <c r="B728" t="inlineStr">
        <is>
          <t>EDC identity correction</t>
        </is>
      </c>
      <c r="C728" t="inlineStr">
        <is>
          <t>EDC was incorrectly merged with margarine</t>
        </is>
      </c>
      <c r="D728" t="inlineStr">
        <is>
          <t>Identify exact product, specification, intended dose and price; re-cost and validate before release</t>
        </is>
      </c>
    </row>
    <row r="729">
      <c r="A729" t="inlineStr">
        <is>
          <t>L023</t>
        </is>
      </c>
      <c r="B729" t="inlineStr">
        <is>
          <t>EDC identity correction</t>
        </is>
      </c>
      <c r="C729" t="inlineStr">
        <is>
          <t>EDC was incorrectly merged with margarine</t>
        </is>
      </c>
      <c r="D729" t="inlineStr">
        <is>
          <t>Identify exact product, specification, intended dose and price; re-cost and validate before release</t>
        </is>
      </c>
    </row>
    <row r="730">
      <c r="A730" t="inlineStr">
        <is>
          <t>L024</t>
        </is>
      </c>
      <c r="B730" t="inlineStr">
        <is>
          <t>EDC identity correction</t>
        </is>
      </c>
      <c r="C730" t="inlineStr">
        <is>
          <t>EDC was incorrectly merged with margarine</t>
        </is>
      </c>
      <c r="D730" t="inlineStr">
        <is>
          <t>Identify exact product, specification, intended dose and price; re-cost and validate before release</t>
        </is>
      </c>
    </row>
    <row r="731">
      <c r="A731" t="inlineStr">
        <is>
          <t>L034</t>
        </is>
      </c>
      <c r="B731" t="inlineStr">
        <is>
          <t>EDC identity correction</t>
        </is>
      </c>
      <c r="C731" t="inlineStr">
        <is>
          <t>EDC was incorrectly merged with margarine</t>
        </is>
      </c>
      <c r="D731" t="inlineStr">
        <is>
          <t>Identify exact product, specification, intended dose and price; re-cost and validate before release</t>
        </is>
      </c>
    </row>
    <row r="732">
      <c r="A732" t="inlineStr">
        <is>
          <t>L039</t>
        </is>
      </c>
      <c r="B732" t="inlineStr">
        <is>
          <t>EDC identity correction</t>
        </is>
      </c>
      <c r="C732" t="inlineStr">
        <is>
          <t>EDC was incorrectly merged with margarine</t>
        </is>
      </c>
      <c r="D732" t="inlineStr">
        <is>
          <t>Identify exact product, specification, intended dose and price; re-cost and validate before release</t>
        </is>
      </c>
    </row>
    <row r="733">
      <c r="A733" t="inlineStr">
        <is>
          <t>L040</t>
        </is>
      </c>
      <c r="B733" t="inlineStr">
        <is>
          <t>EDC identity correction</t>
        </is>
      </c>
      <c r="C733" t="inlineStr">
        <is>
          <t>EDC was incorrectly merged with margarine</t>
        </is>
      </c>
      <c r="D733" t="inlineStr">
        <is>
          <t>Identify exact product, specification, intended dose and price; re-cost and validate before release</t>
        </is>
      </c>
    </row>
    <row r="734">
      <c r="A734" t="inlineStr">
        <is>
          <t>L043</t>
        </is>
      </c>
      <c r="B734" t="inlineStr">
        <is>
          <t>EDC identity correction</t>
        </is>
      </c>
      <c r="C734" t="inlineStr">
        <is>
          <t>EDC was incorrectly merged with margarine</t>
        </is>
      </c>
      <c r="D734" t="inlineStr">
        <is>
          <t>Identify exact product, specification, intended dose and price; re-cost and validate before release</t>
        </is>
      </c>
    </row>
    <row r="735">
      <c r="A735" t="inlineStr">
        <is>
          <t>L044</t>
        </is>
      </c>
      <c r="B735" t="inlineStr">
        <is>
          <t>EDC identity correction</t>
        </is>
      </c>
      <c r="C735" t="inlineStr">
        <is>
          <t>EDC was incorrectly merged with margarine</t>
        </is>
      </c>
      <c r="D735" t="inlineStr">
        <is>
          <t>Identify exact product, specification, intended dose and price; re-cost and validate before release</t>
        </is>
      </c>
    </row>
    <row r="736">
      <c r="A736" t="inlineStr">
        <is>
          <t>L045</t>
        </is>
      </c>
      <c r="B736" t="inlineStr">
        <is>
          <t>EDC identity correction</t>
        </is>
      </c>
      <c r="C736" t="inlineStr">
        <is>
          <t>EDC was incorrectly merged with margarine</t>
        </is>
      </c>
      <c r="D736" t="inlineStr">
        <is>
          <t>Identify exact product, specification, intended dose and price; re-cost and validate before release</t>
        </is>
      </c>
    </row>
    <row r="737">
      <c r="A737" t="inlineStr">
        <is>
          <t>L046</t>
        </is>
      </c>
      <c r="B737" t="inlineStr">
        <is>
          <t>EDC identity correction</t>
        </is>
      </c>
      <c r="C737" t="inlineStr">
        <is>
          <t>EDC was incorrectly merged with margarine</t>
        </is>
      </c>
      <c r="D737" t="inlineStr">
        <is>
          <t>Identify exact product, specification, intended dose and price; re-cost and validate before release</t>
        </is>
      </c>
    </row>
    <row r="738">
      <c r="A738" t="inlineStr">
        <is>
          <t>L051</t>
        </is>
      </c>
      <c r="B738" t="inlineStr">
        <is>
          <t>EDC identity correction</t>
        </is>
      </c>
      <c r="C738" t="inlineStr">
        <is>
          <t>EDC was incorrectly merged with margarine</t>
        </is>
      </c>
      <c r="D738" t="inlineStr">
        <is>
          <t>Identify exact product, specification, intended dose and price; re-cost and validate before release</t>
        </is>
      </c>
    </row>
    <row r="739">
      <c r="A739" t="inlineStr">
        <is>
          <t>L052</t>
        </is>
      </c>
      <c r="B739" t="inlineStr">
        <is>
          <t>EDC identity correction</t>
        </is>
      </c>
      <c r="C739" t="inlineStr">
        <is>
          <t>EDC was incorrectly merged with margarine</t>
        </is>
      </c>
      <c r="D739" t="inlineStr">
        <is>
          <t>Identify exact product, specification, intended dose and price; re-cost and validate before release</t>
        </is>
      </c>
    </row>
    <row r="740">
      <c r="A740" t="inlineStr">
        <is>
          <t>L055</t>
        </is>
      </c>
      <c r="B740" t="inlineStr">
        <is>
          <t>EDC identity correction</t>
        </is>
      </c>
      <c r="C740" t="inlineStr">
        <is>
          <t>EDC was incorrectly merged with margarine</t>
        </is>
      </c>
      <c r="D740" t="inlineStr">
        <is>
          <t>Identify exact product, specification, intended dose and price; re-cost and validate before release</t>
        </is>
      </c>
    </row>
    <row r="741">
      <c r="A741" t="inlineStr">
        <is>
          <t>L056</t>
        </is>
      </c>
      <c r="B741" t="inlineStr">
        <is>
          <t>EDC identity correction</t>
        </is>
      </c>
      <c r="C741" t="inlineStr">
        <is>
          <t>EDC was incorrectly merged with margarine</t>
        </is>
      </c>
      <c r="D741" t="inlineStr">
        <is>
          <t>Identify exact product, specification, intended dose and price; re-cost and validate before release</t>
        </is>
      </c>
    </row>
    <row r="742">
      <c r="A742" t="inlineStr">
        <is>
          <t>L057</t>
        </is>
      </c>
      <c r="B742" t="inlineStr">
        <is>
          <t>EDC identity correction</t>
        </is>
      </c>
      <c r="C742" t="inlineStr">
        <is>
          <t>EDC was incorrectly merged with margarine</t>
        </is>
      </c>
      <c r="D742" t="inlineStr">
        <is>
          <t>Identify exact product, specification, intended dose and price; re-cost and validate before release</t>
        </is>
      </c>
    </row>
    <row r="743">
      <c r="A743" t="inlineStr">
        <is>
          <t>L058</t>
        </is>
      </c>
      <c r="B743" t="inlineStr">
        <is>
          <t>EDC identity correction</t>
        </is>
      </c>
      <c r="C743" t="inlineStr">
        <is>
          <t>EDC was incorrectly merged with margarine</t>
        </is>
      </c>
      <c r="D743" t="inlineStr">
        <is>
          <t>Identify exact product, specification, intended dose and price; re-cost and validate before release</t>
        </is>
      </c>
    </row>
    <row r="744">
      <c r="A744" t="inlineStr">
        <is>
          <t>L059</t>
        </is>
      </c>
      <c r="B744" t="inlineStr">
        <is>
          <t>EDC identity correction</t>
        </is>
      </c>
      <c r="C744" t="inlineStr">
        <is>
          <t>EDC was incorrectly merged with margarine</t>
        </is>
      </c>
      <c r="D744" t="inlineStr">
        <is>
          <t>Identify exact product, specification, intended dose and price; re-cost and validate before release</t>
        </is>
      </c>
    </row>
    <row r="745">
      <c r="A745" t="inlineStr">
        <is>
          <t>L060</t>
        </is>
      </c>
      <c r="B745" t="inlineStr">
        <is>
          <t>EDC identity correction</t>
        </is>
      </c>
      <c r="C745" t="inlineStr">
        <is>
          <t>EDC was incorrectly merged with margarine</t>
        </is>
      </c>
      <c r="D745" t="inlineStr">
        <is>
          <t>Identify exact product, specification, intended dose and price; re-cost and validate before release</t>
        </is>
      </c>
    </row>
    <row r="746">
      <c r="A746" t="inlineStr">
        <is>
          <t>L062</t>
        </is>
      </c>
      <c r="B746" t="inlineStr">
        <is>
          <t>EDC identity correction</t>
        </is>
      </c>
      <c r="C746" t="inlineStr">
        <is>
          <t>EDC was incorrectly merged with margarine</t>
        </is>
      </c>
      <c r="D746" t="inlineStr">
        <is>
          <t>Identify exact product, specification, intended dose and price; re-cost and validate before release</t>
        </is>
      </c>
    </row>
    <row r="747">
      <c r="A747" t="inlineStr">
        <is>
          <t>L063</t>
        </is>
      </c>
      <c r="B747" t="inlineStr">
        <is>
          <t>EDC identity correction</t>
        </is>
      </c>
      <c r="C747" t="inlineStr">
        <is>
          <t>EDC was incorrectly merged with margarine</t>
        </is>
      </c>
      <c r="D747" t="inlineStr">
        <is>
          <t>Identify exact product, specification, intended dose and price; re-cost and validate before release</t>
        </is>
      </c>
    </row>
    <row r="748">
      <c r="A748" t="inlineStr">
        <is>
          <t>L068</t>
        </is>
      </c>
      <c r="B748" t="inlineStr">
        <is>
          <t>EDC identity correction</t>
        </is>
      </c>
      <c r="C748" t="inlineStr">
        <is>
          <t>EDC was incorrectly merged with margarine</t>
        </is>
      </c>
      <c r="D748" t="inlineStr">
        <is>
          <t>Identify exact product, specification, intended dose and price; re-cost and validate before release</t>
        </is>
      </c>
    </row>
    <row r="749">
      <c r="A749" t="inlineStr">
        <is>
          <t>L073</t>
        </is>
      </c>
      <c r="B749" t="inlineStr">
        <is>
          <t>EDC identity correction</t>
        </is>
      </c>
      <c r="C749" t="inlineStr">
        <is>
          <t>EDC was incorrectly merged with margarine</t>
        </is>
      </c>
      <c r="D749" t="inlineStr">
        <is>
          <t>Identify exact product, specification, intended dose and price; re-cost and validate before release</t>
        </is>
      </c>
    </row>
    <row r="750">
      <c r="A750" t="inlineStr">
        <is>
          <t>L074</t>
        </is>
      </c>
      <c r="B750" t="inlineStr">
        <is>
          <t>EDC identity correction</t>
        </is>
      </c>
      <c r="C750" t="inlineStr">
        <is>
          <t>EDC was incorrectly merged with margarine</t>
        </is>
      </c>
      <c r="D750" t="inlineStr">
        <is>
          <t>Identify exact product, specification, intended dose and price; re-cost and validate before release</t>
        </is>
      </c>
    </row>
    <row r="751">
      <c r="A751" t="inlineStr">
        <is>
          <t>L082</t>
        </is>
      </c>
      <c r="B751" t="inlineStr">
        <is>
          <t>EDC identity correction</t>
        </is>
      </c>
      <c r="C751" t="inlineStr">
        <is>
          <t>EDC was incorrectly merged with margarine</t>
        </is>
      </c>
      <c r="D751" t="inlineStr">
        <is>
          <t>Identify exact product, specification, intended dose and price; re-cost and validate before release</t>
        </is>
      </c>
    </row>
    <row r="752">
      <c r="A752" t="inlineStr">
        <is>
          <t>L083</t>
        </is>
      </c>
      <c r="B752" t="inlineStr">
        <is>
          <t>EDC identity correction</t>
        </is>
      </c>
      <c r="C752" t="inlineStr">
        <is>
          <t>EDC was incorrectly merged with margarine</t>
        </is>
      </c>
      <c r="D752" t="inlineStr">
        <is>
          <t>Identify exact product, specification, intended dose and price; re-cost and validate before release</t>
        </is>
      </c>
    </row>
    <row r="753">
      <c r="A753" t="inlineStr">
        <is>
          <t>L089</t>
        </is>
      </c>
      <c r="B753" t="inlineStr">
        <is>
          <t>EDC identity correction</t>
        </is>
      </c>
      <c r="C753" t="inlineStr">
        <is>
          <t>EDC was incorrectly merged with margarine</t>
        </is>
      </c>
      <c r="D753" t="inlineStr">
        <is>
          <t>Identify exact product, specification, intended dose and price; re-cost and validate before release</t>
        </is>
      </c>
    </row>
    <row r="754">
      <c r="A754" t="inlineStr">
        <is>
          <t>L090</t>
        </is>
      </c>
      <c r="B754" t="inlineStr">
        <is>
          <t>EDC identity correction</t>
        </is>
      </c>
      <c r="C754" t="inlineStr">
        <is>
          <t>EDC was incorrectly merged with margarine</t>
        </is>
      </c>
      <c r="D754" t="inlineStr">
        <is>
          <t>Identify exact product, specification, intended dose and price; re-cost and validate before release</t>
        </is>
      </c>
    </row>
    <row r="755">
      <c r="A755" t="inlineStr">
        <is>
          <t>L091</t>
        </is>
      </c>
      <c r="B755" t="inlineStr">
        <is>
          <t>EDC identity correction</t>
        </is>
      </c>
      <c r="C755" t="inlineStr">
        <is>
          <t>EDC was incorrectly merged with margarine</t>
        </is>
      </c>
      <c r="D755" t="inlineStr">
        <is>
          <t>Identify exact product, specification, intended dose and price; re-cost and validate before release</t>
        </is>
      </c>
    </row>
    <row r="756">
      <c r="A756" t="inlineStr">
        <is>
          <t>L092</t>
        </is>
      </c>
      <c r="B756" t="inlineStr">
        <is>
          <t>EDC identity correction</t>
        </is>
      </c>
      <c r="C756" t="inlineStr">
        <is>
          <t>EDC was incorrectly merged with margarine</t>
        </is>
      </c>
      <c r="D756" t="inlineStr">
        <is>
          <t>Identify exact product, specification, intended dose and price; re-cost and validate before release</t>
        </is>
      </c>
    </row>
    <row r="757">
      <c r="A757" t="inlineStr">
        <is>
          <t>L096</t>
        </is>
      </c>
      <c r="B757" t="inlineStr">
        <is>
          <t>EDC identity correction</t>
        </is>
      </c>
      <c r="C757" t="inlineStr">
        <is>
          <t>EDC was incorrectly merged with margarine</t>
        </is>
      </c>
      <c r="D757" t="inlineStr">
        <is>
          <t>Identify exact product, specification, intended dose and price; re-cost and validate before release</t>
        </is>
      </c>
    </row>
    <row r="758">
      <c r="A758" t="inlineStr">
        <is>
          <t>L097</t>
        </is>
      </c>
      <c r="B758" t="inlineStr">
        <is>
          <t>EDC identity correction</t>
        </is>
      </c>
      <c r="C758" t="inlineStr">
        <is>
          <t>EDC was incorrectly merged with margarine</t>
        </is>
      </c>
      <c r="D758" t="inlineStr">
        <is>
          <t>Identify exact product, specification, intended dose and price; re-cost and validate before release</t>
        </is>
      </c>
    </row>
    <row r="759">
      <c r="A759" t="inlineStr">
        <is>
          <t>L098</t>
        </is>
      </c>
      <c r="B759" t="inlineStr">
        <is>
          <t>EDC identity correction</t>
        </is>
      </c>
      <c r="C759" t="inlineStr">
        <is>
          <t>EDC was incorrectly merged with margarine</t>
        </is>
      </c>
      <c r="D759" t="inlineStr">
        <is>
          <t>Identify exact product, specification, intended dose and price; re-cost and validate before release</t>
        </is>
      </c>
    </row>
    <row r="760">
      <c r="A760" t="inlineStr">
        <is>
          <t>L100</t>
        </is>
      </c>
      <c r="B760" t="inlineStr">
        <is>
          <t>EDC identity correction</t>
        </is>
      </c>
      <c r="C760" t="inlineStr">
        <is>
          <t>EDC was incorrectly merged with margarine</t>
        </is>
      </c>
      <c r="D760" t="inlineStr">
        <is>
          <t>Identify exact product, specification, intended dose and price; re-cost and validate before release</t>
        </is>
      </c>
    </row>
    <row r="761">
      <c r="A761" t="inlineStr">
        <is>
          <t>L102</t>
        </is>
      </c>
      <c r="B761" t="inlineStr">
        <is>
          <t>EDC identity correction</t>
        </is>
      </c>
      <c r="C761" t="inlineStr">
        <is>
          <t>EDC was incorrectly merged with margarine</t>
        </is>
      </c>
      <c r="D761" t="inlineStr">
        <is>
          <t>Identify exact product, specification, intended dose and price; re-cost and validate before release</t>
        </is>
      </c>
    </row>
    <row r="762">
      <c r="A762" t="inlineStr">
        <is>
          <t>L103</t>
        </is>
      </c>
      <c r="B762" t="inlineStr">
        <is>
          <t>EDC identity correction</t>
        </is>
      </c>
      <c r="C762" t="inlineStr">
        <is>
          <t>EDC was incorrectly merged with margarine</t>
        </is>
      </c>
      <c r="D762" t="inlineStr">
        <is>
          <t>Identify exact product, specification, intended dose and price; re-cost and validate before release</t>
        </is>
      </c>
    </row>
    <row r="763">
      <c r="A763" t="inlineStr">
        <is>
          <t>L105</t>
        </is>
      </c>
      <c r="B763" t="inlineStr">
        <is>
          <t>EDC identity correction</t>
        </is>
      </c>
      <c r="C763" t="inlineStr">
        <is>
          <t>EDC was incorrectly merged with margarine</t>
        </is>
      </c>
      <c r="D763" t="inlineStr">
        <is>
          <t>Identify exact product, specification, intended dose and price; re-cost and validate before release</t>
        </is>
      </c>
    </row>
    <row r="764">
      <c r="A764" t="inlineStr">
        <is>
          <t>L106</t>
        </is>
      </c>
      <c r="B764" t="inlineStr">
        <is>
          <t>EDC identity correction</t>
        </is>
      </c>
      <c r="C764" t="inlineStr">
        <is>
          <t>EDC was incorrectly merged with margarine</t>
        </is>
      </c>
      <c r="D764" t="inlineStr">
        <is>
          <t>Identify exact product, specification, intended dose and price; re-cost and validate before release</t>
        </is>
      </c>
    </row>
    <row r="765">
      <c r="A765" t="inlineStr">
        <is>
          <t>L109</t>
        </is>
      </c>
      <c r="B765" t="inlineStr">
        <is>
          <t>EDC identity correction</t>
        </is>
      </c>
      <c r="C765" t="inlineStr">
        <is>
          <t>EDC was incorrectly merged with margarine</t>
        </is>
      </c>
      <c r="D765" t="inlineStr">
        <is>
          <t>Identify exact product, specification, intended dose and price; re-cost and validate before release</t>
        </is>
      </c>
    </row>
    <row r="766">
      <c r="A766" t="inlineStr">
        <is>
          <t>L113</t>
        </is>
      </c>
      <c r="B766" t="inlineStr">
        <is>
          <t>EDC identity correction</t>
        </is>
      </c>
      <c r="C766" t="inlineStr">
        <is>
          <t>EDC was incorrectly merged with margarine</t>
        </is>
      </c>
      <c r="D766" t="inlineStr">
        <is>
          <t>Identify exact product, specification, intended dose and price; re-cost and validate before release</t>
        </is>
      </c>
    </row>
    <row r="767">
      <c r="A767" t="inlineStr">
        <is>
          <t>L121</t>
        </is>
      </c>
      <c r="B767" t="inlineStr">
        <is>
          <t>EDC identity correction</t>
        </is>
      </c>
      <c r="C767" t="inlineStr">
        <is>
          <t>EDC was incorrectly merged with margarine</t>
        </is>
      </c>
      <c r="D767" t="inlineStr">
        <is>
          <t>Identify exact product, specification, intended dose and price; re-cost and validate before release</t>
        </is>
      </c>
    </row>
    <row r="768">
      <c r="A768" t="inlineStr">
        <is>
          <t>L122</t>
        </is>
      </c>
      <c r="B768" t="inlineStr">
        <is>
          <t>EDC identity correction</t>
        </is>
      </c>
      <c r="C768" t="inlineStr">
        <is>
          <t>EDC was incorrectly merged with margarine</t>
        </is>
      </c>
      <c r="D768" t="inlineStr">
        <is>
          <t>Identify exact product, specification, intended dose and price; re-cost and validate before release</t>
        </is>
      </c>
    </row>
    <row r="769">
      <c r="A769" t="inlineStr">
        <is>
          <t>L127</t>
        </is>
      </c>
      <c r="B769" t="inlineStr">
        <is>
          <t>EDC identity correction</t>
        </is>
      </c>
      <c r="C769" t="inlineStr">
        <is>
          <t>EDC was incorrectly merged with margarine</t>
        </is>
      </c>
      <c r="D769" t="inlineStr">
        <is>
          <t>Identify exact product, specification, intended dose and price; re-cost and validate before release</t>
        </is>
      </c>
    </row>
    <row r="770">
      <c r="A770" t="inlineStr">
        <is>
          <t>L131</t>
        </is>
      </c>
      <c r="B770" t="inlineStr">
        <is>
          <t>EDC identity correction</t>
        </is>
      </c>
      <c r="C770" t="inlineStr">
        <is>
          <t>EDC was incorrectly merged with margarine</t>
        </is>
      </c>
      <c r="D770" t="inlineStr">
        <is>
          <t>Identify exact product, specification, intended dose and price; re-cost and validate before release</t>
        </is>
      </c>
    </row>
    <row r="771">
      <c r="A771" t="inlineStr">
        <is>
          <t>L132</t>
        </is>
      </c>
      <c r="B771" t="inlineStr">
        <is>
          <t>EDC identity correction</t>
        </is>
      </c>
      <c r="C771" t="inlineStr">
        <is>
          <t>EDC was incorrectly merged with margarine</t>
        </is>
      </c>
      <c r="D771" t="inlineStr">
        <is>
          <t>Identify exact product, specification, intended dose and price; re-cost and validate before release</t>
        </is>
      </c>
    </row>
    <row r="772">
      <c r="A772" t="inlineStr">
        <is>
          <t>L139</t>
        </is>
      </c>
      <c r="B772" t="inlineStr">
        <is>
          <t>EDC identity correction</t>
        </is>
      </c>
      <c r="C772" t="inlineStr">
        <is>
          <t>EDC was incorrectly merged with margarine</t>
        </is>
      </c>
      <c r="D772" t="inlineStr">
        <is>
          <t>Identify exact product, specification, intended dose and price; re-cost and validate before release</t>
        </is>
      </c>
    </row>
    <row r="773">
      <c r="A773" t="inlineStr">
        <is>
          <t>L140</t>
        </is>
      </c>
      <c r="B773" t="inlineStr">
        <is>
          <t>EDC identity correction</t>
        </is>
      </c>
      <c r="C773" t="inlineStr">
        <is>
          <t>EDC was incorrectly merged with margarine</t>
        </is>
      </c>
      <c r="D773" t="inlineStr">
        <is>
          <t>Identify exact product, specification, intended dose and price; re-cost and validate before release</t>
        </is>
      </c>
    </row>
    <row r="774">
      <c r="A774" t="inlineStr">
        <is>
          <t>L141</t>
        </is>
      </c>
      <c r="B774" t="inlineStr">
        <is>
          <t>EDC identity correction</t>
        </is>
      </c>
      <c r="C774" t="inlineStr">
        <is>
          <t>EDC was incorrectly merged with margarine</t>
        </is>
      </c>
      <c r="D774" t="inlineStr">
        <is>
          <t>Identify exact product, specification, intended dose and price; re-cost and validate before release</t>
        </is>
      </c>
    </row>
    <row r="775">
      <c r="A775" t="inlineStr">
        <is>
          <t>L144</t>
        </is>
      </c>
      <c r="B775" t="inlineStr">
        <is>
          <t>EDC identity correction</t>
        </is>
      </c>
      <c r="C775" t="inlineStr">
        <is>
          <t>EDC was incorrectly merged with margarine</t>
        </is>
      </c>
      <c r="D775" t="inlineStr">
        <is>
          <t>Identify exact product, specification, intended dose and price; re-cost and validate before release</t>
        </is>
      </c>
    </row>
    <row r="776">
      <c r="A776" t="inlineStr">
        <is>
          <t>L145</t>
        </is>
      </c>
      <c r="B776" t="inlineStr">
        <is>
          <t>EDC identity correction</t>
        </is>
      </c>
      <c r="C776" t="inlineStr">
        <is>
          <t>EDC was incorrectly merged with margarine</t>
        </is>
      </c>
      <c r="D776" t="inlineStr">
        <is>
          <t>Identify exact product, specification, intended dose and price; re-cost and validate before release</t>
        </is>
      </c>
    </row>
    <row r="777">
      <c r="A777" t="inlineStr">
        <is>
          <t>L146</t>
        </is>
      </c>
      <c r="B777" t="inlineStr">
        <is>
          <t>EDC identity correction</t>
        </is>
      </c>
      <c r="C777" t="inlineStr">
        <is>
          <t>EDC was incorrectly merged with margarine</t>
        </is>
      </c>
      <c r="D777" t="inlineStr">
        <is>
          <t>Identify exact product, specification, intended dose and price; re-cost and validate before release</t>
        </is>
      </c>
    </row>
    <row r="778">
      <c r="A778" t="inlineStr">
        <is>
          <t>L153</t>
        </is>
      </c>
      <c r="B778" t="inlineStr">
        <is>
          <t>EDC identity correction</t>
        </is>
      </c>
      <c r="C778" t="inlineStr">
        <is>
          <t>EDC was incorrectly merged with margarine</t>
        </is>
      </c>
      <c r="D778" t="inlineStr">
        <is>
          <t>Identify exact product, specification, intended dose and price; re-cost and validate before release</t>
        </is>
      </c>
    </row>
    <row r="779">
      <c r="A779" t="inlineStr">
        <is>
          <t>L156</t>
        </is>
      </c>
      <c r="B779" t="inlineStr">
        <is>
          <t>EDC identity correction</t>
        </is>
      </c>
      <c r="C779" t="inlineStr">
        <is>
          <t>EDC was incorrectly merged with margarine</t>
        </is>
      </c>
      <c r="D779" t="inlineStr">
        <is>
          <t>Identify exact product, specification, intended dose and price; re-cost and validate before release</t>
        </is>
      </c>
    </row>
    <row r="780">
      <c r="A780" t="inlineStr">
        <is>
          <t>L157</t>
        </is>
      </c>
      <c r="B780" t="inlineStr">
        <is>
          <t>EDC identity correction</t>
        </is>
      </c>
      <c r="C780" t="inlineStr">
        <is>
          <t>EDC was incorrectly merged with margarine</t>
        </is>
      </c>
      <c r="D780" t="inlineStr">
        <is>
          <t>Identify exact product, specification, intended dose and price; re-cost and validate before release</t>
        </is>
      </c>
    </row>
    <row r="781">
      <c r="A781" t="inlineStr">
        <is>
          <t>L160</t>
        </is>
      </c>
      <c r="B781" t="inlineStr">
        <is>
          <t>EDC identity correction</t>
        </is>
      </c>
      <c r="C781" t="inlineStr">
        <is>
          <t>EDC was incorrectly merged with margarine</t>
        </is>
      </c>
      <c r="D781" t="inlineStr">
        <is>
          <t>Identify exact product, specification, intended dose and price; re-cost and validate before release</t>
        </is>
      </c>
    </row>
    <row r="782">
      <c r="A782" t="inlineStr">
        <is>
          <t>L161</t>
        </is>
      </c>
      <c r="B782" t="inlineStr">
        <is>
          <t>EDC identity correction</t>
        </is>
      </c>
      <c r="C782" t="inlineStr">
        <is>
          <t>EDC was incorrectly merged with margarine</t>
        </is>
      </c>
      <c r="D782" t="inlineStr">
        <is>
          <t>Identify exact product, specification, intended dose and price; re-cost and validate before release</t>
        </is>
      </c>
    </row>
    <row r="783">
      <c r="A783" t="inlineStr">
        <is>
          <t>L162</t>
        </is>
      </c>
      <c r="B783" t="inlineStr">
        <is>
          <t>EDC identity correction</t>
        </is>
      </c>
      <c r="C783" t="inlineStr">
        <is>
          <t>EDC was incorrectly merged with margarine</t>
        </is>
      </c>
      <c r="D783" t="inlineStr">
        <is>
          <t>Identify exact product, specification, intended dose and price; re-cost and validate before release</t>
        </is>
      </c>
    </row>
    <row r="784">
      <c r="A784" t="inlineStr">
        <is>
          <t>L168</t>
        </is>
      </c>
      <c r="B784" t="inlineStr">
        <is>
          <t>EDC identity correction</t>
        </is>
      </c>
      <c r="C784" t="inlineStr">
        <is>
          <t>EDC was incorrectly merged with margarine</t>
        </is>
      </c>
      <c r="D784" t="inlineStr">
        <is>
          <t>Identify exact product, specification, intended dose and price; re-cost and validate before release</t>
        </is>
      </c>
    </row>
    <row r="785">
      <c r="A785" t="inlineStr">
        <is>
          <t>L169</t>
        </is>
      </c>
      <c r="B785" t="inlineStr">
        <is>
          <t>EDC identity correction</t>
        </is>
      </c>
      <c r="C785" t="inlineStr">
        <is>
          <t>EDC was incorrectly merged with margarine</t>
        </is>
      </c>
      <c r="D785" t="inlineStr">
        <is>
          <t>Identify exact product, specification, intended dose and price; re-cost and validate before release</t>
        </is>
      </c>
    </row>
    <row r="786">
      <c r="A786" t="inlineStr">
        <is>
          <t>L173</t>
        </is>
      </c>
      <c r="B786" t="inlineStr">
        <is>
          <t>EDC identity correction</t>
        </is>
      </c>
      <c r="C786" t="inlineStr">
        <is>
          <t>EDC was incorrectly merged with margarine</t>
        </is>
      </c>
      <c r="D786" t="inlineStr">
        <is>
          <t>Identify exact product, specification, intended dose and price; re-cost and validate before release</t>
        </is>
      </c>
    </row>
    <row r="787">
      <c r="A787" t="inlineStr">
        <is>
          <t>L178</t>
        </is>
      </c>
      <c r="B787" t="inlineStr">
        <is>
          <t>EDC identity correction</t>
        </is>
      </c>
      <c r="C787" t="inlineStr">
        <is>
          <t>EDC was incorrectly merged with margarine</t>
        </is>
      </c>
      <c r="D787" t="inlineStr">
        <is>
          <t>Identify exact product, specification, intended dose and price; re-cost and validate before release</t>
        </is>
      </c>
    </row>
    <row r="788">
      <c r="A788" t="inlineStr">
        <is>
          <t>L179</t>
        </is>
      </c>
      <c r="B788" t="inlineStr">
        <is>
          <t>EDC identity correction</t>
        </is>
      </c>
      <c r="C788" t="inlineStr">
        <is>
          <t>EDC was incorrectly merged with margarine</t>
        </is>
      </c>
      <c r="D788" t="inlineStr">
        <is>
          <t>Identify exact product, specification, intended dose and price; re-cost and validate before release</t>
        </is>
      </c>
    </row>
    <row r="789">
      <c r="A789" t="inlineStr">
        <is>
          <t>L183</t>
        </is>
      </c>
      <c r="B789" t="inlineStr">
        <is>
          <t>EDC identity correction</t>
        </is>
      </c>
      <c r="C789" t="inlineStr">
        <is>
          <t>EDC was incorrectly merged with margarine</t>
        </is>
      </c>
      <c r="D789" t="inlineStr">
        <is>
          <t>Identify exact product, specification, intended dose and price; re-cost and validate before release</t>
        </is>
      </c>
    </row>
    <row r="790">
      <c r="A790" t="inlineStr">
        <is>
          <t>L185</t>
        </is>
      </c>
      <c r="B790" t="inlineStr">
        <is>
          <t>EDC identity correction</t>
        </is>
      </c>
      <c r="C790" t="inlineStr">
        <is>
          <t>EDC was incorrectly merged with margarine</t>
        </is>
      </c>
      <c r="D790" t="inlineStr">
        <is>
          <t>Identify exact product, specification, intended dose and price; re-cost and validate before release</t>
        </is>
      </c>
    </row>
    <row r="791">
      <c r="A791" t="inlineStr">
        <is>
          <t>L192</t>
        </is>
      </c>
      <c r="B791" t="inlineStr">
        <is>
          <t>EDC identity correction</t>
        </is>
      </c>
      <c r="C791" t="inlineStr">
        <is>
          <t>EDC was incorrectly merged with margarine</t>
        </is>
      </c>
      <c r="D791" t="inlineStr">
        <is>
          <t>Identify exact product, specification, intended dose and price; re-cost and validate before release</t>
        </is>
      </c>
    </row>
    <row r="792">
      <c r="A792" t="inlineStr">
        <is>
          <t>L193</t>
        </is>
      </c>
      <c r="B792" t="inlineStr">
        <is>
          <t>EDC identity correction</t>
        </is>
      </c>
      <c r="C792" t="inlineStr">
        <is>
          <t>EDC was incorrectly merged with margarine</t>
        </is>
      </c>
      <c r="D792" t="inlineStr">
        <is>
          <t>Identify exact product, specification, intended dose and price; re-cost and validate before release</t>
        </is>
      </c>
    </row>
    <row r="793">
      <c r="A793" t="inlineStr">
        <is>
          <t>L196</t>
        </is>
      </c>
      <c r="B793" t="inlineStr">
        <is>
          <t>EDC identity correction</t>
        </is>
      </c>
      <c r="C793" t="inlineStr">
        <is>
          <t>EDC was incorrectly merged with margarine</t>
        </is>
      </c>
      <c r="D793" t="inlineStr">
        <is>
          <t>Identify exact product, specification, intended dose and price; re-cost and validate before release</t>
        </is>
      </c>
    </row>
    <row r="794">
      <c r="A794" t="inlineStr">
        <is>
          <t>L198</t>
        </is>
      </c>
      <c r="B794" t="inlineStr">
        <is>
          <t>EDC identity correction</t>
        </is>
      </c>
      <c r="C794" t="inlineStr">
        <is>
          <t>EDC was incorrectly merged with margarine</t>
        </is>
      </c>
      <c r="D794" t="inlineStr">
        <is>
          <t>Identify exact product, specification, intended dose and price; re-cost and validate before release</t>
        </is>
      </c>
    </row>
    <row r="795">
      <c r="A795" t="inlineStr">
        <is>
          <t>L210</t>
        </is>
      </c>
      <c r="B795" t="inlineStr">
        <is>
          <t>EDC identity correction</t>
        </is>
      </c>
      <c r="C795" t="inlineStr">
        <is>
          <t>EDC was incorrectly merged with margarine</t>
        </is>
      </c>
      <c r="D795" t="inlineStr">
        <is>
          <t>Identify exact product, specification, intended dose and price; re-cost and validate before release</t>
        </is>
      </c>
    </row>
    <row r="796">
      <c r="A796" t="inlineStr">
        <is>
          <t>L211</t>
        </is>
      </c>
      <c r="B796" t="inlineStr">
        <is>
          <t>EDC identity correction</t>
        </is>
      </c>
      <c r="C796" t="inlineStr">
        <is>
          <t>EDC was incorrectly merged with margarine</t>
        </is>
      </c>
      <c r="D796" t="inlineStr">
        <is>
          <t>Identify exact product, specification, intended dose and price; re-cost and validate before release</t>
        </is>
      </c>
    </row>
    <row r="797">
      <c r="A797" t="inlineStr">
        <is>
          <t>L212</t>
        </is>
      </c>
      <c r="B797" t="inlineStr">
        <is>
          <t>EDC identity correction</t>
        </is>
      </c>
      <c r="C797" t="inlineStr">
        <is>
          <t>EDC was incorrectly merged with margarine</t>
        </is>
      </c>
      <c r="D797" t="inlineStr">
        <is>
          <t>Identify exact product, specification, intended dose and price; re-cost and validate before release</t>
        </is>
      </c>
    </row>
    <row r="798">
      <c r="A798" t="inlineStr">
        <is>
          <t>L216</t>
        </is>
      </c>
      <c r="B798" t="inlineStr">
        <is>
          <t>EDC identity correction</t>
        </is>
      </c>
      <c r="C798" t="inlineStr">
        <is>
          <t>EDC was incorrectly merged with margarine</t>
        </is>
      </c>
      <c r="D798" t="inlineStr">
        <is>
          <t>Identify exact product, specification, intended dose and price; re-cost and validate before release</t>
        </is>
      </c>
    </row>
    <row r="799">
      <c r="A799" t="inlineStr">
        <is>
          <t>L217</t>
        </is>
      </c>
      <c r="B799" t="inlineStr">
        <is>
          <t>EDC identity correction</t>
        </is>
      </c>
      <c r="C799" t="inlineStr">
        <is>
          <t>EDC was incorrectly merged with margarine</t>
        </is>
      </c>
      <c r="D799" t="inlineStr">
        <is>
          <t>Identify exact product, specification, intended dose and price; re-cost and validate before release</t>
        </is>
      </c>
    </row>
    <row r="800">
      <c r="A800" t="inlineStr">
        <is>
          <t>L218</t>
        </is>
      </c>
      <c r="B800" t="inlineStr">
        <is>
          <t>EDC identity correction</t>
        </is>
      </c>
      <c r="C800" t="inlineStr">
        <is>
          <t>EDC was incorrectly merged with margarine</t>
        </is>
      </c>
      <c r="D800" t="inlineStr">
        <is>
          <t>Identify exact product, specification, intended dose and price; re-cost and validate before release</t>
        </is>
      </c>
    </row>
    <row r="801">
      <c r="A801" t="inlineStr">
        <is>
          <t>L221</t>
        </is>
      </c>
      <c r="B801" t="inlineStr">
        <is>
          <t>EDC identity correction</t>
        </is>
      </c>
      <c r="C801" t="inlineStr">
        <is>
          <t>EDC was incorrectly merged with margarine</t>
        </is>
      </c>
      <c r="D801" t="inlineStr">
        <is>
          <t>Identify exact product, specification, intended dose and price; re-cost and validate before release</t>
        </is>
      </c>
    </row>
    <row r="802">
      <c r="A802" t="inlineStr">
        <is>
          <t>L226</t>
        </is>
      </c>
      <c r="B802" t="inlineStr">
        <is>
          <t>EDC identity correction</t>
        </is>
      </c>
      <c r="C802" t="inlineStr">
        <is>
          <t>EDC was incorrectly merged with margarine</t>
        </is>
      </c>
      <c r="D802" t="inlineStr">
        <is>
          <t>Identify exact product, specification, intended dose and price; re-cost and validate before release</t>
        </is>
      </c>
    </row>
    <row r="803">
      <c r="A803" t="inlineStr">
        <is>
          <t>L227</t>
        </is>
      </c>
      <c r="B803" t="inlineStr">
        <is>
          <t>EDC identity correction</t>
        </is>
      </c>
      <c r="C803" t="inlineStr">
        <is>
          <t>EDC was incorrectly merged with margarine</t>
        </is>
      </c>
      <c r="D803" t="inlineStr">
        <is>
          <t>Identify exact product, specification, intended dose and price; re-cost and validate before release</t>
        </is>
      </c>
    </row>
    <row r="804">
      <c r="A804" t="inlineStr">
        <is>
          <t>L229</t>
        </is>
      </c>
      <c r="B804" t="inlineStr">
        <is>
          <t>EDC identity correction</t>
        </is>
      </c>
      <c r="C804" t="inlineStr">
        <is>
          <t>EDC was incorrectly merged with margarine</t>
        </is>
      </c>
      <c r="D804" t="inlineStr">
        <is>
          <t>Identify exact product, specification, intended dose and price; re-cost and validate before release</t>
        </is>
      </c>
    </row>
    <row r="805">
      <c r="A805" t="inlineStr">
        <is>
          <t>L236</t>
        </is>
      </c>
      <c r="B805" t="inlineStr">
        <is>
          <t>EDC identity correction</t>
        </is>
      </c>
      <c r="C805" t="inlineStr">
        <is>
          <t>EDC was incorrectly merged with margarine</t>
        </is>
      </c>
      <c r="D805" t="inlineStr">
        <is>
          <t>Identify exact product, specification, intended dose and price; re-cost and validate before release</t>
        </is>
      </c>
    </row>
    <row r="806">
      <c r="A806" t="inlineStr">
        <is>
          <t>L239</t>
        </is>
      </c>
      <c r="B806" t="inlineStr">
        <is>
          <t>EDC identity correction</t>
        </is>
      </c>
      <c r="C806" t="inlineStr">
        <is>
          <t>EDC was incorrectly merged with margarine</t>
        </is>
      </c>
      <c r="D806" t="inlineStr">
        <is>
          <t>Identify exact product, specification, intended dose and price; re-cost and validate before release</t>
        </is>
      </c>
    </row>
    <row r="807">
      <c r="A807" t="inlineStr">
        <is>
          <t>L241</t>
        </is>
      </c>
      <c r="B807" t="inlineStr">
        <is>
          <t>EDC identity correction</t>
        </is>
      </c>
      <c r="C807" t="inlineStr">
        <is>
          <t>EDC was incorrectly merged with margarine</t>
        </is>
      </c>
      <c r="D807" t="inlineStr">
        <is>
          <t>Identify exact product, specification, intended dose and price; re-cost and validate before release</t>
        </is>
      </c>
    </row>
    <row r="808">
      <c r="A808" t="inlineStr">
        <is>
          <t>L242</t>
        </is>
      </c>
      <c r="B808" t="inlineStr">
        <is>
          <t>EDC identity correction</t>
        </is>
      </c>
      <c r="C808" t="inlineStr">
        <is>
          <t>EDC was incorrectly merged with margarine</t>
        </is>
      </c>
      <c r="D808" t="inlineStr">
        <is>
          <t>Identify exact product, specification, intended dose and price; re-cost and validate before release</t>
        </is>
      </c>
    </row>
    <row r="809">
      <c r="A809" t="inlineStr">
        <is>
          <t>L243</t>
        </is>
      </c>
      <c r="B809" t="inlineStr">
        <is>
          <t>EDC identity correction</t>
        </is>
      </c>
      <c r="C809" t="inlineStr">
        <is>
          <t>EDC was incorrectly merged with margarine</t>
        </is>
      </c>
      <c r="D809" t="inlineStr">
        <is>
          <t>Identify exact product, specification, intended dose and price; re-cost and validate before release</t>
        </is>
      </c>
    </row>
    <row r="810">
      <c r="A810" t="inlineStr">
        <is>
          <t>L244</t>
        </is>
      </c>
      <c r="B810" t="inlineStr">
        <is>
          <t>EDC identity correction</t>
        </is>
      </c>
      <c r="C810" t="inlineStr">
        <is>
          <t>EDC was incorrectly merged with margarine</t>
        </is>
      </c>
      <c r="D810" t="inlineStr">
        <is>
          <t>Identify exact product, specification, intended dose and price; re-cost and validate before release</t>
        </is>
      </c>
    </row>
    <row r="811">
      <c r="A811" t="inlineStr">
        <is>
          <t>L247</t>
        </is>
      </c>
      <c r="B811" t="inlineStr">
        <is>
          <t>EDC identity correction</t>
        </is>
      </c>
      <c r="C811" t="inlineStr">
        <is>
          <t>EDC was incorrectly merged with margarine</t>
        </is>
      </c>
      <c r="D811" t="inlineStr">
        <is>
          <t>Identify exact product, specification, intended dose and price; re-cost and validate before release</t>
        </is>
      </c>
    </row>
    <row r="812">
      <c r="A812" t="inlineStr">
        <is>
          <t>L248</t>
        </is>
      </c>
      <c r="B812" t="inlineStr">
        <is>
          <t>EDC identity correction</t>
        </is>
      </c>
      <c r="C812" t="inlineStr">
        <is>
          <t>EDC was incorrectly merged with margarine</t>
        </is>
      </c>
      <c r="D812" t="inlineStr">
        <is>
          <t>Identify exact product, specification, intended dose and price; re-cost and validate before release</t>
        </is>
      </c>
    </row>
    <row r="813">
      <c r="A813" t="inlineStr">
        <is>
          <t>L251</t>
        </is>
      </c>
      <c r="B813" t="inlineStr">
        <is>
          <t>EDC identity correction</t>
        </is>
      </c>
      <c r="C813" t="inlineStr">
        <is>
          <t>EDC was incorrectly merged with margarine</t>
        </is>
      </c>
      <c r="D813" t="inlineStr">
        <is>
          <t>Identify exact product, specification, intended dose and price; re-cost and validate before release</t>
        </is>
      </c>
    </row>
    <row r="814">
      <c r="A814" t="inlineStr">
        <is>
          <t>T01</t>
        </is>
      </c>
      <c r="B814" t="inlineStr">
        <is>
          <t>EDC identity correction</t>
        </is>
      </c>
      <c r="C814" t="inlineStr">
        <is>
          <t>The source lists 1,000 g workbook butter and 10 g EDC per 6 kg flour. Roma margarine is 166.6667 g and EDC is 1.6667 g per 1 kg flour. The EDC amount is historical evidence, not an approved dose. EDC is not butter and must not be treated or priced as margarine. Its identity, specification, permitted application, dose and purchase price remain unresolved. Keep EDC as a separate historical ingredient and hold affected formulas until it is identified. The earlier owner-workbook butter-to-margarine instruction remains separate; true dairy butter in independent recipes retains its specification. Milk tantalizer and improver remain omitted from revised recipes.</t>
        </is>
      </c>
      <c r="D814" t="inlineStr">
        <is>
          <t>Hold recipe; identify EDC and complete method and cost</t>
        </is>
      </c>
    </row>
    <row r="815">
      <c r="A815" t="inlineStr">
        <is>
          <t>H05</t>
        </is>
      </c>
      <c r="B815" t="inlineStr">
        <is>
          <t>EDC identity correction</t>
        </is>
      </c>
      <c r="C815" t="inlineStr">
        <is>
          <t>S132 Danisa lists 9,000 g workbook butter and 50 g EDC per 18 kg flour. Roma margarine is 500 g and EDC is 2.7778 g per 1 kg flour. Other rounded H2 inputs are retained. The former 503 g margarine combined and rounded two different ingredients. EDC is not butter and must not be treated or priced as margarine. Its identity, specification, permitted application, dose and purchase price remain unresolved. Keep EDC as a separate historical ingredient and hold affected formulas until it is identified. The earlier owner-workbook butter-to-margarine instruction remains separate; true dairy butter in independent recipes retains its specification. Milk tantalizer and improver remain omitted from revised recipes.</t>
        </is>
      </c>
      <c r="D815" t="inlineStr">
        <is>
          <t>Hold recipe; identify EDC and complete method and cost</t>
        </is>
      </c>
    </row>
  </sheetData>
  <autoFilter ref="A1:D7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92"/>
  <sheetViews>
    <sheetView showGridLines="0" workbookViewId="0">
      <pane ySplit="1" topLeftCell="A2" activePane="bottomLeft" state="frozen"/>
      <selection pane="bottomLeft" activeCell="A1" sqref="A1"/>
    </sheetView>
  </sheetViews>
  <sheetFormatPr baseColWidth="8" defaultRowHeight="15"/>
  <cols>
    <col width="18"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s>
  <sheetData>
    <row r="1" ht="32" customHeight="1">
      <c r="A1" t="inlineStr">
        <is>
          <t>Source ID</t>
        </is>
      </c>
      <c r="B1" t="inlineStr">
        <is>
          <t>Title</t>
        </is>
      </c>
      <c r="C1" t="inlineStr">
        <is>
          <t>Full path</t>
        </is>
      </c>
      <c r="D1" t="inlineStr">
        <is>
          <t>Format</t>
        </is>
      </c>
      <c r="E1" t="inlineStr">
        <is>
          <t>Modified date</t>
        </is>
      </c>
      <c r="F1" t="inlineStr">
        <is>
          <t>Bytes</t>
        </is>
      </c>
      <c r="G1" t="inlineStr">
        <is>
          <t>SHA256</t>
        </is>
      </c>
      <c r="H1" t="inlineStr">
        <is>
          <t>Readability/disposition</t>
        </is>
      </c>
      <c r="I1" t="inlineStr">
        <is>
          <t>Role</t>
        </is>
      </c>
      <c r="J1" t="inlineStr">
        <is>
          <t>Production-test evidence</t>
        </is>
      </c>
      <c r="K1" t="inlineStr">
        <is>
          <t>Language screening</t>
        </is>
      </c>
      <c r="L1" t="inlineStr">
        <is>
          <t>Stated version</t>
        </is>
      </c>
      <c r="M1" t="inlineStr">
        <is>
          <t>Extraction extent</t>
        </is>
      </c>
    </row>
    <row r="2">
      <c r="A2" t="inlineStr">
        <is>
          <t>S001</t>
        </is>
      </c>
      <c r="B2" t="inlineStr">
        <is>
          <t>bakery_strategy_and_recipe_manual_updated.pdf</t>
        </is>
      </c>
      <c r="C2" t="inlineStr">
        <is>
          <t>C:\Users\J COMPUTER\Documents\Codex\2026-09-12\x20-go\docs\bakery\bakery_strategy_and_recipe_manual_updated.pdf</t>
        </is>
      </c>
      <c r="D2" t="inlineStr">
        <is>
          <t>.pdf</t>
        </is>
      </c>
      <c r="E2" t="inlineStr">
        <is>
          <t>2026-09-12T17:07:02.777893+00:00</t>
        </is>
      </c>
      <c r="F2" t="inlineStr">
        <is>
          <t>113921</t>
        </is>
      </c>
      <c r="G2" t="inlineStr">
        <is>
          <t>74c7cccf472d4b37c1cb045a39225838a2f871d2451ae2183124f64ab6f6c93f</t>
        </is>
      </c>
      <c r="H2" t="inlineStr">
        <is>
          <t>Extracted text</t>
        </is>
      </c>
      <c r="I2" t="inlineStr">
        <is>
          <t>Related edition, supporting context or superseded source; no independent trial inferred</t>
        </is>
      </c>
      <c r="J2" t="inlineStr">
        <is>
          <t>No owner production trial log found</t>
        </is>
      </c>
      <c r="K2" t="inlineStr">
        <is>
          <t>English (text screening)</t>
        </is>
      </c>
      <c r="L2" t="inlineStr">
        <is>
          <t>No explicit version established; modified date is file metadata only</t>
        </is>
      </c>
      <c r="M2" t="inlineStr">
        <is>
          <t>10 extracted pages/blocks/rows; 72 recipe keyword signals (not recipe count)</t>
        </is>
      </c>
    </row>
    <row r="3">
      <c r="A3" t="inlineStr">
        <is>
          <t>S002</t>
        </is>
      </c>
      <c r="B3" t="inlineStr">
        <is>
          <t>bakery_strategy_and_recipe_manual.md</t>
        </is>
      </c>
      <c r="C3" t="inlineStr">
        <is>
          <t>C:\Users\J COMPUTER\Documents\Codex\2026-09-12\x20-go\outputs\bakery_strategy_and_recipe_manual.md</t>
        </is>
      </c>
      <c r="D3" t="inlineStr">
        <is>
          <t>.md</t>
        </is>
      </c>
      <c r="E3" t="inlineStr">
        <is>
          <t>2026-09-12T17:02:51.066689+00:00</t>
        </is>
      </c>
      <c r="F3" t="inlineStr">
        <is>
          <t>41737</t>
        </is>
      </c>
      <c r="G3" t="inlineStr">
        <is>
          <t>dbba9e528b1c8f3130bf52762b5f2e5e0f0c06fbb2155e33a80814eb0bb78713</t>
        </is>
      </c>
      <c r="H3" t="inlineStr">
        <is>
          <t>Extracted text</t>
        </is>
      </c>
      <c r="I3" t="inlineStr">
        <is>
          <t>Related edition, supporting context or superseded source; no independent trial inferred</t>
        </is>
      </c>
      <c r="J3" t="inlineStr">
        <is>
          <t>No owner production trial log found</t>
        </is>
      </c>
      <c r="K3" t="inlineStr">
        <is>
          <t>English (text screening)</t>
        </is>
      </c>
      <c r="L3" t="inlineStr">
        <is>
          <t>No explicit version established; modified date is file metadata only</t>
        </is>
      </c>
      <c r="M3" t="inlineStr">
        <is>
          <t>797 extracted pages/blocks/rows; 60 recipe keyword signals (not recipe count)</t>
        </is>
      </c>
    </row>
    <row r="4">
      <c r="B4" t="inlineStr">
        <is>
          <t>bakery_strategy_and_recipe_manual.docx</t>
        </is>
      </c>
      <c r="C4" t="inlineStr">
        <is>
          <t>C:\Users\J COMPUTER\Documents\Codex\2026-09-12\x20-go\work\bakery_strategy_and_recipe_manual.docx</t>
        </is>
      </c>
      <c r="D4" t="inlineStr">
        <is>
          <t>.docx</t>
        </is>
      </c>
      <c r="E4" t="inlineStr">
        <is>
          <t>2026-09-12T17:06:54.130905+00:00</t>
        </is>
      </c>
      <c r="F4" t="inlineStr">
        <is>
          <t>59173</t>
        </is>
      </c>
      <c r="H4" t="inlineStr">
        <is>
          <t>Generated work or software support file</t>
        </is>
      </c>
      <c r="I4" t="inlineStr">
        <is>
          <t>Filename screened</t>
        </is>
      </c>
      <c r="J4" t="inlineStr">
        <is>
          <t>No owner production trial log found</t>
        </is>
      </c>
      <c r="K4" t="inlineStr">
        <is>
          <t>Not established / non-text</t>
        </is>
      </c>
      <c r="L4" t="inlineStr">
        <is>
          <t>No explicit version established; modified date is file metadata only</t>
        </is>
      </c>
      <c r="M4" t="inlineStr">
        <is>
          <t xml:space="preserve"> extracted pages/blocks/rows;  recipe keyword signals (not recipe count)</t>
        </is>
      </c>
    </row>
    <row r="5">
      <c r="B5" t="inlineStr">
        <is>
          <t>bakery_strategy_and_recipe_manual.pdf</t>
        </is>
      </c>
      <c r="C5" t="inlineStr">
        <is>
          <t>C:\Users\J COMPUTER\Documents\Codex\2026-09-12\x20-go\work\rendered_manual\bakery_strategy_and_recipe_manual.pdf</t>
        </is>
      </c>
      <c r="D5" t="inlineStr">
        <is>
          <t>.pdf</t>
        </is>
      </c>
      <c r="E5" t="inlineStr">
        <is>
          <t>2026-09-12T17:07:02.777893+00:00</t>
        </is>
      </c>
      <c r="F5" t="inlineStr">
        <is>
          <t>113921</t>
        </is>
      </c>
      <c r="H5" t="inlineStr">
        <is>
          <t>Generated work or software support file</t>
        </is>
      </c>
      <c r="I5" t="inlineStr">
        <is>
          <t>Filename screened</t>
        </is>
      </c>
      <c r="J5" t="inlineStr">
        <is>
          <t>No owner production trial log found</t>
        </is>
      </c>
      <c r="K5" t="inlineStr">
        <is>
          <t>Not established / non-text</t>
        </is>
      </c>
      <c r="L5" t="inlineStr">
        <is>
          <t>No explicit version established; modified date is file metadata only</t>
        </is>
      </c>
      <c r="M5" t="inlineStr">
        <is>
          <t xml:space="preserve"> extracted pages/blocks/rows;  recipe keyword signals (not recipe count)</t>
        </is>
      </c>
    </row>
    <row r="6">
      <c r="A6" t="inlineStr">
        <is>
          <t>S003</t>
        </is>
      </c>
      <c r="B6" t="inlineStr">
        <is>
          <t>bakery_strategy_and_recipe_manual.md</t>
        </is>
      </c>
      <c r="C6" t="inlineStr">
        <is>
          <t>C:\Users\J COMPUTER\Documents\Codex\2026-09-12\x20-using-this-document-download-the\docs\bakery\bakery_strategy_and_recipe_manual.md</t>
        </is>
      </c>
      <c r="D6" t="inlineStr">
        <is>
          <t>.md</t>
        </is>
      </c>
      <c r="E6" t="inlineStr">
        <is>
          <t>2026-09-13T12:08:59.616137+00:00</t>
        </is>
      </c>
      <c r="F6" t="inlineStr">
        <is>
          <t>79733</t>
        </is>
      </c>
      <c r="G6" t="inlineStr">
        <is>
          <t>4b982269e1d209a62ba8a1800c1b5d847cec607f75b9ea2dde4485121509da08</t>
        </is>
      </c>
      <c r="H6" t="inlineStr">
        <is>
          <t>Extracted text</t>
        </is>
      </c>
      <c r="I6" t="inlineStr">
        <is>
          <t>Related edition, supporting context or superseded source; no independent trial inferred</t>
        </is>
      </c>
      <c r="J6" t="inlineStr">
        <is>
          <t>No owner production trial log found</t>
        </is>
      </c>
      <c r="K6" t="inlineStr">
        <is>
          <t>English (text screening)</t>
        </is>
      </c>
      <c r="L6" t="inlineStr">
        <is>
          <t>No explicit version established; modified date is file metadata only</t>
        </is>
      </c>
      <c r="M6" t="inlineStr">
        <is>
          <t>1146 extracted pages/blocks/rows; 95 recipe keyword signals (not recipe count)</t>
        </is>
      </c>
    </row>
    <row r="7">
      <c r="A7" t="inlineStr">
        <is>
          <t>S004</t>
        </is>
      </c>
      <c r="B7" t="inlineStr">
        <is>
          <t>bakery_strategy_and_recipe_manual.pdf</t>
        </is>
      </c>
      <c r="C7" t="inlineStr">
        <is>
          <t>C:\Users\J COMPUTER\Documents\Codex\2026-09-12\x20-using-this-document-download-the\docs\bakery\bakery_strategy_and_recipe_manual.pdf</t>
        </is>
      </c>
      <c r="D7" t="inlineStr">
        <is>
          <t>.pdf</t>
        </is>
      </c>
      <c r="E7" t="inlineStr">
        <is>
          <t>2026-09-13T12:20:16.996575+00:00</t>
        </is>
      </c>
      <c r="F7" t="inlineStr">
        <is>
          <t>312562</t>
        </is>
      </c>
      <c r="G7" t="inlineStr">
        <is>
          <t>095af6506a0ddc0d20a6a3cf2e718e609f8fa2def8d26f99a97c75bba7c05746</t>
        </is>
      </c>
      <c r="H7" t="inlineStr">
        <is>
          <t>Extracted text</t>
        </is>
      </c>
      <c r="I7" t="inlineStr">
        <is>
          <t>Related edition, supporting context or superseded source; no independent trial inferred</t>
        </is>
      </c>
      <c r="J7" t="inlineStr">
        <is>
          <t>No owner production trial log found</t>
        </is>
      </c>
      <c r="K7" t="inlineStr">
        <is>
          <t>English (text screening)</t>
        </is>
      </c>
      <c r="L7" t="inlineStr">
        <is>
          <t>No explicit version established; modified date is file metadata only</t>
        </is>
      </c>
      <c r="M7" t="inlineStr">
        <is>
          <t>45 extracted pages/blocks/rows; 171 recipe keyword signals (not recipe count)</t>
        </is>
      </c>
    </row>
    <row r="8">
      <c r="A8" t="inlineStr">
        <is>
          <t>S005</t>
        </is>
      </c>
      <c r="B8" t="inlineStr">
        <is>
          <t>Equipment_Gaps_and_Trial_Plan.md</t>
        </is>
      </c>
      <c r="C8" t="inlineStr">
        <is>
          <t>C:\Users\J COMPUTER\Documents\Codex\2026-09-12\x20-using-this-document-download-the\docs\bakery\Equipment_Gaps_and_Trial_Plan.md</t>
        </is>
      </c>
      <c r="D8" t="inlineStr">
        <is>
          <t>.md</t>
        </is>
      </c>
      <c r="E8" t="inlineStr">
        <is>
          <t>2026-09-13T21:16:23.614072+00:00</t>
        </is>
      </c>
      <c r="F8" t="inlineStr">
        <is>
          <t>11936</t>
        </is>
      </c>
      <c r="G8" t="inlineStr">
        <is>
          <t>887013ce03097c8cd0e2d559dd8b6f369f6a6e0827b8b35a7aecfa2807f4036a</t>
        </is>
      </c>
      <c r="H8" t="inlineStr">
        <is>
          <t>Extracted text</t>
        </is>
      </c>
      <c r="I8" t="inlineStr">
        <is>
          <t>Related edition, supporting context or superseded source; no independent trial inferred</t>
        </is>
      </c>
      <c r="J8" t="inlineStr">
        <is>
          <t>No owner production trial log found</t>
        </is>
      </c>
      <c r="K8" t="inlineStr">
        <is>
          <t>English (text screening)</t>
        </is>
      </c>
      <c r="L8" t="inlineStr">
        <is>
          <t>No explicit version established; modified date is file metadata only</t>
        </is>
      </c>
      <c r="M8" t="inlineStr">
        <is>
          <t>74 extracted pages/blocks/rows; 15 recipe keyword signals (not recipe count)</t>
        </is>
      </c>
    </row>
    <row r="9">
      <c r="A9" t="inlineStr">
        <is>
          <t>S006</t>
        </is>
      </c>
      <c r="B9" t="inlineStr">
        <is>
          <t>Nkambe_Bakery_Strategy_and_Recipe_Manual.md</t>
        </is>
      </c>
      <c r="C9" t="inlineStr">
        <is>
          <t>C:\Users\J COMPUTER\Documents\Codex\2026-09-12\x20-using-this-document-download-the\docs\bakery\Nkambe_Bakery_Strategy_and_Recipe_Manual.md</t>
        </is>
      </c>
      <c r="D9" t="inlineStr">
        <is>
          <t>.md</t>
        </is>
      </c>
      <c r="E9" t="inlineStr">
        <is>
          <t>2026-09-14T14:11:17.347165+00:00</t>
        </is>
      </c>
      <c r="F9" t="inlineStr">
        <is>
          <t>215633</t>
        </is>
      </c>
      <c r="G9" t="inlineStr">
        <is>
          <t>c2449e2d412be100e03097e99d865502306b185c2ac475686f0bdd05aee806aa</t>
        </is>
      </c>
      <c r="H9" t="inlineStr">
        <is>
          <t>Extracted text</t>
        </is>
      </c>
      <c r="I9" t="inlineStr">
        <is>
          <t>Related edition, supporting context or superseded source; no independent trial inferred</t>
        </is>
      </c>
      <c r="J9" t="inlineStr">
        <is>
          <t>No owner production trial log found</t>
        </is>
      </c>
      <c r="K9" t="inlineStr">
        <is>
          <t>English (text screening)</t>
        </is>
      </c>
      <c r="L9" t="inlineStr">
        <is>
          <t>No explicit version established; modified date is file metadata only</t>
        </is>
      </c>
      <c r="M9" t="inlineStr">
        <is>
          <t>2697 extracted pages/blocks/rows; 375 recipe keyword signals (not recipe count)</t>
        </is>
      </c>
    </row>
    <row r="10">
      <c r="A10" t="inlineStr">
        <is>
          <t>S007</t>
        </is>
      </c>
      <c r="B10" t="inlineStr">
        <is>
          <t>Nkambe_Bakery_Strategy_and_Recipe_Manual.pdf</t>
        </is>
      </c>
      <c r="C10" t="inlineStr">
        <is>
          <t>C:\Users\J COMPUTER\Documents\Codex\2026-09-12\x20-using-this-document-download-the\docs\bakery\Nkambe_Bakery_Strategy_and_Recipe_Manual.pdf</t>
        </is>
      </c>
      <c r="D10" t="inlineStr">
        <is>
          <t>.pdf</t>
        </is>
      </c>
      <c r="E10" t="inlineStr">
        <is>
          <t>2026-09-14T14:11:36.397636+00:00</t>
        </is>
      </c>
      <c r="F10" t="inlineStr">
        <is>
          <t>428291</t>
        </is>
      </c>
      <c r="G10" t="inlineStr">
        <is>
          <t>1ff70f54a43346e89057c30486c799af12e845502adaa43fd3ebfc20cf5d24e9</t>
        </is>
      </c>
      <c r="H10" t="inlineStr">
        <is>
          <t>Extracted text</t>
        </is>
      </c>
      <c r="I10" t="inlineStr">
        <is>
          <t>Related edition, supporting context or superseded source; no independent trial inferred</t>
        </is>
      </c>
      <c r="J10" t="inlineStr">
        <is>
          <t>No owner production trial log found</t>
        </is>
      </c>
      <c r="K10" t="inlineStr">
        <is>
          <t>English (text screening)</t>
        </is>
      </c>
      <c r="L10" t="inlineStr">
        <is>
          <t>No explicit version established; modified date is file metadata only</t>
        </is>
      </c>
      <c r="M10" t="inlineStr">
        <is>
          <t>89 extracted pages/blocks/rows; 466 recipe keyword signals (not recipe count)</t>
        </is>
      </c>
    </row>
    <row r="11">
      <c r="A11" t="inlineStr">
        <is>
          <t>S008</t>
        </is>
      </c>
      <c r="B11" t="inlineStr">
        <is>
          <t>Product_Selection_and_Costing.xlsx</t>
        </is>
      </c>
      <c r="C11" t="inlineStr">
        <is>
          <t>C:\Users\J COMPUTER\Documents\Codex\2026-09-12\x20-using-this-document-download-the\docs\bakery\Product_Selection_and_Costing.xlsx</t>
        </is>
      </c>
      <c r="D11" t="inlineStr">
        <is>
          <t>.xlsx</t>
        </is>
      </c>
      <c r="E11" t="inlineStr">
        <is>
          <t>2026-09-13T21:02:47.391404+00:00</t>
        </is>
      </c>
      <c r="F11" t="inlineStr">
        <is>
          <t>75646</t>
        </is>
      </c>
      <c r="G11" t="inlineStr">
        <is>
          <t>5935cf2783344af2e6912671a4edd7fdc04d241e00487c5cc048fff60c471587</t>
        </is>
      </c>
      <c r="H11" t="inlineStr">
        <is>
          <t>Extracted text</t>
        </is>
      </c>
      <c r="I11" t="inlineStr">
        <is>
          <t>Related edition, supporting context or superseded source; no independent trial inferred</t>
        </is>
      </c>
      <c r="J11" t="inlineStr">
        <is>
          <t>No owner production trial log found</t>
        </is>
      </c>
      <c r="K11" t="inlineStr">
        <is>
          <t>English (text screening)</t>
        </is>
      </c>
      <c r="L11" t="inlineStr">
        <is>
          <t>No explicit version established; modified date is file metadata only</t>
        </is>
      </c>
      <c r="M11" t="inlineStr">
        <is>
          <t>631 extracted pages/blocks/rows; 40 recipe keyword signals (not recipe count)</t>
        </is>
      </c>
    </row>
    <row r="12">
      <c r="A12" t="inlineStr">
        <is>
          <t>S005</t>
        </is>
      </c>
      <c r="B12" t="inlineStr">
        <is>
          <t>Equipment_Gaps_and_Trial_Plan.md</t>
        </is>
      </c>
      <c r="C12" t="inlineStr">
        <is>
          <t>C:\Users\J COMPUTER\Documents\Codex\2026-09-12\x20-using-this-document-download-the\docs\bakery\research-edition\Equipment_Gaps_and_Trial_Plan.md</t>
        </is>
      </c>
      <c r="D12" t="inlineStr">
        <is>
          <t>.md</t>
        </is>
      </c>
      <c r="E12" t="inlineStr">
        <is>
          <t>2026-09-13T21:16:23.614072+00:00</t>
        </is>
      </c>
      <c r="F12" t="inlineStr">
        <is>
          <t>11936</t>
        </is>
      </c>
      <c r="G12" t="inlineStr">
        <is>
          <t>887013ce03097c8cd0e2d559dd8b6f369f6a6e0827b8b35a7aecfa2807f4036a</t>
        </is>
      </c>
      <c r="H12" t="inlineStr">
        <is>
          <t>Exact duplicate</t>
        </is>
      </c>
      <c r="I12" t="inlineStr">
        <is>
          <t>Related edition, supporting context or superseded source; no independent trial inferred</t>
        </is>
      </c>
      <c r="J12" t="inlineStr">
        <is>
          <t>No owner production trial log found</t>
        </is>
      </c>
      <c r="K12" t="inlineStr">
        <is>
          <t>English (text screening)</t>
        </is>
      </c>
      <c r="L12" t="inlineStr">
        <is>
          <t>No explicit version established; modified date is file metadata only</t>
        </is>
      </c>
      <c r="M12" t="inlineStr">
        <is>
          <t xml:space="preserve"> extracted pages/blocks/rows;  recipe keyword signals (not recipe count)</t>
        </is>
      </c>
    </row>
    <row r="13">
      <c r="A13" t="inlineStr">
        <is>
          <t>S006</t>
        </is>
      </c>
      <c r="B13" t="inlineStr">
        <is>
          <t>Nkambe_Bakery_Strategy_and_Recipe_Manual.md</t>
        </is>
      </c>
      <c r="C13" t="inlineStr">
        <is>
          <t>C:\Users\J COMPUTER\Documents\Codex\2026-09-12\x20-using-this-document-download-the\docs\bakery\research-edition\Nkambe_Bakery_Strategy_and_Recipe_Manual.md</t>
        </is>
      </c>
      <c r="D13" t="inlineStr">
        <is>
          <t>.md</t>
        </is>
      </c>
      <c r="E13" t="inlineStr">
        <is>
          <t>2026-09-14T14:11:17.347165+00:00</t>
        </is>
      </c>
      <c r="F13" t="inlineStr">
        <is>
          <t>215633</t>
        </is>
      </c>
      <c r="G13" t="inlineStr">
        <is>
          <t>c2449e2d412be100e03097e99d865502306b185c2ac475686f0bdd05aee806aa</t>
        </is>
      </c>
      <c r="H13" t="inlineStr">
        <is>
          <t>Exact duplicate</t>
        </is>
      </c>
      <c r="I13" t="inlineStr">
        <is>
          <t>Related edition, supporting context or superseded source; no independent trial inferred</t>
        </is>
      </c>
      <c r="J13" t="inlineStr">
        <is>
          <t>No owner production trial log found</t>
        </is>
      </c>
      <c r="K13" t="inlineStr">
        <is>
          <t>English (text screening)</t>
        </is>
      </c>
      <c r="L13" t="inlineStr">
        <is>
          <t>No explicit version established; modified date is file metadata only</t>
        </is>
      </c>
      <c r="M13" t="inlineStr">
        <is>
          <t xml:space="preserve"> extracted pages/blocks/rows;  recipe keyword signals (not recipe count)</t>
        </is>
      </c>
    </row>
    <row r="14">
      <c r="A14" t="inlineStr">
        <is>
          <t>S007</t>
        </is>
      </c>
      <c r="B14" t="inlineStr">
        <is>
          <t>Nkambe_Bakery_Strategy_and_Recipe_Manual.pdf</t>
        </is>
      </c>
      <c r="C14" t="inlineStr">
        <is>
          <t>C:\Users\J COMPUTER\Documents\Codex\2026-09-12\x20-using-this-document-download-the\docs\bakery\research-edition\Nkambe_Bakery_Strategy_and_Recipe_Manual.pdf</t>
        </is>
      </c>
      <c r="D14" t="inlineStr">
        <is>
          <t>.pdf</t>
        </is>
      </c>
      <c r="E14" t="inlineStr">
        <is>
          <t>2026-09-14T14:11:36.397636+00:00</t>
        </is>
      </c>
      <c r="F14" t="inlineStr">
        <is>
          <t>428291</t>
        </is>
      </c>
      <c r="G14" t="inlineStr">
        <is>
          <t>1ff70f54a43346e89057c30486c799af12e845502adaa43fd3ebfc20cf5d24e9</t>
        </is>
      </c>
      <c r="H14" t="inlineStr">
        <is>
          <t>Exact duplicate</t>
        </is>
      </c>
      <c r="I14" t="inlineStr">
        <is>
          <t>Related edition, supporting context or superseded source; no independent trial inferred</t>
        </is>
      </c>
      <c r="J14" t="inlineStr">
        <is>
          <t>No owner production trial log found</t>
        </is>
      </c>
      <c r="K14" t="inlineStr">
        <is>
          <t>English (text screening)</t>
        </is>
      </c>
      <c r="L14" t="inlineStr">
        <is>
          <t>No explicit version established; modified date is file metadata only</t>
        </is>
      </c>
      <c r="M14" t="inlineStr">
        <is>
          <t xml:space="preserve"> extracted pages/blocks/rows;  recipe keyword signals (not recipe count)</t>
        </is>
      </c>
    </row>
    <row r="15">
      <c r="A15" t="inlineStr">
        <is>
          <t>S009</t>
        </is>
      </c>
      <c r="B15" t="inlineStr">
        <is>
          <t>Product_Selection_and_Costing.xlsx</t>
        </is>
      </c>
      <c r="C15" t="inlineStr">
        <is>
          <t>C:\Users\J COMPUTER\Documents\Codex\2026-09-12\x20-using-this-document-download-the\docs\bakery\research-edition\Product_Selection_and_Costing.xlsx</t>
        </is>
      </c>
      <c r="D15" t="inlineStr">
        <is>
          <t>.xlsx</t>
        </is>
      </c>
      <c r="E15" t="inlineStr">
        <is>
          <t>2026-09-14T20:11:44.845456+00:00</t>
        </is>
      </c>
      <c r="F15" t="inlineStr">
        <is>
          <t>87464</t>
        </is>
      </c>
      <c r="G15" t="inlineStr">
        <is>
          <t>692365afec02ade7ab75bf2a2534a6f3cbea000009b7b7dcb95679ccd4bffa68</t>
        </is>
      </c>
      <c r="H15" t="inlineStr">
        <is>
          <t>Extracted text</t>
        </is>
      </c>
      <c r="I15" t="inlineStr">
        <is>
          <t>Related edition, supporting context or superseded source; no independent trial inferred</t>
        </is>
      </c>
      <c r="J15" t="inlineStr">
        <is>
          <t>No owner production trial log found</t>
        </is>
      </c>
      <c r="K15" t="inlineStr">
        <is>
          <t>English (text screening)</t>
        </is>
      </c>
      <c r="L15" t="inlineStr">
        <is>
          <t>No explicit version established; modified date is file metadata only</t>
        </is>
      </c>
      <c r="M15" t="inlineStr">
        <is>
          <t>631 extracted pages/blocks/rows; 40 recipe keyword signals (not recipe count)</t>
        </is>
      </c>
    </row>
    <row r="16">
      <c r="A16" t="inlineStr">
        <is>
          <t>S010</t>
        </is>
      </c>
      <c r="B16" t="inlineStr">
        <is>
          <t>Research_Sources_and_Evidence.md</t>
        </is>
      </c>
      <c r="C16" t="inlineStr">
        <is>
          <t>C:\Users\J COMPUTER\Documents\Codex\2026-09-12\x20-using-this-document-download-the\docs\bakery\research-edition\Research_Sources_and_Evidence.md</t>
        </is>
      </c>
      <c r="D16" t="inlineStr">
        <is>
          <t>.md</t>
        </is>
      </c>
      <c r="E16" t="inlineStr">
        <is>
          <t>2026-09-14T14:11:17.375622+00:00</t>
        </is>
      </c>
      <c r="F16" t="inlineStr">
        <is>
          <t>15552</t>
        </is>
      </c>
      <c r="G16" t="inlineStr">
        <is>
          <t>c4931fb1f6acb269edc18f1a2fb642bc594bbc4ccb0afb48898ec35a34bf9041</t>
        </is>
      </c>
      <c r="H16" t="inlineStr">
        <is>
          <t>Extracted text</t>
        </is>
      </c>
      <c r="I16" t="inlineStr">
        <is>
          <t>Related edition, supporting context or superseded source; no independent trial inferred</t>
        </is>
      </c>
      <c r="J16" t="inlineStr">
        <is>
          <t>No owner production trial log found</t>
        </is>
      </c>
      <c r="K16" t="inlineStr">
        <is>
          <t>English (text screening)</t>
        </is>
      </c>
      <c r="L16" t="inlineStr">
        <is>
          <t>No explicit version established; modified date is file metadata only</t>
        </is>
      </c>
      <c r="M16" t="inlineStr">
        <is>
          <t>292 extracted pages/blocks/rows; 7 recipe keyword signals (not recipe count)</t>
        </is>
      </c>
    </row>
    <row r="17">
      <c r="A17" t="inlineStr">
        <is>
          <t>S011</t>
        </is>
      </c>
      <c r="B17" t="inlineStr">
        <is>
          <t>Revision_and_Verification_Report.md</t>
        </is>
      </c>
      <c r="C17" t="inlineStr">
        <is>
          <t>C:\Users\J COMPUTER\Documents\Codex\2026-09-12\x20-using-this-document-download-the\docs\bakery\research-edition\Revision_and_Verification_Report.md</t>
        </is>
      </c>
      <c r="D17" t="inlineStr">
        <is>
          <t>.md</t>
        </is>
      </c>
      <c r="E17" t="inlineStr">
        <is>
          <t>2026-09-14T14:13:48.143033+00:00</t>
        </is>
      </c>
      <c r="F17" t="inlineStr">
        <is>
          <t>14340</t>
        </is>
      </c>
      <c r="G17" t="inlineStr">
        <is>
          <t>6cb443dad8899af30c5d089ae1b9ce5e1ed2790a9d28e3f5004054d79a3107a3</t>
        </is>
      </c>
      <c r="H17" t="inlineStr">
        <is>
          <t>Extracted text</t>
        </is>
      </c>
      <c r="I17" t="inlineStr">
        <is>
          <t>Related edition, supporting context or superseded source; no independent trial inferred</t>
        </is>
      </c>
      <c r="J17" t="inlineStr">
        <is>
          <t>No owner production trial log found</t>
        </is>
      </c>
      <c r="K17" t="inlineStr">
        <is>
          <t>English (text screening)</t>
        </is>
      </c>
      <c r="L17" t="inlineStr">
        <is>
          <t>No explicit version established; modified date is file metadata only</t>
        </is>
      </c>
      <c r="M17" t="inlineStr">
        <is>
          <t>85 extracted pages/blocks/rows; 22 recipe keyword signals (not recipe count)</t>
        </is>
      </c>
    </row>
    <row r="18">
      <c r="A18" t="inlineStr">
        <is>
          <t>S010</t>
        </is>
      </c>
      <c r="B18" t="inlineStr">
        <is>
          <t>Research_Sources_and_Evidence.md</t>
        </is>
      </c>
      <c r="C18" t="inlineStr">
        <is>
          <t>C:\Users\J COMPUTER\Documents\Codex\2026-09-12\x20-using-this-document-download-the\docs\bakery\Research_Sources_and_Evidence.md</t>
        </is>
      </c>
      <c r="D18" t="inlineStr">
        <is>
          <t>.md</t>
        </is>
      </c>
      <c r="E18" t="inlineStr">
        <is>
          <t>2026-09-14T14:11:17.375622+00:00</t>
        </is>
      </c>
      <c r="F18" t="inlineStr">
        <is>
          <t>15552</t>
        </is>
      </c>
      <c r="G18" t="inlineStr">
        <is>
          <t>c4931fb1f6acb269edc18f1a2fb642bc594bbc4ccb0afb48898ec35a34bf9041</t>
        </is>
      </c>
      <c r="H18" t="inlineStr">
        <is>
          <t>Exact duplicate</t>
        </is>
      </c>
      <c r="I18" t="inlineStr">
        <is>
          <t>Related edition, supporting context or superseded source; no independent trial inferred</t>
        </is>
      </c>
      <c r="J18" t="inlineStr">
        <is>
          <t>No owner production trial log found</t>
        </is>
      </c>
      <c r="K18" t="inlineStr">
        <is>
          <t>English (text screening)</t>
        </is>
      </c>
      <c r="L18" t="inlineStr">
        <is>
          <t>No explicit version established; modified date is file metadata only</t>
        </is>
      </c>
      <c r="M18" t="inlineStr">
        <is>
          <t xml:space="preserve"> extracted pages/blocks/rows;  recipe keyword signals (not recipe count)</t>
        </is>
      </c>
    </row>
    <row r="19">
      <c r="A19" t="inlineStr">
        <is>
          <t>S011</t>
        </is>
      </c>
      <c r="B19" t="inlineStr">
        <is>
          <t>Revision_and_Verification_Report.md</t>
        </is>
      </c>
      <c r="C19" t="inlineStr">
        <is>
          <t>C:\Users\J COMPUTER\Documents\Codex\2026-09-12\x20-using-this-document-download-the\docs\bakery\Revision_and_Verification_Report.md</t>
        </is>
      </c>
      <c r="D19" t="inlineStr">
        <is>
          <t>.md</t>
        </is>
      </c>
      <c r="E19" t="inlineStr">
        <is>
          <t>2026-09-14T14:13:48.143033+00:00</t>
        </is>
      </c>
      <c r="F19" t="inlineStr">
        <is>
          <t>14340</t>
        </is>
      </c>
      <c r="G19" t="inlineStr">
        <is>
          <t>6cb443dad8899af30c5d089ae1b9ce5e1ed2790a9d28e3f5004054d79a3107a3</t>
        </is>
      </c>
      <c r="H19" t="inlineStr">
        <is>
          <t>Exact duplicate</t>
        </is>
      </c>
      <c r="I19" t="inlineStr">
        <is>
          <t>Related edition, supporting context or superseded source; no independent trial inferred</t>
        </is>
      </c>
      <c r="J19" t="inlineStr">
        <is>
          <t>No owner production trial log found</t>
        </is>
      </c>
      <c r="K19" t="inlineStr">
        <is>
          <t>English (text screening)</t>
        </is>
      </c>
      <c r="L19" t="inlineStr">
        <is>
          <t>No explicit version established; modified date is file metadata only</t>
        </is>
      </c>
      <c r="M19" t="inlineStr">
        <is>
          <t xml:space="preserve"> extracted pages/blocks/rows;  recipe keyword signals (not recipe count)</t>
        </is>
      </c>
    </row>
    <row r="20">
      <c r="B20" t="inlineStr">
        <is>
          <t>bakery_manual_before_redesign.pdf</t>
        </is>
      </c>
      <c r="C20" t="inlineStr">
        <is>
          <t>C:\Users\J COMPUTER\Documents\Codex\2026-09-12\x20-using-this-document-download-the\work\bakery_design_review\bakery_manual_before_redesign.pdf</t>
        </is>
      </c>
      <c r="D20" t="inlineStr">
        <is>
          <t>.pdf</t>
        </is>
      </c>
      <c r="E20" t="inlineStr">
        <is>
          <t>2026-09-13T12:09:27.201531+00:00</t>
        </is>
      </c>
      <c r="F20" t="inlineStr">
        <is>
          <t>160616</t>
        </is>
      </c>
      <c r="H20" t="inlineStr">
        <is>
          <t>Generated work or software support file</t>
        </is>
      </c>
      <c r="I20" t="inlineStr">
        <is>
          <t>Filename screened</t>
        </is>
      </c>
      <c r="J20" t="inlineStr">
        <is>
          <t>No owner production trial log found</t>
        </is>
      </c>
      <c r="K20" t="inlineStr">
        <is>
          <t>Not established / non-text</t>
        </is>
      </c>
      <c r="L20" t="inlineStr">
        <is>
          <t>No explicit version established; modified date is file metadata only</t>
        </is>
      </c>
      <c r="M20" t="inlineStr">
        <is>
          <t xml:space="preserve"> extracted pages/blocks/rows;  recipe keyword signals (not recipe count)</t>
        </is>
      </c>
    </row>
    <row r="21">
      <c r="B21" t="inlineStr">
        <is>
          <t>bakery_strategy_and_recipe_manual.pdf</t>
        </is>
      </c>
      <c r="C21" t="inlineStr">
        <is>
          <t>C:\Users\J COMPUTER\Documents\Codex\2026-09-12\x20-using-this-document-download-the\work\bakery_design_review\bakery_strategy_and_recipe_manual.pdf</t>
        </is>
      </c>
      <c r="D21" t="inlineStr">
        <is>
          <t>.pdf</t>
        </is>
      </c>
      <c r="E21" t="inlineStr">
        <is>
          <t>2026-09-13T12:20:16.996575+00:00</t>
        </is>
      </c>
      <c r="F21" t="inlineStr">
        <is>
          <t>312562</t>
        </is>
      </c>
      <c r="H21" t="inlineStr">
        <is>
          <t>Generated work or software support file</t>
        </is>
      </c>
      <c r="I21" t="inlineStr">
        <is>
          <t>Filename screened</t>
        </is>
      </c>
      <c r="J21" t="inlineStr">
        <is>
          <t>No owner production trial log found</t>
        </is>
      </c>
      <c r="K21" t="inlineStr">
        <is>
          <t>Not established / non-text</t>
        </is>
      </c>
      <c r="L21" t="inlineStr">
        <is>
          <t>No explicit version established; modified date is file metadata only</t>
        </is>
      </c>
      <c r="M21" t="inlineStr">
        <is>
          <t xml:space="preserve"> extracted pages/blocks/rows;  recipe keyword signals (not recipe count)</t>
        </is>
      </c>
    </row>
    <row r="22">
      <c r="B22" t="inlineStr">
        <is>
          <t>contact_1.jpg</t>
        </is>
      </c>
      <c r="C22" t="inlineStr">
        <is>
          <t>C:\Users\J COMPUTER\Documents\Codex\2026-09-12\x20-using-this-document-download-the\work\bakery_design_review\contact_1.jpg</t>
        </is>
      </c>
      <c r="D22" t="inlineStr">
        <is>
          <t>.jpg</t>
        </is>
      </c>
      <c r="E22" t="inlineStr">
        <is>
          <t>2026-09-13T12:20:20.239397+00:00</t>
        </is>
      </c>
      <c r="F22" t="inlineStr">
        <is>
          <t>184113</t>
        </is>
      </c>
      <c r="H22" t="inlineStr">
        <is>
          <t>Generated work or software support file</t>
        </is>
      </c>
      <c r="I22" t="inlineStr">
        <is>
          <t>Filename screened</t>
        </is>
      </c>
      <c r="J22" t="inlineStr">
        <is>
          <t>No owner production trial log found</t>
        </is>
      </c>
      <c r="K22" t="inlineStr">
        <is>
          <t>Not established / non-text</t>
        </is>
      </c>
      <c r="L22" t="inlineStr">
        <is>
          <t>No explicit version established; modified date is file metadata only</t>
        </is>
      </c>
      <c r="M22" t="inlineStr">
        <is>
          <t xml:space="preserve"> extracted pages/blocks/rows;  recipe keyword signals (not recipe count)</t>
        </is>
      </c>
    </row>
    <row r="23">
      <c r="B23" t="inlineStr">
        <is>
          <t>contact_2.jpg</t>
        </is>
      </c>
      <c r="C23" t="inlineStr">
        <is>
          <t>C:\Users\J COMPUTER\Documents\Codex\2026-09-12\x20-using-this-document-download-the\work\bakery_design_review\contact_2.jpg</t>
        </is>
      </c>
      <c r="D23" t="inlineStr">
        <is>
          <t>.jpg</t>
        </is>
      </c>
      <c r="E23" t="inlineStr">
        <is>
          <t>2026-09-13T12:20:20.252282+00:00</t>
        </is>
      </c>
      <c r="F23" t="inlineStr">
        <is>
          <t>221509</t>
        </is>
      </c>
      <c r="H23" t="inlineStr">
        <is>
          <t>Generated work or software support file</t>
        </is>
      </c>
      <c r="I23" t="inlineStr">
        <is>
          <t>Filename screened</t>
        </is>
      </c>
      <c r="J23" t="inlineStr">
        <is>
          <t>No owner production trial log found</t>
        </is>
      </c>
      <c r="K23" t="inlineStr">
        <is>
          <t>Not established / non-text</t>
        </is>
      </c>
      <c r="L23" t="inlineStr">
        <is>
          <t>No explicit version established; modified date is file metadata only</t>
        </is>
      </c>
      <c r="M23" t="inlineStr">
        <is>
          <t xml:space="preserve"> extracted pages/blocks/rows;  recipe keyword signals (not recipe count)</t>
        </is>
      </c>
    </row>
    <row r="24">
      <c r="B24" t="inlineStr">
        <is>
          <t>contact_3.jpg</t>
        </is>
      </c>
      <c r="C24" t="inlineStr">
        <is>
          <t>C:\Users\J COMPUTER\Documents\Codex\2026-09-12\x20-using-this-document-download-the\work\bakery_design_review\contact_3.jpg</t>
        </is>
      </c>
      <c r="D24" t="inlineStr">
        <is>
          <t>.jpg</t>
        </is>
      </c>
      <c r="E24" t="inlineStr">
        <is>
          <t>2026-09-13T12:20:20.261636+00:00</t>
        </is>
      </c>
      <c r="F24" t="inlineStr">
        <is>
          <t>262077</t>
        </is>
      </c>
      <c r="H24" t="inlineStr">
        <is>
          <t>Generated work or software support file</t>
        </is>
      </c>
      <c r="I24" t="inlineStr">
        <is>
          <t>Filename screened</t>
        </is>
      </c>
      <c r="J24" t="inlineStr">
        <is>
          <t>No owner production trial log found</t>
        </is>
      </c>
      <c r="K24" t="inlineStr">
        <is>
          <t>Not established / non-text</t>
        </is>
      </c>
      <c r="L24" t="inlineStr">
        <is>
          <t>No explicit version established; modified date is file metadata only</t>
        </is>
      </c>
      <c r="M24" t="inlineStr">
        <is>
          <t xml:space="preserve"> extracted pages/blocks/rows;  recipe keyword signals (not recipe count)</t>
        </is>
      </c>
    </row>
    <row r="25">
      <c r="B25" t="inlineStr">
        <is>
          <t>contact_4.jpg</t>
        </is>
      </c>
      <c r="C25" t="inlineStr">
        <is>
          <t>C:\Users\J COMPUTER\Documents\Codex\2026-09-12\x20-using-this-document-download-the\work\bakery_design_review\contact_4.jpg</t>
        </is>
      </c>
      <c r="D25" t="inlineStr">
        <is>
          <t>.jpg</t>
        </is>
      </c>
      <c r="E25" t="inlineStr">
        <is>
          <t>2026-09-13T12:20:20.280204+00:00</t>
        </is>
      </c>
      <c r="F25" t="inlineStr">
        <is>
          <t>163483</t>
        </is>
      </c>
      <c r="H25" t="inlineStr">
        <is>
          <t>Generated work or software support file</t>
        </is>
      </c>
      <c r="I25" t="inlineStr">
        <is>
          <t>Filename screened</t>
        </is>
      </c>
      <c r="J25" t="inlineStr">
        <is>
          <t>No owner production trial log found</t>
        </is>
      </c>
      <c r="K25" t="inlineStr">
        <is>
          <t>Not established / non-text</t>
        </is>
      </c>
      <c r="L25" t="inlineStr">
        <is>
          <t>No explicit version established; modified date is file metadata only</t>
        </is>
      </c>
      <c r="M25" t="inlineStr">
        <is>
          <t xml:space="preserve"> extracted pages/blocks/rows;  recipe keyword signals (not recipe count)</t>
        </is>
      </c>
    </row>
    <row r="26">
      <c r="B26" t="inlineStr">
        <is>
          <t>contact_5.jpg</t>
        </is>
      </c>
      <c r="C26" t="inlineStr">
        <is>
          <t>C:\Users\J COMPUTER\Documents\Codex\2026-09-12\x20-using-this-document-download-the\work\bakery_design_review\contact_5.jpg</t>
        </is>
      </c>
      <c r="D26" t="inlineStr">
        <is>
          <t>.jpg</t>
        </is>
      </c>
      <c r="E26" t="inlineStr">
        <is>
          <t>2026-09-13T12:16:36.370112+00:00</t>
        </is>
      </c>
      <c r="F26" t="inlineStr">
        <is>
          <t>83177</t>
        </is>
      </c>
      <c r="H26" t="inlineStr">
        <is>
          <t>Generated work or software support file</t>
        </is>
      </c>
      <c r="I26" t="inlineStr">
        <is>
          <t>Filename screened</t>
        </is>
      </c>
      <c r="J26" t="inlineStr">
        <is>
          <t>No owner production trial log found</t>
        </is>
      </c>
      <c r="K26" t="inlineStr">
        <is>
          <t>Not established / non-text</t>
        </is>
      </c>
      <c r="L26" t="inlineStr">
        <is>
          <t>No explicit version established; modified date is file metadata only</t>
        </is>
      </c>
      <c r="M26" t="inlineStr">
        <is>
          <t xml:space="preserve"> extracted pages/blocks/rows;  recipe keyword signals (not recipe count)</t>
        </is>
      </c>
    </row>
    <row r="27">
      <c r="B27" t="inlineStr">
        <is>
          <t>page_01.png</t>
        </is>
      </c>
      <c r="C27" t="inlineStr">
        <is>
          <t>C:\Users\J COMPUTER\Documents\Codex\2026-09-12\x20-using-this-document-download-the\work\bakery_design_review\page_01.png</t>
        </is>
      </c>
      <c r="D27" t="inlineStr">
        <is>
          <t>.png</t>
        </is>
      </c>
      <c r="E27" t="inlineStr">
        <is>
          <t>2026-09-13T12:20:18.003646+00:00</t>
        </is>
      </c>
      <c r="F27" t="inlineStr">
        <is>
          <t>107700</t>
        </is>
      </c>
      <c r="H27" t="inlineStr">
        <is>
          <t>Generated work or software support file</t>
        </is>
      </c>
      <c r="I27" t="inlineStr">
        <is>
          <t>Filename screened</t>
        </is>
      </c>
      <c r="J27" t="inlineStr">
        <is>
          <t>No owner production trial log found</t>
        </is>
      </c>
      <c r="K27" t="inlineStr">
        <is>
          <t>Not established / non-text</t>
        </is>
      </c>
      <c r="L27" t="inlineStr">
        <is>
          <t>No explicit version established; modified date is file metadata only</t>
        </is>
      </c>
      <c r="M27" t="inlineStr">
        <is>
          <t xml:space="preserve"> extracted pages/blocks/rows;  recipe keyword signals (not recipe count)</t>
        </is>
      </c>
    </row>
    <row r="28">
      <c r="B28" t="inlineStr">
        <is>
          <t>page_02.png</t>
        </is>
      </c>
      <c r="C28" t="inlineStr">
        <is>
          <t>C:\Users\J COMPUTER\Documents\Codex\2026-09-12\x20-using-this-document-download-the\work\bakery_design_review\page_02.png</t>
        </is>
      </c>
      <c r="D28" t="inlineStr">
        <is>
          <t>.png</t>
        </is>
      </c>
      <c r="E28" t="inlineStr">
        <is>
          <t>2026-09-13T12:20:18.048571+00:00</t>
        </is>
      </c>
      <c r="F28" t="inlineStr">
        <is>
          <t>101258</t>
        </is>
      </c>
      <c r="H28" t="inlineStr">
        <is>
          <t>Generated work or software support file</t>
        </is>
      </c>
      <c r="I28" t="inlineStr">
        <is>
          <t>Filename screened</t>
        </is>
      </c>
      <c r="J28" t="inlineStr">
        <is>
          <t>No owner production trial log found</t>
        </is>
      </c>
      <c r="K28" t="inlineStr">
        <is>
          <t>Not established / non-text</t>
        </is>
      </c>
      <c r="L28" t="inlineStr">
        <is>
          <t>No explicit version established; modified date is file metadata only</t>
        </is>
      </c>
      <c r="M28" t="inlineStr">
        <is>
          <t xml:space="preserve"> extracted pages/blocks/rows;  recipe keyword signals (not recipe count)</t>
        </is>
      </c>
    </row>
    <row r="29">
      <c r="B29" t="inlineStr">
        <is>
          <t>page_03.png</t>
        </is>
      </c>
      <c r="C29" t="inlineStr">
        <is>
          <t>C:\Users\J COMPUTER\Documents\Codex\2026-09-12\x20-using-this-document-download-the\work\bakery_design_review\page_03.png</t>
        </is>
      </c>
      <c r="D29" t="inlineStr">
        <is>
          <t>.png</t>
        </is>
      </c>
      <c r="E29" t="inlineStr">
        <is>
          <t>2026-09-13T12:20:18.100704+00:00</t>
        </is>
      </c>
      <c r="F29" t="inlineStr">
        <is>
          <t>102723</t>
        </is>
      </c>
      <c r="H29" t="inlineStr">
        <is>
          <t>Generated work or software support file</t>
        </is>
      </c>
      <c r="I29" t="inlineStr">
        <is>
          <t>Filename screened</t>
        </is>
      </c>
      <c r="J29" t="inlineStr">
        <is>
          <t>No owner production trial log found</t>
        </is>
      </c>
      <c r="K29" t="inlineStr">
        <is>
          <t>Not established / non-text</t>
        </is>
      </c>
      <c r="L29" t="inlineStr">
        <is>
          <t>No explicit version established; modified date is file metadata only</t>
        </is>
      </c>
      <c r="M29" t="inlineStr">
        <is>
          <t xml:space="preserve"> extracted pages/blocks/rows;  recipe keyword signals (not recipe count)</t>
        </is>
      </c>
    </row>
    <row r="30">
      <c r="B30" t="inlineStr">
        <is>
          <t>page_04.png</t>
        </is>
      </c>
      <c r="C30" t="inlineStr">
        <is>
          <t>C:\Users\J COMPUTER\Documents\Codex\2026-09-12\x20-using-this-document-download-the\work\bakery_design_review\page_04.png</t>
        </is>
      </c>
      <c r="D30" t="inlineStr">
        <is>
          <t>.png</t>
        </is>
      </c>
      <c r="E30" t="inlineStr">
        <is>
          <t>2026-09-13T12:20:18.147408+00:00</t>
        </is>
      </c>
      <c r="F30" t="inlineStr">
        <is>
          <t>101540</t>
        </is>
      </c>
      <c r="H30" t="inlineStr">
        <is>
          <t>Generated work or software support file</t>
        </is>
      </c>
      <c r="I30" t="inlineStr">
        <is>
          <t>Filename screened</t>
        </is>
      </c>
      <c r="J30" t="inlineStr">
        <is>
          <t>No owner production trial log found</t>
        </is>
      </c>
      <c r="K30" t="inlineStr">
        <is>
          <t>Not established / non-text</t>
        </is>
      </c>
      <c r="L30" t="inlineStr">
        <is>
          <t>No explicit version established; modified date is file metadata only</t>
        </is>
      </c>
      <c r="M30" t="inlineStr">
        <is>
          <t xml:space="preserve"> extracted pages/blocks/rows;  recipe keyword signals (not recipe count)</t>
        </is>
      </c>
    </row>
    <row r="31">
      <c r="B31" t="inlineStr">
        <is>
          <t>page_05.png</t>
        </is>
      </c>
      <c r="C31" t="inlineStr">
        <is>
          <t>C:\Users\J COMPUTER\Documents\Codex\2026-09-12\x20-using-this-document-download-the\work\bakery_design_review\page_05.png</t>
        </is>
      </c>
      <c r="D31" t="inlineStr">
        <is>
          <t>.png</t>
        </is>
      </c>
      <c r="E31" t="inlineStr">
        <is>
          <t>2026-09-13T12:20:18.198012+00:00</t>
        </is>
      </c>
      <c r="F31" t="inlineStr">
        <is>
          <t>163772</t>
        </is>
      </c>
      <c r="H31" t="inlineStr">
        <is>
          <t>Generated work or software support file</t>
        </is>
      </c>
      <c r="I31" t="inlineStr">
        <is>
          <t>Filename screened</t>
        </is>
      </c>
      <c r="J31" t="inlineStr">
        <is>
          <t>No owner production trial log found</t>
        </is>
      </c>
      <c r="K31" t="inlineStr">
        <is>
          <t>Not established / non-text</t>
        </is>
      </c>
      <c r="L31" t="inlineStr">
        <is>
          <t>No explicit version established; modified date is file metadata only</t>
        </is>
      </c>
      <c r="M31" t="inlineStr">
        <is>
          <t xml:space="preserve"> extracted pages/blocks/rows;  recipe keyword signals (not recipe count)</t>
        </is>
      </c>
    </row>
    <row r="32">
      <c r="B32" t="inlineStr">
        <is>
          <t>page_06.png</t>
        </is>
      </c>
      <c r="C32" t="inlineStr">
        <is>
          <t>C:\Users\J COMPUTER\Documents\Codex\2026-09-12\x20-using-this-document-download-the\work\bakery_design_review\page_06.png</t>
        </is>
      </c>
      <c r="D32" t="inlineStr">
        <is>
          <t>.png</t>
        </is>
      </c>
      <c r="E32" t="inlineStr">
        <is>
          <t>2026-09-13T12:20:18.239143+00:00</t>
        </is>
      </c>
      <c r="F32" t="inlineStr">
        <is>
          <t>127488</t>
        </is>
      </c>
      <c r="H32" t="inlineStr">
        <is>
          <t>Generated work or software support file</t>
        </is>
      </c>
      <c r="I32" t="inlineStr">
        <is>
          <t>Filename screened</t>
        </is>
      </c>
      <c r="J32" t="inlineStr">
        <is>
          <t>No owner production trial log found</t>
        </is>
      </c>
      <c r="K32" t="inlineStr">
        <is>
          <t>Not established / non-text</t>
        </is>
      </c>
      <c r="L32" t="inlineStr">
        <is>
          <t>No explicit version established; modified date is file metadata only</t>
        </is>
      </c>
      <c r="M32" t="inlineStr">
        <is>
          <t xml:space="preserve"> extracted pages/blocks/rows;  recipe keyword signals (not recipe count)</t>
        </is>
      </c>
    </row>
    <row r="33">
      <c r="B33" t="inlineStr">
        <is>
          <t>page_07.png</t>
        </is>
      </c>
      <c r="C33" t="inlineStr">
        <is>
          <t>C:\Users\J COMPUTER\Documents\Codex\2026-09-12\x20-using-this-document-download-the\work\bakery_design_review\page_07.png</t>
        </is>
      </c>
      <c r="D33" t="inlineStr">
        <is>
          <t>.png</t>
        </is>
      </c>
      <c r="E33" t="inlineStr">
        <is>
          <t>2026-09-13T12:20:18.280658+00:00</t>
        </is>
      </c>
      <c r="F33" t="inlineStr">
        <is>
          <t>153988</t>
        </is>
      </c>
      <c r="H33" t="inlineStr">
        <is>
          <t>Generated work or software support file</t>
        </is>
      </c>
      <c r="I33" t="inlineStr">
        <is>
          <t>Filename screened</t>
        </is>
      </c>
      <c r="J33" t="inlineStr">
        <is>
          <t>No owner production trial log found</t>
        </is>
      </c>
      <c r="K33" t="inlineStr">
        <is>
          <t>Not established / non-text</t>
        </is>
      </c>
      <c r="L33" t="inlineStr">
        <is>
          <t>No explicit version established; modified date is file metadata only</t>
        </is>
      </c>
      <c r="M33" t="inlineStr">
        <is>
          <t xml:space="preserve"> extracted pages/blocks/rows;  recipe keyword signals (not recipe count)</t>
        </is>
      </c>
    </row>
    <row r="34">
      <c r="B34" t="inlineStr">
        <is>
          <t>page_08.png</t>
        </is>
      </c>
      <c r="C34" t="inlineStr">
        <is>
          <t>C:\Users\J COMPUTER\Documents\Codex\2026-09-12\x20-using-this-document-download-the\work\bakery_design_review\page_08.png</t>
        </is>
      </c>
      <c r="D34" t="inlineStr">
        <is>
          <t>.png</t>
        </is>
      </c>
      <c r="E34" t="inlineStr">
        <is>
          <t>2026-09-13T12:20:18.339828+00:00</t>
        </is>
      </c>
      <c r="F34" t="inlineStr">
        <is>
          <t>157396</t>
        </is>
      </c>
      <c r="H34" t="inlineStr">
        <is>
          <t>Generated work or software support file</t>
        </is>
      </c>
      <c r="I34" t="inlineStr">
        <is>
          <t>Filename screened</t>
        </is>
      </c>
      <c r="J34" t="inlineStr">
        <is>
          <t>No owner production trial log found</t>
        </is>
      </c>
      <c r="K34" t="inlineStr">
        <is>
          <t>Not established / non-text</t>
        </is>
      </c>
      <c r="L34" t="inlineStr">
        <is>
          <t>No explicit version established; modified date is file metadata only</t>
        </is>
      </c>
      <c r="M34" t="inlineStr">
        <is>
          <t xml:space="preserve"> extracted pages/blocks/rows;  recipe keyword signals (not recipe count)</t>
        </is>
      </c>
    </row>
    <row r="35">
      <c r="B35" t="inlineStr">
        <is>
          <t>page_09.png</t>
        </is>
      </c>
      <c r="C35" t="inlineStr">
        <is>
          <t>C:\Users\J COMPUTER\Documents\Codex\2026-09-12\x20-using-this-document-download-the\work\bakery_design_review\page_09.png</t>
        </is>
      </c>
      <c r="D35" t="inlineStr">
        <is>
          <t>.png</t>
        </is>
      </c>
      <c r="E35" t="inlineStr">
        <is>
          <t>2026-09-13T12:20:18.389107+00:00</t>
        </is>
      </c>
      <c r="F35" t="inlineStr">
        <is>
          <t>180536</t>
        </is>
      </c>
      <c r="H35" t="inlineStr">
        <is>
          <t>Generated work or software support file</t>
        </is>
      </c>
      <c r="I35" t="inlineStr">
        <is>
          <t>Filename screened</t>
        </is>
      </c>
      <c r="J35" t="inlineStr">
        <is>
          <t>No owner production trial log found</t>
        </is>
      </c>
      <c r="K35" t="inlineStr">
        <is>
          <t>Not established / non-text</t>
        </is>
      </c>
      <c r="L35" t="inlineStr">
        <is>
          <t>No explicit version established; modified date is file metadata only</t>
        </is>
      </c>
      <c r="M35" t="inlineStr">
        <is>
          <t xml:space="preserve"> extracted pages/blocks/rows;  recipe keyword signals (not recipe count)</t>
        </is>
      </c>
    </row>
    <row r="36">
      <c r="B36" t="inlineStr">
        <is>
          <t>page_10.png</t>
        </is>
      </c>
      <c r="C36" t="inlineStr">
        <is>
          <t>C:\Users\J COMPUTER\Documents\Codex\2026-09-12\x20-using-this-document-download-the\work\bakery_design_review\page_10.png</t>
        </is>
      </c>
      <c r="D36" t="inlineStr">
        <is>
          <t>.png</t>
        </is>
      </c>
      <c r="E36" t="inlineStr">
        <is>
          <t>2026-09-13T12:20:18.437285+00:00</t>
        </is>
      </c>
      <c r="F36" t="inlineStr">
        <is>
          <t>126591</t>
        </is>
      </c>
      <c r="H36" t="inlineStr">
        <is>
          <t>Generated work or software support file</t>
        </is>
      </c>
      <c r="I36" t="inlineStr">
        <is>
          <t>Filename screened</t>
        </is>
      </c>
      <c r="J36" t="inlineStr">
        <is>
          <t>No owner production trial log found</t>
        </is>
      </c>
      <c r="K36" t="inlineStr">
        <is>
          <t>Not established / non-text</t>
        </is>
      </c>
      <c r="L36" t="inlineStr">
        <is>
          <t>No explicit version established; modified date is file metadata only</t>
        </is>
      </c>
      <c r="M36" t="inlineStr">
        <is>
          <t xml:space="preserve"> extracted pages/blocks/rows;  recipe keyword signals (not recipe count)</t>
        </is>
      </c>
    </row>
    <row r="37">
      <c r="B37" t="inlineStr">
        <is>
          <t>page_11.png</t>
        </is>
      </c>
      <c r="C37" t="inlineStr">
        <is>
          <t>C:\Users\J COMPUTER\Documents\Codex\2026-09-12\x20-using-this-document-download-the\work\bakery_design_review\page_11.png</t>
        </is>
      </c>
      <c r="D37" t="inlineStr">
        <is>
          <t>.png</t>
        </is>
      </c>
      <c r="E37" t="inlineStr">
        <is>
          <t>2026-09-13T12:20:18.480780+00:00</t>
        </is>
      </c>
      <c r="F37" t="inlineStr">
        <is>
          <t>113882</t>
        </is>
      </c>
      <c r="H37" t="inlineStr">
        <is>
          <t>Generated work or software support file</t>
        </is>
      </c>
      <c r="I37" t="inlineStr">
        <is>
          <t>Filename screened</t>
        </is>
      </c>
      <c r="J37" t="inlineStr">
        <is>
          <t>No owner production trial log found</t>
        </is>
      </c>
      <c r="K37" t="inlineStr">
        <is>
          <t>Not established / non-text</t>
        </is>
      </c>
      <c r="L37" t="inlineStr">
        <is>
          <t>No explicit version established; modified date is file metadata only</t>
        </is>
      </c>
      <c r="M37" t="inlineStr">
        <is>
          <t xml:space="preserve"> extracted pages/blocks/rows;  recipe keyword signals (not recipe count)</t>
        </is>
      </c>
    </row>
    <row r="38">
      <c r="B38" t="inlineStr">
        <is>
          <t>page_12.png</t>
        </is>
      </c>
      <c r="C38" t="inlineStr">
        <is>
          <t>C:\Users\J COMPUTER\Documents\Codex\2026-09-12\x20-using-this-document-download-the\work\bakery_design_review\page_12.png</t>
        </is>
      </c>
      <c r="D38" t="inlineStr">
        <is>
          <t>.png</t>
        </is>
      </c>
      <c r="E38" t="inlineStr">
        <is>
          <t>2026-09-13T12:20:18.516215+00:00</t>
        </is>
      </c>
      <c r="F38" t="inlineStr">
        <is>
          <t>103022</t>
        </is>
      </c>
      <c r="H38" t="inlineStr">
        <is>
          <t>Generated work or software support file</t>
        </is>
      </c>
      <c r="I38" t="inlineStr">
        <is>
          <t>Filename screened</t>
        </is>
      </c>
      <c r="J38" t="inlineStr">
        <is>
          <t>No owner production trial log found</t>
        </is>
      </c>
      <c r="K38" t="inlineStr">
        <is>
          <t>Not established / non-text</t>
        </is>
      </c>
      <c r="L38" t="inlineStr">
        <is>
          <t>No explicit version established; modified date is file metadata only</t>
        </is>
      </c>
      <c r="M38" t="inlineStr">
        <is>
          <t xml:space="preserve"> extracted pages/blocks/rows;  recipe keyword signals (not recipe count)</t>
        </is>
      </c>
    </row>
    <row r="39">
      <c r="B39" t="inlineStr">
        <is>
          <t>page_13.png</t>
        </is>
      </c>
      <c r="C39" t="inlineStr">
        <is>
          <t>C:\Users\J COMPUTER\Documents\Codex\2026-09-12\x20-using-this-document-download-the\work\bakery_design_review\page_13.png</t>
        </is>
      </c>
      <c r="D39" t="inlineStr">
        <is>
          <t>.png</t>
        </is>
      </c>
      <c r="E39" t="inlineStr">
        <is>
          <t>2026-09-13T12:20:18.569420+00:00</t>
        </is>
      </c>
      <c r="F39" t="inlineStr">
        <is>
          <t>147250</t>
        </is>
      </c>
      <c r="H39" t="inlineStr">
        <is>
          <t>Generated work or software support file</t>
        </is>
      </c>
      <c r="I39" t="inlineStr">
        <is>
          <t>Filename screened</t>
        </is>
      </c>
      <c r="J39" t="inlineStr">
        <is>
          <t>No owner production trial log found</t>
        </is>
      </c>
      <c r="K39" t="inlineStr">
        <is>
          <t>Not established / non-text</t>
        </is>
      </c>
      <c r="L39" t="inlineStr">
        <is>
          <t>No explicit version established; modified date is file metadata only</t>
        </is>
      </c>
      <c r="M39" t="inlineStr">
        <is>
          <t xml:space="preserve"> extracted pages/blocks/rows;  recipe keyword signals (not recipe count)</t>
        </is>
      </c>
    </row>
    <row r="40">
      <c r="B40" t="inlineStr">
        <is>
          <t>page_14.png</t>
        </is>
      </c>
      <c r="C40" t="inlineStr">
        <is>
          <t>C:\Users\J COMPUTER\Documents\Codex\2026-09-12\x20-using-this-document-download-the\work\bakery_design_review\page_14.png</t>
        </is>
      </c>
      <c r="D40" t="inlineStr">
        <is>
          <t>.png</t>
        </is>
      </c>
      <c r="E40" t="inlineStr">
        <is>
          <t>2026-09-13T12:20:18.618443+00:00</t>
        </is>
      </c>
      <c r="F40" t="inlineStr">
        <is>
          <t>165927</t>
        </is>
      </c>
      <c r="H40" t="inlineStr">
        <is>
          <t>Generated work or software support file</t>
        </is>
      </c>
      <c r="I40" t="inlineStr">
        <is>
          <t>Filename screened</t>
        </is>
      </c>
      <c r="J40" t="inlineStr">
        <is>
          <t>No owner production trial log found</t>
        </is>
      </c>
      <c r="K40" t="inlineStr">
        <is>
          <t>Not established / non-text</t>
        </is>
      </c>
      <c r="L40" t="inlineStr">
        <is>
          <t>No explicit version established; modified date is file metadata only</t>
        </is>
      </c>
      <c r="M40" t="inlineStr">
        <is>
          <t xml:space="preserve"> extracted pages/blocks/rows;  recipe keyword signals (not recipe count)</t>
        </is>
      </c>
    </row>
    <row r="41">
      <c r="B41" t="inlineStr">
        <is>
          <t>page_15.png</t>
        </is>
      </c>
      <c r="C41" t="inlineStr">
        <is>
          <t>C:\Users\J COMPUTER\Documents\Codex\2026-09-12\x20-using-this-document-download-the\work\bakery_design_review\page_15.png</t>
        </is>
      </c>
      <c r="D41" t="inlineStr">
        <is>
          <t>.png</t>
        </is>
      </c>
      <c r="E41" t="inlineStr">
        <is>
          <t>2026-09-13T12:20:18.664763+00:00</t>
        </is>
      </c>
      <c r="F41" t="inlineStr">
        <is>
          <t>122963</t>
        </is>
      </c>
      <c r="H41" t="inlineStr">
        <is>
          <t>Generated work or software support file</t>
        </is>
      </c>
      <c r="I41" t="inlineStr">
        <is>
          <t>Filename screened</t>
        </is>
      </c>
      <c r="J41" t="inlineStr">
        <is>
          <t>No owner production trial log found</t>
        </is>
      </c>
      <c r="K41" t="inlineStr">
        <is>
          <t>Not established / non-text</t>
        </is>
      </c>
      <c r="L41" t="inlineStr">
        <is>
          <t>No explicit version established; modified date is file metadata only</t>
        </is>
      </c>
      <c r="M41" t="inlineStr">
        <is>
          <t xml:space="preserve"> extracted pages/blocks/rows;  recipe keyword signals (not recipe count)</t>
        </is>
      </c>
    </row>
    <row r="42">
      <c r="B42" t="inlineStr">
        <is>
          <t>page_16.png</t>
        </is>
      </c>
      <c r="C42" t="inlineStr">
        <is>
          <t>C:\Users\J COMPUTER\Documents\Codex\2026-09-12\x20-using-this-document-download-the\work\bakery_design_review\page_16.png</t>
        </is>
      </c>
      <c r="D42" t="inlineStr">
        <is>
          <t>.png</t>
        </is>
      </c>
      <c r="E42" t="inlineStr">
        <is>
          <t>2026-09-13T12:20:18.713851+00:00</t>
        </is>
      </c>
      <c r="F42" t="inlineStr">
        <is>
          <t>152288</t>
        </is>
      </c>
      <c r="H42" t="inlineStr">
        <is>
          <t>Generated work or software support file</t>
        </is>
      </c>
      <c r="I42" t="inlineStr">
        <is>
          <t>Filename screened</t>
        </is>
      </c>
      <c r="J42" t="inlineStr">
        <is>
          <t>No owner production trial log found</t>
        </is>
      </c>
      <c r="K42" t="inlineStr">
        <is>
          <t>Not established / non-text</t>
        </is>
      </c>
      <c r="L42" t="inlineStr">
        <is>
          <t>No explicit version established; modified date is file metadata only</t>
        </is>
      </c>
      <c r="M42" t="inlineStr">
        <is>
          <t xml:space="preserve"> extracted pages/blocks/rows;  recipe keyword signals (not recipe count)</t>
        </is>
      </c>
    </row>
    <row r="43">
      <c r="B43" t="inlineStr">
        <is>
          <t>page_17.png</t>
        </is>
      </c>
      <c r="C43" t="inlineStr">
        <is>
          <t>C:\Users\J COMPUTER\Documents\Codex\2026-09-12\x20-using-this-document-download-the\work\bakery_design_review\page_17.png</t>
        </is>
      </c>
      <c r="D43" t="inlineStr">
        <is>
          <t>.png</t>
        </is>
      </c>
      <c r="E43" t="inlineStr">
        <is>
          <t>2026-09-13T12:20:18.766444+00:00</t>
        </is>
      </c>
      <c r="F43" t="inlineStr">
        <is>
          <t>175421</t>
        </is>
      </c>
      <c r="H43" t="inlineStr">
        <is>
          <t>Generated work or software support file</t>
        </is>
      </c>
      <c r="I43" t="inlineStr">
        <is>
          <t>Filename screened</t>
        </is>
      </c>
      <c r="J43" t="inlineStr">
        <is>
          <t>No owner production trial log found</t>
        </is>
      </c>
      <c r="K43" t="inlineStr">
        <is>
          <t>Not established / non-text</t>
        </is>
      </c>
      <c r="L43" t="inlineStr">
        <is>
          <t>No explicit version established; modified date is file metadata only</t>
        </is>
      </c>
      <c r="M43" t="inlineStr">
        <is>
          <t xml:space="preserve"> extracted pages/blocks/rows;  recipe keyword signals (not recipe count)</t>
        </is>
      </c>
    </row>
    <row r="44">
      <c r="B44" t="inlineStr">
        <is>
          <t>page_18.png</t>
        </is>
      </c>
      <c r="C44" t="inlineStr">
        <is>
          <t>C:\Users\J COMPUTER\Documents\Codex\2026-09-12\x20-using-this-document-download-the\work\bakery_design_review\page_18.png</t>
        </is>
      </c>
      <c r="D44" t="inlineStr">
        <is>
          <t>.png</t>
        </is>
      </c>
      <c r="E44" t="inlineStr">
        <is>
          <t>2026-09-13T12:20:18.824551+00:00</t>
        </is>
      </c>
      <c r="F44" t="inlineStr">
        <is>
          <t>147899</t>
        </is>
      </c>
      <c r="H44" t="inlineStr">
        <is>
          <t>Generated work or software support file</t>
        </is>
      </c>
      <c r="I44" t="inlineStr">
        <is>
          <t>Filename screened</t>
        </is>
      </c>
      <c r="J44" t="inlineStr">
        <is>
          <t>No owner production trial log found</t>
        </is>
      </c>
      <c r="K44" t="inlineStr">
        <is>
          <t>Not established / non-text</t>
        </is>
      </c>
      <c r="L44" t="inlineStr">
        <is>
          <t>No explicit version established; modified date is file metadata only</t>
        </is>
      </c>
      <c r="M44" t="inlineStr">
        <is>
          <t xml:space="preserve"> extracted pages/blocks/rows;  recipe keyword signals (not recipe count)</t>
        </is>
      </c>
    </row>
    <row r="45">
      <c r="B45" t="inlineStr">
        <is>
          <t>page_19.png</t>
        </is>
      </c>
      <c r="C45" t="inlineStr">
        <is>
          <t>C:\Users\J COMPUTER\Documents\Codex\2026-09-12\x20-using-this-document-download-the\work\bakery_design_review\page_19.png</t>
        </is>
      </c>
      <c r="D45" t="inlineStr">
        <is>
          <t>.png</t>
        </is>
      </c>
      <c r="E45" t="inlineStr">
        <is>
          <t>2026-09-13T12:20:18.878563+00:00</t>
        </is>
      </c>
      <c r="F45" t="inlineStr">
        <is>
          <t>163911</t>
        </is>
      </c>
      <c r="H45" t="inlineStr">
        <is>
          <t>Generated work or software support file</t>
        </is>
      </c>
      <c r="I45" t="inlineStr">
        <is>
          <t>Filename screened</t>
        </is>
      </c>
      <c r="J45" t="inlineStr">
        <is>
          <t>No owner production trial log found</t>
        </is>
      </c>
      <c r="K45" t="inlineStr">
        <is>
          <t>Not established / non-text</t>
        </is>
      </c>
      <c r="L45" t="inlineStr">
        <is>
          <t>No explicit version established; modified date is file metadata only</t>
        </is>
      </c>
      <c r="M45" t="inlineStr">
        <is>
          <t xml:space="preserve"> extracted pages/blocks/rows;  recipe keyword signals (not recipe count)</t>
        </is>
      </c>
    </row>
    <row r="46">
      <c r="B46" t="inlineStr">
        <is>
          <t>page_20.png</t>
        </is>
      </c>
      <c r="C46" t="inlineStr">
        <is>
          <t>C:\Users\J COMPUTER\Documents\Codex\2026-09-12\x20-using-this-document-download-the\work\bakery_design_review\page_20.png</t>
        </is>
      </c>
      <c r="D46" t="inlineStr">
        <is>
          <t>.png</t>
        </is>
      </c>
      <c r="E46" t="inlineStr">
        <is>
          <t>2026-09-13T12:20:18.929875+00:00</t>
        </is>
      </c>
      <c r="F46" t="inlineStr">
        <is>
          <t>178328</t>
        </is>
      </c>
      <c r="H46" t="inlineStr">
        <is>
          <t>Generated work or software support file</t>
        </is>
      </c>
      <c r="I46" t="inlineStr">
        <is>
          <t>Filename screened</t>
        </is>
      </c>
      <c r="J46" t="inlineStr">
        <is>
          <t>No owner production trial log found</t>
        </is>
      </c>
      <c r="K46" t="inlineStr">
        <is>
          <t>Not established / non-text</t>
        </is>
      </c>
      <c r="L46" t="inlineStr">
        <is>
          <t>No explicit version established; modified date is file metadata only</t>
        </is>
      </c>
      <c r="M46" t="inlineStr">
        <is>
          <t xml:space="preserve"> extracted pages/blocks/rows;  recipe keyword signals (not recipe count)</t>
        </is>
      </c>
    </row>
    <row r="47">
      <c r="B47" t="inlineStr">
        <is>
          <t>page_21.png</t>
        </is>
      </c>
      <c r="C47" t="inlineStr">
        <is>
          <t>C:\Users\J COMPUTER\Documents\Codex\2026-09-12\x20-using-this-document-download-the\work\bakery_design_review\page_21.png</t>
        </is>
      </c>
      <c r="D47" t="inlineStr">
        <is>
          <t>.png</t>
        </is>
      </c>
      <c r="E47" t="inlineStr">
        <is>
          <t>2026-09-13T12:20:18.977324+00:00</t>
        </is>
      </c>
      <c r="F47" t="inlineStr">
        <is>
          <t>129670</t>
        </is>
      </c>
      <c r="H47" t="inlineStr">
        <is>
          <t>Generated work or software support file</t>
        </is>
      </c>
      <c r="I47" t="inlineStr">
        <is>
          <t>Filename screened</t>
        </is>
      </c>
      <c r="J47" t="inlineStr">
        <is>
          <t>No owner production trial log found</t>
        </is>
      </c>
      <c r="K47" t="inlineStr">
        <is>
          <t>Not established / non-text</t>
        </is>
      </c>
      <c r="L47" t="inlineStr">
        <is>
          <t>No explicit version established; modified date is file metadata only</t>
        </is>
      </c>
      <c r="M47" t="inlineStr">
        <is>
          <t xml:space="preserve"> extracted pages/blocks/rows;  recipe keyword signals (not recipe count)</t>
        </is>
      </c>
    </row>
    <row r="48">
      <c r="B48" t="inlineStr">
        <is>
          <t>page_22.png</t>
        </is>
      </c>
      <c r="C48" t="inlineStr">
        <is>
          <t>C:\Users\J COMPUTER\Documents\Codex\2026-09-12\x20-using-this-document-download-the\work\bakery_design_review\page_22.png</t>
        </is>
      </c>
      <c r="D48" t="inlineStr">
        <is>
          <t>.png</t>
        </is>
      </c>
      <c r="E48" t="inlineStr">
        <is>
          <t>2026-09-13T12:20:19.013581+00:00</t>
        </is>
      </c>
      <c r="F48" t="inlineStr">
        <is>
          <t>138030</t>
        </is>
      </c>
      <c r="H48" t="inlineStr">
        <is>
          <t>Generated work or software support file</t>
        </is>
      </c>
      <c r="I48" t="inlineStr">
        <is>
          <t>Filename screened</t>
        </is>
      </c>
      <c r="J48" t="inlineStr">
        <is>
          <t>No owner production trial log found</t>
        </is>
      </c>
      <c r="K48" t="inlineStr">
        <is>
          <t>Not established / non-text</t>
        </is>
      </c>
      <c r="L48" t="inlineStr">
        <is>
          <t>No explicit version established; modified date is file metadata only</t>
        </is>
      </c>
      <c r="M48" t="inlineStr">
        <is>
          <t xml:space="preserve"> extracted pages/blocks/rows;  recipe keyword signals (not recipe count)</t>
        </is>
      </c>
    </row>
    <row r="49">
      <c r="B49" t="inlineStr">
        <is>
          <t>page_23.png</t>
        </is>
      </c>
      <c r="C49" t="inlineStr">
        <is>
          <t>C:\Users\J COMPUTER\Documents\Codex\2026-09-12\x20-using-this-document-download-the\work\bakery_design_review\page_23.png</t>
        </is>
      </c>
      <c r="D49" t="inlineStr">
        <is>
          <t>.png</t>
        </is>
      </c>
      <c r="E49" t="inlineStr">
        <is>
          <t>2026-09-13T12:20:19.081783+00:00</t>
        </is>
      </c>
      <c r="F49" t="inlineStr">
        <is>
          <t>268207</t>
        </is>
      </c>
      <c r="H49" t="inlineStr">
        <is>
          <t>Generated work or software support file</t>
        </is>
      </c>
      <c r="I49" t="inlineStr">
        <is>
          <t>Filename screened</t>
        </is>
      </c>
      <c r="J49" t="inlineStr">
        <is>
          <t>No owner production trial log found</t>
        </is>
      </c>
      <c r="K49" t="inlineStr">
        <is>
          <t>Not established / non-text</t>
        </is>
      </c>
      <c r="L49" t="inlineStr">
        <is>
          <t>No explicit version established; modified date is file metadata only</t>
        </is>
      </c>
      <c r="M49" t="inlineStr">
        <is>
          <t xml:space="preserve"> extracted pages/blocks/rows;  recipe keyword signals (not recipe count)</t>
        </is>
      </c>
    </row>
    <row r="50">
      <c r="B50" t="inlineStr">
        <is>
          <t>page_24.png</t>
        </is>
      </c>
      <c r="C50" t="inlineStr">
        <is>
          <t>C:\Users\J COMPUTER\Documents\Codex\2026-09-12\x20-using-this-document-download-the\work\bakery_design_review\page_24.png</t>
        </is>
      </c>
      <c r="D50" t="inlineStr">
        <is>
          <t>.png</t>
        </is>
      </c>
      <c r="E50" t="inlineStr">
        <is>
          <t>2026-09-13T12:20:19.128203+00:00</t>
        </is>
      </c>
      <c r="F50" t="inlineStr">
        <is>
          <t>157873</t>
        </is>
      </c>
      <c r="H50" t="inlineStr">
        <is>
          <t>Generated work or software support file</t>
        </is>
      </c>
      <c r="I50" t="inlineStr">
        <is>
          <t>Filename screened</t>
        </is>
      </c>
      <c r="J50" t="inlineStr">
        <is>
          <t>No owner production trial log found</t>
        </is>
      </c>
      <c r="K50" t="inlineStr">
        <is>
          <t>Not established / non-text</t>
        </is>
      </c>
      <c r="L50" t="inlineStr">
        <is>
          <t>No explicit version established; modified date is file metadata only</t>
        </is>
      </c>
      <c r="M50" t="inlineStr">
        <is>
          <t xml:space="preserve"> extracted pages/blocks/rows;  recipe keyword signals (not recipe count)</t>
        </is>
      </c>
    </row>
    <row r="51">
      <c r="B51" t="inlineStr">
        <is>
          <t>page_25.png</t>
        </is>
      </c>
      <c r="C51" t="inlineStr">
        <is>
          <t>C:\Users\J COMPUTER\Documents\Codex\2026-09-12\x20-using-this-document-download-the\work\bakery_design_review\page_25.png</t>
        </is>
      </c>
      <c r="D51" t="inlineStr">
        <is>
          <t>.png</t>
        </is>
      </c>
      <c r="E51" t="inlineStr">
        <is>
          <t>2026-09-13T12:20:19.177485+00:00</t>
        </is>
      </c>
      <c r="F51" t="inlineStr">
        <is>
          <t>194293</t>
        </is>
      </c>
      <c r="H51" t="inlineStr">
        <is>
          <t>Generated work or software support file</t>
        </is>
      </c>
      <c r="I51" t="inlineStr">
        <is>
          <t>Filename screened</t>
        </is>
      </c>
      <c r="J51" t="inlineStr">
        <is>
          <t>No owner production trial log found</t>
        </is>
      </c>
      <c r="K51" t="inlineStr">
        <is>
          <t>Not established / non-text</t>
        </is>
      </c>
      <c r="L51" t="inlineStr">
        <is>
          <t>No explicit version established; modified date is file metadata only</t>
        </is>
      </c>
      <c r="M51" t="inlineStr">
        <is>
          <t xml:space="preserve"> extracted pages/blocks/rows;  recipe keyword signals (not recipe count)</t>
        </is>
      </c>
    </row>
    <row r="52">
      <c r="B52" t="inlineStr">
        <is>
          <t>page_26.png</t>
        </is>
      </c>
      <c r="C52" t="inlineStr">
        <is>
          <t>C:\Users\J COMPUTER\Documents\Codex\2026-09-12\x20-using-this-document-download-the\work\bakery_design_review\page_26.png</t>
        </is>
      </c>
      <c r="D52" t="inlineStr">
        <is>
          <t>.png</t>
        </is>
      </c>
      <c r="E52" t="inlineStr">
        <is>
          <t>2026-09-13T12:20:19.230529+00:00</t>
        </is>
      </c>
      <c r="F52" t="inlineStr">
        <is>
          <t>212765</t>
        </is>
      </c>
      <c r="H52" t="inlineStr">
        <is>
          <t>Generated work or software support file</t>
        </is>
      </c>
      <c r="I52" t="inlineStr">
        <is>
          <t>Filename screened</t>
        </is>
      </c>
      <c r="J52" t="inlineStr">
        <is>
          <t>No owner production trial log found</t>
        </is>
      </c>
      <c r="K52" t="inlineStr">
        <is>
          <t>Not established / non-text</t>
        </is>
      </c>
      <c r="L52" t="inlineStr">
        <is>
          <t>No explicit version established; modified date is file metadata only</t>
        </is>
      </c>
      <c r="M52" t="inlineStr">
        <is>
          <t xml:space="preserve"> extracted pages/blocks/rows;  recipe keyword signals (not recipe count)</t>
        </is>
      </c>
    </row>
    <row r="53">
      <c r="B53" t="inlineStr">
        <is>
          <t>page_27.png</t>
        </is>
      </c>
      <c r="C53" t="inlineStr">
        <is>
          <t>C:\Users\J COMPUTER\Documents\Codex\2026-09-12\x20-using-this-document-download-the\work\bakery_design_review\page_27.png</t>
        </is>
      </c>
      <c r="D53" t="inlineStr">
        <is>
          <t>.png</t>
        </is>
      </c>
      <c r="E53" t="inlineStr">
        <is>
          <t>2026-09-13T12:20:19.278529+00:00</t>
        </is>
      </c>
      <c r="F53" t="inlineStr">
        <is>
          <t>215997</t>
        </is>
      </c>
      <c r="H53" t="inlineStr">
        <is>
          <t>Generated work or software support file</t>
        </is>
      </c>
      <c r="I53" t="inlineStr">
        <is>
          <t>Filename screened</t>
        </is>
      </c>
      <c r="J53" t="inlineStr">
        <is>
          <t>No owner production trial log found</t>
        </is>
      </c>
      <c r="K53" t="inlineStr">
        <is>
          <t>Not established / non-text</t>
        </is>
      </c>
      <c r="L53" t="inlineStr">
        <is>
          <t>No explicit version established; modified date is file metadata only</t>
        </is>
      </c>
      <c r="M53" t="inlineStr">
        <is>
          <t xml:space="preserve"> extracted pages/blocks/rows;  recipe keyword signals (not recipe count)</t>
        </is>
      </c>
    </row>
    <row r="54">
      <c r="B54" t="inlineStr">
        <is>
          <t>page_28.png</t>
        </is>
      </c>
      <c r="C54" t="inlineStr">
        <is>
          <t>C:\Users\J COMPUTER\Documents\Codex\2026-09-12\x20-using-this-document-download-the\work\bakery_design_review\page_28.png</t>
        </is>
      </c>
      <c r="D54" t="inlineStr">
        <is>
          <t>.png</t>
        </is>
      </c>
      <c r="E54" t="inlineStr">
        <is>
          <t>2026-09-13T12:20:19.345029+00:00</t>
        </is>
      </c>
      <c r="F54" t="inlineStr">
        <is>
          <t>229060</t>
        </is>
      </c>
      <c r="H54" t="inlineStr">
        <is>
          <t>Generated work or software support file</t>
        </is>
      </c>
      <c r="I54" t="inlineStr">
        <is>
          <t>Filename screened</t>
        </is>
      </c>
      <c r="J54" t="inlineStr">
        <is>
          <t>No owner production trial log found</t>
        </is>
      </c>
      <c r="K54" t="inlineStr">
        <is>
          <t>Not established / non-text</t>
        </is>
      </c>
      <c r="L54" t="inlineStr">
        <is>
          <t>No explicit version established; modified date is file metadata only</t>
        </is>
      </c>
      <c r="M54" t="inlineStr">
        <is>
          <t xml:space="preserve"> extracted pages/blocks/rows;  recipe keyword signals (not recipe count)</t>
        </is>
      </c>
    </row>
    <row r="55">
      <c r="B55" t="inlineStr">
        <is>
          <t>page_29.png</t>
        </is>
      </c>
      <c r="C55" t="inlineStr">
        <is>
          <t>C:\Users\J COMPUTER\Documents\Codex\2026-09-12\x20-using-this-document-download-the\work\bakery_design_review\page_29.png</t>
        </is>
      </c>
      <c r="D55" t="inlineStr">
        <is>
          <t>.png</t>
        </is>
      </c>
      <c r="E55" t="inlineStr">
        <is>
          <t>2026-09-13T12:20:19.393715+00:00</t>
        </is>
      </c>
      <c r="F55" t="inlineStr">
        <is>
          <t>204982</t>
        </is>
      </c>
      <c r="H55" t="inlineStr">
        <is>
          <t>Generated work or software support file</t>
        </is>
      </c>
      <c r="I55" t="inlineStr">
        <is>
          <t>Filename screened</t>
        </is>
      </c>
      <c r="J55" t="inlineStr">
        <is>
          <t>No owner production trial log found</t>
        </is>
      </c>
      <c r="K55" t="inlineStr">
        <is>
          <t>Not established / non-text</t>
        </is>
      </c>
      <c r="L55" t="inlineStr">
        <is>
          <t>No explicit version established; modified date is file metadata only</t>
        </is>
      </c>
      <c r="M55" t="inlineStr">
        <is>
          <t xml:space="preserve"> extracted pages/blocks/rows;  recipe keyword signals (not recipe count)</t>
        </is>
      </c>
    </row>
    <row r="56">
      <c r="B56" t="inlineStr">
        <is>
          <t>page_30.png</t>
        </is>
      </c>
      <c r="C56" t="inlineStr">
        <is>
          <t>C:\Users\J COMPUTER\Documents\Codex\2026-09-12\x20-using-this-document-download-the\work\bakery_design_review\page_30.png</t>
        </is>
      </c>
      <c r="D56" t="inlineStr">
        <is>
          <t>.png</t>
        </is>
      </c>
      <c r="E56" t="inlineStr">
        <is>
          <t>2026-09-13T12:20:19.448960+00:00</t>
        </is>
      </c>
      <c r="F56" t="inlineStr">
        <is>
          <t>250376</t>
        </is>
      </c>
      <c r="H56" t="inlineStr">
        <is>
          <t>Generated work or software support file</t>
        </is>
      </c>
      <c r="I56" t="inlineStr">
        <is>
          <t>Filename screened</t>
        </is>
      </c>
      <c r="J56" t="inlineStr">
        <is>
          <t>No owner production trial log found</t>
        </is>
      </c>
      <c r="K56" t="inlineStr">
        <is>
          <t>Not established / non-text</t>
        </is>
      </c>
      <c r="L56" t="inlineStr">
        <is>
          <t>No explicit version established; modified date is file metadata only</t>
        </is>
      </c>
      <c r="M56" t="inlineStr">
        <is>
          <t xml:space="preserve"> extracted pages/blocks/rows;  recipe keyword signals (not recipe count)</t>
        </is>
      </c>
    </row>
    <row r="57">
      <c r="B57" t="inlineStr">
        <is>
          <t>page_31.png</t>
        </is>
      </c>
      <c r="C57" t="inlineStr">
        <is>
          <t>C:\Users\J COMPUTER\Documents\Codex\2026-09-12\x20-using-this-document-download-the\work\bakery_design_review\page_31.png</t>
        </is>
      </c>
      <c r="D57" t="inlineStr">
        <is>
          <t>.png</t>
        </is>
      </c>
      <c r="E57" t="inlineStr">
        <is>
          <t>2026-09-13T12:20:19.509190+00:00</t>
        </is>
      </c>
      <c r="F57" t="inlineStr">
        <is>
          <t>256922</t>
        </is>
      </c>
      <c r="H57" t="inlineStr">
        <is>
          <t>Generated work or software support file</t>
        </is>
      </c>
      <c r="I57" t="inlineStr">
        <is>
          <t>Filename screened</t>
        </is>
      </c>
      <c r="J57" t="inlineStr">
        <is>
          <t>No owner production trial log found</t>
        </is>
      </c>
      <c r="K57" t="inlineStr">
        <is>
          <t>Not established / non-text</t>
        </is>
      </c>
      <c r="L57" t="inlineStr">
        <is>
          <t>No explicit version established; modified date is file metadata only</t>
        </is>
      </c>
      <c r="M57" t="inlineStr">
        <is>
          <t xml:space="preserve"> extracted pages/blocks/rows;  recipe keyword signals (not recipe count)</t>
        </is>
      </c>
    </row>
    <row r="58">
      <c r="B58" t="inlineStr">
        <is>
          <t>page_32.png</t>
        </is>
      </c>
      <c r="C58" t="inlineStr">
        <is>
          <t>C:\Users\J COMPUTER\Documents\Codex\2026-09-12\x20-using-this-document-download-the\work\bakery_design_review\page_32.png</t>
        </is>
      </c>
      <c r="D58" t="inlineStr">
        <is>
          <t>.png</t>
        </is>
      </c>
      <c r="E58" t="inlineStr">
        <is>
          <t>2026-09-13T12:20:19.562221+00:00</t>
        </is>
      </c>
      <c r="F58" t="inlineStr">
        <is>
          <t>200971</t>
        </is>
      </c>
      <c r="H58" t="inlineStr">
        <is>
          <t>Generated work or software support file</t>
        </is>
      </c>
      <c r="I58" t="inlineStr">
        <is>
          <t>Filename screened</t>
        </is>
      </c>
      <c r="J58" t="inlineStr">
        <is>
          <t>No owner production trial log found</t>
        </is>
      </c>
      <c r="K58" t="inlineStr">
        <is>
          <t>Not established / non-text</t>
        </is>
      </c>
      <c r="L58" t="inlineStr">
        <is>
          <t>No explicit version established; modified date is file metadata only</t>
        </is>
      </c>
      <c r="M58" t="inlineStr">
        <is>
          <t xml:space="preserve"> extracted pages/blocks/rows;  recipe keyword signals (not recipe count)</t>
        </is>
      </c>
    </row>
    <row r="59">
      <c r="B59" t="inlineStr">
        <is>
          <t>page_33.png</t>
        </is>
      </c>
      <c r="C59" t="inlineStr">
        <is>
          <t>C:\Users\J COMPUTER\Documents\Codex\2026-09-12\x20-using-this-document-download-the\work\bakery_design_review\page_33.png</t>
        </is>
      </c>
      <c r="D59" t="inlineStr">
        <is>
          <t>.png</t>
        </is>
      </c>
      <c r="E59" t="inlineStr">
        <is>
          <t>2026-09-13T12:20:19.612794+00:00</t>
        </is>
      </c>
      <c r="F59" t="inlineStr">
        <is>
          <t>155991</t>
        </is>
      </c>
      <c r="H59" t="inlineStr">
        <is>
          <t>Generated work or software support file</t>
        </is>
      </c>
      <c r="I59" t="inlineStr">
        <is>
          <t>Filename screened</t>
        </is>
      </c>
      <c r="J59" t="inlineStr">
        <is>
          <t>No owner production trial log found</t>
        </is>
      </c>
      <c r="K59" t="inlineStr">
        <is>
          <t>Not established / non-text</t>
        </is>
      </c>
      <c r="L59" t="inlineStr">
        <is>
          <t>No explicit version established; modified date is file metadata only</t>
        </is>
      </c>
      <c r="M59" t="inlineStr">
        <is>
          <t xml:space="preserve"> extracted pages/blocks/rows;  recipe keyword signals (not recipe count)</t>
        </is>
      </c>
    </row>
    <row r="60">
      <c r="B60" t="inlineStr">
        <is>
          <t>page_34.png</t>
        </is>
      </c>
      <c r="C60" t="inlineStr">
        <is>
          <t>C:\Users\J COMPUTER\Documents\Codex\2026-09-12\x20-using-this-document-download-the\work\bakery_design_review\page_34.png</t>
        </is>
      </c>
      <c r="D60" t="inlineStr">
        <is>
          <t>.png</t>
        </is>
      </c>
      <c r="E60" t="inlineStr">
        <is>
          <t>2026-09-13T12:20:19.663211+00:00</t>
        </is>
      </c>
      <c r="F60" t="inlineStr">
        <is>
          <t>207566</t>
        </is>
      </c>
      <c r="H60" t="inlineStr">
        <is>
          <t>Generated work or software support file</t>
        </is>
      </c>
      <c r="I60" t="inlineStr">
        <is>
          <t>Filename screened</t>
        </is>
      </c>
      <c r="J60" t="inlineStr">
        <is>
          <t>No owner production trial log found</t>
        </is>
      </c>
      <c r="K60" t="inlineStr">
        <is>
          <t>Not established / non-text</t>
        </is>
      </c>
      <c r="L60" t="inlineStr">
        <is>
          <t>No explicit version established; modified date is file metadata only</t>
        </is>
      </c>
      <c r="M60" t="inlineStr">
        <is>
          <t xml:space="preserve"> extracted pages/blocks/rows;  recipe keyword signals (not recipe count)</t>
        </is>
      </c>
    </row>
    <row r="61">
      <c r="B61" t="inlineStr">
        <is>
          <t>page_35.png</t>
        </is>
      </c>
      <c r="C61" t="inlineStr">
        <is>
          <t>C:\Users\J COMPUTER\Documents\Codex\2026-09-12\x20-using-this-document-download-the\work\bakery_design_review\page_35.png</t>
        </is>
      </c>
      <c r="D61" t="inlineStr">
        <is>
          <t>.png</t>
        </is>
      </c>
      <c r="E61" t="inlineStr">
        <is>
          <t>2026-09-13T12:20:19.729429+00:00</t>
        </is>
      </c>
      <c r="F61" t="inlineStr">
        <is>
          <t>263955</t>
        </is>
      </c>
      <c r="H61" t="inlineStr">
        <is>
          <t>Generated work or software support file</t>
        </is>
      </c>
      <c r="I61" t="inlineStr">
        <is>
          <t>Filename screened</t>
        </is>
      </c>
      <c r="J61" t="inlineStr">
        <is>
          <t>No owner production trial log found</t>
        </is>
      </c>
      <c r="K61" t="inlineStr">
        <is>
          <t>Not established / non-text</t>
        </is>
      </c>
      <c r="L61" t="inlineStr">
        <is>
          <t>No explicit version established; modified date is file metadata only</t>
        </is>
      </c>
      <c r="M61" t="inlineStr">
        <is>
          <t xml:space="preserve"> extracted pages/blocks/rows;  recipe keyword signals (not recipe count)</t>
        </is>
      </c>
    </row>
    <row r="62">
      <c r="B62" t="inlineStr">
        <is>
          <t>page_36.png</t>
        </is>
      </c>
      <c r="C62" t="inlineStr">
        <is>
          <t>C:\Users\J COMPUTER\Documents\Codex\2026-09-12\x20-using-this-document-download-the\work\bakery_design_review\page_36.png</t>
        </is>
      </c>
      <c r="D62" t="inlineStr">
        <is>
          <t>.png</t>
        </is>
      </c>
      <c r="E62" t="inlineStr">
        <is>
          <t>2026-09-13T12:20:19.778353+00:00</t>
        </is>
      </c>
      <c r="F62" t="inlineStr">
        <is>
          <t>255424</t>
        </is>
      </c>
      <c r="H62" t="inlineStr">
        <is>
          <t>Generated work or software support file</t>
        </is>
      </c>
      <c r="I62" t="inlineStr">
        <is>
          <t>Filename screened</t>
        </is>
      </c>
      <c r="J62" t="inlineStr">
        <is>
          <t>No owner production trial log found</t>
        </is>
      </c>
      <c r="K62" t="inlineStr">
        <is>
          <t>Not established / non-text</t>
        </is>
      </c>
      <c r="L62" t="inlineStr">
        <is>
          <t>No explicit version established; modified date is file metadata only</t>
        </is>
      </c>
      <c r="M62" t="inlineStr">
        <is>
          <t xml:space="preserve"> extracted pages/blocks/rows;  recipe keyword signals (not recipe count)</t>
        </is>
      </c>
    </row>
    <row r="63">
      <c r="B63" t="inlineStr">
        <is>
          <t>page_37.png</t>
        </is>
      </c>
      <c r="C63" t="inlineStr">
        <is>
          <t>C:\Users\J COMPUTER\Documents\Codex\2026-09-12\x20-using-this-document-download-the\work\bakery_design_review\page_37.png</t>
        </is>
      </c>
      <c r="D63" t="inlineStr">
        <is>
          <t>.png</t>
        </is>
      </c>
      <c r="E63" t="inlineStr">
        <is>
          <t>2026-09-13T12:20:19.849331+00:00</t>
        </is>
      </c>
      <c r="F63" t="inlineStr">
        <is>
          <t>232615</t>
        </is>
      </c>
      <c r="H63" t="inlineStr">
        <is>
          <t>Generated work or software support file</t>
        </is>
      </c>
      <c r="I63" t="inlineStr">
        <is>
          <t>Filename screened</t>
        </is>
      </c>
      <c r="J63" t="inlineStr">
        <is>
          <t>No owner production trial log found</t>
        </is>
      </c>
      <c r="K63" t="inlineStr">
        <is>
          <t>Not established / non-text</t>
        </is>
      </c>
      <c r="L63" t="inlineStr">
        <is>
          <t>No explicit version established; modified date is file metadata only</t>
        </is>
      </c>
      <c r="M63" t="inlineStr">
        <is>
          <t xml:space="preserve"> extracted pages/blocks/rows;  recipe keyword signals (not recipe count)</t>
        </is>
      </c>
    </row>
    <row r="64">
      <c r="B64" t="inlineStr">
        <is>
          <t>page_38.png</t>
        </is>
      </c>
      <c r="C64" t="inlineStr">
        <is>
          <t>C:\Users\J COMPUTER\Documents\Codex\2026-09-12\x20-using-this-document-download-the\work\bakery_design_review\page_38.png</t>
        </is>
      </c>
      <c r="D64" t="inlineStr">
        <is>
          <t>.png</t>
        </is>
      </c>
      <c r="E64" t="inlineStr">
        <is>
          <t>2026-09-13T12:20:19.896871+00:00</t>
        </is>
      </c>
      <c r="F64" t="inlineStr">
        <is>
          <t>222553</t>
        </is>
      </c>
      <c r="H64" t="inlineStr">
        <is>
          <t>Generated work or software support file</t>
        </is>
      </c>
      <c r="I64" t="inlineStr">
        <is>
          <t>Filename screened</t>
        </is>
      </c>
      <c r="J64" t="inlineStr">
        <is>
          <t>No owner production trial log found</t>
        </is>
      </c>
      <c r="K64" t="inlineStr">
        <is>
          <t>Not established / non-text</t>
        </is>
      </c>
      <c r="L64" t="inlineStr">
        <is>
          <t>No explicit version established; modified date is file metadata only</t>
        </is>
      </c>
      <c r="M64" t="inlineStr">
        <is>
          <t xml:space="preserve"> extracted pages/blocks/rows;  recipe keyword signals (not recipe count)</t>
        </is>
      </c>
    </row>
    <row r="65">
      <c r="B65" t="inlineStr">
        <is>
          <t>page_39.png</t>
        </is>
      </c>
      <c r="C65" t="inlineStr">
        <is>
          <t>C:\Users\J COMPUTER\Documents\Codex\2026-09-12\x20-using-this-document-download-the\work\bakery_design_review\page_39.png</t>
        </is>
      </c>
      <c r="D65" t="inlineStr">
        <is>
          <t>.png</t>
        </is>
      </c>
      <c r="E65" t="inlineStr">
        <is>
          <t>2026-09-13T12:20:19.945484+00:00</t>
        </is>
      </c>
      <c r="F65" t="inlineStr">
        <is>
          <t>180775</t>
        </is>
      </c>
      <c r="H65" t="inlineStr">
        <is>
          <t>Generated work or software support file</t>
        </is>
      </c>
      <c r="I65" t="inlineStr">
        <is>
          <t>Filename screened</t>
        </is>
      </c>
      <c r="J65" t="inlineStr">
        <is>
          <t>No owner production trial log found</t>
        </is>
      </c>
      <c r="K65" t="inlineStr">
        <is>
          <t>Not established / non-text</t>
        </is>
      </c>
      <c r="L65" t="inlineStr">
        <is>
          <t>No explicit version established; modified date is file metadata only</t>
        </is>
      </c>
      <c r="M65" t="inlineStr">
        <is>
          <t xml:space="preserve"> extracted pages/blocks/rows;  recipe keyword signals (not recipe count)</t>
        </is>
      </c>
    </row>
    <row r="66">
      <c r="B66" t="inlineStr">
        <is>
          <t>page_40.png</t>
        </is>
      </c>
      <c r="C66" t="inlineStr">
        <is>
          <t>C:\Users\J COMPUTER\Documents\Codex\2026-09-12\x20-using-this-document-download-the\work\bakery_design_review\page_40.png</t>
        </is>
      </c>
      <c r="D66" t="inlineStr">
        <is>
          <t>.png</t>
        </is>
      </c>
      <c r="E66" t="inlineStr">
        <is>
          <t>2026-09-13T12:20:19.995604+00:00</t>
        </is>
      </c>
      <c r="F66" t="inlineStr">
        <is>
          <t>185060</t>
        </is>
      </c>
      <c r="H66" t="inlineStr">
        <is>
          <t>Generated work or software support file</t>
        </is>
      </c>
      <c r="I66" t="inlineStr">
        <is>
          <t>Filename screened</t>
        </is>
      </c>
      <c r="J66" t="inlineStr">
        <is>
          <t>No owner production trial log found</t>
        </is>
      </c>
      <c r="K66" t="inlineStr">
        <is>
          <t>Not established / non-text</t>
        </is>
      </c>
      <c r="L66" t="inlineStr">
        <is>
          <t>No explicit version established; modified date is file metadata only</t>
        </is>
      </c>
      <c r="M66" t="inlineStr">
        <is>
          <t xml:space="preserve"> extracted pages/blocks/rows;  recipe keyword signals (not recipe count)</t>
        </is>
      </c>
    </row>
    <row r="67">
      <c r="B67" t="inlineStr">
        <is>
          <t>page_41.png</t>
        </is>
      </c>
      <c r="C67" t="inlineStr">
        <is>
          <t>C:\Users\J COMPUTER\Documents\Codex\2026-09-12\x20-using-this-document-download-the\work\bakery_design_review\page_41.png</t>
        </is>
      </c>
      <c r="D67" t="inlineStr">
        <is>
          <t>.png</t>
        </is>
      </c>
      <c r="E67" t="inlineStr">
        <is>
          <t>2026-09-13T12:20:20.046471+00:00</t>
        </is>
      </c>
      <c r="F67" t="inlineStr">
        <is>
          <t>146862</t>
        </is>
      </c>
      <c r="H67" t="inlineStr">
        <is>
          <t>Generated work or software support file</t>
        </is>
      </c>
      <c r="I67" t="inlineStr">
        <is>
          <t>Filename screened</t>
        </is>
      </c>
      <c r="J67" t="inlineStr">
        <is>
          <t>No owner production trial log found</t>
        </is>
      </c>
      <c r="K67" t="inlineStr">
        <is>
          <t>Not established / non-text</t>
        </is>
      </c>
      <c r="L67" t="inlineStr">
        <is>
          <t>No explicit version established; modified date is file metadata only</t>
        </is>
      </c>
      <c r="M67" t="inlineStr">
        <is>
          <t xml:space="preserve"> extracted pages/blocks/rows;  recipe keyword signals (not recipe count)</t>
        </is>
      </c>
    </row>
    <row r="68">
      <c r="B68" t="inlineStr">
        <is>
          <t>page_42.png</t>
        </is>
      </c>
      <c r="C68" t="inlineStr">
        <is>
          <t>C:\Users\J COMPUTER\Documents\Codex\2026-09-12\x20-using-this-document-download-the\work\bakery_design_review\page_42.png</t>
        </is>
      </c>
      <c r="D68" t="inlineStr">
        <is>
          <t>.png</t>
        </is>
      </c>
      <c r="E68" t="inlineStr">
        <is>
          <t>2026-09-13T12:20:20.097637+00:00</t>
        </is>
      </c>
      <c r="F68" t="inlineStr">
        <is>
          <t>167291</t>
        </is>
      </c>
      <c r="H68" t="inlineStr">
        <is>
          <t>Generated work or software support file</t>
        </is>
      </c>
      <c r="I68" t="inlineStr">
        <is>
          <t>Filename screened</t>
        </is>
      </c>
      <c r="J68" t="inlineStr">
        <is>
          <t>No owner production trial log found</t>
        </is>
      </c>
      <c r="K68" t="inlineStr">
        <is>
          <t>Not established / non-text</t>
        </is>
      </c>
      <c r="L68" t="inlineStr">
        <is>
          <t>No explicit version established; modified date is file metadata only</t>
        </is>
      </c>
      <c r="M68" t="inlineStr">
        <is>
          <t xml:space="preserve"> extracted pages/blocks/rows;  recipe keyword signals (not recipe count)</t>
        </is>
      </c>
    </row>
    <row r="69">
      <c r="B69" t="inlineStr">
        <is>
          <t>page_43.png</t>
        </is>
      </c>
      <c r="C69" t="inlineStr">
        <is>
          <t>C:\Users\J COMPUTER\Documents\Codex\2026-09-12\x20-using-this-document-download-the\work\bakery_design_review\page_43.png</t>
        </is>
      </c>
      <c r="D69" t="inlineStr">
        <is>
          <t>.png</t>
        </is>
      </c>
      <c r="E69" t="inlineStr">
        <is>
          <t>2026-09-13T12:20:20.129172+00:00</t>
        </is>
      </c>
      <c r="F69" t="inlineStr">
        <is>
          <t>130100</t>
        </is>
      </c>
      <c r="H69" t="inlineStr">
        <is>
          <t>Generated work or software support file</t>
        </is>
      </c>
      <c r="I69" t="inlineStr">
        <is>
          <t>Filename screened</t>
        </is>
      </c>
      <c r="J69" t="inlineStr">
        <is>
          <t>No owner production trial log found</t>
        </is>
      </c>
      <c r="K69" t="inlineStr">
        <is>
          <t>Not established / non-text</t>
        </is>
      </c>
      <c r="L69" t="inlineStr">
        <is>
          <t>No explicit version established; modified date is file metadata only</t>
        </is>
      </c>
      <c r="M69" t="inlineStr">
        <is>
          <t xml:space="preserve"> extracted pages/blocks/rows;  recipe keyword signals (not recipe count)</t>
        </is>
      </c>
    </row>
    <row r="70">
      <c r="B70" t="inlineStr">
        <is>
          <t>page_44.png</t>
        </is>
      </c>
      <c r="C70" t="inlineStr">
        <is>
          <t>C:\Users\J COMPUTER\Documents\Codex\2026-09-12\x20-using-this-document-download-the\work\bakery_design_review\page_44.png</t>
        </is>
      </c>
      <c r="D70" t="inlineStr">
        <is>
          <t>.png</t>
        </is>
      </c>
      <c r="E70" t="inlineStr">
        <is>
          <t>2026-09-13T12:20:20.182681+00:00</t>
        </is>
      </c>
      <c r="F70" t="inlineStr">
        <is>
          <t>114041</t>
        </is>
      </c>
      <c r="H70" t="inlineStr">
        <is>
          <t>Generated work or software support file</t>
        </is>
      </c>
      <c r="I70" t="inlineStr">
        <is>
          <t>Filename screened</t>
        </is>
      </c>
      <c r="J70" t="inlineStr">
        <is>
          <t>No owner production trial log found</t>
        </is>
      </c>
      <c r="K70" t="inlineStr">
        <is>
          <t>Not established / non-text</t>
        </is>
      </c>
      <c r="L70" t="inlineStr">
        <is>
          <t>No explicit version established; modified date is file metadata only</t>
        </is>
      </c>
      <c r="M70" t="inlineStr">
        <is>
          <t xml:space="preserve"> extracted pages/blocks/rows;  recipe keyword signals (not recipe count)</t>
        </is>
      </c>
    </row>
    <row r="71">
      <c r="B71" t="inlineStr">
        <is>
          <t>page_45.png</t>
        </is>
      </c>
      <c r="C71" t="inlineStr">
        <is>
          <t>C:\Users\J COMPUTER\Documents\Codex\2026-09-12\x20-using-this-document-download-the\work\bakery_design_review\page_45.png</t>
        </is>
      </c>
      <c r="D71" t="inlineStr">
        <is>
          <t>.png</t>
        </is>
      </c>
      <c r="E71" t="inlineStr">
        <is>
          <t>2026-09-13T12:20:20.211971+00:00</t>
        </is>
      </c>
      <c r="F71" t="inlineStr">
        <is>
          <t>46905</t>
        </is>
      </c>
      <c r="H71" t="inlineStr">
        <is>
          <t>Generated work or software support file</t>
        </is>
      </c>
      <c r="I71" t="inlineStr">
        <is>
          <t>Filename screened</t>
        </is>
      </c>
      <c r="J71" t="inlineStr">
        <is>
          <t>No owner production trial log found</t>
        </is>
      </c>
      <c r="K71" t="inlineStr">
        <is>
          <t>Not established / non-text</t>
        </is>
      </c>
      <c r="L71" t="inlineStr">
        <is>
          <t>No explicit version established; modified date is file metadata only</t>
        </is>
      </c>
      <c r="M71" t="inlineStr">
        <is>
          <t xml:space="preserve"> extracted pages/blocks/rows;  recipe keyword signals (not recipe count)</t>
        </is>
      </c>
    </row>
    <row r="72">
      <c r="B72" t="inlineStr">
        <is>
          <t>page_46.png</t>
        </is>
      </c>
      <c r="C72" t="inlineStr">
        <is>
          <t>C:\Users\J COMPUTER\Documents\Codex\2026-09-12\x20-using-this-document-download-the\work\bakery_design_review\page_46.png</t>
        </is>
      </c>
      <c r="D72" t="inlineStr">
        <is>
          <t>.png</t>
        </is>
      </c>
      <c r="E72" t="inlineStr">
        <is>
          <t>2026-09-13T12:16:35.659036+00:00</t>
        </is>
      </c>
      <c r="F72" t="inlineStr">
        <is>
          <t>183726</t>
        </is>
      </c>
      <c r="H72" t="inlineStr">
        <is>
          <t>Generated work or software support file</t>
        </is>
      </c>
      <c r="I72" t="inlineStr">
        <is>
          <t>Filename screened</t>
        </is>
      </c>
      <c r="J72" t="inlineStr">
        <is>
          <t>No owner production trial log found</t>
        </is>
      </c>
      <c r="K72" t="inlineStr">
        <is>
          <t>Not established / non-text</t>
        </is>
      </c>
      <c r="L72" t="inlineStr">
        <is>
          <t>No explicit version established; modified date is file metadata only</t>
        </is>
      </c>
      <c r="M72" t="inlineStr">
        <is>
          <t xml:space="preserve"> extracted pages/blocks/rows;  recipe keyword signals (not recipe count)</t>
        </is>
      </c>
    </row>
    <row r="73">
      <c r="B73" t="inlineStr">
        <is>
          <t>page_47.png</t>
        </is>
      </c>
      <c r="C73" t="inlineStr">
        <is>
          <t>C:\Users\J COMPUTER\Documents\Codex\2026-09-12\x20-using-this-document-download-the\work\bakery_design_review\page_47.png</t>
        </is>
      </c>
      <c r="D73" t="inlineStr">
        <is>
          <t>.png</t>
        </is>
      </c>
      <c r="E73" t="inlineStr">
        <is>
          <t>2026-09-13T12:16:35.710377+00:00</t>
        </is>
      </c>
      <c r="F73" t="inlineStr">
        <is>
          <t>38230</t>
        </is>
      </c>
      <c r="H73" t="inlineStr">
        <is>
          <t>Generated work or software support file</t>
        </is>
      </c>
      <c r="I73" t="inlineStr">
        <is>
          <t>Filename screened</t>
        </is>
      </c>
      <c r="J73" t="inlineStr">
        <is>
          <t>No owner production trial log found</t>
        </is>
      </c>
      <c r="K73" t="inlineStr">
        <is>
          <t>Not established / non-text</t>
        </is>
      </c>
      <c r="L73" t="inlineStr">
        <is>
          <t>No explicit version established; modified date is file metadata only</t>
        </is>
      </c>
      <c r="M73" t="inlineStr">
        <is>
          <t xml:space="preserve"> extracted pages/blocks/rows;  recipe keyword signals (not recipe count)</t>
        </is>
      </c>
    </row>
    <row r="74">
      <c r="B74" t="inlineStr">
        <is>
          <t>page_48.png</t>
        </is>
      </c>
      <c r="C74" t="inlineStr">
        <is>
          <t>C:\Users\J COMPUTER\Documents\Codex\2026-09-12\x20-using-this-document-download-the\work\bakery_design_review\page_48.png</t>
        </is>
      </c>
      <c r="D74" t="inlineStr">
        <is>
          <t>.png</t>
        </is>
      </c>
      <c r="E74" t="inlineStr">
        <is>
          <t>2026-09-13T12:16:35.800941+00:00</t>
        </is>
      </c>
      <c r="F74" t="inlineStr">
        <is>
          <t>186391</t>
        </is>
      </c>
      <c r="H74" t="inlineStr">
        <is>
          <t>Generated work or software support file</t>
        </is>
      </c>
      <c r="I74" t="inlineStr">
        <is>
          <t>Filename screened</t>
        </is>
      </c>
      <c r="J74" t="inlineStr">
        <is>
          <t>No owner production trial log found</t>
        </is>
      </c>
      <c r="K74" t="inlineStr">
        <is>
          <t>Not established / non-text</t>
        </is>
      </c>
      <c r="L74" t="inlineStr">
        <is>
          <t>No explicit version established; modified date is file metadata only</t>
        </is>
      </c>
      <c r="M74" t="inlineStr">
        <is>
          <t xml:space="preserve"> extracted pages/blocks/rows;  recipe keyword signals (not recipe count)</t>
        </is>
      </c>
    </row>
    <row r="75">
      <c r="B75" t="inlineStr">
        <is>
          <t>page_49.png</t>
        </is>
      </c>
      <c r="C75" t="inlineStr">
        <is>
          <t>C:\Users\J COMPUTER\Documents\Codex\2026-09-12\x20-using-this-document-download-the\work\bakery_design_review\page_49.png</t>
        </is>
      </c>
      <c r="D75" t="inlineStr">
        <is>
          <t>.png</t>
        </is>
      </c>
      <c r="E75" t="inlineStr">
        <is>
          <t>2026-09-13T12:16:35.876740+00:00</t>
        </is>
      </c>
      <c r="F75" t="inlineStr">
        <is>
          <t>146897</t>
        </is>
      </c>
      <c r="H75" t="inlineStr">
        <is>
          <t>Generated work or software support file</t>
        </is>
      </c>
      <c r="I75" t="inlineStr">
        <is>
          <t>Filename screened</t>
        </is>
      </c>
      <c r="J75" t="inlineStr">
        <is>
          <t>No owner production trial log found</t>
        </is>
      </c>
      <c r="K75" t="inlineStr">
        <is>
          <t>Not established / non-text</t>
        </is>
      </c>
      <c r="L75" t="inlineStr">
        <is>
          <t>No explicit version established; modified date is file metadata only</t>
        </is>
      </c>
      <c r="M75" t="inlineStr">
        <is>
          <t xml:space="preserve"> extracted pages/blocks/rows;  recipe keyword signals (not recipe count)</t>
        </is>
      </c>
    </row>
    <row r="76">
      <c r="B76" t="inlineStr">
        <is>
          <t>page_50.png</t>
        </is>
      </c>
      <c r="C76" t="inlineStr">
        <is>
          <t>C:\Users\J COMPUTER\Documents\Codex\2026-09-12\x20-using-this-document-download-the\work\bakery_design_review\page_50.png</t>
        </is>
      </c>
      <c r="D76" t="inlineStr">
        <is>
          <t>.png</t>
        </is>
      </c>
      <c r="E76" t="inlineStr">
        <is>
          <t>2026-09-13T12:16:35.942666+00:00</t>
        </is>
      </c>
      <c r="F76" t="inlineStr">
        <is>
          <t>87131</t>
        </is>
      </c>
      <c r="H76" t="inlineStr">
        <is>
          <t>Generated work or software support file</t>
        </is>
      </c>
      <c r="I76" t="inlineStr">
        <is>
          <t>Filename screened</t>
        </is>
      </c>
      <c r="J76" t="inlineStr">
        <is>
          <t>No owner production trial log found</t>
        </is>
      </c>
      <c r="K76" t="inlineStr">
        <is>
          <t>Not established / non-text</t>
        </is>
      </c>
      <c r="L76" t="inlineStr">
        <is>
          <t>No explicit version established; modified date is file metadata only</t>
        </is>
      </c>
      <c r="M76" t="inlineStr">
        <is>
          <t xml:space="preserve"> extracted pages/blocks/rows;  recipe keyword signals (not recipe count)</t>
        </is>
      </c>
    </row>
    <row r="77">
      <c r="B77" t="inlineStr">
        <is>
          <t>page_51.png</t>
        </is>
      </c>
      <c r="C77" t="inlineStr">
        <is>
          <t>C:\Users\J COMPUTER\Documents\Codex\2026-09-12\x20-using-this-document-download-the\work\bakery_design_review\page_51.png</t>
        </is>
      </c>
      <c r="D77" t="inlineStr">
        <is>
          <t>.png</t>
        </is>
      </c>
      <c r="E77" t="inlineStr">
        <is>
          <t>2026-09-13T12:16:36.010107+00:00</t>
        </is>
      </c>
      <c r="F77" t="inlineStr">
        <is>
          <t>110111</t>
        </is>
      </c>
      <c r="H77" t="inlineStr">
        <is>
          <t>Generated work or software support file</t>
        </is>
      </c>
      <c r="I77" t="inlineStr">
        <is>
          <t>Filename screened</t>
        </is>
      </c>
      <c r="J77" t="inlineStr">
        <is>
          <t>No owner production trial log found</t>
        </is>
      </c>
      <c r="K77" t="inlineStr">
        <is>
          <t>Not established / non-text</t>
        </is>
      </c>
      <c r="L77" t="inlineStr">
        <is>
          <t>No explicit version established; modified date is file metadata only</t>
        </is>
      </c>
      <c r="M77" t="inlineStr">
        <is>
          <t xml:space="preserve"> extracted pages/blocks/rows;  recipe keyword signals (not recipe count)</t>
        </is>
      </c>
    </row>
    <row r="78">
      <c r="B78" t="inlineStr">
        <is>
          <t>page_52.png</t>
        </is>
      </c>
      <c r="C78" t="inlineStr">
        <is>
          <t>C:\Users\J COMPUTER\Documents\Codex\2026-09-12\x20-using-this-document-download-the\work\bakery_design_review\page_52.png</t>
        </is>
      </c>
      <c r="D78" t="inlineStr">
        <is>
          <t>.png</t>
        </is>
      </c>
      <c r="E78" t="inlineStr">
        <is>
          <t>2026-09-13T12:16:36.091841+00:00</t>
        </is>
      </c>
      <c r="F78" t="inlineStr">
        <is>
          <t>118629</t>
        </is>
      </c>
      <c r="H78" t="inlineStr">
        <is>
          <t>Generated work or software support file</t>
        </is>
      </c>
      <c r="I78" t="inlineStr">
        <is>
          <t>Filename screened</t>
        </is>
      </c>
      <c r="J78" t="inlineStr">
        <is>
          <t>No owner production trial log found</t>
        </is>
      </c>
      <c r="K78" t="inlineStr">
        <is>
          <t>Not established / non-text</t>
        </is>
      </c>
      <c r="L78" t="inlineStr">
        <is>
          <t>No explicit version established; modified date is file metadata only</t>
        </is>
      </c>
      <c r="M78" t="inlineStr">
        <is>
          <t xml:space="preserve"> extracted pages/blocks/rows;  recipe keyword signals (not recipe count)</t>
        </is>
      </c>
    </row>
    <row r="79">
      <c r="B79" t="inlineStr">
        <is>
          <t>page_53.png</t>
        </is>
      </c>
      <c r="C79" t="inlineStr">
        <is>
          <t>C:\Users\J COMPUTER\Documents\Codex\2026-09-12\x20-using-this-document-download-the\work\bakery_design_review\page_53.png</t>
        </is>
      </c>
      <c r="D79" t="inlineStr">
        <is>
          <t>.png</t>
        </is>
      </c>
      <c r="E79" t="inlineStr">
        <is>
          <t>2026-09-13T12:16:36.178487+00:00</t>
        </is>
      </c>
      <c r="F79" t="inlineStr">
        <is>
          <t>116952</t>
        </is>
      </c>
      <c r="H79" t="inlineStr">
        <is>
          <t>Generated work or software support file</t>
        </is>
      </c>
      <c r="I79" t="inlineStr">
        <is>
          <t>Filename screened</t>
        </is>
      </c>
      <c r="J79" t="inlineStr">
        <is>
          <t>No owner production trial log found</t>
        </is>
      </c>
      <c r="K79" t="inlineStr">
        <is>
          <t>Not established / non-text</t>
        </is>
      </c>
      <c r="L79" t="inlineStr">
        <is>
          <t>No explicit version established; modified date is file metadata only</t>
        </is>
      </c>
      <c r="M79" t="inlineStr">
        <is>
          <t xml:space="preserve"> extracted pages/blocks/rows;  recipe keyword signals (not recipe count)</t>
        </is>
      </c>
    </row>
    <row r="80">
      <c r="B80" t="inlineStr">
        <is>
          <t>page_54.png</t>
        </is>
      </c>
      <c r="C80" t="inlineStr">
        <is>
          <t>C:\Users\J COMPUTER\Documents\Codex\2026-09-12\x20-using-this-document-download-the\work\bakery_design_review\page_54.png</t>
        </is>
      </c>
      <c r="D80" t="inlineStr">
        <is>
          <t>.png</t>
        </is>
      </c>
      <c r="E80" t="inlineStr">
        <is>
          <t>2026-09-13T12:16:36.241632+00:00</t>
        </is>
      </c>
      <c r="F80" t="inlineStr">
        <is>
          <t>46893</t>
        </is>
      </c>
      <c r="H80" t="inlineStr">
        <is>
          <t>Generated work or software support file</t>
        </is>
      </c>
      <c r="I80" t="inlineStr">
        <is>
          <t>Filename screened</t>
        </is>
      </c>
      <c r="J80" t="inlineStr">
        <is>
          <t>No owner production trial log found</t>
        </is>
      </c>
      <c r="K80" t="inlineStr">
        <is>
          <t>Not established / non-text</t>
        </is>
      </c>
      <c r="L80" t="inlineStr">
        <is>
          <t>No explicit version established; modified date is file metadata only</t>
        </is>
      </c>
      <c r="M80" t="inlineStr">
        <is>
          <t xml:space="preserve"> extracted pages/blocks/rows;  recipe keyword signals (not recipe count)</t>
        </is>
      </c>
    </row>
    <row r="81">
      <c r="B81" t="inlineStr">
        <is>
          <t>Bakery_Empire_Master_Operations_Manual (1).pdf.txt</t>
        </is>
      </c>
      <c r="C81" t="inlineStr">
        <is>
          <t>C:\Users\J COMPUTER\Documents\Codex\2026-09-12\x20-using-this-document-download-the\work\research_review\Bakery_Empire_Master_Operations_Manual (1).pdf.txt</t>
        </is>
      </c>
      <c r="D81" t="inlineStr">
        <is>
          <t>.txt</t>
        </is>
      </c>
      <c r="E81" t="inlineStr">
        <is>
          <t>2026-09-13T20:38:03.758965+00:00</t>
        </is>
      </c>
      <c r="F81" t="inlineStr">
        <is>
          <t>8857</t>
        </is>
      </c>
      <c r="H81" t="inlineStr">
        <is>
          <t>Generated work or software support file</t>
        </is>
      </c>
      <c r="I81" t="inlineStr">
        <is>
          <t>Filename screened</t>
        </is>
      </c>
      <c r="J81" t="inlineStr">
        <is>
          <t>No owner production trial log found</t>
        </is>
      </c>
      <c r="K81" t="inlineStr">
        <is>
          <t>Not established / non-text</t>
        </is>
      </c>
      <c r="L81" t="inlineStr">
        <is>
          <t>No explicit version established; modified date is file metadata only</t>
        </is>
      </c>
      <c r="M81" t="inlineStr">
        <is>
          <t xml:space="preserve"> extracted pages/blocks/rows;  recipe keyword signals (not recipe count)</t>
        </is>
      </c>
    </row>
    <row r="82">
      <c r="B82" t="inlineStr">
        <is>
          <t>Bakery_Empire_Master_Operations_Manual (2).pdf.txt</t>
        </is>
      </c>
      <c r="C82" t="inlineStr">
        <is>
          <t>C:\Users\J COMPUTER\Documents\Codex\2026-09-12\x20-using-this-document-download-the\work\research_review\Bakery_Empire_Master_Operations_Manual (2).pdf.txt</t>
        </is>
      </c>
      <c r="D82" t="inlineStr">
        <is>
          <t>.txt</t>
        </is>
      </c>
      <c r="E82" t="inlineStr">
        <is>
          <t>2026-09-13T20:38:03.879922+00:00</t>
        </is>
      </c>
      <c r="F82" t="inlineStr">
        <is>
          <t>29101</t>
        </is>
      </c>
      <c r="H82" t="inlineStr">
        <is>
          <t>Generated work or software support file</t>
        </is>
      </c>
      <c r="I82" t="inlineStr">
        <is>
          <t>Filename screened</t>
        </is>
      </c>
      <c r="J82" t="inlineStr">
        <is>
          <t>No owner production trial log found</t>
        </is>
      </c>
      <c r="K82" t="inlineStr">
        <is>
          <t>Not established / non-text</t>
        </is>
      </c>
      <c r="L82" t="inlineStr">
        <is>
          <t>No explicit version established; modified date is file metadata only</t>
        </is>
      </c>
      <c r="M82" t="inlineStr">
        <is>
          <t xml:space="preserve"> extracted pages/blocks/rows;  recipe keyword signals (not recipe count)</t>
        </is>
      </c>
    </row>
    <row r="83">
      <c r="B83" t="inlineStr">
        <is>
          <t>Bakery_Empire_Master_Operations_Manual.pdf.txt</t>
        </is>
      </c>
      <c r="C83" t="inlineStr">
        <is>
          <t>C:\Users\J COMPUTER\Documents\Codex\2026-09-12\x20-using-this-document-download-the\work\research_review\Bakery_Empire_Master_Operations_Manual.pdf.txt</t>
        </is>
      </c>
      <c r="D83" t="inlineStr">
        <is>
          <t>.txt</t>
        </is>
      </c>
      <c r="E83" t="inlineStr">
        <is>
          <t>2026-09-13T20:38:03.713009+00:00</t>
        </is>
      </c>
      <c r="F83" t="inlineStr">
        <is>
          <t>8242</t>
        </is>
      </c>
      <c r="H83" t="inlineStr">
        <is>
          <t>Generated work or software support file</t>
        </is>
      </c>
      <c r="I83" t="inlineStr">
        <is>
          <t>Filename screened</t>
        </is>
      </c>
      <c r="J83" t="inlineStr">
        <is>
          <t>No owner production trial log found</t>
        </is>
      </c>
      <c r="K83" t="inlineStr">
        <is>
          <t>Not established / non-text</t>
        </is>
      </c>
      <c r="L83" t="inlineStr">
        <is>
          <t>No explicit version established; modified date is file metadata only</t>
        </is>
      </c>
      <c r="M83" t="inlineStr">
        <is>
          <t xml:space="preserve"> extracted pages/blocks/rows;  recipe keyword signals (not recipe count)</t>
        </is>
      </c>
    </row>
    <row r="84">
      <c r="B84" t="inlineStr">
        <is>
          <t>Cameroon_Bakery_Empire_Master_Guide.pdf.txt</t>
        </is>
      </c>
      <c r="C84" t="inlineStr">
        <is>
          <t>C:\Users\J COMPUTER\Documents\Codex\2026-09-12\x20-using-this-document-download-the\work\research_review\Cameroon_Bakery_Empire_Master_Guide.pdf.txt</t>
        </is>
      </c>
      <c r="D84" t="inlineStr">
        <is>
          <t>.txt</t>
        </is>
      </c>
      <c r="E84" t="inlineStr">
        <is>
          <t>2026-09-13T20:38:03.678814+00:00</t>
        </is>
      </c>
      <c r="F84" t="inlineStr">
        <is>
          <t>19242</t>
        </is>
      </c>
      <c r="H84" t="inlineStr">
        <is>
          <t>Generated work or software support file</t>
        </is>
      </c>
      <c r="I84" t="inlineStr">
        <is>
          <t>Filename screened</t>
        </is>
      </c>
      <c r="J84" t="inlineStr">
        <is>
          <t>No owner production trial log found</t>
        </is>
      </c>
      <c r="K84" t="inlineStr">
        <is>
          <t>Not established / non-text</t>
        </is>
      </c>
      <c r="L84" t="inlineStr">
        <is>
          <t>No explicit version established; modified date is file metadata only</t>
        </is>
      </c>
      <c r="M84" t="inlineStr">
        <is>
          <t xml:space="preserve"> extracted pages/blocks/rows;  recipe keyword signals (not recipe count)</t>
        </is>
      </c>
    </row>
    <row r="85">
      <c r="B85" t="inlineStr">
        <is>
          <t>Commercial_Baguette_Production_Guide.pdf.txt</t>
        </is>
      </c>
      <c r="C85" t="inlineStr">
        <is>
          <t>C:\Users\J COMPUTER\Documents\Codex\2026-09-12\x20-using-this-document-download-the\work\research_review\Commercial_Baguette_Production_Guide.pdf.txt</t>
        </is>
      </c>
      <c r="D85" t="inlineStr">
        <is>
          <t>.txt</t>
        </is>
      </c>
      <c r="E85" t="inlineStr">
        <is>
          <t>2026-09-13T20:38:03.569152+00:00</t>
        </is>
      </c>
      <c r="F85" t="inlineStr">
        <is>
          <t>3441</t>
        </is>
      </c>
      <c r="H85" t="inlineStr">
        <is>
          <t>Generated work or software support file</t>
        </is>
      </c>
      <c r="I85" t="inlineStr">
        <is>
          <t>Filename screened</t>
        </is>
      </c>
      <c r="J85" t="inlineStr">
        <is>
          <t>No owner production trial log found</t>
        </is>
      </c>
      <c r="K85" t="inlineStr">
        <is>
          <t>Not established / non-text</t>
        </is>
      </c>
      <c r="L85" t="inlineStr">
        <is>
          <t>No explicit version established; modified date is file metadata only</t>
        </is>
      </c>
      <c r="M85" t="inlineStr">
        <is>
          <t xml:space="preserve"> extracted pages/blocks/rows;  recipe keyword signals (not recipe count)</t>
        </is>
      </c>
    </row>
    <row r="86">
      <c r="B86" t="inlineStr">
        <is>
          <t>Staggered_Baguette_Production_Schedule.pdf.txt</t>
        </is>
      </c>
      <c r="C86" t="inlineStr">
        <is>
          <t>C:\Users\J COMPUTER\Documents\Codex\2026-09-12\x20-using-this-document-download-the\work\research_review\Staggered_Baguette_Production_Schedule.pdf.txt</t>
        </is>
      </c>
      <c r="D86" t="inlineStr">
        <is>
          <t>.txt</t>
        </is>
      </c>
      <c r="E86" t="inlineStr">
        <is>
          <t>2026-09-13T20:38:03.592762+00:00</t>
        </is>
      </c>
      <c r="F86" t="inlineStr">
        <is>
          <t>3833</t>
        </is>
      </c>
      <c r="H86" t="inlineStr">
        <is>
          <t>Generated work or software support file</t>
        </is>
      </c>
      <c r="I86" t="inlineStr">
        <is>
          <t>Filename screened</t>
        </is>
      </c>
      <c r="J86" t="inlineStr">
        <is>
          <t>No owner production trial log found</t>
        </is>
      </c>
      <c r="K86" t="inlineStr">
        <is>
          <t>Not established / non-text</t>
        </is>
      </c>
      <c r="L86" t="inlineStr">
        <is>
          <t>No explicit version established; modified date is file metadata only</t>
        </is>
      </c>
      <c r="M86" t="inlineStr">
        <is>
          <t xml:space="preserve"> extracted pages/blocks/rows;  recipe keyword signals (not recipe count)</t>
        </is>
      </c>
    </row>
    <row r="87">
      <c r="A87" t="inlineStr">
        <is>
          <t>S012</t>
        </is>
      </c>
      <c r="B87" t="inlineStr">
        <is>
          <t>Nkambe_Bakery_Business_Report_Partial.pdf</t>
        </is>
      </c>
      <c r="C87" t="inlineStr">
        <is>
          <t>C:\Users\J COMPUTER\Documents\Codex\2026-10-01\referenced-chatgpt-conversation-this-is-an\outputs\Nkambe_Bakery_Business_Report_Partial.pdf</t>
        </is>
      </c>
      <c r="D87" t="inlineStr">
        <is>
          <t>.pdf</t>
        </is>
      </c>
      <c r="E87" t="inlineStr">
        <is>
          <t>2026-10-03T09:28:58.150452+00:00</t>
        </is>
      </c>
      <c r="F87" t="inlineStr">
        <is>
          <t>140585</t>
        </is>
      </c>
      <c r="G87" t="inlineStr">
        <is>
          <t>92619ed7f32b4f682ed206490adf5e7aff3eed8588b4511bd938dd8ea0067ca5</t>
        </is>
      </c>
      <c r="H87" t="inlineStr">
        <is>
          <t>Extracted text</t>
        </is>
      </c>
      <c r="I87" t="inlineStr">
        <is>
          <t>Related edition, supporting context or superseded source; no independent trial inferred</t>
        </is>
      </c>
      <c r="J87" t="inlineStr">
        <is>
          <t>No owner production trial log found</t>
        </is>
      </c>
      <c r="K87" t="inlineStr">
        <is>
          <t>English (text screening)</t>
        </is>
      </c>
      <c r="L87" t="inlineStr">
        <is>
          <t>No explicit version established; modified date is file metadata only</t>
        </is>
      </c>
      <c r="M87" t="inlineStr">
        <is>
          <t>21 extracted pages/blocks/rows; 45 recipe keyword signals (not recipe count)</t>
        </is>
      </c>
    </row>
    <row r="88">
      <c r="A88" t="inlineStr">
        <is>
          <t>S013</t>
        </is>
      </c>
      <c r="B88" t="inlineStr">
        <is>
          <t>Nkambe_Bakery_Product_Development_and_Profitability_Strategy.pdf</t>
        </is>
      </c>
      <c r="C88" t="inlineStr">
        <is>
          <t>C:\Users\J COMPUTER\Documents\Codex\2026-10-08\referenced-chatgpt-conversation-this-is-an-2\outputs\Nkambe_Bakery_Product_Development_and_Profitability_Strategy.pdf</t>
        </is>
      </c>
      <c r="D88" t="inlineStr">
        <is>
          <t>.pdf</t>
        </is>
      </c>
      <c r="E88" t="inlineStr">
        <is>
          <t>2026-10-08T12:08:08.212843+00:00</t>
        </is>
      </c>
      <c r="F88" t="inlineStr">
        <is>
          <t>118715</t>
        </is>
      </c>
      <c r="G88" t="inlineStr">
        <is>
          <t>e8f97c198f48cc035c0576d1a468fb627c37ddc51d0f8658281053a950ac8b84</t>
        </is>
      </c>
      <c r="H88" t="inlineStr">
        <is>
          <t>Extracted text</t>
        </is>
      </c>
      <c r="I88" t="inlineStr">
        <is>
          <t>Recipe source or technical context included</t>
        </is>
      </c>
      <c r="J88" t="inlineStr">
        <is>
          <t>No owner production trial log found</t>
        </is>
      </c>
      <c r="K88" t="inlineStr">
        <is>
          <t>English (text screening)</t>
        </is>
      </c>
      <c r="L88" t="inlineStr">
        <is>
          <t>No explicit version established; modified date is file metadata only</t>
        </is>
      </c>
      <c r="M88" t="inlineStr">
        <is>
          <t>20 extracted pages/blocks/rows; 14 recipe keyword signals (not recipe count)</t>
        </is>
      </c>
    </row>
    <row r="89">
      <c r="A89" t="inlineStr">
        <is>
          <t>S014</t>
        </is>
      </c>
      <c r="B89" t="inlineStr">
        <is>
          <t>Nkambe_Recipe_Manual_Module_1_Breads_and_Baguettes.pdf</t>
        </is>
      </c>
      <c r="C89" t="inlineStr">
        <is>
          <t>C:\Users\J COMPUTER\Documents\Codex\2026-10-08\referenced-chatgpt-conversation-this-is-an-2\outputs\Nkambe_Recipe_Manual_Module_1_Breads_and_Baguettes.pdf</t>
        </is>
      </c>
      <c r="D89" t="inlineStr">
        <is>
          <t>.pdf</t>
        </is>
      </c>
      <c r="E89" t="inlineStr">
        <is>
          <t>2026-10-08T16:19:26.752118+00:00</t>
        </is>
      </c>
      <c r="F89" t="inlineStr">
        <is>
          <t>255392</t>
        </is>
      </c>
      <c r="G89" t="inlineStr">
        <is>
          <t>febe5a7bf8d9cea610fec8a88ad2c460e2b05ae840503f43cdaa2108825f62b6</t>
        </is>
      </c>
      <c r="H89" t="inlineStr">
        <is>
          <t>Extracted text</t>
        </is>
      </c>
      <c r="I89" t="inlineStr">
        <is>
          <t>Related edition, supporting context or superseded source; no independent trial inferred</t>
        </is>
      </c>
      <c r="J89" t="inlineStr">
        <is>
          <t>No owner production trial log found</t>
        </is>
      </c>
      <c r="K89" t="inlineStr">
        <is>
          <t>English (text screening)</t>
        </is>
      </c>
      <c r="L89" t="inlineStr">
        <is>
          <t>Version 0.1</t>
        </is>
      </c>
      <c r="M89" t="inlineStr">
        <is>
          <t>58 extracted pages/blocks/rows; 476 recipe keyword signals (not recipe count)</t>
        </is>
      </c>
    </row>
    <row r="90">
      <c r="A90" t="inlineStr">
        <is>
          <t>S015</t>
        </is>
      </c>
      <c r="B90" t="inlineStr">
        <is>
          <t>Nkambe_Recipe_Manual_Module_1_Editable.rtf</t>
        </is>
      </c>
      <c r="C90" t="inlineStr">
        <is>
          <t>C:\Users\J COMPUTER\Documents\Codex\2026-10-08\referenced-chatgpt-conversation-this-is-an-2\outputs\Nkambe_Recipe_Manual_Module_1_Editable.rtf</t>
        </is>
      </c>
      <c r="D90" t="inlineStr">
        <is>
          <t>.rtf</t>
        </is>
      </c>
      <c r="E90" t="inlineStr">
        <is>
          <t>2026-10-08T16:19:26.909838+00:00</t>
        </is>
      </c>
      <c r="F90" t="inlineStr">
        <is>
          <t>605141</t>
        </is>
      </c>
      <c r="G90" t="inlineStr">
        <is>
          <t>431588d64dc6ca3cfcb1728b95e7550c78742871c47a62781017bb47627463c3</t>
        </is>
      </c>
      <c r="H90" t="inlineStr">
        <is>
          <t>Editable companion; PDF version used for reading</t>
        </is>
      </c>
      <c r="I90" t="inlineStr">
        <is>
          <t>Related edition, supporting context or superseded source; no independent trial inferred</t>
        </is>
      </c>
      <c r="J90" t="inlineStr">
        <is>
          <t>No owner production trial log found</t>
        </is>
      </c>
      <c r="K90" t="inlineStr">
        <is>
          <t>Not established / non-text</t>
        </is>
      </c>
      <c r="L90" t="inlineStr">
        <is>
          <t>No explicit version established; modified date is file metadata only</t>
        </is>
      </c>
      <c r="M90" t="inlineStr">
        <is>
          <t>0 extracted pages/blocks/rows; 0 recipe keyword signals (not recipe count)</t>
        </is>
      </c>
    </row>
    <row r="91">
      <c r="A91" t="inlineStr">
        <is>
          <t>S016</t>
        </is>
      </c>
      <c r="B91" t="inlineStr">
        <is>
          <t>Nkambe_Recipe_Manual_Module_1_Updated_v0_2.pdf</t>
        </is>
      </c>
      <c r="C91" t="inlineStr">
        <is>
          <t>C:\Users\J COMPUTER\Documents\Codex\2026-10-08\referenced-chatgpt-conversation-this-is-an-2\outputs\Nkambe_Recipe_Manual_Module_1_Updated_v0_2.pdf</t>
        </is>
      </c>
      <c r="D91" t="inlineStr">
        <is>
          <t>.pdf</t>
        </is>
      </c>
      <c r="E91" t="inlineStr">
        <is>
          <t>2026-10-08T16:51:20.521805+00:00</t>
        </is>
      </c>
      <c r="F91" t="inlineStr">
        <is>
          <t>268930</t>
        </is>
      </c>
      <c r="G91" t="inlineStr">
        <is>
          <t>8993fc4142bba42747a6df9f5e00550f0c7f36c871cc6b74ab564d2a2625fa9b</t>
        </is>
      </c>
      <c r="H91" t="inlineStr">
        <is>
          <t>Extracted text</t>
        </is>
      </c>
      <c r="I91" t="inlineStr">
        <is>
          <t>Recipe source or technical context included</t>
        </is>
      </c>
      <c r="J91" t="inlineStr">
        <is>
          <t>No owner production trial log found</t>
        </is>
      </c>
      <c r="K91" t="inlineStr">
        <is>
          <t>English (text screening)</t>
        </is>
      </c>
      <c r="L91" t="inlineStr">
        <is>
          <t>Version 0.2</t>
        </is>
      </c>
      <c r="M91" t="inlineStr">
        <is>
          <t>62 extracted pages/blocks/rows; 481 recipe keyword signals (not recipe count)</t>
        </is>
      </c>
    </row>
    <row r="92">
      <c r="A92" t="inlineStr">
        <is>
          <t>S017</t>
        </is>
      </c>
      <c r="B92" t="inlineStr">
        <is>
          <t>Nkambe_Recipe_Manual_Module_1_Updated_v0_2.rtf</t>
        </is>
      </c>
      <c r="C92" t="inlineStr">
        <is>
          <t>C:\Users\J COMPUTER\Documents\Codex\2026-10-08\referenced-chatgpt-conversation-this-is-an-2\outputs\Nkambe_Recipe_Manual_Module_1_Updated_v0_2.rtf</t>
        </is>
      </c>
      <c r="D92" t="inlineStr">
        <is>
          <t>.rtf</t>
        </is>
      </c>
      <c r="E92" t="inlineStr">
        <is>
          <t>2026-10-08T16:51:20.681172+00:00</t>
        </is>
      </c>
      <c r="F92" t="inlineStr">
        <is>
          <t>671805</t>
        </is>
      </c>
      <c r="G92" t="inlineStr">
        <is>
          <t>7d367ef28b6f4c1a335b69311e27e0f752cd28d520b9463ed9387a5362bdd16f</t>
        </is>
      </c>
      <c r="H92" t="inlineStr">
        <is>
          <t>Editable companion; PDF version used for reading</t>
        </is>
      </c>
      <c r="I92" t="inlineStr">
        <is>
          <t>Related edition, supporting context or superseded source; no independent trial inferred</t>
        </is>
      </c>
      <c r="J92" t="inlineStr">
        <is>
          <t>No owner production trial log found</t>
        </is>
      </c>
      <c r="K92" t="inlineStr">
        <is>
          <t>Not established / non-text</t>
        </is>
      </c>
      <c r="L92" t="inlineStr">
        <is>
          <t>No explicit version established; modified date is file metadata only</t>
        </is>
      </c>
      <c r="M92" t="inlineStr">
        <is>
          <t>0 extracted pages/blocks/rows; 0 recipe keyword signals (not recipe count)</t>
        </is>
      </c>
    </row>
    <row r="93">
      <c r="B93" t="inlineStr">
        <is>
          <t>contact-1.jpg</t>
        </is>
      </c>
      <c r="C93" t="inlineStr">
        <is>
          <t>C:\Users\J COMPUTER\Documents\Codex\2026-10-08\referenced-chatgpt-conversation-this-is-an-2\work\bread_manual\contact-1.jpg</t>
        </is>
      </c>
      <c r="D93" t="inlineStr">
        <is>
          <t>.jpg</t>
        </is>
      </c>
      <c r="E93" t="inlineStr">
        <is>
          <t>2026-10-08T16:20:12.228607+00:00</t>
        </is>
      </c>
      <c r="F93" t="inlineStr">
        <is>
          <t>184767</t>
        </is>
      </c>
      <c r="H93" t="inlineStr">
        <is>
          <t>Generated work or software support file</t>
        </is>
      </c>
      <c r="I93" t="inlineStr">
        <is>
          <t>Filename screened</t>
        </is>
      </c>
      <c r="J93" t="inlineStr">
        <is>
          <t>No owner production trial log found</t>
        </is>
      </c>
      <c r="K93" t="inlineStr">
        <is>
          <t>Not established / non-text</t>
        </is>
      </c>
      <c r="L93" t="inlineStr">
        <is>
          <t>No explicit version established; modified date is file metadata only</t>
        </is>
      </c>
      <c r="M93" t="inlineStr">
        <is>
          <t xml:space="preserve"> extracted pages/blocks/rows;  recipe keyword signals (not recipe count)</t>
        </is>
      </c>
    </row>
    <row r="94">
      <c r="B94" t="inlineStr">
        <is>
          <t>contact-2.jpg</t>
        </is>
      </c>
      <c r="C94" t="inlineStr">
        <is>
          <t>C:\Users\J COMPUTER\Documents\Codex\2026-10-08\referenced-chatgpt-conversation-this-is-an-2\work\bread_manual\contact-2.jpg</t>
        </is>
      </c>
      <c r="D94" t="inlineStr">
        <is>
          <t>.jpg</t>
        </is>
      </c>
      <c r="E94" t="inlineStr">
        <is>
          <t>2026-10-08T16:20:12.946915+00:00</t>
        </is>
      </c>
      <c r="F94" t="inlineStr">
        <is>
          <t>252203</t>
        </is>
      </c>
      <c r="H94" t="inlineStr">
        <is>
          <t>Generated work or software support file</t>
        </is>
      </c>
      <c r="I94" t="inlineStr">
        <is>
          <t>Filename screened</t>
        </is>
      </c>
      <c r="J94" t="inlineStr">
        <is>
          <t>No owner production trial log found</t>
        </is>
      </c>
      <c r="K94" t="inlineStr">
        <is>
          <t>Not established / non-text</t>
        </is>
      </c>
      <c r="L94" t="inlineStr">
        <is>
          <t>No explicit version established; modified date is file metadata only</t>
        </is>
      </c>
      <c r="M94" t="inlineStr">
        <is>
          <t xml:space="preserve"> extracted pages/blocks/rows;  recipe keyword signals (not recipe count)</t>
        </is>
      </c>
    </row>
    <row r="95">
      <c r="B95" t="inlineStr">
        <is>
          <t>contact-3.jpg</t>
        </is>
      </c>
      <c r="C95" t="inlineStr">
        <is>
          <t>C:\Users\J COMPUTER\Documents\Codex\2026-10-08\referenced-chatgpt-conversation-this-is-an-2\work\bread_manual\contact-3.jpg</t>
        </is>
      </c>
      <c r="D95" t="inlineStr">
        <is>
          <t>.jpg</t>
        </is>
      </c>
      <c r="E95" t="inlineStr">
        <is>
          <t>2026-10-08T16:20:13.689389+00:00</t>
        </is>
      </c>
      <c r="F95" t="inlineStr">
        <is>
          <t>248191</t>
        </is>
      </c>
      <c r="H95" t="inlineStr">
        <is>
          <t>Generated work or software support file</t>
        </is>
      </c>
      <c r="I95" t="inlineStr">
        <is>
          <t>Filename screened</t>
        </is>
      </c>
      <c r="J95" t="inlineStr">
        <is>
          <t>No owner production trial log found</t>
        </is>
      </c>
      <c r="K95" t="inlineStr">
        <is>
          <t>Not established / non-text</t>
        </is>
      </c>
      <c r="L95" t="inlineStr">
        <is>
          <t>No explicit version established; modified date is file metadata only</t>
        </is>
      </c>
      <c r="M95" t="inlineStr">
        <is>
          <t xml:space="preserve"> extracted pages/blocks/rows;  recipe keyword signals (not recipe count)</t>
        </is>
      </c>
    </row>
    <row r="96">
      <c r="B96" t="inlineStr">
        <is>
          <t>contact-4.jpg</t>
        </is>
      </c>
      <c r="C96" t="inlineStr">
        <is>
          <t>C:\Users\J COMPUTER\Documents\Codex\2026-10-08\referenced-chatgpt-conversation-this-is-an-2\work\bread_manual\contact-4.jpg</t>
        </is>
      </c>
      <c r="D96" t="inlineStr">
        <is>
          <t>.jpg</t>
        </is>
      </c>
      <c r="E96" t="inlineStr">
        <is>
          <t>2026-10-08T16:20:14.406659+00:00</t>
        </is>
      </c>
      <c r="F96" t="inlineStr">
        <is>
          <t>248128</t>
        </is>
      </c>
      <c r="H96" t="inlineStr">
        <is>
          <t>Generated work or software support file</t>
        </is>
      </c>
      <c r="I96" t="inlineStr">
        <is>
          <t>Filename screened</t>
        </is>
      </c>
      <c r="J96" t="inlineStr">
        <is>
          <t>No owner production trial log found</t>
        </is>
      </c>
      <c r="K96" t="inlineStr">
        <is>
          <t>Not established / non-text</t>
        </is>
      </c>
      <c r="L96" t="inlineStr">
        <is>
          <t>No explicit version established; modified date is file metadata only</t>
        </is>
      </c>
      <c r="M96" t="inlineStr">
        <is>
          <t xml:space="preserve"> extracted pages/blocks/rows;  recipe keyword signals (not recipe count)</t>
        </is>
      </c>
    </row>
    <row r="97">
      <c r="B97" t="inlineStr">
        <is>
          <t>contact-5.jpg</t>
        </is>
      </c>
      <c r="C97" t="inlineStr">
        <is>
          <t>C:\Users\J COMPUTER\Documents\Codex\2026-10-08\referenced-chatgpt-conversation-this-is-an-2\work\bread_manual\contact-5.jpg</t>
        </is>
      </c>
      <c r="D97" t="inlineStr">
        <is>
          <t>.jpg</t>
        </is>
      </c>
      <c r="E97" t="inlineStr">
        <is>
          <t>2026-10-08T16:20:14.979314+00:00</t>
        </is>
      </c>
      <c r="F97" t="inlineStr">
        <is>
          <t>203368</t>
        </is>
      </c>
      <c r="H97" t="inlineStr">
        <is>
          <t>Generated work or software support file</t>
        </is>
      </c>
      <c r="I97" t="inlineStr">
        <is>
          <t>Filename screened</t>
        </is>
      </c>
      <c r="J97" t="inlineStr">
        <is>
          <t>No owner production trial log found</t>
        </is>
      </c>
      <c r="K97" t="inlineStr">
        <is>
          <t>Not established / non-text</t>
        </is>
      </c>
      <c r="L97" t="inlineStr">
        <is>
          <t>No explicit version established; modified date is file metadata only</t>
        </is>
      </c>
      <c r="M97" t="inlineStr">
        <is>
          <t xml:space="preserve"> extracted pages/blocks/rows;  recipe keyword signals (not recipe count)</t>
        </is>
      </c>
    </row>
    <row r="98">
      <c r="B98" t="inlineStr">
        <is>
          <t>contact-6.jpg</t>
        </is>
      </c>
      <c r="C98" t="inlineStr">
        <is>
          <t>C:\Users\J COMPUTER\Documents\Codex\2026-10-08\referenced-chatgpt-conversation-this-is-an-2\work\bread_manual\contact-6.jpg</t>
        </is>
      </c>
      <c r="D98" t="inlineStr">
        <is>
          <t>.jpg</t>
        </is>
      </c>
      <c r="E98" t="inlineStr">
        <is>
          <t>2026-10-08T16:15:56.829590+00:00</t>
        </is>
      </c>
      <c r="F98" t="inlineStr">
        <is>
          <t>215471</t>
        </is>
      </c>
      <c r="H98" t="inlineStr">
        <is>
          <t>Generated work or software support file</t>
        </is>
      </c>
      <c r="I98" t="inlineStr">
        <is>
          <t>Filename screened</t>
        </is>
      </c>
      <c r="J98" t="inlineStr">
        <is>
          <t>No owner production trial log found</t>
        </is>
      </c>
      <c r="K98" t="inlineStr">
        <is>
          <t>Not established / non-text</t>
        </is>
      </c>
      <c r="L98" t="inlineStr">
        <is>
          <t>No explicit version established; modified date is file metadata only</t>
        </is>
      </c>
      <c r="M98" t="inlineStr">
        <is>
          <t xml:space="preserve"> extracted pages/blocks/rows;  recipe keyword signals (not recipe count)</t>
        </is>
      </c>
    </row>
    <row r="99">
      <c r="B99" t="inlineStr">
        <is>
          <t>contact-7.jpg</t>
        </is>
      </c>
      <c r="C99" t="inlineStr">
        <is>
          <t>C:\Users\J COMPUTER\Documents\Codex\2026-10-08\referenced-chatgpt-conversation-this-is-an-2\work\bread_manual\contact-7.jpg</t>
        </is>
      </c>
      <c r="D99" t="inlineStr">
        <is>
          <t>.jpg</t>
        </is>
      </c>
      <c r="E99" t="inlineStr">
        <is>
          <t>2026-10-08T16:15:57.595649+00:00</t>
        </is>
      </c>
      <c r="F99" t="inlineStr">
        <is>
          <t>206346</t>
        </is>
      </c>
      <c r="H99" t="inlineStr">
        <is>
          <t>Generated work or software support file</t>
        </is>
      </c>
      <c r="I99" t="inlineStr">
        <is>
          <t>Filename screened</t>
        </is>
      </c>
      <c r="J99" t="inlineStr">
        <is>
          <t>No owner production trial log found</t>
        </is>
      </c>
      <c r="K99" t="inlineStr">
        <is>
          <t>Not established / non-text</t>
        </is>
      </c>
      <c r="L99" t="inlineStr">
        <is>
          <t>No explicit version established; modified date is file metadata only</t>
        </is>
      </c>
      <c r="M99" t="inlineStr">
        <is>
          <t xml:space="preserve"> extracted pages/blocks/rows;  recipe keyword signals (not recipe count)</t>
        </is>
      </c>
    </row>
    <row r="100">
      <c r="B100" t="inlineStr">
        <is>
          <t>contact-8.jpg</t>
        </is>
      </c>
      <c r="C100" t="inlineStr">
        <is>
          <t>C:\Users\J COMPUTER\Documents\Codex\2026-10-08\referenced-chatgpt-conversation-this-is-an-2\work\bread_manual\contact-8.jpg</t>
        </is>
      </c>
      <c r="D100" t="inlineStr">
        <is>
          <t>.jpg</t>
        </is>
      </c>
      <c r="E100" t="inlineStr">
        <is>
          <t>2026-10-08T16:15:57.701958+00:00</t>
        </is>
      </c>
      <c r="F100" t="inlineStr">
        <is>
          <t>58706</t>
        </is>
      </c>
      <c r="H100" t="inlineStr">
        <is>
          <t>Generated work or software support file</t>
        </is>
      </c>
      <c r="I100" t="inlineStr">
        <is>
          <t>Filename screened</t>
        </is>
      </c>
      <c r="J100" t="inlineStr">
        <is>
          <t>No owner production trial log found</t>
        </is>
      </c>
      <c r="K100" t="inlineStr">
        <is>
          <t>Not established / non-text</t>
        </is>
      </c>
      <c r="L100" t="inlineStr">
        <is>
          <t>No explicit version established; modified date is file metadata only</t>
        </is>
      </c>
      <c r="M100" t="inlineStr">
        <is>
          <t xml:space="preserve"> extracted pages/blocks/rows;  recipe keyword signals (not recipe count)</t>
        </is>
      </c>
    </row>
    <row r="101">
      <c r="B101" t="inlineStr">
        <is>
          <t>manual_source.md</t>
        </is>
      </c>
      <c r="C101" t="inlineStr">
        <is>
          <t>C:\Users\J COMPUTER\Documents\Codex\2026-10-08\referenced-chatgpt-conversation-this-is-an-2\work\bread_manual\manual_source.md</t>
        </is>
      </c>
      <c r="D101" t="inlineStr">
        <is>
          <t>.md</t>
        </is>
      </c>
      <c r="E101" t="inlineStr">
        <is>
          <t>2026-10-08T16:19:26.918816+00:00</t>
        </is>
      </c>
      <c r="F101" t="inlineStr">
        <is>
          <t>155084</t>
        </is>
      </c>
      <c r="H101" t="inlineStr">
        <is>
          <t>Generated work or software support file</t>
        </is>
      </c>
      <c r="I101" t="inlineStr">
        <is>
          <t>Filename screened</t>
        </is>
      </c>
      <c r="J101" t="inlineStr">
        <is>
          <t>No owner production trial log found</t>
        </is>
      </c>
      <c r="K101" t="inlineStr">
        <is>
          <t>Not established / non-text</t>
        </is>
      </c>
      <c r="L101" t="inlineStr">
        <is>
          <t>No explicit version established; modified date is file metadata only</t>
        </is>
      </c>
      <c r="M101" t="inlineStr">
        <is>
          <t xml:space="preserve"> extracted pages/blocks/rows;  recipe keyword signals (not recipe count)</t>
        </is>
      </c>
    </row>
    <row r="102">
      <c r="B102" t="inlineStr">
        <is>
          <t>pdf_text.txt</t>
        </is>
      </c>
      <c r="C102" t="inlineStr">
        <is>
          <t>C:\Users\J COMPUTER\Documents\Codex\2026-10-08\referenced-chatgpt-conversation-this-is-an-2\work\bread_manual\pdf_text.txt</t>
        </is>
      </c>
      <c r="D102" t="inlineStr">
        <is>
          <t>.txt</t>
        </is>
      </c>
      <c r="E102" t="inlineStr">
        <is>
          <t>2026-10-08T16:19:30.486109+00:00</t>
        </is>
      </c>
      <c r="F102" t="inlineStr">
        <is>
          <t>156042</t>
        </is>
      </c>
      <c r="H102" t="inlineStr">
        <is>
          <t>Generated work or software support file</t>
        </is>
      </c>
      <c r="I102" t="inlineStr">
        <is>
          <t>Filename screened</t>
        </is>
      </c>
      <c r="J102" t="inlineStr">
        <is>
          <t>No owner production trial log found</t>
        </is>
      </c>
      <c r="K102" t="inlineStr">
        <is>
          <t>Not established / non-text</t>
        </is>
      </c>
      <c r="L102" t="inlineStr">
        <is>
          <t>No explicit version established; modified date is file metadata only</t>
        </is>
      </c>
      <c r="M102" t="inlineStr">
        <is>
          <t xml:space="preserve"> extracted pages/blocks/rows;  recipe keyword signals (not recipe count)</t>
        </is>
      </c>
    </row>
    <row r="103">
      <c r="B103" t="inlineStr">
        <is>
          <t>contact-1.jpg</t>
        </is>
      </c>
      <c r="C103" t="inlineStr">
        <is>
          <t>C:\Users\J COMPUTER\Documents\Codex\2026-10-08\referenced-chatgpt-conversation-this-is-an-2\work\bread_manual_v02\contact-1.jpg</t>
        </is>
      </c>
      <c r="D103" t="inlineStr">
        <is>
          <t>.jpg</t>
        </is>
      </c>
      <c r="E103" t="inlineStr">
        <is>
          <t>2026-10-08T16:51:59.432927+00:00</t>
        </is>
      </c>
      <c r="F103" t="inlineStr">
        <is>
          <t>185545</t>
        </is>
      </c>
      <c r="H103" t="inlineStr">
        <is>
          <t>Generated work or software support file</t>
        </is>
      </c>
      <c r="I103" t="inlineStr">
        <is>
          <t>Filename screened</t>
        </is>
      </c>
      <c r="J103" t="inlineStr">
        <is>
          <t>No owner production trial log found</t>
        </is>
      </c>
      <c r="K103" t="inlineStr">
        <is>
          <t>Not established / non-text</t>
        </is>
      </c>
      <c r="L103" t="inlineStr">
        <is>
          <t>No explicit version established; modified date is file metadata only</t>
        </is>
      </c>
      <c r="M103" t="inlineStr">
        <is>
          <t xml:space="preserve"> extracted pages/blocks/rows;  recipe keyword signals (not recipe count)</t>
        </is>
      </c>
    </row>
    <row r="104">
      <c r="B104" t="inlineStr">
        <is>
          <t>contact-2.jpg</t>
        </is>
      </c>
      <c r="C104" t="inlineStr">
        <is>
          <t>C:\Users\J COMPUTER\Documents\Codex\2026-10-08\referenced-chatgpt-conversation-this-is-an-2\work\bread_manual_v02\contact-2.jpg</t>
        </is>
      </c>
      <c r="D104" t="inlineStr">
        <is>
          <t>.jpg</t>
        </is>
      </c>
      <c r="E104" t="inlineStr">
        <is>
          <t>2026-10-08T16:52:00.153435+00:00</t>
        </is>
      </c>
      <c r="F104" t="inlineStr">
        <is>
          <t>238563</t>
        </is>
      </c>
      <c r="H104" t="inlineStr">
        <is>
          <t>Generated work or software support file</t>
        </is>
      </c>
      <c r="I104" t="inlineStr">
        <is>
          <t>Filename screened</t>
        </is>
      </c>
      <c r="J104" t="inlineStr">
        <is>
          <t>No owner production trial log found</t>
        </is>
      </c>
      <c r="K104" t="inlineStr">
        <is>
          <t>Not established / non-text</t>
        </is>
      </c>
      <c r="L104" t="inlineStr">
        <is>
          <t>No explicit version established; modified date is file metadata only</t>
        </is>
      </c>
      <c r="M104" t="inlineStr">
        <is>
          <t xml:space="preserve"> extracted pages/blocks/rows;  recipe keyword signals (not recipe count)</t>
        </is>
      </c>
    </row>
    <row r="105">
      <c r="B105" t="inlineStr">
        <is>
          <t>contact-3.jpg</t>
        </is>
      </c>
      <c r="C105" t="inlineStr">
        <is>
          <t>C:\Users\J COMPUTER\Documents\Codex\2026-10-08\referenced-chatgpt-conversation-this-is-an-2\work\bread_manual_v02\contact-3.jpg</t>
        </is>
      </c>
      <c r="D105" t="inlineStr">
        <is>
          <t>.jpg</t>
        </is>
      </c>
      <c r="E105" t="inlineStr">
        <is>
          <t>2026-10-08T16:52:01.111361+00:00</t>
        </is>
      </c>
      <c r="F105" t="inlineStr">
        <is>
          <t>250071</t>
        </is>
      </c>
      <c r="H105" t="inlineStr">
        <is>
          <t>Generated work or software support file</t>
        </is>
      </c>
      <c r="I105" t="inlineStr">
        <is>
          <t>Filename screened</t>
        </is>
      </c>
      <c r="J105" t="inlineStr">
        <is>
          <t>No owner production trial log found</t>
        </is>
      </c>
      <c r="K105" t="inlineStr">
        <is>
          <t>Not established / non-text</t>
        </is>
      </c>
      <c r="L105" t="inlineStr">
        <is>
          <t>No explicit version established; modified date is file metadata only</t>
        </is>
      </c>
      <c r="M105" t="inlineStr">
        <is>
          <t xml:space="preserve"> extracted pages/blocks/rows;  recipe keyword signals (not recipe count)</t>
        </is>
      </c>
    </row>
    <row r="106">
      <c r="B106" t="inlineStr">
        <is>
          <t>contact-4.jpg</t>
        </is>
      </c>
      <c r="C106" t="inlineStr">
        <is>
          <t>C:\Users\J COMPUTER\Documents\Codex\2026-10-08\referenced-chatgpt-conversation-this-is-an-2\work\bread_manual_v02\contact-4.jpg</t>
        </is>
      </c>
      <c r="D106" t="inlineStr">
        <is>
          <t>.jpg</t>
        </is>
      </c>
      <c r="E106" t="inlineStr">
        <is>
          <t>2026-10-08T16:52:01.886453+00:00</t>
        </is>
      </c>
      <c r="F106" t="inlineStr">
        <is>
          <t>248111</t>
        </is>
      </c>
      <c r="H106" t="inlineStr">
        <is>
          <t>Generated work or software support file</t>
        </is>
      </c>
      <c r="I106" t="inlineStr">
        <is>
          <t>Filename screened</t>
        </is>
      </c>
      <c r="J106" t="inlineStr">
        <is>
          <t>No owner production trial log found</t>
        </is>
      </c>
      <c r="K106" t="inlineStr">
        <is>
          <t>Not established / non-text</t>
        </is>
      </c>
      <c r="L106" t="inlineStr">
        <is>
          <t>No explicit version established; modified date is file metadata only</t>
        </is>
      </c>
      <c r="M106" t="inlineStr">
        <is>
          <t xml:space="preserve"> extracted pages/blocks/rows;  recipe keyword signals (not recipe count)</t>
        </is>
      </c>
    </row>
    <row r="107">
      <c r="B107" t="inlineStr">
        <is>
          <t>contact-5.jpg</t>
        </is>
      </c>
      <c r="C107" t="inlineStr">
        <is>
          <t>C:\Users\J COMPUTER\Documents\Codex\2026-10-08\referenced-chatgpt-conversation-this-is-an-2\work\bread_manual_v02\contact-5.jpg</t>
        </is>
      </c>
      <c r="D107" t="inlineStr">
        <is>
          <t>.jpg</t>
        </is>
      </c>
      <c r="E107" t="inlineStr">
        <is>
          <t>2026-10-08T16:52:02.639185+00:00</t>
        </is>
      </c>
      <c r="F107" t="inlineStr">
        <is>
          <t>251474</t>
        </is>
      </c>
      <c r="H107" t="inlineStr">
        <is>
          <t>Generated work or software support file</t>
        </is>
      </c>
      <c r="I107" t="inlineStr">
        <is>
          <t>Filename screened</t>
        </is>
      </c>
      <c r="J107" t="inlineStr">
        <is>
          <t>No owner production trial log found</t>
        </is>
      </c>
      <c r="K107" t="inlineStr">
        <is>
          <t>Not established / non-text</t>
        </is>
      </c>
      <c r="L107" t="inlineStr">
        <is>
          <t>No explicit version established; modified date is file metadata only</t>
        </is>
      </c>
      <c r="M107" t="inlineStr">
        <is>
          <t xml:space="preserve"> extracted pages/blocks/rows;  recipe keyword signals (not recipe count)</t>
        </is>
      </c>
    </row>
    <row r="108">
      <c r="B108" t="inlineStr">
        <is>
          <t>contact-6.jpg</t>
        </is>
      </c>
      <c r="C108" t="inlineStr">
        <is>
          <t>C:\Users\J COMPUTER\Documents\Codex\2026-10-08\referenced-chatgpt-conversation-this-is-an-2\work\bread_manual_v02\contact-6.jpg</t>
        </is>
      </c>
      <c r="D108" t="inlineStr">
        <is>
          <t>.jpg</t>
        </is>
      </c>
      <c r="E108" t="inlineStr">
        <is>
          <t>2026-10-08T16:52:02.790579+00:00</t>
        </is>
      </c>
      <c r="F108" t="inlineStr">
        <is>
          <t>53698</t>
        </is>
      </c>
      <c r="H108" t="inlineStr">
        <is>
          <t>Generated work or software support file</t>
        </is>
      </c>
      <c r="I108" t="inlineStr">
        <is>
          <t>Filename screened</t>
        </is>
      </c>
      <c r="J108" t="inlineStr">
        <is>
          <t>No owner production trial log found</t>
        </is>
      </c>
      <c r="K108" t="inlineStr">
        <is>
          <t>Not established / non-text</t>
        </is>
      </c>
      <c r="L108" t="inlineStr">
        <is>
          <t>No explicit version established; modified date is file metadata only</t>
        </is>
      </c>
      <c r="M108" t="inlineStr">
        <is>
          <t xml:space="preserve"> extracted pages/blocks/rows;  recipe keyword signals (not recipe count)</t>
        </is>
      </c>
    </row>
    <row r="109">
      <c r="B109" t="inlineStr">
        <is>
          <t>manual_source.md</t>
        </is>
      </c>
      <c r="C109" t="inlineStr">
        <is>
          <t>C:\Users\J COMPUTER\Documents\Codex\2026-10-08\referenced-chatgpt-conversation-this-is-an-2\work\bread_manual_v02\manual_source.md</t>
        </is>
      </c>
      <c r="D109" t="inlineStr">
        <is>
          <t>.md</t>
        </is>
      </c>
      <c r="E109" t="inlineStr">
        <is>
          <t>2026-10-08T16:51:20.691001+00:00</t>
        </is>
      </c>
      <c r="F109" t="inlineStr">
        <is>
          <t>163398</t>
        </is>
      </c>
      <c r="H109" t="inlineStr">
        <is>
          <t>Generated work or software support file</t>
        </is>
      </c>
      <c r="I109" t="inlineStr">
        <is>
          <t>Filename screened</t>
        </is>
      </c>
      <c r="J109" t="inlineStr">
        <is>
          <t>No owner production trial log found</t>
        </is>
      </c>
      <c r="K109" t="inlineStr">
        <is>
          <t>Not established / non-text</t>
        </is>
      </c>
      <c r="L109" t="inlineStr">
        <is>
          <t>No explicit version established; modified date is file metadata only</t>
        </is>
      </c>
      <c r="M109" t="inlineStr">
        <is>
          <t xml:space="preserve"> extracted pages/blocks/rows;  recipe keyword signals (not recipe count)</t>
        </is>
      </c>
    </row>
    <row r="110">
      <c r="B110" t="inlineStr">
        <is>
          <t>pdf_text.txt</t>
        </is>
      </c>
      <c r="C110" t="inlineStr">
        <is>
          <t>C:\Users\J COMPUTER\Documents\Codex\2026-10-08\referenced-chatgpt-conversation-this-is-an-2\work\bread_manual_v02\pdf_text.txt</t>
        </is>
      </c>
      <c r="D110" t="inlineStr">
        <is>
          <t>.txt</t>
        </is>
      </c>
      <c r="E110" t="inlineStr">
        <is>
          <t>2026-10-08T16:51:24.804869+00:00</t>
        </is>
      </c>
      <c r="F110" t="inlineStr">
        <is>
          <t>164251</t>
        </is>
      </c>
      <c r="H110" t="inlineStr">
        <is>
          <t>Generated work or software support file</t>
        </is>
      </c>
      <c r="I110" t="inlineStr">
        <is>
          <t>Filename screened</t>
        </is>
      </c>
      <c r="J110" t="inlineStr">
        <is>
          <t>No owner production trial log found</t>
        </is>
      </c>
      <c r="K110" t="inlineStr">
        <is>
          <t>Not established / non-text</t>
        </is>
      </c>
      <c r="L110" t="inlineStr">
        <is>
          <t>No explicit version established; modified date is file metadata only</t>
        </is>
      </c>
      <c r="M110" t="inlineStr">
        <is>
          <t xml:space="preserve"> extracted pages/blocks/rows;  recipe keyword signals (not recipe count)</t>
        </is>
      </c>
    </row>
    <row r="111">
      <c r="A111" t="inlineStr">
        <is>
          <t>S018</t>
        </is>
      </c>
      <c r="B111" t="inlineStr">
        <is>
          <t>Cameroon_Bakery_Technical_Report.md</t>
        </is>
      </c>
      <c r="C111" t="inlineStr">
        <is>
          <t>C:\Users\J COMPUTER\Documents\Codex\2026-10-08\referenced-chatgpt-conversation-this-is-an\outputs\Cameroon_Bakery_Technical_Report.md</t>
        </is>
      </c>
      <c r="D111" t="inlineStr">
        <is>
          <t>.md</t>
        </is>
      </c>
      <c r="E111" t="inlineStr">
        <is>
          <t>2026-10-08T12:23:24.903728+00:00</t>
        </is>
      </c>
      <c r="F111" t="inlineStr">
        <is>
          <t>132284</t>
        </is>
      </c>
      <c r="G111" t="inlineStr">
        <is>
          <t>1dfc7e343c6d2baf3b835149bb601871d6d27059222c4f4557b696b784bf0512</t>
        </is>
      </c>
      <c r="H111" t="inlineStr">
        <is>
          <t>Extracted text</t>
        </is>
      </c>
      <c r="I111" t="inlineStr">
        <is>
          <t>Recipe source or technical context included</t>
        </is>
      </c>
      <c r="J111" t="inlineStr">
        <is>
          <t>No owner production trial log found</t>
        </is>
      </c>
      <c r="K111" t="inlineStr">
        <is>
          <t>English (text screening)</t>
        </is>
      </c>
      <c r="L111" t="inlineStr">
        <is>
          <t>No explicit version established; modified date is file metadata only</t>
        </is>
      </c>
      <c r="M111" t="inlineStr">
        <is>
          <t>1192 extracted pages/blocks/rows; 35 recipe keyword signals (not recipe count)</t>
        </is>
      </c>
    </row>
    <row r="112">
      <c r="A112" t="inlineStr">
        <is>
          <t>S019</t>
        </is>
      </c>
      <c r="B112" t="inlineStr">
        <is>
          <t>Cameroon_Bakery_Technical_Report.pdf</t>
        </is>
      </c>
      <c r="C112" t="inlineStr">
        <is>
          <t>C:\Users\J COMPUTER\Documents\Codex\2026-10-08\referenced-chatgpt-conversation-this-is-an\outputs\Cameroon_Bakery_Technical_Report.pdf</t>
        </is>
      </c>
      <c r="D112" t="inlineStr">
        <is>
          <t>.pdf</t>
        </is>
      </c>
      <c r="E112" t="inlineStr">
        <is>
          <t>2026-10-08T12:29:11.693516+00:00</t>
        </is>
      </c>
      <c r="F112" t="inlineStr">
        <is>
          <t>256963</t>
        </is>
      </c>
      <c r="G112" t="inlineStr">
        <is>
          <t>3969ecc3b021b9d5e042b5f5986ff8b86185845ec923e7cb5e9c248ec4b7674d</t>
        </is>
      </c>
      <c r="H112" t="inlineStr">
        <is>
          <t>Extracted text</t>
        </is>
      </c>
      <c r="I112" t="inlineStr">
        <is>
          <t>Related edition, supporting context or superseded source; no independent trial inferred</t>
        </is>
      </c>
      <c r="J112" t="inlineStr">
        <is>
          <t>No owner production trial log found</t>
        </is>
      </c>
      <c r="K112" t="inlineStr">
        <is>
          <t>English (text screening)</t>
        </is>
      </c>
      <c r="L112" t="inlineStr">
        <is>
          <t>No explicit version established; modified date is file metadata only</t>
        </is>
      </c>
      <c r="M112" t="inlineStr">
        <is>
          <t>55 extracted pages/blocks/rows; 35 recipe keyword signals (not recipe count)</t>
        </is>
      </c>
    </row>
    <row r="113">
      <c r="A113" t="inlineStr">
        <is>
          <t>S020</t>
        </is>
      </c>
      <c r="B113" t="inlineStr">
        <is>
          <t>21+1 Recettes de glace italiennes douces et crémeuses pour Machine à Glace Italienne _ Le Guide Complet (Revision 1).pdf</t>
        </is>
      </c>
      <c r="C113" t="inlineStr">
        <is>
          <t>C:\Users\J COMPUTER\Downloads\21+1 Recettes de glace italiennes douces et crémeuses pour Machine à Glace Italienne _ Le Guide Complet (Revision 1).pdf</t>
        </is>
      </c>
      <c r="D113" t="inlineStr">
        <is>
          <t>.pdf</t>
        </is>
      </c>
      <c r="E113" t="inlineStr">
        <is>
          <t>2026-07-28T05:30:01.688744+00:00</t>
        </is>
      </c>
      <c r="F113" t="inlineStr">
        <is>
          <t>1014362</t>
        </is>
      </c>
      <c r="G113" t="inlineStr">
        <is>
          <t>25fd0c270e36987055351627aa7c53fa0691a38516e78228604e6a02dcade103</t>
        </is>
      </c>
      <c r="H113" t="inlineStr">
        <is>
          <t>Extracted text</t>
        </is>
      </c>
      <c r="I113" t="inlineStr">
        <is>
          <t>Recipe source or technical context included</t>
        </is>
      </c>
      <c r="J113" t="inlineStr">
        <is>
          <t>No owner production trial log found</t>
        </is>
      </c>
      <c r="K113" t="inlineStr">
        <is>
          <t>French (text screening)</t>
        </is>
      </c>
      <c r="L113" t="inlineStr">
        <is>
          <t>No explicit version established; modified date is file metadata only</t>
        </is>
      </c>
      <c r="M113" t="inlineStr">
        <is>
          <t>44 extracted pages/blocks/rows; 19 recipe keyword signals (not recipe count)</t>
        </is>
      </c>
    </row>
    <row r="114">
      <c r="A114" t="inlineStr">
        <is>
          <t>S021</t>
        </is>
      </c>
      <c r="B114" t="inlineStr">
        <is>
          <t>35.  BAKERY EQUIPMENT quotation to kouatchoua mark 20260601 (1).pdf</t>
        </is>
      </c>
      <c r="C114" t="inlineStr">
        <is>
          <t>C:\Users\J COMPUTER\Downloads\35.  BAKERY EQUIPMENT quotation to kouatchoua mark 20260601 (1).pdf</t>
        </is>
      </c>
      <c r="D114" t="inlineStr">
        <is>
          <t>.pdf</t>
        </is>
      </c>
      <c r="E114" t="inlineStr">
        <is>
          <t>2026-06-01T08:37:59.560441+00:00</t>
        </is>
      </c>
      <c r="F114" t="inlineStr">
        <is>
          <t>291914</t>
        </is>
      </c>
      <c r="G114" t="inlineStr">
        <is>
          <t>901ded47d0b7c66f675a85927f6fc0ce6f54b883163d8aeeb2f51109f2830cd1</t>
        </is>
      </c>
      <c r="H114" t="inlineStr">
        <is>
          <t>Extracted text</t>
        </is>
      </c>
      <c r="I114" t="inlineStr">
        <is>
          <t>Equipment/purchase context only; not proof of installed specification</t>
        </is>
      </c>
      <c r="J114" t="inlineStr">
        <is>
          <t>No owner production trial log found</t>
        </is>
      </c>
      <c r="K114" t="inlineStr">
        <is>
          <t>Not established / non-text</t>
        </is>
      </c>
      <c r="L114" t="inlineStr">
        <is>
          <t>No explicit version established; modified date is file metadata only</t>
        </is>
      </c>
      <c r="M114" t="inlineStr">
        <is>
          <t>1 extracted pages/blocks/rows; 0 recipe keyword signals (not recipe count)</t>
        </is>
      </c>
    </row>
    <row r="115">
      <c r="A115" t="inlineStr">
        <is>
          <t>S022</t>
        </is>
      </c>
      <c r="B115" t="inlineStr">
        <is>
          <t>35.  BAKERY EQUIPMENT quotation to Rachad ZATO GARBA 20260516 (1).pdf</t>
        </is>
      </c>
      <c r="C115" t="inlineStr">
        <is>
          <t>C:\Users\J COMPUTER\Downloads\35.  BAKERY EQUIPMENT quotation to Rachad ZATO GARBA 20260516 (1).pdf</t>
        </is>
      </c>
      <c r="D115" t="inlineStr">
        <is>
          <t>.pdf</t>
        </is>
      </c>
      <c r="E115" t="inlineStr">
        <is>
          <t>2026-05-22T12:41:10.526783+00:00</t>
        </is>
      </c>
      <c r="F115" t="inlineStr">
        <is>
          <t>229008</t>
        </is>
      </c>
      <c r="G115" t="inlineStr">
        <is>
          <t>ce676a717adbf8c4f42c8d99d924c97a0f6fe933f0aef0ad26403ee3d1647e6a</t>
        </is>
      </c>
      <c r="H115" t="inlineStr">
        <is>
          <t>Extracted text</t>
        </is>
      </c>
      <c r="I115" t="inlineStr">
        <is>
          <t>Equipment/purchase context only; not proof of installed specification</t>
        </is>
      </c>
      <c r="J115" t="inlineStr">
        <is>
          <t>No owner production trial log found</t>
        </is>
      </c>
      <c r="K115" t="inlineStr">
        <is>
          <t>Not established / non-text</t>
        </is>
      </c>
      <c r="L115" t="inlineStr">
        <is>
          <t>No explicit version established; modified date is file metadata only</t>
        </is>
      </c>
      <c r="M115" t="inlineStr">
        <is>
          <t>1 extracted pages/blocks/rows; 0 recipe keyword signals (not recipe count)</t>
        </is>
      </c>
    </row>
    <row r="116">
      <c r="A116" t="inlineStr">
        <is>
          <t>S023</t>
        </is>
      </c>
      <c r="B116" t="inlineStr">
        <is>
          <t>555736575-La-Patisserie.pdf</t>
        </is>
      </c>
      <c r="C116" t="inlineStr">
        <is>
          <t>C:\Users\J COMPUTER\Downloads\555736575-La-Patisserie.pdf</t>
        </is>
      </c>
      <c r="D116" t="inlineStr">
        <is>
          <t>.pdf</t>
        </is>
      </c>
      <c r="E116" t="inlineStr">
        <is>
          <t>2026-08-24T16:40:39.220155+00:00</t>
        </is>
      </c>
      <c r="F116" t="inlineStr">
        <is>
          <t>110658519</t>
        </is>
      </c>
      <c r="G116" t="inlineStr">
        <is>
          <t>7e37e75a026a50a01406e1cbe886bf6f31f609608e1765d410433ecd858ffe93</t>
        </is>
      </c>
      <c r="H116" t="inlineStr">
        <is>
          <t>Locally OCR recovered; adopted quantities require image check</t>
        </is>
      </c>
      <c r="I116" t="inlineStr">
        <is>
          <t>Recipe source or technical context included</t>
        </is>
      </c>
      <c r="J116" t="inlineStr">
        <is>
          <t>No owner production trial log found</t>
        </is>
      </c>
      <c r="K116" t="inlineStr">
        <is>
          <t>Not established / non-text</t>
        </is>
      </c>
      <c r="L116" t="inlineStr">
        <is>
          <t>No explicit version established; modified date is file metadata only</t>
        </is>
      </c>
      <c r="M116" t="inlineStr">
        <is>
          <t>228 extracted pages/blocks/rows; 0 recipe keyword signals (not recipe count)</t>
        </is>
      </c>
    </row>
    <row r="117">
      <c r="A117" t="inlineStr">
        <is>
          <t>S024</t>
        </is>
      </c>
      <c r="B117" t="inlineStr">
        <is>
          <t>Bakery_Empire_Master_Operations_Manual (1).pdf</t>
        </is>
      </c>
      <c r="C117" t="inlineStr">
        <is>
          <t>C:\Users\J COMPUTER\Downloads\Bakery_Empire_Master_Operations_Manual (1).pdf</t>
        </is>
      </c>
      <c r="D117" t="inlineStr">
        <is>
          <t>.pdf</t>
        </is>
      </c>
      <c r="E117" t="inlineStr">
        <is>
          <t>2026-09-11T16:54:08.916317+00:00</t>
        </is>
      </c>
      <c r="F117" t="inlineStr">
        <is>
          <t>12105</t>
        </is>
      </c>
      <c r="G117" t="inlineStr">
        <is>
          <t>46a528981a7b8d2a0ad93a0d12e12eee374c70e345df7c9de4ee740ac240b501</t>
        </is>
      </c>
      <c r="H117" t="inlineStr">
        <is>
          <t>Extracted text</t>
        </is>
      </c>
      <c r="I117" t="inlineStr">
        <is>
          <t>Related edition, supporting context or superseded source; no independent trial inferred</t>
        </is>
      </c>
      <c r="J117" t="inlineStr">
        <is>
          <t>No owner production trial log found</t>
        </is>
      </c>
      <c r="K117" t="inlineStr">
        <is>
          <t>English (text screening)</t>
        </is>
      </c>
      <c r="L117" t="inlineStr">
        <is>
          <t>No explicit version established; modified date is file metadata only</t>
        </is>
      </c>
      <c r="M117" t="inlineStr">
        <is>
          <t>5 extracted pages/blocks/rows; 8 recipe keyword signals (not recipe count)</t>
        </is>
      </c>
    </row>
    <row r="118">
      <c r="A118" t="inlineStr">
        <is>
          <t>S025</t>
        </is>
      </c>
      <c r="B118" t="inlineStr">
        <is>
          <t>Bakery_Empire_Master_Operations_Manual (2).pdf</t>
        </is>
      </c>
      <c r="C118" t="inlineStr">
        <is>
          <t>C:\Users\J COMPUTER\Downloads\Bakery_Empire_Master_Operations_Manual (2).pdf</t>
        </is>
      </c>
      <c r="D118" t="inlineStr">
        <is>
          <t>.pdf</t>
        </is>
      </c>
      <c r="E118" t="inlineStr">
        <is>
          <t>2026-09-11T16:56:41.168424+00:00</t>
        </is>
      </c>
      <c r="F118" t="inlineStr">
        <is>
          <t>32229</t>
        </is>
      </c>
      <c r="G118" t="inlineStr">
        <is>
          <t>932b0e956856e9421f11a71c2fa2a862b50407d87f283486b1b7482eb3205e3a</t>
        </is>
      </c>
      <c r="H118" t="inlineStr">
        <is>
          <t>Extracted text</t>
        </is>
      </c>
      <c r="I118" t="inlineStr">
        <is>
          <t>Related edition, supporting context or superseded source; no independent trial inferred</t>
        </is>
      </c>
      <c r="J118" t="inlineStr">
        <is>
          <t>No owner production trial log found</t>
        </is>
      </c>
      <c r="K118" t="inlineStr">
        <is>
          <t>English (text screening)</t>
        </is>
      </c>
      <c r="L118" t="inlineStr">
        <is>
          <t>No explicit version established; modified date is file metadata only</t>
        </is>
      </c>
      <c r="M118" t="inlineStr">
        <is>
          <t>14 extracted pages/blocks/rows; 37 recipe keyword signals (not recipe count)</t>
        </is>
      </c>
    </row>
    <row r="119">
      <c r="A119" t="inlineStr">
        <is>
          <t>S026</t>
        </is>
      </c>
      <c r="B119" t="inlineStr">
        <is>
          <t>Bakery_Empire_Master_Operations_Manual.md</t>
        </is>
      </c>
      <c r="C119" t="inlineStr">
        <is>
          <t>C:\Users\J COMPUTER\Downloads\Bakery_Empire_Master_Operations_Manual.md</t>
        </is>
      </c>
      <c r="D119" t="inlineStr">
        <is>
          <t>.md</t>
        </is>
      </c>
      <c r="E119" t="inlineStr">
        <is>
          <t>2026-09-11T16:52:44.908908+00:00</t>
        </is>
      </c>
      <c r="F119" t="inlineStr">
        <is>
          <t>30612</t>
        </is>
      </c>
      <c r="G119" t="inlineStr">
        <is>
          <t>bd9ffdd707fe608bab36c72360a290be418df67e27e8b625d61ad94a861007b6</t>
        </is>
      </c>
      <c r="H119" t="inlineStr">
        <is>
          <t>Extracted text</t>
        </is>
      </c>
      <c r="I119" t="inlineStr">
        <is>
          <t>H2 five-batch scheduling companion; original 101-piece and timetable claims audited</t>
        </is>
      </c>
      <c r="J119" t="inlineStr">
        <is>
          <t>No owner production trial log found</t>
        </is>
      </c>
      <c r="K119" t="inlineStr">
        <is>
          <t>English (text screening)</t>
        </is>
      </c>
      <c r="L119" t="inlineStr">
        <is>
          <t>No explicit version established; modified date is file metadata only</t>
        </is>
      </c>
      <c r="M119" t="inlineStr">
        <is>
          <t>245 extracted pages/blocks/rows; 31 recipe keyword signals (not recipe count)</t>
        </is>
      </c>
    </row>
    <row r="120">
      <c r="A120" t="inlineStr">
        <is>
          <t>S027</t>
        </is>
      </c>
      <c r="B120" t="inlineStr">
        <is>
          <t>Bakery_Empire_Master_Operations_Manual.pdf</t>
        </is>
      </c>
      <c r="C120" t="inlineStr">
        <is>
          <t>C:\Users\J COMPUTER\Downloads\Bakery_Empire_Master_Operations_Manual.pdf</t>
        </is>
      </c>
      <c r="D120" t="inlineStr">
        <is>
          <t>.pdf</t>
        </is>
      </c>
      <c r="E120" t="inlineStr">
        <is>
          <t>2026-09-11T16:27:02.758401+00:00</t>
        </is>
      </c>
      <c r="F120" t="inlineStr">
        <is>
          <t>10652</t>
        </is>
      </c>
      <c r="G120" t="inlineStr">
        <is>
          <t>1d02155b06ffa4777a41cfdab99a47dc53fcbc8b1aa963c08b1a92063b53fef5</t>
        </is>
      </c>
      <c r="H120" t="inlineStr">
        <is>
          <t>Extracted text</t>
        </is>
      </c>
      <c r="I120" t="inlineStr">
        <is>
          <t>H2 five-batch scheduling companion; original 101-piece and timetable claims audited</t>
        </is>
      </c>
      <c r="J120" t="inlineStr">
        <is>
          <t>No owner production trial log found</t>
        </is>
      </c>
      <c r="K120" t="inlineStr">
        <is>
          <t>English (text screening)</t>
        </is>
      </c>
      <c r="L120" t="inlineStr">
        <is>
          <t>No explicit version established; modified date is file metadata only</t>
        </is>
      </c>
      <c r="M120" t="inlineStr">
        <is>
          <t>4 extracted pages/blocks/rows; 7 recipe keyword signals (not recipe count)</t>
        </is>
      </c>
    </row>
    <row r="121">
      <c r="A121" t="inlineStr">
        <is>
          <t>S028</t>
        </is>
      </c>
      <c r="B121" t="inlineStr">
        <is>
          <t>Cameroon_Bakery_Empire_Master_Guide.pdf</t>
        </is>
      </c>
      <c r="C121" t="inlineStr">
        <is>
          <t>C:\Users\J COMPUTER\Downloads\Cameroon_Bakery_Empire_Master_Guide.pdf</t>
        </is>
      </c>
      <c r="D121" t="inlineStr">
        <is>
          <t>.pdf</t>
        </is>
      </c>
      <c r="E121" t="inlineStr">
        <is>
          <t>2026-09-11T15:49:45.652618+00:00</t>
        </is>
      </c>
      <c r="F121" t="inlineStr">
        <is>
          <t>23817</t>
        </is>
      </c>
      <c r="G121" t="inlineStr">
        <is>
          <t>8776f25d63513701a6a3d72a4d4d28009938fd091802f0207a47848897827597</t>
        </is>
      </c>
      <c r="H121" t="inlineStr">
        <is>
          <t>Extracted text</t>
        </is>
      </c>
      <c r="I121" t="inlineStr">
        <is>
          <t>Related edition, supporting context or superseded source; no independent trial inferred</t>
        </is>
      </c>
      <c r="J121" t="inlineStr">
        <is>
          <t>No owner production trial log found</t>
        </is>
      </c>
      <c r="K121" t="inlineStr">
        <is>
          <t>English (text screening)</t>
        </is>
      </c>
      <c r="L121" t="inlineStr">
        <is>
          <t>No explicit version established; modified date is file metadata only</t>
        </is>
      </c>
      <c r="M121" t="inlineStr">
        <is>
          <t>10 extracted pages/blocks/rows; 32 recipe keyword signals (not recipe count)</t>
        </is>
      </c>
    </row>
    <row r="122">
      <c r="A122" t="inlineStr">
        <is>
          <t>S029</t>
        </is>
      </c>
      <c r="B122" t="inlineStr">
        <is>
          <t>cameroon_bakery_high_value_recipes.pdf</t>
        </is>
      </c>
      <c r="C122" t="inlineStr">
        <is>
          <t>C:\Users\J COMPUTER\Downloads\cameroon_bakery_high_value_recipes.pdf</t>
        </is>
      </c>
      <c r="D122" t="inlineStr">
        <is>
          <t>.pdf</t>
        </is>
      </c>
      <c r="E122" t="inlineStr">
        <is>
          <t>2026-10-01T13:41:52.130100+00:00</t>
        </is>
      </c>
      <c r="F122" t="inlineStr">
        <is>
          <t>16749</t>
        </is>
      </c>
      <c r="G122" t="inlineStr">
        <is>
          <t>c1e351d255b996875eb6f165b188b9b10fa2b61f1b1381533c2cd5658168bc4a</t>
        </is>
      </c>
      <c r="H122" t="inlineStr">
        <is>
          <t>Extracted text</t>
        </is>
      </c>
      <c r="I122" t="inlineStr">
        <is>
          <t>Related edition, supporting context or superseded source; no independent trial inferred</t>
        </is>
      </c>
      <c r="J122" t="inlineStr">
        <is>
          <t>No owner production trial log found</t>
        </is>
      </c>
      <c r="K122" t="inlineStr">
        <is>
          <t>English (text screening)</t>
        </is>
      </c>
      <c r="L122" t="inlineStr">
        <is>
          <t>No explicit version established; modified date is file metadata only</t>
        </is>
      </c>
      <c r="M122" t="inlineStr">
        <is>
          <t>6 extracted pages/blocks/rows; 28 recipe keyword signals (not recipe count)</t>
        </is>
      </c>
    </row>
    <row r="123">
      <c r="A123" t="inlineStr">
        <is>
          <t>S019</t>
        </is>
      </c>
      <c r="B123" t="inlineStr">
        <is>
          <t>Cameroon_Bakery_Technical_Report.pdf</t>
        </is>
      </c>
      <c r="C123" t="inlineStr">
        <is>
          <t>C:\Users\J COMPUTER\Downloads\Cameroon_Bakery_Technical_Report.pdf</t>
        </is>
      </c>
      <c r="D123" t="inlineStr">
        <is>
          <t>.pdf</t>
        </is>
      </c>
      <c r="E123" t="inlineStr">
        <is>
          <t>2026-10-08T12:29:11.693516+00:00</t>
        </is>
      </c>
      <c r="F123" t="inlineStr">
        <is>
          <t>256963</t>
        </is>
      </c>
      <c r="G123" t="inlineStr">
        <is>
          <t>3969ecc3b021b9d5e042b5f5986ff8b86185845ec923e7cb5e9c248ec4b7674d</t>
        </is>
      </c>
      <c r="H123" t="inlineStr">
        <is>
          <t>Exact duplicate</t>
        </is>
      </c>
      <c r="I123" t="inlineStr">
        <is>
          <t>Related edition, supporting context or superseded source; no independent trial inferred</t>
        </is>
      </c>
      <c r="J123" t="inlineStr">
        <is>
          <t>No owner production trial log found</t>
        </is>
      </c>
      <c r="K123" t="inlineStr">
        <is>
          <t>English (text screening)</t>
        </is>
      </c>
      <c r="L123" t="inlineStr">
        <is>
          <t>No explicit version established; modified date is file metadata only</t>
        </is>
      </c>
      <c r="M123" t="inlineStr">
        <is>
          <t xml:space="preserve"> extracted pages/blocks/rows;  recipe keyword signals (not recipe count)</t>
        </is>
      </c>
    </row>
    <row r="124">
      <c r="A124" t="inlineStr">
        <is>
          <t>S030</t>
        </is>
      </c>
      <c r="B124" t="inlineStr">
        <is>
          <t>Commercial_Baguette_Production_Guide.pdf</t>
        </is>
      </c>
      <c r="C124" t="inlineStr">
        <is>
          <t>C:\Users\J COMPUTER\Downloads\Commercial_Baguette_Production_Guide.pdf</t>
        </is>
      </c>
      <c r="D124" t="inlineStr">
        <is>
          <t>.pdf</t>
        </is>
      </c>
      <c r="E124" t="inlineStr">
        <is>
          <t>2026-09-11T13:38:00.699475+00:00</t>
        </is>
      </c>
      <c r="F124" t="inlineStr">
        <is>
          <t>5645</t>
        </is>
      </c>
      <c r="G124" t="inlineStr">
        <is>
          <t>2a4de593eb4a75c55067bccc628f86b51da4f59de06dc23016ddae00f59fc0bb</t>
        </is>
      </c>
      <c r="H124" t="inlineStr">
        <is>
          <t>Extracted text</t>
        </is>
      </c>
      <c r="I124" t="inlineStr">
        <is>
          <t>Recipe source or technical context included</t>
        </is>
      </c>
      <c r="J124" t="inlineStr">
        <is>
          <t>No owner production trial log found</t>
        </is>
      </c>
      <c r="K124" t="inlineStr">
        <is>
          <t>English (text screening)</t>
        </is>
      </c>
      <c r="L124" t="inlineStr">
        <is>
          <t>No explicit version established; modified date is file metadata only</t>
        </is>
      </c>
      <c r="M124" t="inlineStr">
        <is>
          <t>2 extracted pages/blocks/rows; 4 recipe keyword signals (not recipe count)</t>
        </is>
      </c>
    </row>
    <row r="125">
      <c r="A125" t="inlineStr">
        <is>
          <t>I01</t>
        </is>
      </c>
      <c r="B125" t="inlineStr">
        <is>
          <t>food.com-recipe-copycat-mc-donalds-hamburgers-cheeseburgers-116181.jpeg</t>
        </is>
      </c>
      <c r="C125" t="inlineStr">
        <is>
          <t>C:\Users\J COMPUTER\Downloads\food.com-recipe-copycat-mc-donalds-hamburgers-cheeseburgers-116181.jpeg</t>
        </is>
      </c>
      <c r="D125" t="inlineStr">
        <is>
          <t>.jpeg</t>
        </is>
      </c>
      <c r="E125" t="inlineStr">
        <is>
          <t>2025-07-27T12:45:24.870129+00:00</t>
        </is>
      </c>
      <c r="F125" t="inlineStr">
        <is>
          <t>251601</t>
        </is>
      </c>
      <c r="H125" t="inlineStr">
        <is>
          <t>Visually screened relevant images; original preserved</t>
        </is>
      </c>
      <c r="I125" t="inlineStr">
        <is>
          <t>Image screening: burger reference, workbook screenshot or equipment photo; unrelated exam images excluded</t>
        </is>
      </c>
      <c r="J125" t="inlineStr">
        <is>
          <t>No owner production trial log found</t>
        </is>
      </c>
      <c r="K125" t="inlineStr">
        <is>
          <t>Not established / non-text</t>
        </is>
      </c>
      <c r="L125" t="inlineStr">
        <is>
          <t>No explicit version established; modified date is file metadata only</t>
        </is>
      </c>
      <c r="M125" t="inlineStr">
        <is>
          <t xml:space="preserve"> extracted pages/blocks/rows;  recipe keyword signals (not recipe count)</t>
        </is>
      </c>
    </row>
    <row r="126">
      <c r="A126" t="inlineStr">
        <is>
          <t>S031</t>
        </is>
      </c>
      <c r="B126" t="inlineStr">
        <is>
          <t>Les Meilleures Recettes de Bâtonnets Made in Africa (2) (1).pdf</t>
        </is>
      </c>
      <c r="C126" t="inlineStr">
        <is>
          <t>C:\Users\J COMPUTER\Downloads\Les Meilleures Recettes de Bâtonnets Made in Africa (2) (1).pdf</t>
        </is>
      </c>
      <c r="D126" t="inlineStr">
        <is>
          <t>.pdf</t>
        </is>
      </c>
      <c r="E126" t="inlineStr">
        <is>
          <t>2026-07-31T11:44:22.206967+00:00</t>
        </is>
      </c>
      <c r="F126" t="inlineStr">
        <is>
          <t>2144582</t>
        </is>
      </c>
      <c r="G126" t="inlineStr">
        <is>
          <t>babd46226ae382261dba4b9f1b1eae935f9cdd530e236cdcb91d3aae2cfb2505</t>
        </is>
      </c>
      <c r="H126" t="inlineStr">
        <is>
          <t>Extracted text</t>
        </is>
      </c>
      <c r="I126" t="inlineStr">
        <is>
          <t>Recipe source or technical context included</t>
        </is>
      </c>
      <c r="J126" t="inlineStr">
        <is>
          <t>No owner production trial log found</t>
        </is>
      </c>
      <c r="K126" t="inlineStr">
        <is>
          <t>French (text screening)</t>
        </is>
      </c>
      <c r="L126" t="inlineStr">
        <is>
          <t>No explicit version established; modified date is file metadata only</t>
        </is>
      </c>
      <c r="M126" t="inlineStr">
        <is>
          <t>46 extracted pages/blocks/rows; 44 recipe keyword signals (not recipe count)</t>
        </is>
      </c>
    </row>
    <row r="127">
      <c r="A127" t="inlineStr">
        <is>
          <t>S032</t>
        </is>
      </c>
      <c r="B127" t="inlineStr">
        <is>
          <t>nkambe_bakery_commercial_blueprint (1).pdf</t>
        </is>
      </c>
      <c r="C127" t="inlineStr">
        <is>
          <t>C:\Users\J COMPUTER\Downloads\nkambe_bakery_commercial_blueprint (1).pdf</t>
        </is>
      </c>
      <c r="D127" t="inlineStr">
        <is>
          <t>.pdf</t>
        </is>
      </c>
      <c r="E127" t="inlineStr">
        <is>
          <t>2026-10-01T14:08:51.082457+00:00</t>
        </is>
      </c>
      <c r="F127" t="inlineStr">
        <is>
          <t>22578</t>
        </is>
      </c>
      <c r="G127" t="inlineStr">
        <is>
          <t>b70fd7de5432877ead4f1fd31c93885558ed81eb65017b576a0c3136c8c95cb5</t>
        </is>
      </c>
      <c r="H127" t="inlineStr">
        <is>
          <t>Extracted text</t>
        </is>
      </c>
      <c r="I127" t="inlineStr">
        <is>
          <t>Related edition, supporting context or superseded source; no independent trial inferred</t>
        </is>
      </c>
      <c r="J127" t="inlineStr">
        <is>
          <t>No owner production trial log found</t>
        </is>
      </c>
      <c r="K127" t="inlineStr">
        <is>
          <t>English (text screening)</t>
        </is>
      </c>
      <c r="L127" t="inlineStr">
        <is>
          <t>No explicit version established; modified date is file metadata only</t>
        </is>
      </c>
      <c r="M127" t="inlineStr">
        <is>
          <t>9 extracted pages/blocks/rows; 42 recipe keyword signals (not recipe count)</t>
        </is>
      </c>
    </row>
    <row r="128">
      <c r="A128" t="inlineStr">
        <is>
          <t>S032</t>
        </is>
      </c>
      <c r="B128" t="inlineStr">
        <is>
          <t>nkambe_bakery_commercial_blueprint (2).pdf</t>
        </is>
      </c>
      <c r="C128" t="inlineStr">
        <is>
          <t>C:\Users\J COMPUTER\Downloads\nkambe_bakery_commercial_blueprint (2).pdf</t>
        </is>
      </c>
      <c r="D128" t="inlineStr">
        <is>
          <t>.pdf</t>
        </is>
      </c>
      <c r="E128" t="inlineStr">
        <is>
          <t>2026-10-01T14:12:01.183678+00:00</t>
        </is>
      </c>
      <c r="F128" t="inlineStr">
        <is>
          <t>22578</t>
        </is>
      </c>
      <c r="G128" t="inlineStr">
        <is>
          <t>b70fd7de5432877ead4f1fd31c93885558ed81eb65017b576a0c3136c8c95cb5</t>
        </is>
      </c>
      <c r="H128" t="inlineStr">
        <is>
          <t>Exact duplicate</t>
        </is>
      </c>
      <c r="I128" t="inlineStr">
        <is>
          <t>Related edition, supporting context or superseded source; no independent trial inferred</t>
        </is>
      </c>
      <c r="J128" t="inlineStr">
        <is>
          <t>No owner production trial log found</t>
        </is>
      </c>
      <c r="K128" t="inlineStr">
        <is>
          <t>English (text screening)</t>
        </is>
      </c>
      <c r="L128" t="inlineStr">
        <is>
          <t>No explicit version established; modified date is file metadata only</t>
        </is>
      </c>
      <c r="M128" t="inlineStr">
        <is>
          <t xml:space="preserve"> extracted pages/blocks/rows;  recipe keyword signals (not recipe count)</t>
        </is>
      </c>
    </row>
    <row r="129">
      <c r="A129" t="inlineStr">
        <is>
          <t>S033</t>
        </is>
      </c>
      <c r="B129" t="inlineStr">
        <is>
          <t>nkambe_bakery_commercial_blueprint.pdf</t>
        </is>
      </c>
      <c r="C129" t="inlineStr">
        <is>
          <t>C:\Users\J COMPUTER\Downloads\nkambe_bakery_commercial_blueprint.pdf</t>
        </is>
      </c>
      <c r="D129" t="inlineStr">
        <is>
          <t>.pdf</t>
        </is>
      </c>
      <c r="E129" t="inlineStr">
        <is>
          <t>2026-10-01T14:03:35.507036+00:00</t>
        </is>
      </c>
      <c r="F129" t="inlineStr">
        <is>
          <t>4229</t>
        </is>
      </c>
      <c r="G129" t="inlineStr">
        <is>
          <t>d94a9284d9a0f1b3afff6086a82905254db760e20f86d0121d07c22203679580</t>
        </is>
      </c>
      <c r="H129" t="inlineStr">
        <is>
          <t>Extracted text</t>
        </is>
      </c>
      <c r="I129" t="inlineStr">
        <is>
          <t>Related edition, supporting context or superseded source; no independent trial inferred</t>
        </is>
      </c>
      <c r="J129" t="inlineStr">
        <is>
          <t>No owner production trial log found</t>
        </is>
      </c>
      <c r="K129" t="inlineStr">
        <is>
          <t>English (text screening)</t>
        </is>
      </c>
      <c r="L129" t="inlineStr">
        <is>
          <t>No explicit version established; modified date is file metadata only</t>
        </is>
      </c>
      <c r="M129" t="inlineStr">
        <is>
          <t>2 extracted pages/blocks/rows; 0 recipe keyword signals (not recipe count)</t>
        </is>
      </c>
    </row>
    <row r="130">
      <c r="A130" t="inlineStr">
        <is>
          <t>S034</t>
        </is>
      </c>
      <c r="B130" t="inlineStr">
        <is>
          <t>nkambe_bakery_frozen_empire_manual.pdf</t>
        </is>
      </c>
      <c r="C130" t="inlineStr">
        <is>
          <t>C:\Users\J COMPUTER\Downloads\nkambe_bakery_frozen_empire_manual.pdf</t>
        </is>
      </c>
      <c r="D130" t="inlineStr">
        <is>
          <t>.pdf</t>
        </is>
      </c>
      <c r="E130" t="inlineStr">
        <is>
          <t>2026-10-01T14:46:15.085825+00:00</t>
        </is>
      </c>
      <c r="F130" t="inlineStr">
        <is>
          <t>11374</t>
        </is>
      </c>
      <c r="G130" t="inlineStr">
        <is>
          <t>92fe126e3dfb5c34536374c1f63818d3c4d4fffe048ac038ddd798584e53a100</t>
        </is>
      </c>
      <c r="H130" t="inlineStr">
        <is>
          <t>Extracted text</t>
        </is>
      </c>
      <c r="I130" t="inlineStr">
        <is>
          <t>Related edition, supporting context or superseded source; no independent trial inferred</t>
        </is>
      </c>
      <c r="J130" t="inlineStr">
        <is>
          <t>No owner production trial log found</t>
        </is>
      </c>
      <c r="K130" t="inlineStr">
        <is>
          <t>English (text screening)</t>
        </is>
      </c>
      <c r="L130" t="inlineStr">
        <is>
          <t>No explicit version established; modified date is file metadata only</t>
        </is>
      </c>
      <c r="M130" t="inlineStr">
        <is>
          <t>4 extracted pages/blocks/rows; 22 recipe keyword signals (not recipe count)</t>
        </is>
      </c>
    </row>
    <row r="131">
      <c r="A131" t="inlineStr">
        <is>
          <t>S013</t>
        </is>
      </c>
      <c r="B131" t="inlineStr">
        <is>
          <t>Nkambe_Bakery_Product_Development_and_Profitability_Strategy.pdf</t>
        </is>
      </c>
      <c r="C131" t="inlineStr">
        <is>
          <t>C:\Users\J COMPUTER\Downloads\Nkambe_Bakery_Product_Development_and_Profitability_Strategy.pdf</t>
        </is>
      </c>
      <c r="D131" t="inlineStr">
        <is>
          <t>.pdf</t>
        </is>
      </c>
      <c r="E131" t="inlineStr">
        <is>
          <t>2026-10-08T12:08:08.212843+00:00</t>
        </is>
      </c>
      <c r="F131" t="inlineStr">
        <is>
          <t>118715</t>
        </is>
      </c>
      <c r="G131" t="inlineStr">
        <is>
          <t>e8f97c198f48cc035c0576d1a468fb627c37ddc51d0f8658281053a950ac8b84</t>
        </is>
      </c>
      <c r="H131" t="inlineStr">
        <is>
          <t>Exact duplicate</t>
        </is>
      </c>
      <c r="I131" t="inlineStr">
        <is>
          <t>Recipe source or technical context included</t>
        </is>
      </c>
      <c r="J131" t="inlineStr">
        <is>
          <t>No owner production trial log found</t>
        </is>
      </c>
      <c r="K131" t="inlineStr">
        <is>
          <t>English (text screening)</t>
        </is>
      </c>
      <c r="L131" t="inlineStr">
        <is>
          <t>No explicit version established; modified date is file metadata only</t>
        </is>
      </c>
      <c r="M131" t="inlineStr">
        <is>
          <t xml:space="preserve"> extracted pages/blocks/rows;  recipe keyword signals (not recipe count)</t>
        </is>
      </c>
    </row>
    <row r="132">
      <c r="A132" t="inlineStr">
        <is>
          <t>S035</t>
        </is>
      </c>
      <c r="B132" t="inlineStr">
        <is>
          <t>Professional Popsicle production.docx</t>
        </is>
      </c>
      <c r="C132" t="inlineStr">
        <is>
          <t>C:\Users\J COMPUTER\Downloads\Professional Popsicle production.docx</t>
        </is>
      </c>
      <c r="D132" t="inlineStr">
        <is>
          <t>.docx</t>
        </is>
      </c>
      <c r="E132" t="inlineStr">
        <is>
          <t>2026-07-31T11:18:08.333180+00:00</t>
        </is>
      </c>
      <c r="F132" t="inlineStr">
        <is>
          <t>18845</t>
        </is>
      </c>
      <c r="G132" t="inlineStr">
        <is>
          <t>143f4f3edd4519afcd071ea3fdaf0a79197473131e8145ea1368f172ffa4c41e</t>
        </is>
      </c>
      <c r="H132" t="inlineStr">
        <is>
          <t>Extracted text</t>
        </is>
      </c>
      <c r="I132" t="inlineStr">
        <is>
          <t>Recipe source or technical context included</t>
        </is>
      </c>
      <c r="J132" t="inlineStr">
        <is>
          <t>No owner production trial log found</t>
        </is>
      </c>
      <c r="K132" t="inlineStr">
        <is>
          <t>English (text screening)</t>
        </is>
      </c>
      <c r="L132" t="inlineStr">
        <is>
          <t>No explicit version established; modified date is file metadata only</t>
        </is>
      </c>
      <c r="M132" t="inlineStr">
        <is>
          <t>41 extracted pages/blocks/rows; 0 recipe keyword signals (not recipe count)</t>
        </is>
      </c>
    </row>
    <row r="133">
      <c r="A133" t="inlineStr">
        <is>
          <t>S036</t>
        </is>
      </c>
      <c r="B133" t="inlineStr">
        <is>
          <t>Recettes_Magnum.pdf</t>
        </is>
      </c>
      <c r="C133" t="inlineStr">
        <is>
          <t>C:\Users\J COMPUTER\Downloads\Recettes_Magnum.pdf</t>
        </is>
      </c>
      <c r="D133" t="inlineStr">
        <is>
          <t>.pdf</t>
        </is>
      </c>
      <c r="E133" t="inlineStr">
        <is>
          <t>2026-07-31T11:44:23.305031+00:00</t>
        </is>
      </c>
      <c r="F133" t="inlineStr">
        <is>
          <t>4170277</t>
        </is>
      </c>
      <c r="G133" t="inlineStr">
        <is>
          <t>db2bcdafd28323e03f8846f21dd0314d56b1700e0f907f57f5830769f5ccebe3</t>
        </is>
      </c>
      <c r="H133" t="inlineStr">
        <is>
          <t>Extracted text</t>
        </is>
      </c>
      <c r="I133" t="inlineStr">
        <is>
          <t>Recipe source or technical context included</t>
        </is>
      </c>
      <c r="J133" t="inlineStr">
        <is>
          <t>No owner production trial log found</t>
        </is>
      </c>
      <c r="K133" t="inlineStr">
        <is>
          <t>French (text screening)</t>
        </is>
      </c>
      <c r="L133" t="inlineStr">
        <is>
          <t>No explicit version established; modified date is file metadata only</t>
        </is>
      </c>
      <c r="M133" t="inlineStr">
        <is>
          <t>20 extracted pages/blocks/rows; 16 recipe keyword signals (not recipe count)</t>
        </is>
      </c>
    </row>
    <row r="134">
      <c r="A134" t="inlineStr">
        <is>
          <t>S037</t>
        </is>
      </c>
      <c r="B134" t="inlineStr">
        <is>
          <t>shawarma_garlic_sauces_recipe.md</t>
        </is>
      </c>
      <c r="C134" t="inlineStr">
        <is>
          <t>C:\Users\J COMPUTER\Downloads\shawarma_garlic_sauces_recipe.md</t>
        </is>
      </c>
      <c r="D134" t="inlineStr">
        <is>
          <t>.md</t>
        </is>
      </c>
      <c r="E134" t="inlineStr">
        <is>
          <t>2026-10-01T13:51:51.847904+00:00</t>
        </is>
      </c>
      <c r="F134" t="inlineStr">
        <is>
          <t>2614</t>
        </is>
      </c>
      <c r="G134" t="inlineStr">
        <is>
          <t>ddbd99adb74bf8e6bec6448fffcd5ddd48ed90b9dd40045e3a3b806dfd7506a0</t>
        </is>
      </c>
      <c r="H134" t="inlineStr">
        <is>
          <t>Extracted text</t>
        </is>
      </c>
      <c r="I134" t="inlineStr">
        <is>
          <t>Recipe source or technical context included</t>
        </is>
      </c>
      <c r="J134" t="inlineStr">
        <is>
          <t>No owner production trial log found</t>
        </is>
      </c>
      <c r="K134" t="inlineStr">
        <is>
          <t>English (text screening)</t>
        </is>
      </c>
      <c r="L134" t="inlineStr">
        <is>
          <t>No explicit version established; modified date is file metadata only</t>
        </is>
      </c>
      <c r="M134" t="inlineStr">
        <is>
          <t>50 extracted pages/blocks/rows; 2 recipe keyword signals (not recipe count)</t>
        </is>
      </c>
    </row>
    <row r="135">
      <c r="A135" t="inlineStr">
        <is>
          <t>S038</t>
        </is>
      </c>
      <c r="B135" t="inlineStr">
        <is>
          <t>Staggered_Baguette_Production_Schedule.pdf</t>
        </is>
      </c>
      <c r="C135" t="inlineStr">
        <is>
          <t>C:\Users\J COMPUTER\Downloads\Staggered_Baguette_Production_Schedule.pdf</t>
        </is>
      </c>
      <c r="D135" t="inlineStr">
        <is>
          <t>.pdf</t>
        </is>
      </c>
      <c r="E135" t="inlineStr">
        <is>
          <t>2026-09-11T13:45:25.992631+00:00</t>
        </is>
      </c>
      <c r="F135" t="inlineStr">
        <is>
          <t>5904</t>
        </is>
      </c>
      <c r="G135" t="inlineStr">
        <is>
          <t>e91727846771163e63645761815309a1182bf4f601baf39cb95b67c1b79b17dd</t>
        </is>
      </c>
      <c r="H135" t="inlineStr">
        <is>
          <t>Extracted text</t>
        </is>
      </c>
      <c r="I135" t="inlineStr">
        <is>
          <t>H2 primary requested baguette scheduling source; pp1–2 audited, corrected in BAG-H2-01 and PLAN-BAG-P/N/H</t>
        </is>
      </c>
      <c r="J135" t="inlineStr">
        <is>
          <t>No owner production trial log found</t>
        </is>
      </c>
      <c r="K135" t="inlineStr">
        <is>
          <t>English (text screening)</t>
        </is>
      </c>
      <c r="L135" t="inlineStr">
        <is>
          <t>No explicit version established; modified date is file metadata only</t>
        </is>
      </c>
      <c r="M135" t="inlineStr">
        <is>
          <t>2 extracted pages/blocks/rows; 2 recipe keyword signals (not recipe count)</t>
        </is>
      </c>
    </row>
    <row r="136">
      <c r="B136" t="inlineStr">
        <is>
          <t>~$ofessional Popsicle production.docx</t>
        </is>
      </c>
      <c r="C136" t="inlineStr">
        <is>
          <t>C:\Users\J COMPUTER\Downloads\~$ofessional Popsicle production.docx</t>
        </is>
      </c>
      <c r="D136" t="inlineStr">
        <is>
          <t>.docx</t>
        </is>
      </c>
      <c r="E136" t="inlineStr">
        <is>
          <t>2026-07-31T11:18:08.336235+00:00</t>
        </is>
      </c>
      <c r="F136" t="inlineStr">
        <is>
          <t>162</t>
        </is>
      </c>
      <c r="H136" t="inlineStr">
        <is>
          <t>Office lock file</t>
        </is>
      </c>
      <c r="I136" t="inlineStr">
        <is>
          <t>Filename screened</t>
        </is>
      </c>
      <c r="J136" t="inlineStr">
        <is>
          <t>No owner production trial log found</t>
        </is>
      </c>
      <c r="K136" t="inlineStr">
        <is>
          <t>Not established / non-text</t>
        </is>
      </c>
      <c r="L136" t="inlineStr">
        <is>
          <t>No explicit version established; modified date is file metadata only</t>
        </is>
      </c>
      <c r="M136" t="inlineStr">
        <is>
          <t xml:space="preserve"> extracted pages/blocks/rows;  recipe keyword signals (not recipe count)</t>
        </is>
      </c>
    </row>
    <row r="137">
      <c r="A137" t="inlineStr">
        <is>
          <t>S039</t>
        </is>
      </c>
      <c r="B137" t="inlineStr">
        <is>
          <t>Nkambe_Bakery_Strategy_and_Recipe_Manual.pdf</t>
        </is>
      </c>
      <c r="C137" t="inlineStr">
        <is>
          <t>C:\Users\J COMPUTER\Nkambe_Bakery_Strategy_and_Recipe_Manual.pdf</t>
        </is>
      </c>
      <c r="D137" t="inlineStr">
        <is>
          <t>.pdf</t>
        </is>
      </c>
      <c r="E137" t="inlineStr">
        <is>
          <t>2026-09-14T13:56:25.772076+00:00</t>
        </is>
      </c>
      <c r="F137" t="inlineStr">
        <is>
          <t>427422</t>
        </is>
      </c>
      <c r="G137" t="inlineStr">
        <is>
          <t>2de9eee58228ee341e862fce77da7a93d5316c9a24dded67fca5fcf787342a29</t>
        </is>
      </c>
      <c r="H137" t="inlineStr">
        <is>
          <t>Extracted text</t>
        </is>
      </c>
      <c r="I137" t="inlineStr">
        <is>
          <t>Related edition, supporting context or superseded source; no independent trial inferred</t>
        </is>
      </c>
      <c r="J137" t="inlineStr">
        <is>
          <t>No owner production trial log found</t>
        </is>
      </c>
      <c r="K137" t="inlineStr">
        <is>
          <t>English (text screening)</t>
        </is>
      </c>
      <c r="L137" t="inlineStr">
        <is>
          <t>No explicit version established; modified date is file metadata only</t>
        </is>
      </c>
      <c r="M137" t="inlineStr">
        <is>
          <t>89 extracted pages/blocks/rows; 463 recipe keyword signals (not recipe count)</t>
        </is>
      </c>
    </row>
    <row r="138">
      <c r="A138" t="inlineStr">
        <is>
          <t>S040</t>
        </is>
      </c>
      <c r="B138" t="inlineStr">
        <is>
          <t>As a seasoned professional yogurt manufacturer.docx</t>
        </is>
      </c>
      <c r="C138" t="inlineStr">
        <is>
          <t>C:\Users\J COMPUTER\OneDrive - Questindustries\As a seasoned professional yogurt manufacturer.docx</t>
        </is>
      </c>
      <c r="D138" t="inlineStr">
        <is>
          <t>.docx</t>
        </is>
      </c>
      <c r="E138" t="inlineStr">
        <is>
          <t>2024-10-12T18:33:11+00:00</t>
        </is>
      </c>
      <c r="F138" t="inlineStr">
        <is>
          <t>22036</t>
        </is>
      </c>
      <c r="G138" t="inlineStr">
        <is>
          <t>b1e5c74ff5376b6790a989d8df6f22daae9ae0962a8e14361718e580421619fa</t>
        </is>
      </c>
      <c r="H138" t="inlineStr">
        <is>
          <t>Extracted text</t>
        </is>
      </c>
      <c r="I138" t="inlineStr">
        <is>
          <t>Unsafe/incomplete yogurt procedure; superseded by C04, retained in issue record</t>
        </is>
      </c>
      <c r="J138" t="inlineStr">
        <is>
          <t>No owner production trial log found</t>
        </is>
      </c>
      <c r="K138" t="inlineStr">
        <is>
          <t>English (text screening)</t>
        </is>
      </c>
      <c r="L138" t="inlineStr">
        <is>
          <t>No explicit version established; modified date is file metadata only</t>
        </is>
      </c>
      <c r="M138" t="inlineStr">
        <is>
          <t>79 extracted pages/blocks/rows; 0 recipe keyword signals (not recipe count)</t>
        </is>
      </c>
    </row>
    <row r="139">
      <c r="A139" t="inlineStr">
        <is>
          <t>S041</t>
        </is>
      </c>
      <c r="B139" t="inlineStr">
        <is>
          <t>16 32 64 trays rotary oven.pdf</t>
        </is>
      </c>
      <c r="C139" t="inlineStr">
        <is>
          <t>C:\Users\J COMPUTER\OneDrive - Questindustries\bakery pdfs\16 32 64 trays rotary oven.pdf</t>
        </is>
      </c>
      <c r="D139" t="inlineStr">
        <is>
          <t>.pdf</t>
        </is>
      </c>
      <c r="E139" t="inlineStr">
        <is>
          <t>2025-03-30T08:20:26+00:00</t>
        </is>
      </c>
      <c r="F139" t="inlineStr">
        <is>
          <t>241712</t>
        </is>
      </c>
      <c r="G139" t="inlineStr">
        <is>
          <t>e2c03ebe66d665b72d0c8c2bfc6d4c69ffb1764eefb739a823affa22e5808450</t>
        </is>
      </c>
      <c r="H139" t="inlineStr">
        <is>
          <t>Extracted text</t>
        </is>
      </c>
      <c r="I139" t="inlineStr">
        <is>
          <t>Equipment/purchase context only; not proof of installed specification</t>
        </is>
      </c>
      <c r="J139" t="inlineStr">
        <is>
          <t>No owner production trial log found</t>
        </is>
      </c>
      <c r="K139" t="inlineStr">
        <is>
          <t>Not established / non-text</t>
        </is>
      </c>
      <c r="L139" t="inlineStr">
        <is>
          <t>No explicit version established; modified date is file metadata only</t>
        </is>
      </c>
      <c r="M139" t="inlineStr">
        <is>
          <t>2 extracted pages/blocks/rows; 0 recipe keyword signals (not recipe count)</t>
        </is>
      </c>
    </row>
    <row r="140">
      <c r="A140" t="inlineStr">
        <is>
          <t>S042</t>
        </is>
      </c>
      <c r="B140" t="inlineStr">
        <is>
          <t>16+32+64+trays+rotary+oven.pdf</t>
        </is>
      </c>
      <c r="C140" t="inlineStr">
        <is>
          <t>C:\Users\J COMPUTER\OneDrive - Questindustries\bakery pdfs\16+32+64+trays+rotary+oven.pdf</t>
        </is>
      </c>
      <c r="D140" t="inlineStr">
        <is>
          <t>.pdf</t>
        </is>
      </c>
      <c r="E140" t="inlineStr">
        <is>
          <t>2025-03-30T08:09:54+00:00</t>
        </is>
      </c>
      <c r="F140" t="inlineStr">
        <is>
          <t>242252</t>
        </is>
      </c>
      <c r="G140" t="inlineStr">
        <is>
          <t>dddb4359df2f96f7f548133b256eb493f36e9e1fca51bbe366b3b2eaaa59bff0</t>
        </is>
      </c>
      <c r="H140" t="inlineStr">
        <is>
          <t>Extracted text</t>
        </is>
      </c>
      <c r="I140" t="inlineStr">
        <is>
          <t>Equipment/purchase context only; not proof of installed specification</t>
        </is>
      </c>
      <c r="J140" t="inlineStr">
        <is>
          <t>No owner production trial log found</t>
        </is>
      </c>
      <c r="K140" t="inlineStr">
        <is>
          <t>Not established / non-text</t>
        </is>
      </c>
      <c r="L140" t="inlineStr">
        <is>
          <t>No explicit version established; modified date is file metadata only</t>
        </is>
      </c>
      <c r="M140" t="inlineStr">
        <is>
          <t>2 extracted pages/blocks/rows; 0 recipe keyword signals (not recipe count)</t>
        </is>
      </c>
    </row>
    <row r="141">
      <c r="A141" t="inlineStr">
        <is>
          <t>I02</t>
        </is>
      </c>
      <c r="B141" t="inlineStr">
        <is>
          <t>21b797e8e663f2790871ba24c8393040.png</t>
        </is>
      </c>
      <c r="C141" t="inlineStr">
        <is>
          <t>C:\Users\J COMPUTER\OneDrive - Questindustries\bakery pdfs\21b797e8e663f2790871ba24c8393040.png</t>
        </is>
      </c>
      <c r="D141" t="inlineStr">
        <is>
          <t>.png</t>
        </is>
      </c>
      <c r="E141" t="inlineStr">
        <is>
          <t>2025-04-01T08:58:16+00:00</t>
        </is>
      </c>
      <c r="F141" t="inlineStr">
        <is>
          <t>279592</t>
        </is>
      </c>
      <c r="H141" t="inlineStr">
        <is>
          <t>Visually screened relevant images; original preserved</t>
        </is>
      </c>
      <c r="I141" t="inlineStr">
        <is>
          <t>Image screening: burger reference, workbook screenshot or equipment photo; unrelated exam images excluded</t>
        </is>
      </c>
      <c r="J141" t="inlineStr">
        <is>
          <t>No owner production trial log found</t>
        </is>
      </c>
      <c r="K141" t="inlineStr">
        <is>
          <t>Not established / non-text</t>
        </is>
      </c>
      <c r="L141" t="inlineStr">
        <is>
          <t>No explicit version established; modified date is file metadata only</t>
        </is>
      </c>
      <c r="M141" t="inlineStr">
        <is>
          <t xml:space="preserve"> extracted pages/blocks/rows;  recipe keyword signals (not recipe count)</t>
        </is>
      </c>
    </row>
    <row r="142">
      <c r="A142" t="inlineStr">
        <is>
          <t>I03</t>
        </is>
      </c>
      <c r="B142" t="inlineStr">
        <is>
          <t>3ae06b491aa9f9a58355d664ac2aa69b (1).jpg</t>
        </is>
      </c>
      <c r="C142" t="inlineStr">
        <is>
          <t>C:\Users\J COMPUTER\OneDrive - Questindustries\bakery pdfs\3ae06b491aa9f9a58355d664ac2aa69b (1).jpg</t>
        </is>
      </c>
      <c r="D142" t="inlineStr">
        <is>
          <t>.jpg</t>
        </is>
      </c>
      <c r="E142" t="inlineStr">
        <is>
          <t>2025-03-17T17:24:59+00:00</t>
        </is>
      </c>
      <c r="F142" t="inlineStr">
        <is>
          <t>1052574</t>
        </is>
      </c>
      <c r="H142" t="inlineStr">
        <is>
          <t>Visually screened relevant images; original preserved</t>
        </is>
      </c>
      <c r="I142" t="inlineStr">
        <is>
          <t>Image screening: burger reference, workbook screenshot or equipment photo; unrelated exam images excluded</t>
        </is>
      </c>
      <c r="J142" t="inlineStr">
        <is>
          <t>No owner production trial log found</t>
        </is>
      </c>
      <c r="K142" t="inlineStr">
        <is>
          <t>Not established / non-text</t>
        </is>
      </c>
      <c r="L142" t="inlineStr">
        <is>
          <t>No explicit version established; modified date is file metadata only</t>
        </is>
      </c>
      <c r="M142" t="inlineStr">
        <is>
          <t xml:space="preserve"> extracted pages/blocks/rows;  recipe keyword signals (not recipe count)</t>
        </is>
      </c>
    </row>
    <row r="143">
      <c r="A143" t="inlineStr">
        <is>
          <t>S043</t>
        </is>
      </c>
      <c r="B143" t="inlineStr">
        <is>
          <t>Alice wang PI for pullman baking pans and trays 2025.pdf</t>
        </is>
      </c>
      <c r="C143" t="inlineStr">
        <is>
          <t>C:\Users\J COMPUTER\OneDrive - Questindustries\bakery pdfs\Alice wang PI for pullman baking pans and trays 2025.pdf</t>
        </is>
      </c>
      <c r="D143" t="inlineStr">
        <is>
          <t>.pdf</t>
        </is>
      </c>
      <c r="E143" t="inlineStr">
        <is>
          <t>2025-03-14T06:06:11+00:00</t>
        </is>
      </c>
      <c r="F143" t="inlineStr">
        <is>
          <t>139202</t>
        </is>
      </c>
      <c r="G143" t="inlineStr">
        <is>
          <t>8b5ed97f2e732fe285be3f581d186852488351613766d8cfc0f3df31280931d2</t>
        </is>
      </c>
      <c r="H143" t="inlineStr">
        <is>
          <t>Extracted text</t>
        </is>
      </c>
      <c r="I143" t="inlineStr">
        <is>
          <t>Equipment/purchase context only; not proof of installed specification</t>
        </is>
      </c>
      <c r="J143" t="inlineStr">
        <is>
          <t>No owner production trial log found</t>
        </is>
      </c>
      <c r="K143" t="inlineStr">
        <is>
          <t>Not established / non-text</t>
        </is>
      </c>
      <c r="L143" t="inlineStr">
        <is>
          <t>No explicit version established; modified date is file metadata only</t>
        </is>
      </c>
      <c r="M143" t="inlineStr">
        <is>
          <t>1 extracted pages/blocks/rows; 0 recipe keyword signals (not recipe count)</t>
        </is>
      </c>
    </row>
    <row r="144">
      <c r="A144" t="inlineStr">
        <is>
          <t>S044</t>
        </is>
      </c>
      <c r="B144" t="inlineStr">
        <is>
          <t>Bakery recipes incllud galette 14th Jan 2025_001-KOUATCHOUA.xlsx</t>
        </is>
      </c>
      <c r="C144" t="inlineStr">
        <is>
          <t>C:\Users\J COMPUTER\OneDrive - Questindustries\bakery pdfs\Bakery recipes incllud galette 14th Jan 2025_001-KOUATCHOUA.xlsx</t>
        </is>
      </c>
      <c r="D144" t="inlineStr">
        <is>
          <t>.xlsx</t>
        </is>
      </c>
      <c r="E144" t="inlineStr">
        <is>
          <t>2025-09-08T07:07:22+00:00</t>
        </is>
      </c>
      <c r="F144" t="inlineStr">
        <is>
          <t>82910</t>
        </is>
      </c>
      <c r="G144" t="inlineStr">
        <is>
          <t>8a3382fdd72093630ecd88fc9e27e714919bc8c357c90bfbd3af85d8696f3c69</t>
        </is>
      </c>
      <c r="H144" t="inlineStr">
        <is>
          <t>Extracted text</t>
        </is>
      </c>
      <c r="I144" t="inlineStr">
        <is>
          <t>Recipe source or technical context included</t>
        </is>
      </c>
      <c r="J144" t="inlineStr">
        <is>
          <t>No owner production trial log found</t>
        </is>
      </c>
      <c r="K144" t="inlineStr">
        <is>
          <t>English (text screening)</t>
        </is>
      </c>
      <c r="L144" t="inlineStr">
        <is>
          <t>No explicit version established; modified date is file metadata only</t>
        </is>
      </c>
      <c r="M144" t="inlineStr">
        <is>
          <t>510 extracted pages/blocks/rows; 32 recipe keyword signals (not recipe count)</t>
        </is>
      </c>
    </row>
    <row r="145">
      <c r="A145" t="inlineStr">
        <is>
          <t>S045</t>
        </is>
      </c>
      <c r="B145" t="inlineStr">
        <is>
          <t>Bakery recipes incllud galette 14th Jan 2025_001.xlsx</t>
        </is>
      </c>
      <c r="C145" t="inlineStr">
        <is>
          <t>C:\Users\J COMPUTER\OneDrive - Questindustries\bakery pdfs\Bakery recipes incllud galette 14th Jan 2025_001.xlsx</t>
        </is>
      </c>
      <c r="D145" t="inlineStr">
        <is>
          <t>.xlsx</t>
        </is>
      </c>
      <c r="E145" t="inlineStr">
        <is>
          <t>2025-09-28T09:59:33+00:00</t>
        </is>
      </c>
      <c r="F145" t="inlineStr">
        <is>
          <t>82694</t>
        </is>
      </c>
      <c r="G145" t="inlineStr">
        <is>
          <t>d9fb10325e1ed9f3ee17a465f62a456f9f229b52ecf5a067020c0a2430882f15</t>
        </is>
      </c>
      <c r="H145" t="inlineStr">
        <is>
          <t>Extracted text</t>
        </is>
      </c>
      <c r="I145" t="inlineStr">
        <is>
          <t>Recipe source or technical context included</t>
        </is>
      </c>
      <c r="J145" t="inlineStr">
        <is>
          <t>No owner production trial log found</t>
        </is>
      </c>
      <c r="K145" t="inlineStr">
        <is>
          <t>English (text screening)</t>
        </is>
      </c>
      <c r="L145" t="inlineStr">
        <is>
          <t>No explicit version established; modified date is file metadata only</t>
        </is>
      </c>
      <c r="M145" t="inlineStr">
        <is>
          <t>508 extracted pages/blocks/rows; 32 recipe keyword signals (not recipe count)</t>
        </is>
      </c>
    </row>
    <row r="146">
      <c r="A146" t="inlineStr">
        <is>
          <t>S046</t>
        </is>
      </c>
      <c r="B146" t="inlineStr">
        <is>
          <t>Bakery recipes Jan 2025 2.xlsx</t>
        </is>
      </c>
      <c r="C146" t="inlineStr">
        <is>
          <t>C:\Users\J COMPUTER\OneDrive - Questindustries\bakery pdfs\Bakery recipes Jan 2025 2.xlsx</t>
        </is>
      </c>
      <c r="D146" t="inlineStr">
        <is>
          <t>.xlsx</t>
        </is>
      </c>
      <c r="E146" t="inlineStr">
        <is>
          <t>2026-01-07T15:32:22.089029+00:00</t>
        </is>
      </c>
      <c r="F146" t="inlineStr">
        <is>
          <t>100429</t>
        </is>
      </c>
      <c r="G146" t="inlineStr">
        <is>
          <t>e7894287e09f5c53a62704999c2f14d1d0d35ef76f7269d127f4422ff44ba205</t>
        </is>
      </c>
      <c r="H146" t="inlineStr">
        <is>
          <t>Extracted text</t>
        </is>
      </c>
      <c r="I146" t="inlineStr">
        <is>
          <t>Recipe source or technical context included</t>
        </is>
      </c>
      <c r="J146" t="inlineStr">
        <is>
          <t>No owner production trial log found</t>
        </is>
      </c>
      <c r="K146" t="inlineStr">
        <is>
          <t>English (text screening)</t>
        </is>
      </c>
      <c r="L146" t="inlineStr">
        <is>
          <t>No explicit version established; modified date is file metadata only</t>
        </is>
      </c>
      <c r="M146" t="inlineStr">
        <is>
          <t>591 extracted pages/blocks/rows; 36 recipe keyword signals (not recipe count)</t>
        </is>
      </c>
    </row>
    <row r="147">
      <c r="A147" t="inlineStr">
        <is>
          <t>S047</t>
        </is>
      </c>
      <c r="B147" t="inlineStr">
        <is>
          <t>Bakery recipes Jan 2025.xlsx</t>
        </is>
      </c>
      <c r="C147" t="inlineStr">
        <is>
          <t>C:\Users\J COMPUTER\OneDrive - Questindustries\bakery pdfs\Bakery recipes Jan 2025.xlsx</t>
        </is>
      </c>
      <c r="D147" t="inlineStr">
        <is>
          <t>.xlsx</t>
        </is>
      </c>
      <c r="E147" t="inlineStr">
        <is>
          <t>2025-09-08T06:34:28+00:00</t>
        </is>
      </c>
      <c r="F147" t="inlineStr">
        <is>
          <t>100219</t>
        </is>
      </c>
      <c r="G147" t="inlineStr">
        <is>
          <t>63f55b2e66068d8a7c27384e332f879238f09288ed94e225ba42cfd72f896047</t>
        </is>
      </c>
      <c r="H147" t="inlineStr">
        <is>
          <t>Extracted text</t>
        </is>
      </c>
      <c r="I147" t="inlineStr">
        <is>
          <t>Recipe source or technical context included</t>
        </is>
      </c>
      <c r="J147" t="inlineStr">
        <is>
          <t>No owner production trial log found</t>
        </is>
      </c>
      <c r="K147" t="inlineStr">
        <is>
          <t>English (text screening)</t>
        </is>
      </c>
      <c r="L147" t="inlineStr">
        <is>
          <t>No explicit version established; modified date is file metadata only</t>
        </is>
      </c>
      <c r="M147" t="inlineStr">
        <is>
          <t>591 extracted pages/blocks/rows; 36 recipe keyword signals (not recipe count)</t>
        </is>
      </c>
    </row>
    <row r="148">
      <c r="A148" t="inlineStr">
        <is>
          <t>S048</t>
        </is>
      </c>
      <c r="B148" t="inlineStr">
        <is>
          <t>Bakery recipes Jan 20252.xlsx</t>
        </is>
      </c>
      <c r="C148" t="inlineStr">
        <is>
          <t>C:\Users\J COMPUTER\OneDrive - Questindustries\bakery pdfs\Bakery recipes Jan 20252.xlsx</t>
        </is>
      </c>
      <c r="D148" t="inlineStr">
        <is>
          <t>.xlsx</t>
        </is>
      </c>
      <c r="E148" t="inlineStr">
        <is>
          <t>2025-04-07T07:55:11+00:00</t>
        </is>
      </c>
      <c r="F148" t="inlineStr">
        <is>
          <t>108582</t>
        </is>
      </c>
      <c r="G148" t="inlineStr">
        <is>
          <t>3916bb5987cb201f20ba2e8dfd3d8dcd98f4afb5221e4e8c99cab9be988f1f0d</t>
        </is>
      </c>
      <c r="H148" t="inlineStr">
        <is>
          <t>Extracted text</t>
        </is>
      </c>
      <c r="I148" t="inlineStr">
        <is>
          <t>Recipe source or technical context included</t>
        </is>
      </c>
      <c r="J148" t="inlineStr">
        <is>
          <t>No owner production trial log found</t>
        </is>
      </c>
      <c r="K148" t="inlineStr">
        <is>
          <t>English (text screening)</t>
        </is>
      </c>
      <c r="L148" t="inlineStr">
        <is>
          <t>No explicit version established; modified date is file metadata only</t>
        </is>
      </c>
      <c r="M148" t="inlineStr">
        <is>
          <t>627 extracted pages/blocks/rows; 39 recipe keyword signals (not recipe count)</t>
        </is>
      </c>
    </row>
    <row r="149">
      <c r="A149" t="inlineStr">
        <is>
          <t>S049</t>
        </is>
      </c>
      <c r="B149" t="inlineStr">
        <is>
          <t>BREAD-BAKING-UNIVERSITY-SERIES-BUNDLEBread-Recipes-Flour-Production-Bakery-Operations-.pdf</t>
        </is>
      </c>
      <c r="C149" t="inlineStr">
        <is>
          <t>C:\Users\J COMPUTER\OneDrive - Questindustries\bakery pdfs\BREAD-BAKING-UNIVERSITY-SERIES-BUNDLEBread-Recipes-Flour-Production-Bakery-Operations-.pdf</t>
        </is>
      </c>
      <c r="D149" t="inlineStr">
        <is>
          <t>.pdf</t>
        </is>
      </c>
      <c r="E149" t="inlineStr">
        <is>
          <t>2025-05-11T10:24:51+00:00</t>
        </is>
      </c>
      <c r="F149" t="inlineStr">
        <is>
          <t>1341554</t>
        </is>
      </c>
      <c r="G149" t="inlineStr">
        <is>
          <t>cec871f3b10c8ad696b671533c1b39c01d011d112c3b0f44844296e8efc8111d</t>
        </is>
      </c>
      <c r="H149" t="inlineStr">
        <is>
          <t>Extracted text</t>
        </is>
      </c>
      <c r="I149" t="inlineStr">
        <is>
          <t>Recipe source or technical context included</t>
        </is>
      </c>
      <c r="J149" t="inlineStr">
        <is>
          <t>No owner production trial log found</t>
        </is>
      </c>
      <c r="K149" t="inlineStr">
        <is>
          <t>English (text screening)</t>
        </is>
      </c>
      <c r="L149" t="inlineStr">
        <is>
          <t>No explicit version established; modified date is file metadata only</t>
        </is>
      </c>
      <c r="M149" t="inlineStr">
        <is>
          <t>67 extracted pages/blocks/rows; 119 recipe keyword signals (not recipe count)</t>
        </is>
      </c>
    </row>
    <row r="150">
      <c r="A150" t="inlineStr">
        <is>
          <t>S050</t>
        </is>
      </c>
      <c r="B150" t="inlineStr">
        <is>
          <t>bread_fillings_recipe_sheet.pdf</t>
        </is>
      </c>
      <c r="C150" t="inlineStr">
        <is>
          <t>C:\Users\J COMPUTER\OneDrive - Questindustries\bakery pdfs\bread_fillings_recipe_sheet.pdf</t>
        </is>
      </c>
      <c r="D150" t="inlineStr">
        <is>
          <t>.pdf</t>
        </is>
      </c>
      <c r="E150" t="inlineStr">
        <is>
          <t>2025-09-02T08:03:41+00:00</t>
        </is>
      </c>
      <c r="F150" t="inlineStr">
        <is>
          <t>373063</t>
        </is>
      </c>
      <c r="G150" t="inlineStr">
        <is>
          <t>427b23686fa954f776641a13d1e2aa88d401b19aaab60404a79c573a51c6f7f1</t>
        </is>
      </c>
      <c r="H150" t="inlineStr">
        <is>
          <t>Locally OCR recovered; adopted quantities require image check</t>
        </is>
      </c>
      <c r="I150" t="inlineStr">
        <is>
          <t>Recipe source or technical context included</t>
        </is>
      </c>
      <c r="J150" t="inlineStr">
        <is>
          <t>No owner production trial log found</t>
        </is>
      </c>
      <c r="K150" t="inlineStr">
        <is>
          <t>Not established / non-text</t>
        </is>
      </c>
      <c r="L150" t="inlineStr">
        <is>
          <t>No explicit version established; modified date is file metadata only</t>
        </is>
      </c>
      <c r="M150" t="inlineStr">
        <is>
          <t>5 extracted pages/blocks/rows; 0 recipe keyword signals (not recipe count)</t>
        </is>
      </c>
    </row>
    <row r="151">
      <c r="A151" t="inlineStr">
        <is>
          <t>S051</t>
        </is>
      </c>
      <c r="B151" t="inlineStr">
        <is>
          <t>chrome-extension___mhjfbmdgcfjbbpaeojofohoefgiehjai_edge_pdf_index.pdf</t>
        </is>
      </c>
      <c r="C151" t="inlineStr">
        <is>
          <t>C:\Users\J COMPUTER\OneDrive - Questindustries\bakery pdfs\chrome-extension___mhjfbmdgcfjbbpaeojofohoefgiehjai_edge_pdf_index.pdf</t>
        </is>
      </c>
      <c r="D151" t="inlineStr">
        <is>
          <t>.pdf</t>
        </is>
      </c>
      <c r="E151" t="inlineStr">
        <is>
          <t>2025-03-14T05:10:08+00:00</t>
        </is>
      </c>
      <c r="F151" t="inlineStr">
        <is>
          <t>139125</t>
        </is>
      </c>
      <c r="G151" t="inlineStr">
        <is>
          <t>7d3dc33199e198a360b10145716452f2e60dc63ef0f5ec0268af40ca9542d981</t>
        </is>
      </c>
      <c r="H151" t="inlineStr">
        <is>
          <t>Extracted text</t>
        </is>
      </c>
      <c r="I151" t="inlineStr">
        <is>
          <t>Equipment/purchase context only; not proof of installed specification</t>
        </is>
      </c>
      <c r="J151" t="inlineStr">
        <is>
          <t>No owner production trial log found</t>
        </is>
      </c>
      <c r="K151" t="inlineStr">
        <is>
          <t>Not established / non-text</t>
        </is>
      </c>
      <c r="L151" t="inlineStr">
        <is>
          <t>No explicit version established; modified date is file metadata only</t>
        </is>
      </c>
      <c r="M151" t="inlineStr">
        <is>
          <t>1 extracted pages/blocks/rows; 0 recipe keyword signals (not recipe count)</t>
        </is>
      </c>
    </row>
    <row r="152">
      <c r="A152" t="inlineStr">
        <is>
          <t>I04</t>
        </is>
      </c>
      <c r="B152" t="inlineStr">
        <is>
          <t>d4934413c32ffd1f3f4b5e696b374614.jpg</t>
        </is>
      </c>
      <c r="C152" t="inlineStr">
        <is>
          <t>C:\Users\J COMPUTER\OneDrive - Questindustries\bakery pdfs\d4934413c32ffd1f3f4b5e696b374614.jpg</t>
        </is>
      </c>
      <c r="D152" t="inlineStr">
        <is>
          <t>.jpg</t>
        </is>
      </c>
      <c r="E152" t="inlineStr">
        <is>
          <t>2025-03-17T17:24:54+00:00</t>
        </is>
      </c>
      <c r="F152" t="inlineStr">
        <is>
          <t>2578357</t>
        </is>
      </c>
      <c r="H152" t="inlineStr">
        <is>
          <t>Visually screened relevant images; original preserved</t>
        </is>
      </c>
      <c r="I152" t="inlineStr">
        <is>
          <t>Image screening: burger reference, workbook screenshot or equipment photo; unrelated exam images excluded</t>
        </is>
      </c>
      <c r="J152" t="inlineStr">
        <is>
          <t>No owner production trial log found</t>
        </is>
      </c>
      <c r="K152" t="inlineStr">
        <is>
          <t>Not established / non-text</t>
        </is>
      </c>
      <c r="L152" t="inlineStr">
        <is>
          <t>No explicit version established; modified date is file metadata only</t>
        </is>
      </c>
      <c r="M152" t="inlineStr">
        <is>
          <t xml:space="preserve"> extracted pages/blocks/rows;  recipe keyword signals (not recipe count)</t>
        </is>
      </c>
    </row>
    <row r="153">
      <c r="A153" t="inlineStr">
        <is>
          <t>S052</t>
        </is>
      </c>
      <c r="B153" t="inlineStr">
        <is>
          <t>Diesel rotary oven to kouatchoua mark 202250612.pdf</t>
        </is>
      </c>
      <c r="C153" t="inlineStr">
        <is>
          <t>C:\Users\J COMPUTER\OneDrive - Questindustries\bakery pdfs\Diesel rotary oven to kouatchoua mark 202250612.pdf</t>
        </is>
      </c>
      <c r="D153" t="inlineStr">
        <is>
          <t>.pdf</t>
        </is>
      </c>
      <c r="E153" t="inlineStr">
        <is>
          <t>2025-07-24T07:18:12+00:00</t>
        </is>
      </c>
      <c r="F153" t="inlineStr">
        <is>
          <t>375889</t>
        </is>
      </c>
      <c r="G153" t="inlineStr">
        <is>
          <t>7e2ea328017f3be2b93782c19367777e1ad6eda79e5398ef8e9db59d5fda7d40</t>
        </is>
      </c>
      <c r="H153" t="inlineStr">
        <is>
          <t>Extracted text</t>
        </is>
      </c>
      <c r="I153" t="inlineStr">
        <is>
          <t>Equipment/purchase context only; not proof of installed specification</t>
        </is>
      </c>
      <c r="J153" t="inlineStr">
        <is>
          <t>No owner production trial log found</t>
        </is>
      </c>
      <c r="K153" t="inlineStr">
        <is>
          <t>English (text screening)</t>
        </is>
      </c>
      <c r="L153" t="inlineStr">
        <is>
          <t>No explicit version established; modified date is file metadata only</t>
        </is>
      </c>
      <c r="M153" t="inlineStr">
        <is>
          <t>2 extracted pages/blocks/rows; 0 recipe keyword signals (not recipe count)</t>
        </is>
      </c>
    </row>
    <row r="154">
      <c r="A154" t="inlineStr">
        <is>
          <t>I05</t>
        </is>
      </c>
      <c r="B154" t="inlineStr">
        <is>
          <t>diesel rotary ovens from Rachel Wang.jpg</t>
        </is>
      </c>
      <c r="C154" t="inlineStr">
        <is>
          <t>C:\Users\J COMPUTER\OneDrive - Questindustries\bakery pdfs\diesel rotary ovens from Rachel Wang.jpg</t>
        </is>
      </c>
      <c r="D154" t="inlineStr">
        <is>
          <t>.jpg</t>
        </is>
      </c>
      <c r="E154" t="inlineStr">
        <is>
          <t>2025-07-24T07:09:30+00:00</t>
        </is>
      </c>
      <c r="F154" t="inlineStr">
        <is>
          <t>758998</t>
        </is>
      </c>
      <c r="H154" t="inlineStr">
        <is>
          <t>Visually screened relevant images; original preserved</t>
        </is>
      </c>
      <c r="I154" t="inlineStr">
        <is>
          <t>Image screening: burger reference, workbook screenshot or equipment photo; unrelated exam images excluded</t>
        </is>
      </c>
      <c r="J154" t="inlineStr">
        <is>
          <t>No owner production trial log found</t>
        </is>
      </c>
      <c r="K154" t="inlineStr">
        <is>
          <t>Not established / non-text</t>
        </is>
      </c>
      <c r="L154" t="inlineStr">
        <is>
          <t>No explicit version established; modified date is file metadata only</t>
        </is>
      </c>
      <c r="M154" t="inlineStr">
        <is>
          <t xml:space="preserve"> extracted pages/blocks/rows;  recipe keyword signals (not recipe count)</t>
        </is>
      </c>
    </row>
    <row r="155">
      <c r="A155" t="inlineStr">
        <is>
          <t>S053</t>
        </is>
      </c>
      <c r="B155" t="inlineStr">
        <is>
          <t>document-1733898008081.pdf</t>
        </is>
      </c>
      <c r="C155" t="inlineStr">
        <is>
          <t>C:\Users\J COMPUTER\OneDrive - Questindustries\bakery pdfs\document-1733898008081.pdf</t>
        </is>
      </c>
      <c r="D155" t="inlineStr">
        <is>
          <t>.pdf</t>
        </is>
      </c>
      <c r="E155" t="inlineStr">
        <is>
          <t>2025-03-22T09:45:18+00:00</t>
        </is>
      </c>
      <c r="F155" t="inlineStr">
        <is>
          <t>86632</t>
        </is>
      </c>
      <c r="G155" t="inlineStr">
        <is>
          <t>bd675f1e1b953f4cf83ef4d0b5df39f30b593309a9610c714d82f6bc3930d04a</t>
        </is>
      </c>
      <c r="H155" t="inlineStr">
        <is>
          <t>Extracted text</t>
        </is>
      </c>
      <c r="I155" t="inlineStr">
        <is>
          <t>Equipment/purchase context only; not proof of installed specification</t>
        </is>
      </c>
      <c r="J155" t="inlineStr">
        <is>
          <t>No owner production trial log found</t>
        </is>
      </c>
      <c r="K155" t="inlineStr">
        <is>
          <t>Not established / non-text</t>
        </is>
      </c>
      <c r="L155" t="inlineStr">
        <is>
          <t>No explicit version established; modified date is file metadata only</t>
        </is>
      </c>
      <c r="M155" t="inlineStr">
        <is>
          <t>1 extracted pages/blocks/rows; 0 recipe keyword signals (not recipe count)</t>
        </is>
      </c>
    </row>
    <row r="156">
      <c r="A156" t="inlineStr">
        <is>
          <t>S054</t>
        </is>
      </c>
      <c r="B156" t="inlineStr">
        <is>
          <t>dough sheeter quotation（起酥机）.pdf</t>
        </is>
      </c>
      <c r="C156" t="inlineStr">
        <is>
          <t>C:\Users\J COMPUTER\OneDrive - Questindustries\bakery pdfs\dough sheeter quotation（起酥机）.pdf</t>
        </is>
      </c>
      <c r="D156" t="inlineStr">
        <is>
          <t>.pdf</t>
        </is>
      </c>
      <c r="E156" t="inlineStr">
        <is>
          <t>2025-04-01T08:05:06+00:00</t>
        </is>
      </c>
      <c r="F156" t="inlineStr">
        <is>
          <t>361510</t>
        </is>
      </c>
      <c r="G156" t="inlineStr">
        <is>
          <t>8d4dcf13bb29f8d9a353931b8a03910610d034b557b63de789d16908023fe310</t>
        </is>
      </c>
      <c r="H156" t="inlineStr">
        <is>
          <t>Extracted text</t>
        </is>
      </c>
      <c r="I156" t="inlineStr">
        <is>
          <t>Equipment/purchase context only; not proof of installed specification</t>
        </is>
      </c>
      <c r="J156" t="inlineStr">
        <is>
          <t>No owner production trial log found</t>
        </is>
      </c>
      <c r="K156" t="inlineStr">
        <is>
          <t>English (text screening)</t>
        </is>
      </c>
      <c r="L156" t="inlineStr">
        <is>
          <t>No explicit version established; modified date is file metadata only</t>
        </is>
      </c>
      <c r="M156" t="inlineStr">
        <is>
          <t>3 extracted pages/blocks/rows; 0 recipe keyword signals (not recipe count)</t>
        </is>
      </c>
    </row>
    <row r="157">
      <c r="A157" t="inlineStr">
        <is>
          <t>S055</t>
        </is>
      </c>
      <c r="B157" t="inlineStr">
        <is>
          <t>Exported Users Sat Mar 15 2025.xlsx</t>
        </is>
      </c>
      <c r="C157" t="inlineStr">
        <is>
          <t>C:\Users\J COMPUTER\OneDrive - Questindustries\bakery pdfs\Exported Users Sat Mar 15 2025.xlsx</t>
        </is>
      </c>
      <c r="D157" t="inlineStr">
        <is>
          <t>.xlsx</t>
        </is>
      </c>
      <c r="E157" t="inlineStr">
        <is>
          <t>2025-03-15T13:46:54+00:00</t>
        </is>
      </c>
      <c r="F157" t="inlineStr">
        <is>
          <t>19296</t>
        </is>
      </c>
      <c r="G157" t="inlineStr">
        <is>
          <t>819761a6a2ab7101e4e49a2058145beb6013731c3c77b36bb280b7c5b48d4bac</t>
        </is>
      </c>
      <c r="H157" t="inlineStr">
        <is>
          <t>Excluded: unrelated administrative, software or purchasing material</t>
        </is>
      </c>
      <c r="I157" t="inlineStr">
        <is>
          <t>Not a food recipe</t>
        </is>
      </c>
      <c r="J157" t="inlineStr">
        <is>
          <t>No owner production trial log found</t>
        </is>
      </c>
      <c r="K157" t="inlineStr">
        <is>
          <t>Not established / non-text</t>
        </is>
      </c>
      <c r="L157" t="inlineStr">
        <is>
          <t>No explicit version established; modified date is file metadata only</t>
        </is>
      </c>
      <c r="M157" t="inlineStr">
        <is>
          <t>6 extracted pages/blocks/rows; 0 recipe keyword signals (not recipe count)</t>
        </is>
      </c>
    </row>
    <row r="158">
      <c r="A158" t="inlineStr">
        <is>
          <t>I06</t>
        </is>
      </c>
      <c r="B158" t="inlineStr">
        <is>
          <t>fb69b1a3312060c57a854dd4f8a25b65.jpg</t>
        </is>
      </c>
      <c r="C158" t="inlineStr">
        <is>
          <t>C:\Users\J COMPUTER\OneDrive - Questindustries\bakery pdfs\fb69b1a3312060c57a854dd4f8a25b65.jpg</t>
        </is>
      </c>
      <c r="D158" t="inlineStr">
        <is>
          <t>.jpg</t>
        </is>
      </c>
      <c r="E158" t="inlineStr">
        <is>
          <t>2025-03-17T17:25:03+00:00</t>
        </is>
      </c>
      <c r="F158" t="inlineStr">
        <is>
          <t>2791521</t>
        </is>
      </c>
      <c r="H158" t="inlineStr">
        <is>
          <t>Visually screened relevant images; original preserved</t>
        </is>
      </c>
      <c r="I158" t="inlineStr">
        <is>
          <t>Image screening: burger reference, workbook screenshot or equipment photo; unrelated exam images excluded</t>
        </is>
      </c>
      <c r="J158" t="inlineStr">
        <is>
          <t>No owner production trial log found</t>
        </is>
      </c>
      <c r="K158" t="inlineStr">
        <is>
          <t>Not established / non-text</t>
        </is>
      </c>
      <c r="L158" t="inlineStr">
        <is>
          <t>No explicit version established; modified date is file metadata only</t>
        </is>
      </c>
      <c r="M158" t="inlineStr">
        <is>
          <t xml:space="preserve"> extracted pages/blocks/rows;  recipe keyword signals (not recipe count)</t>
        </is>
      </c>
    </row>
    <row r="159">
      <c r="A159" t="inlineStr">
        <is>
          <t>S056</t>
        </is>
      </c>
      <c r="B159" t="inlineStr">
        <is>
          <t>hamburger Mc Donalds.pdf</t>
        </is>
      </c>
      <c r="C159" t="inlineStr">
        <is>
          <t>C:\Users\J COMPUTER\OneDrive - Questindustries\bakery pdfs\hamburger Mc Donalds.pdf</t>
        </is>
      </c>
      <c r="D159" t="inlineStr">
        <is>
          <t>.pdf</t>
        </is>
      </c>
      <c r="E159" t="inlineStr">
        <is>
          <t>2025-07-27T12:45:16+00:00</t>
        </is>
      </c>
      <c r="F159" t="inlineStr">
        <is>
          <t>140177</t>
        </is>
      </c>
      <c r="G159" t="inlineStr">
        <is>
          <t>ceba0ca64fe1e164057e80b9c088289202cb1339a895abc94a9b90fe4a7ec88e</t>
        </is>
      </c>
      <c r="H159" t="inlineStr">
        <is>
          <t>Locally OCR recovered; adopted quantities require image check</t>
        </is>
      </c>
      <c r="I159" t="inlineStr">
        <is>
          <t>Recipe source or technical context included</t>
        </is>
      </c>
      <c r="J159" t="inlineStr">
        <is>
          <t>No owner production trial log found</t>
        </is>
      </c>
      <c r="K159" t="inlineStr">
        <is>
          <t>Not established / non-text</t>
        </is>
      </c>
      <c r="L159" t="inlineStr">
        <is>
          <t>No explicit version established; modified date is file metadata only</t>
        </is>
      </c>
      <c r="M159" t="inlineStr">
        <is>
          <t>2 extracted pages/blocks/rows; 0 recipe keyword signals (not recipe count)</t>
        </is>
      </c>
    </row>
    <row r="160">
      <c r="A160" t="inlineStr">
        <is>
          <t>S057</t>
        </is>
      </c>
      <c r="B160" t="inlineStr">
        <is>
          <t>Hanbeter Proforma Invoice 20250314H01.pdf</t>
        </is>
      </c>
      <c r="C160" t="inlineStr">
        <is>
          <t>C:\Users\J COMPUTER\OneDrive - Questindustries\bakery pdfs\Hanbeter Proforma Invoice 20250314H01.pdf</t>
        </is>
      </c>
      <c r="D160" t="inlineStr">
        <is>
          <t>.pdf</t>
        </is>
      </c>
      <c r="E160" t="inlineStr">
        <is>
          <t>2025-03-17T08:53:12+00:00</t>
        </is>
      </c>
      <c r="F160" t="inlineStr">
        <is>
          <t>255026</t>
        </is>
      </c>
      <c r="G160" t="inlineStr">
        <is>
          <t>327b68ae13b485eab062b74f5f1c934267981037550cea1016653c4bf75228aa</t>
        </is>
      </c>
      <c r="H160" t="inlineStr">
        <is>
          <t>Extracted text</t>
        </is>
      </c>
      <c r="I160" t="inlineStr">
        <is>
          <t>Equipment/purchase context only; not proof of installed specification</t>
        </is>
      </c>
      <c r="J160" t="inlineStr">
        <is>
          <t>No owner production trial log found</t>
        </is>
      </c>
      <c r="K160" t="inlineStr">
        <is>
          <t>English (text screening)</t>
        </is>
      </c>
      <c r="L160" t="inlineStr">
        <is>
          <t>No explicit version established; modified date is file metadata only</t>
        </is>
      </c>
      <c r="M160" t="inlineStr">
        <is>
          <t>2 extracted pages/blocks/rows; 0 recipe keyword signals (not recipe count)</t>
        </is>
      </c>
    </row>
    <row r="161">
      <c r="A161" t="inlineStr">
        <is>
          <t>S058</t>
        </is>
      </c>
      <c r="B161" t="inlineStr">
        <is>
          <t>Hanbeter Proforma Invoice 20250314H012.pdf</t>
        </is>
      </c>
      <c r="C161" t="inlineStr">
        <is>
          <t>C:\Users\J COMPUTER\OneDrive - Questindustries\bakery pdfs\Hanbeter Proforma Invoice 20250314H012.pdf</t>
        </is>
      </c>
      <c r="D161" t="inlineStr">
        <is>
          <t>.pdf</t>
        </is>
      </c>
      <c r="E161" t="inlineStr">
        <is>
          <t>2025-03-14T20:08:06+00:00</t>
        </is>
      </c>
      <c r="F161" t="inlineStr">
        <is>
          <t>255117</t>
        </is>
      </c>
      <c r="G161" t="inlineStr">
        <is>
          <t>c549bd8da6dba9b02ab4108dbbcc8cec8752164aa5d118834575386ad72491c6</t>
        </is>
      </c>
      <c r="H161" t="inlineStr">
        <is>
          <t>Extracted text</t>
        </is>
      </c>
      <c r="I161" t="inlineStr">
        <is>
          <t>Equipment/purchase context only; not proof of installed specification</t>
        </is>
      </c>
      <c r="J161" t="inlineStr">
        <is>
          <t>No owner production trial log found</t>
        </is>
      </c>
      <c r="K161" t="inlineStr">
        <is>
          <t>English (text screening)</t>
        </is>
      </c>
      <c r="L161" t="inlineStr">
        <is>
          <t>No explicit version established; modified date is file metadata only</t>
        </is>
      </c>
      <c r="M161" t="inlineStr">
        <is>
          <t>2 extracted pages/blocks/rows; 0 recipe keyword signals (not recipe count)</t>
        </is>
      </c>
    </row>
    <row r="162">
      <c r="A162" t="inlineStr">
        <is>
          <t>S059</t>
        </is>
      </c>
      <c r="B162" t="inlineStr">
        <is>
          <t>How-to-Start-A-Successful-Plantain-Chips-Production-And-Sales-Business-For-Beginners-In-Africa.pdf</t>
        </is>
      </c>
      <c r="C162" t="inlineStr">
        <is>
          <t>C:\Users\J COMPUTER\OneDrive - Questindustries\bakery pdfs\How-to-Start-A-Successful-Plantain-Chips-Production-And-Sales-Business-For-Beginners-In-Africa.pdf</t>
        </is>
      </c>
      <c r="D162" t="inlineStr">
        <is>
          <t>.pdf</t>
        </is>
      </c>
      <c r="E162" t="inlineStr">
        <is>
          <t>2025-05-11T11:53:00+00:00</t>
        </is>
      </c>
      <c r="F162" t="inlineStr">
        <is>
          <t>3446140</t>
        </is>
      </c>
      <c r="G162" t="inlineStr">
        <is>
          <t>a917f36a1cbfad8a6162c7270ab79d8407d3440ca24adf2ff1819577055521d5</t>
        </is>
      </c>
      <c r="H162" t="inlineStr">
        <is>
          <t>Extracted text</t>
        </is>
      </c>
      <c r="I162" t="inlineStr">
        <is>
          <t>Related edition, supporting context or superseded source; no independent trial inferred</t>
        </is>
      </c>
      <c r="J162" t="inlineStr">
        <is>
          <t>No owner production trial log found</t>
        </is>
      </c>
      <c r="K162" t="inlineStr">
        <is>
          <t>English (text screening)</t>
        </is>
      </c>
      <c r="L162" t="inlineStr">
        <is>
          <t>No explicit version established; modified date is file metadata only</t>
        </is>
      </c>
      <c r="M162" t="inlineStr">
        <is>
          <t>43 extracted pages/blocks/rows; 7 recipe keyword signals (not recipe count)</t>
        </is>
      </c>
    </row>
    <row r="163">
      <c r="A163" t="inlineStr">
        <is>
          <t>S060</t>
        </is>
      </c>
      <c r="B163" t="inlineStr">
        <is>
          <t>last final purchase list march2025.xlsx</t>
        </is>
      </c>
      <c r="C163" t="inlineStr">
        <is>
          <t>C:\Users\J COMPUTER\OneDrive - Questindustries\bakery pdfs\last final purchase list march2025.xlsx</t>
        </is>
      </c>
      <c r="D163" t="inlineStr">
        <is>
          <t>.xlsx</t>
        </is>
      </c>
      <c r="E163" t="inlineStr">
        <is>
          <t>2025-04-07T07:55:14+00:00</t>
        </is>
      </c>
      <c r="F163" t="inlineStr">
        <is>
          <t>17428</t>
        </is>
      </c>
      <c r="G163" t="inlineStr">
        <is>
          <t>a8e8d0516f24148b7566cb330cbba20ff45462ad92c18c85c98e2113d3173ae2</t>
        </is>
      </c>
      <c r="H163" t="inlineStr">
        <is>
          <t>Extracted text</t>
        </is>
      </c>
      <c r="I163" t="inlineStr">
        <is>
          <t>Equipment/purchase context only; not proof of installed specification</t>
        </is>
      </c>
      <c r="J163" t="inlineStr">
        <is>
          <t>No owner production trial log found</t>
        </is>
      </c>
      <c r="K163" t="inlineStr">
        <is>
          <t>English (text screening)</t>
        </is>
      </c>
      <c r="L163" t="inlineStr">
        <is>
          <t>No explicit version established; modified date is file metadata only</t>
        </is>
      </c>
      <c r="M163" t="inlineStr">
        <is>
          <t>19 extracted pages/blocks/rows; 0 recipe keyword signals (not recipe count)</t>
        </is>
      </c>
    </row>
    <row r="164">
      <c r="A164" t="inlineStr">
        <is>
          <t>S061</t>
        </is>
      </c>
      <c r="B164" t="inlineStr">
        <is>
          <t>next purchase costings Feb 2025.xlsx</t>
        </is>
      </c>
      <c r="C164" t="inlineStr">
        <is>
          <t>C:\Users\J COMPUTER\OneDrive - Questindustries\bakery pdfs\next purchase costings Feb 2025.xlsx</t>
        </is>
      </c>
      <c r="D164" t="inlineStr">
        <is>
          <t>.xlsx</t>
        </is>
      </c>
      <c r="E164" t="inlineStr">
        <is>
          <t>2025-04-07T07:55:10+00:00</t>
        </is>
      </c>
      <c r="F164" t="inlineStr">
        <is>
          <t>16044</t>
        </is>
      </c>
      <c r="G164" t="inlineStr">
        <is>
          <t>8562681ad796329c7808e0dd2ce4d7b16da2ed974734f7d6a3862a2d0e849adf</t>
        </is>
      </c>
      <c r="H164" t="inlineStr">
        <is>
          <t>Extracted text</t>
        </is>
      </c>
      <c r="I164" t="inlineStr">
        <is>
          <t>Equipment/purchase context only; not proof of installed specification</t>
        </is>
      </c>
      <c r="J164" t="inlineStr">
        <is>
          <t>No owner production trial log found</t>
        </is>
      </c>
      <c r="K164" t="inlineStr">
        <is>
          <t>English (text screening)</t>
        </is>
      </c>
      <c r="L164" t="inlineStr">
        <is>
          <t>No explicit version established; modified date is file metadata only</t>
        </is>
      </c>
      <c r="M164" t="inlineStr">
        <is>
          <t>110 extracted pages/blocks/rows; 0 recipe keyword signals (not recipe count)</t>
        </is>
      </c>
    </row>
    <row r="165">
      <c r="A165" t="inlineStr">
        <is>
          <t>S062</t>
        </is>
      </c>
      <c r="B165" t="inlineStr">
        <is>
          <t>next purchase costings Jan 22 20252.xlsx</t>
        </is>
      </c>
      <c r="C165" t="inlineStr">
        <is>
          <t>C:\Users\J COMPUTER\OneDrive - Questindustries\bakery pdfs\next purchase costings Jan 22 20252.xlsx</t>
        </is>
      </c>
      <c r="D165" t="inlineStr">
        <is>
          <t>.xlsx</t>
        </is>
      </c>
      <c r="E165" t="inlineStr">
        <is>
          <t>2025-04-07T07:55:10+00:00</t>
        </is>
      </c>
      <c r="F165" t="inlineStr">
        <is>
          <t>11912</t>
        </is>
      </c>
      <c r="G165" t="inlineStr">
        <is>
          <t>7f62048e413505e123323e7cdfe897eb83d5807b7eeb268294b544e013db6cb3</t>
        </is>
      </c>
      <c r="H165" t="inlineStr">
        <is>
          <t>Extracted text</t>
        </is>
      </c>
      <c r="I165" t="inlineStr">
        <is>
          <t>Equipment/purchase context only; not proof of installed specification</t>
        </is>
      </c>
      <c r="J165" t="inlineStr">
        <is>
          <t>No owner production trial log found</t>
        </is>
      </c>
      <c r="K165" t="inlineStr">
        <is>
          <t>Not established / non-text</t>
        </is>
      </c>
      <c r="L165" t="inlineStr">
        <is>
          <t>No explicit version established; modified date is file metadata only</t>
        </is>
      </c>
      <c r="M165" t="inlineStr">
        <is>
          <t>46 extracted pages/blocks/rows; 0 recipe keyword signals (not recipe count)</t>
        </is>
      </c>
    </row>
    <row r="166">
      <c r="A166" t="inlineStr">
        <is>
          <t>S063</t>
        </is>
      </c>
      <c r="B166" t="inlineStr">
        <is>
          <t>next purchase costings.xlsx</t>
        </is>
      </c>
      <c r="C166" t="inlineStr">
        <is>
          <t>C:\Users\J COMPUTER\OneDrive - Questindustries\bakery pdfs\next purchase costings.xlsx</t>
        </is>
      </c>
      <c r="D166" t="inlineStr">
        <is>
          <t>.xlsx</t>
        </is>
      </c>
      <c r="E166" t="inlineStr">
        <is>
          <t>2025-08-31T12:08:10+00:00</t>
        </is>
      </c>
      <c r="F166" t="inlineStr">
        <is>
          <t>11348</t>
        </is>
      </c>
      <c r="G166" t="inlineStr">
        <is>
          <t>b88f74bc1e02c62362e24c690588c10bf70aecf6de8aceacac90d99b177b1438</t>
        </is>
      </c>
      <c r="H166" t="inlineStr">
        <is>
          <t>Extracted text</t>
        </is>
      </c>
      <c r="I166" t="inlineStr">
        <is>
          <t>Equipment/purchase context only; not proof of installed specification</t>
        </is>
      </c>
      <c r="J166" t="inlineStr">
        <is>
          <t>No owner production trial log found</t>
        </is>
      </c>
      <c r="K166" t="inlineStr">
        <is>
          <t>Not established / non-text</t>
        </is>
      </c>
      <c r="L166" t="inlineStr">
        <is>
          <t>No explicit version established; modified date is file metadata only</t>
        </is>
      </c>
      <c r="M166" t="inlineStr">
        <is>
          <t>24 extracted pages/blocks/rows; 0 recipe keyword signals (not recipe count)</t>
        </is>
      </c>
    </row>
    <row r="167">
      <c r="A167" t="inlineStr">
        <is>
          <t>S064</t>
        </is>
      </c>
      <c r="B167" t="inlineStr">
        <is>
          <t>PI from dorothy dorothy.xlsx</t>
        </is>
      </c>
      <c r="C167" t="inlineStr">
        <is>
          <t>C:\Users\J COMPUTER\OneDrive - Questindustries\bakery pdfs\PI from dorothy dorothy.xlsx</t>
        </is>
      </c>
      <c r="D167" t="inlineStr">
        <is>
          <t>.xlsx</t>
        </is>
      </c>
      <c r="E167" t="inlineStr">
        <is>
          <t>2025-04-10T07:18:52+00:00</t>
        </is>
      </c>
      <c r="F167" t="inlineStr">
        <is>
          <t>5683918</t>
        </is>
      </c>
      <c r="G167" t="inlineStr">
        <is>
          <t>ac63772e887194e2ad16a6de917d63af220b9fa5372ca806157266a95155b351</t>
        </is>
      </c>
      <c r="H167" t="inlineStr">
        <is>
          <t>Extracted text</t>
        </is>
      </c>
      <c r="I167" t="inlineStr">
        <is>
          <t>Equipment/purchase context only; not proof of installed specification</t>
        </is>
      </c>
      <c r="J167" t="inlineStr">
        <is>
          <t>No owner production trial log found</t>
        </is>
      </c>
      <c r="K167" t="inlineStr">
        <is>
          <t>English (text screening)</t>
        </is>
      </c>
      <c r="L167" t="inlineStr">
        <is>
          <t>No explicit version established; modified date is file metadata only</t>
        </is>
      </c>
      <c r="M167" t="inlineStr">
        <is>
          <t>54 extracted pages/blocks/rows; 0 recipe keyword signals (not recipe count)</t>
        </is>
      </c>
    </row>
    <row r="168">
      <c r="A168" t="inlineStr">
        <is>
          <t>S065</t>
        </is>
      </c>
      <c r="B168" t="inlineStr">
        <is>
          <t>PI from Rachel Wang.pdf</t>
        </is>
      </c>
      <c r="C168" t="inlineStr">
        <is>
          <t>C:\Users\J COMPUTER\OneDrive - Questindustries\bakery pdfs\PI from Rachel Wang.pdf</t>
        </is>
      </c>
      <c r="D168" t="inlineStr">
        <is>
          <t>.pdf</t>
        </is>
      </c>
      <c r="E168" t="inlineStr">
        <is>
          <t>2025-07-24T07:03:45+00:00</t>
        </is>
      </c>
      <c r="F168" t="inlineStr">
        <is>
          <t>304351</t>
        </is>
      </c>
      <c r="G168" t="inlineStr">
        <is>
          <t>66740bea1fc0f558e90e04e9e3cf599f5ff4786a6eb057f3a65b46548c2fc007</t>
        </is>
      </c>
      <c r="H168" t="inlineStr">
        <is>
          <t>Little or no extractable text; visual review required</t>
        </is>
      </c>
      <c r="I168" t="inlineStr">
        <is>
          <t>Equipment/purchase context only; not proof of installed specification</t>
        </is>
      </c>
      <c r="J168" t="inlineStr">
        <is>
          <t>No owner production trial log found</t>
        </is>
      </c>
      <c r="K168" t="inlineStr">
        <is>
          <t>Not established / non-text</t>
        </is>
      </c>
      <c r="L168" t="inlineStr">
        <is>
          <t>No explicit version established; modified date is file metadata only</t>
        </is>
      </c>
      <c r="M168" t="inlineStr">
        <is>
          <t>1 extracted pages/blocks/rows; 0 recipe keyword signals (not recipe count)</t>
        </is>
      </c>
    </row>
    <row r="169">
      <c r="A169" t="inlineStr">
        <is>
          <t>S066</t>
        </is>
      </c>
      <c r="B169" t="inlineStr">
        <is>
          <t>price comparison sheet.xlsx</t>
        </is>
      </c>
      <c r="C169" t="inlineStr">
        <is>
          <t>C:\Users\J COMPUTER\OneDrive - Questindustries\bakery pdfs\price comparison sheet.xlsx</t>
        </is>
      </c>
      <c r="D169" t="inlineStr">
        <is>
          <t>.xlsx</t>
        </is>
      </c>
      <c r="E169" t="inlineStr">
        <is>
          <t>2026-10-03T12:11:10.226078+00:00</t>
        </is>
      </c>
      <c r="F169" t="inlineStr">
        <is>
          <t>27811</t>
        </is>
      </c>
      <c r="G169" t="inlineStr">
        <is>
          <t>b6b8bd4ef4823e90abd2d39d61534a3f47e57272c5fcedccaa0cecd14d89e2e8</t>
        </is>
      </c>
      <c r="H169" t="inlineStr">
        <is>
          <t>Extracted text</t>
        </is>
      </c>
      <c r="I169" t="inlineStr">
        <is>
          <t>Equipment/purchase context only; not proof of installed specification</t>
        </is>
      </c>
      <c r="J169" t="inlineStr">
        <is>
          <t>No owner production trial log found</t>
        </is>
      </c>
      <c r="K169" t="inlineStr">
        <is>
          <t>English (text screening)</t>
        </is>
      </c>
      <c r="L169" t="inlineStr">
        <is>
          <t>No explicit version established; modified date is file metadata only</t>
        </is>
      </c>
      <c r="M169" t="inlineStr">
        <is>
          <t>211 extracted pages/blocks/rows; 2 recipe keyword signals (not recipe count)</t>
        </is>
      </c>
    </row>
    <row r="170">
      <c r="A170" t="inlineStr">
        <is>
          <t>S067</t>
        </is>
      </c>
      <c r="B170" t="inlineStr">
        <is>
          <t>R&amp;M Catalog 2025 winnie tang .pdf</t>
        </is>
      </c>
      <c r="C170" t="inlineStr">
        <is>
          <t>C:\Users\J COMPUTER\OneDrive - Questindustries\bakery pdfs\R&amp;M Catalog 2025 winnie tang .pdf</t>
        </is>
      </c>
      <c r="D170" t="inlineStr">
        <is>
          <t>.pdf</t>
        </is>
      </c>
      <c r="E170" t="inlineStr">
        <is>
          <t>2025-03-14T04:41:03+00:00</t>
        </is>
      </c>
      <c r="F170" t="inlineStr">
        <is>
          <t>20925107</t>
        </is>
      </c>
      <c r="G170" t="inlineStr">
        <is>
          <t>47c2b4dcc4e0ec5b99061bbff52a1a61c2448b0d9d4557cb5cca20c198dfeee4</t>
        </is>
      </c>
      <c r="H170" t="inlineStr">
        <is>
          <t>Little or no extractable text; visual review required</t>
        </is>
      </c>
      <c r="I170" t="inlineStr">
        <is>
          <t>Equipment/purchase context only; not proof of installed specification</t>
        </is>
      </c>
      <c r="J170" t="inlineStr">
        <is>
          <t>No owner production trial log found</t>
        </is>
      </c>
      <c r="K170" t="inlineStr">
        <is>
          <t>Not established / non-text</t>
        </is>
      </c>
      <c r="L170" t="inlineStr">
        <is>
          <t>No explicit version established; modified date is file metadata only</t>
        </is>
      </c>
      <c r="M170" t="inlineStr">
        <is>
          <t>37 extracted pages/blocks/rows; 0 recipe keyword signals (not recipe count)</t>
        </is>
      </c>
    </row>
    <row r="171">
      <c r="A171" t="inlineStr">
        <is>
          <t>S068</t>
        </is>
      </c>
      <c r="B171" t="inlineStr">
        <is>
          <t>Shanghai Hongzhong Industry.pdf</t>
        </is>
      </c>
      <c r="C171" t="inlineStr">
        <is>
          <t>C:\Users\J COMPUTER\OneDrive - Questindustries\bakery pdfs\Shanghai Hongzhong Industry.pdf</t>
        </is>
      </c>
      <c r="D171" t="inlineStr">
        <is>
          <t>.pdf</t>
        </is>
      </c>
      <c r="E171" t="inlineStr">
        <is>
          <t>2025-03-30T08:27:17+00:00</t>
        </is>
      </c>
      <c r="F171" t="inlineStr">
        <is>
          <t>97080227</t>
        </is>
      </c>
      <c r="G171" t="inlineStr">
        <is>
          <t>faf4a2b0c24d5a3a5875100765e8f9b8cedd41c9f568eb9f9d9b7f9e5338be63</t>
        </is>
      </c>
      <c r="H171" t="inlineStr">
        <is>
          <t>Little or no extractable text; visual review required</t>
        </is>
      </c>
      <c r="I171" t="inlineStr">
        <is>
          <t>Equipment/purchase context only; not proof of installed specification</t>
        </is>
      </c>
      <c r="J171" t="inlineStr">
        <is>
          <t>No owner production trial log found</t>
        </is>
      </c>
      <c r="K171" t="inlineStr">
        <is>
          <t>Not established / non-text</t>
        </is>
      </c>
      <c r="L171" t="inlineStr">
        <is>
          <t>No explicit version established; modified date is file metadata only</t>
        </is>
      </c>
      <c r="M171" t="inlineStr">
        <is>
          <t>32 extracted pages/blocks/rows; 0 recipe keyword signals (not recipe count)</t>
        </is>
      </c>
    </row>
    <row r="172">
      <c r="A172" t="inlineStr">
        <is>
          <t>S069</t>
        </is>
      </c>
      <c r="B172" t="inlineStr">
        <is>
          <t>Bakery Production Management System.docx</t>
        </is>
      </c>
      <c r="C172" t="inlineStr">
        <is>
          <t>C:\Users\J COMPUTER\OneDrive - Questindustries\Bakery Production Management System.docx</t>
        </is>
      </c>
      <c r="D172" t="inlineStr">
        <is>
          <t>.docx</t>
        </is>
      </c>
      <c r="E172" t="inlineStr">
        <is>
          <t>2025-09-12T05:27:11+00:00</t>
        </is>
      </c>
      <c r="F172" t="inlineStr">
        <is>
          <t>17206</t>
        </is>
      </c>
      <c r="G172" t="inlineStr">
        <is>
          <t>8df6f3d853f3e73bac7b6b6bee7824179daccda11aa085dd4c57cf174aa795c9</t>
        </is>
      </c>
      <c r="H172" t="inlineStr">
        <is>
          <t>Excluded: unrelated administrative, software or purchasing material</t>
        </is>
      </c>
      <c r="I172" t="inlineStr">
        <is>
          <t>Not a food recipe</t>
        </is>
      </c>
      <c r="J172" t="inlineStr">
        <is>
          <t>No owner production trial log found</t>
        </is>
      </c>
      <c r="K172" t="inlineStr">
        <is>
          <t>English (text screening)</t>
        </is>
      </c>
      <c r="L172" t="inlineStr">
        <is>
          <t>No explicit version established; modified date is file metadata only</t>
        </is>
      </c>
      <c r="M172" t="inlineStr">
        <is>
          <t>53 extracted pages/blocks/rows; 8 recipe keyword signals (not recipe count)</t>
        </is>
      </c>
    </row>
    <row r="173">
      <c r="A173" t="inlineStr">
        <is>
          <t>S070</t>
        </is>
      </c>
      <c r="B173" t="inlineStr">
        <is>
          <t>Bakery Production Management System.pdf</t>
        </is>
      </c>
      <c r="C173" t="inlineStr">
        <is>
          <t>C:\Users\J COMPUTER\OneDrive - Questindustries\Bakery Production Management System.pdf</t>
        </is>
      </c>
      <c r="D173" t="inlineStr">
        <is>
          <t>.pdf</t>
        </is>
      </c>
      <c r="E173" t="inlineStr">
        <is>
          <t>2025-09-12T05:28:34+00:00</t>
        </is>
      </c>
      <c r="F173" t="inlineStr">
        <is>
          <t>65626</t>
        </is>
      </c>
      <c r="G173" t="inlineStr">
        <is>
          <t>1ed322b672e5dbee3ff65fd9e453ead8877c014c4ace76013281c9d7b768f110</t>
        </is>
      </c>
      <c r="H173" t="inlineStr">
        <is>
          <t>Excluded: unrelated administrative, software or purchasing material</t>
        </is>
      </c>
      <c r="I173" t="inlineStr">
        <is>
          <t>Not a food recipe</t>
        </is>
      </c>
      <c r="J173" t="inlineStr">
        <is>
          <t>No owner production trial log found</t>
        </is>
      </c>
      <c r="K173" t="inlineStr">
        <is>
          <t>English (text screening)</t>
        </is>
      </c>
      <c r="L173" t="inlineStr">
        <is>
          <t>No explicit version established; modified date is file metadata only</t>
        </is>
      </c>
      <c r="M173" t="inlineStr">
        <is>
          <t>2 extracted pages/blocks/rows; 8 recipe keyword signals (not recipe count)</t>
        </is>
      </c>
    </row>
    <row r="174">
      <c r="A174" t="inlineStr">
        <is>
          <t>S071</t>
        </is>
      </c>
      <c r="B174" t="inlineStr">
        <is>
          <t>baguette recipe.docx</t>
        </is>
      </c>
      <c r="C174" t="inlineStr">
        <is>
          <t>C:\Users\J COMPUTER\OneDrive - Questindustries\bakery recipes\baguette recipe.docx</t>
        </is>
      </c>
      <c r="D174" t="inlineStr">
        <is>
          <t>.docx</t>
        </is>
      </c>
      <c r="E174" t="inlineStr">
        <is>
          <t>2025-11-17T09:30:08.317370+00:00</t>
        </is>
      </c>
      <c r="F174" t="inlineStr">
        <is>
          <t>17906</t>
        </is>
      </c>
      <c r="G174" t="inlineStr">
        <is>
          <t>1d1f47ad6f3a978fd2b6c8ca229909ebe2947d09ab19c9f6668e899f9b7b7e3d</t>
        </is>
      </c>
      <c r="H174" t="inlineStr">
        <is>
          <t>Extracted text</t>
        </is>
      </c>
      <c r="I174" t="inlineStr">
        <is>
          <t>Recipe source or technical context included</t>
        </is>
      </c>
      <c r="J174" t="inlineStr">
        <is>
          <t>No owner production trial log found</t>
        </is>
      </c>
      <c r="K174" t="inlineStr">
        <is>
          <t>English (text screening)</t>
        </is>
      </c>
      <c r="L174" t="inlineStr">
        <is>
          <t>No explicit version established; modified date is file metadata only</t>
        </is>
      </c>
      <c r="M174" t="inlineStr">
        <is>
          <t>50 extracted pages/blocks/rows; 6 recipe keyword signals (not recipe count)</t>
        </is>
      </c>
    </row>
    <row r="175">
      <c r="A175" t="inlineStr">
        <is>
          <t>S072</t>
        </is>
      </c>
      <c r="B175" t="inlineStr">
        <is>
          <t>burger buns recipe.docx</t>
        </is>
      </c>
      <c r="C175" t="inlineStr">
        <is>
          <t>C:\Users\J COMPUTER\OneDrive - Questindustries\bakery recipes\burger buns recipe.docx</t>
        </is>
      </c>
      <c r="D175" t="inlineStr">
        <is>
          <t>.docx</t>
        </is>
      </c>
      <c r="E175" t="inlineStr">
        <is>
          <t>2025-11-17T17:06:47.784506+00:00</t>
        </is>
      </c>
      <c r="F175" t="inlineStr">
        <is>
          <t>18166</t>
        </is>
      </c>
      <c r="G175" t="inlineStr">
        <is>
          <t>03ce3ee4823d5430eeada4d60900fb9e8421546cb47a90ff53ef65906174e0ff</t>
        </is>
      </c>
      <c r="H175" t="inlineStr">
        <is>
          <t>Extracted text</t>
        </is>
      </c>
      <c r="I175" t="inlineStr">
        <is>
          <t>Recipe source or technical context included</t>
        </is>
      </c>
      <c r="J175" t="inlineStr">
        <is>
          <t>No owner production trial log found</t>
        </is>
      </c>
      <c r="K175" t="inlineStr">
        <is>
          <t>English (text screening)</t>
        </is>
      </c>
      <c r="L175" t="inlineStr">
        <is>
          <t>No explicit version established; modified date is file metadata only</t>
        </is>
      </c>
      <c r="M175" t="inlineStr">
        <is>
          <t>62 extracted pages/blocks/rows; 4 recipe keyword signals (not recipe count)</t>
        </is>
      </c>
    </row>
    <row r="176">
      <c r="A176" t="inlineStr">
        <is>
          <t>S073</t>
        </is>
      </c>
      <c r="B176" t="inlineStr">
        <is>
          <t>Kumba bread and Cassava bread 2 most valued Cameroonian bakery breads.docx</t>
        </is>
      </c>
      <c r="C176" t="inlineStr">
        <is>
          <t>C:\Users\J COMPUTER\OneDrive - Questindustries\bakery recipes\Kumba bread and Cassava bread 2 most valued Cameroonian bakery breads.docx</t>
        </is>
      </c>
      <c r="D176" t="inlineStr">
        <is>
          <t>.docx</t>
        </is>
      </c>
      <c r="E176" t="inlineStr">
        <is>
          <t>2025-11-17T09:41:11.964581+00:00</t>
        </is>
      </c>
      <c r="F176" t="inlineStr">
        <is>
          <t>18369</t>
        </is>
      </c>
      <c r="G176" t="inlineStr">
        <is>
          <t>22f9ac6a21331d2992b213ac656852aa2f4a22395f0c4147ee8103a349ec01ff</t>
        </is>
      </c>
      <c r="H176" t="inlineStr">
        <is>
          <t>Extracted text</t>
        </is>
      </c>
      <c r="I176" t="inlineStr">
        <is>
          <t>Recipe source or technical context included</t>
        </is>
      </c>
      <c r="J176" t="inlineStr">
        <is>
          <t>No owner production trial log found</t>
        </is>
      </c>
      <c r="K176" t="inlineStr">
        <is>
          <t>English (text screening)</t>
        </is>
      </c>
      <c r="L176" t="inlineStr">
        <is>
          <t>No explicit version established; modified date is file metadata only</t>
        </is>
      </c>
      <c r="M176" t="inlineStr">
        <is>
          <t>62 extracted pages/blocks/rows; 6 recipe keyword signals (not recipe count)</t>
        </is>
      </c>
    </row>
    <row r="177">
      <c r="A177" t="inlineStr">
        <is>
          <t>S074</t>
        </is>
      </c>
      <c r="B177" t="inlineStr">
        <is>
          <t>Pain au lait.docx</t>
        </is>
      </c>
      <c r="C177" t="inlineStr">
        <is>
          <t>C:\Users\J COMPUTER\OneDrive - Questindustries\bakery recipes\Pain au lait.docx</t>
        </is>
      </c>
      <c r="D177" t="inlineStr">
        <is>
          <t>.docx</t>
        </is>
      </c>
      <c r="E177" t="inlineStr">
        <is>
          <t>2025-11-17T09:44:31.912118+00:00</t>
        </is>
      </c>
      <c r="F177" t="inlineStr">
        <is>
          <t>18707</t>
        </is>
      </c>
      <c r="G177" t="inlineStr">
        <is>
          <t>d118a4118e2ad42519a5217a8f69b42de39f1b1a201a502e14c68d1c1c1e816a</t>
        </is>
      </c>
      <c r="H177" t="inlineStr">
        <is>
          <t>Extracted text</t>
        </is>
      </c>
      <c r="I177" t="inlineStr">
        <is>
          <t>Recipe source or technical context included</t>
        </is>
      </c>
      <c r="J177" t="inlineStr">
        <is>
          <t>No owner production trial log found</t>
        </is>
      </c>
      <c r="K177" t="inlineStr">
        <is>
          <t>English (text screening)</t>
        </is>
      </c>
      <c r="L177" t="inlineStr">
        <is>
          <t>No explicit version established; modified date is file metadata only</t>
        </is>
      </c>
      <c r="M177" t="inlineStr">
        <is>
          <t>44 extracted pages/blocks/rows; 7 recipe keyword signals (not recipe count)</t>
        </is>
      </c>
    </row>
    <row r="178">
      <c r="A178" t="inlineStr">
        <is>
          <t>S075</t>
        </is>
      </c>
      <c r="B178" t="inlineStr">
        <is>
          <t>Danisa biscuits  and Baguette productionl manual.docx</t>
        </is>
      </c>
      <c r="C178" t="inlineStr">
        <is>
          <t>C:\Users\J COMPUTER\OneDrive - Questindustries\Danisa biscuits  and Baguette productionl manual.docx</t>
        </is>
      </c>
      <c r="D178" t="inlineStr">
        <is>
          <t>.docx</t>
        </is>
      </c>
      <c r="E178" t="inlineStr">
        <is>
          <t>2025-07-23T22:07:31+00:00</t>
        </is>
      </c>
      <c r="F178" t="inlineStr">
        <is>
          <t>41275</t>
        </is>
      </c>
      <c r="G178" t="inlineStr">
        <is>
          <t>ef498c0ab3b39f78456d044719fb7fd09d7ca70d2e4127a611990f76039ae599</t>
        </is>
      </c>
      <c r="H178" t="inlineStr">
        <is>
          <t>Extracted text</t>
        </is>
      </c>
      <c r="I178" t="inlineStr">
        <is>
          <t>Recipe source or technical context included</t>
        </is>
      </c>
      <c r="J178" t="inlineStr">
        <is>
          <t>No owner production trial log found</t>
        </is>
      </c>
      <c r="K178" t="inlineStr">
        <is>
          <t>English (text screening)</t>
        </is>
      </c>
      <c r="L178" t="inlineStr">
        <is>
          <t>No explicit version established; modified date is file metadata only</t>
        </is>
      </c>
      <c r="M178" t="inlineStr">
        <is>
          <t>163 extracted pages/blocks/rows; 20 recipe keyword signals (not recipe count)</t>
        </is>
      </c>
    </row>
    <row r="179">
      <c r="A179" t="inlineStr">
        <is>
          <t>S076</t>
        </is>
      </c>
      <c r="B179" t="inlineStr">
        <is>
          <t>new bakery recipes 21 juLY 2024.xlsx</t>
        </is>
      </c>
      <c r="C179" t="inlineStr">
        <is>
          <t>C:\Users\J COMPUTER\OneDrive - Questindustries\dbakes management\new bakery recipes 21 juLY 2024.xlsx</t>
        </is>
      </c>
      <c r="D179" t="inlineStr">
        <is>
          <t>.xlsx</t>
        </is>
      </c>
      <c r="E179" t="inlineStr">
        <is>
          <t>2024-09-28T09:20:11+00:00</t>
        </is>
      </c>
      <c r="F179" t="inlineStr">
        <is>
          <t>74372</t>
        </is>
      </c>
      <c r="G179" t="inlineStr">
        <is>
          <t>eaa2f89f7a878174ea559840a6a51ea3bd18d89e99168360887e3aca526c1f0a</t>
        </is>
      </c>
      <c r="H179" t="inlineStr">
        <is>
          <t>Extracted text</t>
        </is>
      </c>
      <c r="I179" t="inlineStr">
        <is>
          <t>Recipe source or technical context included</t>
        </is>
      </c>
      <c r="J179" t="inlineStr">
        <is>
          <t>No owner production trial log found</t>
        </is>
      </c>
      <c r="K179" t="inlineStr">
        <is>
          <t>English (text screening)</t>
        </is>
      </c>
      <c r="L179" t="inlineStr">
        <is>
          <t>No explicit version established; modified date is file metadata only</t>
        </is>
      </c>
      <c r="M179" t="inlineStr">
        <is>
          <t>471 extracted pages/blocks/rows; 29 recipe keyword signals (not recipe count)</t>
        </is>
      </c>
    </row>
    <row r="180">
      <c r="A180" t="inlineStr">
        <is>
          <t>S077</t>
        </is>
      </c>
      <c r="B180" t="inlineStr">
        <is>
          <t>new bakery recipes 27 juLY 2024.xlsx</t>
        </is>
      </c>
      <c r="C180" t="inlineStr">
        <is>
          <t>C:\Users\J COMPUTER\OneDrive - Questindustries\dbakes management\new bakery recipes 27 juLY 2024.xlsx</t>
        </is>
      </c>
      <c r="D180" t="inlineStr">
        <is>
          <t>.xlsx</t>
        </is>
      </c>
      <c r="E180" t="inlineStr">
        <is>
          <t>2024-09-28T09:20:10+00:00</t>
        </is>
      </c>
      <c r="F180" t="inlineStr">
        <is>
          <t>78170</t>
        </is>
      </c>
      <c r="G180" t="inlineStr">
        <is>
          <t>c03bcd4b6a85410e5598fa20a11ce0855091b1b0bae8370bd322a6e237c2f8a1</t>
        </is>
      </c>
      <c r="H180" t="inlineStr">
        <is>
          <t>Extracted text</t>
        </is>
      </c>
      <c r="I180" t="inlineStr">
        <is>
          <t>Recipe source or technical context included</t>
        </is>
      </c>
      <c r="J180" t="inlineStr">
        <is>
          <t>No owner production trial log found</t>
        </is>
      </c>
      <c r="K180" t="inlineStr">
        <is>
          <t>English (text screening)</t>
        </is>
      </c>
      <c r="L180" t="inlineStr">
        <is>
          <t>No explicit version established; modified date is file metadata only</t>
        </is>
      </c>
      <c r="M180" t="inlineStr">
        <is>
          <t>491 extracted pages/blocks/rows; 30 recipe keyword signals (not recipe count)</t>
        </is>
      </c>
    </row>
    <row r="181">
      <c r="A181" t="inlineStr">
        <is>
          <t>S078</t>
        </is>
      </c>
      <c r="B181" t="inlineStr">
        <is>
          <t>new bakery recipes june 2024.xlsx</t>
        </is>
      </c>
      <c r="C181" t="inlineStr">
        <is>
          <t>C:\Users\J COMPUTER\OneDrive - Questindustries\dbakes management\new bakery recipes june 2024.xlsx</t>
        </is>
      </c>
      <c r="D181" t="inlineStr">
        <is>
          <t>.xlsx</t>
        </is>
      </c>
      <c r="E181" t="inlineStr">
        <is>
          <t>2024-09-28T09:20:10+00:00</t>
        </is>
      </c>
      <c r="F181" t="inlineStr">
        <is>
          <t>74372</t>
        </is>
      </c>
      <c r="G181" t="inlineStr">
        <is>
          <t>b22de3eb27305b712322c01a1ad32a7954914c59b7cebcf37802a726bde4746c</t>
        </is>
      </c>
      <c r="H181" t="inlineStr">
        <is>
          <t>Extracted text</t>
        </is>
      </c>
      <c r="I181" t="inlineStr">
        <is>
          <t>Recipe source or technical context included</t>
        </is>
      </c>
      <c r="J181" t="inlineStr">
        <is>
          <t>No owner production trial log found</t>
        </is>
      </c>
      <c r="K181" t="inlineStr">
        <is>
          <t>English (text screening)</t>
        </is>
      </c>
      <c r="L181" t="inlineStr">
        <is>
          <t>No explicit version established; modified date is file metadata only</t>
        </is>
      </c>
      <c r="M181" t="inlineStr">
        <is>
          <t>471 extracted pages/blocks/rows; 29 recipe keyword signals (not recipe count)</t>
        </is>
      </c>
    </row>
    <row r="182">
      <c r="A182" t="inlineStr">
        <is>
          <t>S079</t>
        </is>
      </c>
      <c r="B182" t="inlineStr">
        <is>
          <t>next purchase costings july 22 2024.xlsx</t>
        </is>
      </c>
      <c r="C182" t="inlineStr">
        <is>
          <t>C:\Users\J COMPUTER\OneDrive - Questindustries\dbakes management\next purchase costings july 22 2024.xlsx</t>
        </is>
      </c>
      <c r="D182" t="inlineStr">
        <is>
          <t>.xlsx</t>
        </is>
      </c>
      <c r="E182" t="inlineStr">
        <is>
          <t>2024-09-28T09:20:11+00:00</t>
        </is>
      </c>
      <c r="F182" t="inlineStr">
        <is>
          <t>11909</t>
        </is>
      </c>
      <c r="G182" t="inlineStr">
        <is>
          <t>8397bf5a004fd2bd80aac57ad2d7d96428ed8fafb1189d9fe5f9d9b5c257730d</t>
        </is>
      </c>
      <c r="H182" t="inlineStr">
        <is>
          <t>Extracted text</t>
        </is>
      </c>
      <c r="I182" t="inlineStr">
        <is>
          <t>Equipment/purchase context only; not proof of installed specification</t>
        </is>
      </c>
      <c r="J182" t="inlineStr">
        <is>
          <t>No owner production trial log found</t>
        </is>
      </c>
      <c r="K182" t="inlineStr">
        <is>
          <t>Not established / non-text</t>
        </is>
      </c>
      <c r="L182" t="inlineStr">
        <is>
          <t>No explicit version established; modified date is file metadata only</t>
        </is>
      </c>
      <c r="M182" t="inlineStr">
        <is>
          <t>46 extracted pages/blocks/rows; 0 recipe keyword signals (not recipe count)</t>
        </is>
      </c>
    </row>
    <row r="183">
      <c r="A183" t="inlineStr">
        <is>
          <t>S080</t>
        </is>
      </c>
      <c r="B183" t="inlineStr">
        <is>
          <t>next purchase costings.xlsx</t>
        </is>
      </c>
      <c r="C183" t="inlineStr">
        <is>
          <t>C:\Users\J COMPUTER\OneDrive - Questindustries\dbakes management\next purchase costings.xlsx</t>
        </is>
      </c>
      <c r="D183" t="inlineStr">
        <is>
          <t>.xlsx</t>
        </is>
      </c>
      <c r="E183" t="inlineStr">
        <is>
          <t>2025-04-06T09:18:58+00:00</t>
        </is>
      </c>
      <c r="F183" t="inlineStr">
        <is>
          <t>10838</t>
        </is>
      </c>
      <c r="G183" t="inlineStr">
        <is>
          <t>f0e734d1889bcad9e1c0061df2fe581360d927b63ca6edecae4b8c73fe665b3c</t>
        </is>
      </c>
      <c r="H183" t="inlineStr">
        <is>
          <t>Extracted text</t>
        </is>
      </c>
      <c r="I183" t="inlineStr">
        <is>
          <t>Equipment/purchase context only; not proof of installed specification</t>
        </is>
      </c>
      <c r="J183" t="inlineStr">
        <is>
          <t>No owner production trial log found</t>
        </is>
      </c>
      <c r="K183" t="inlineStr">
        <is>
          <t>Not established / non-text</t>
        </is>
      </c>
      <c r="L183" t="inlineStr">
        <is>
          <t>No explicit version established; modified date is file metadata only</t>
        </is>
      </c>
      <c r="M183" t="inlineStr">
        <is>
          <t>24 extracted pages/blocks/rows; 0 recipe keyword signals (not recipe count)</t>
        </is>
      </c>
    </row>
    <row r="184">
      <c r="A184" t="inlineStr">
        <is>
          <t>I07</t>
        </is>
      </c>
      <c r="B184" t="inlineStr">
        <is>
          <t>yummu bread july 27 24.png</t>
        </is>
      </c>
      <c r="C184" t="inlineStr">
        <is>
          <t>C:\Users\J COMPUTER\OneDrive - Questindustries\dbakes management\yummu bread july 27 24.png</t>
        </is>
      </c>
      <c r="D184" t="inlineStr">
        <is>
          <t>.png</t>
        </is>
      </c>
      <c r="E184" t="inlineStr">
        <is>
          <t>2024-09-28T09:20:11+00:00</t>
        </is>
      </c>
      <c r="F184" t="inlineStr">
        <is>
          <t>63824</t>
        </is>
      </c>
      <c r="H184" t="inlineStr">
        <is>
          <t>Visually screened relevant images; original preserved</t>
        </is>
      </c>
      <c r="I184" t="inlineStr">
        <is>
          <t>Image screening: burger reference, workbook screenshot or equipment photo; unrelated exam images excluded</t>
        </is>
      </c>
      <c r="J184" t="inlineStr">
        <is>
          <t>No owner production trial log found</t>
        </is>
      </c>
      <c r="K184" t="inlineStr">
        <is>
          <t>Not established / non-text</t>
        </is>
      </c>
      <c r="L184" t="inlineStr">
        <is>
          <t>No explicit version established; modified date is file metadata only</t>
        </is>
      </c>
      <c r="M184" t="inlineStr">
        <is>
          <t xml:space="preserve"> extracted pages/blocks/rows;  recipe keyword signals (not recipe count)</t>
        </is>
      </c>
    </row>
    <row r="185">
      <c r="B185" t="inlineStr">
        <is>
          <t>~$new bakery recipes 27 juLY 2024.xlsx</t>
        </is>
      </c>
      <c r="C185" t="inlineStr">
        <is>
          <t>C:\Users\J COMPUTER\OneDrive - Questindustries\dbakes management\~$new bakery recipes 27 juLY 2024.xlsx</t>
        </is>
      </c>
      <c r="D185" t="inlineStr">
        <is>
          <t>.xlsx</t>
        </is>
      </c>
      <c r="E185" t="inlineStr">
        <is>
          <t>2025-04-07T07:21:59+00:00</t>
        </is>
      </c>
      <c r="F185" t="inlineStr">
        <is>
          <t>165</t>
        </is>
      </c>
      <c r="H185" t="inlineStr">
        <is>
          <t>Office lock file</t>
        </is>
      </c>
      <c r="I185" t="inlineStr">
        <is>
          <t>Filename screened</t>
        </is>
      </c>
      <c r="J185" t="inlineStr">
        <is>
          <t>No owner production trial log found</t>
        </is>
      </c>
      <c r="K185" t="inlineStr">
        <is>
          <t>Not established / non-text</t>
        </is>
      </c>
      <c r="L185" t="inlineStr">
        <is>
          <t>No explicit version established; modified date is file metadata only</t>
        </is>
      </c>
      <c r="M185" t="inlineStr">
        <is>
          <t xml:space="preserve"> extracted pages/blocks/rows;  recipe keyword signals (not recipe count)</t>
        </is>
      </c>
    </row>
    <row r="186">
      <c r="B186" t="inlineStr">
        <is>
          <t>~$next purchase costings july 22 2024.xlsx</t>
        </is>
      </c>
      <c r="C186" t="inlineStr">
        <is>
          <t>C:\Users\J COMPUTER\OneDrive - Questindustries\dbakes management\~$next purchase costings july 22 2024.xlsx</t>
        </is>
      </c>
      <c r="D186" t="inlineStr">
        <is>
          <t>.xlsx</t>
        </is>
      </c>
      <c r="E186" t="inlineStr">
        <is>
          <t>2024-09-28T09:20:11+00:00</t>
        </is>
      </c>
      <c r="F186" t="inlineStr">
        <is>
          <t>165</t>
        </is>
      </c>
      <c r="H186" t="inlineStr">
        <is>
          <t>Office lock file</t>
        </is>
      </c>
      <c r="I186" t="inlineStr">
        <is>
          <t>Filename screened</t>
        </is>
      </c>
      <c r="J186" t="inlineStr">
        <is>
          <t>No owner production trial log found</t>
        </is>
      </c>
      <c r="K186" t="inlineStr">
        <is>
          <t>Not established / non-text</t>
        </is>
      </c>
      <c r="L186" t="inlineStr">
        <is>
          <t>No explicit version established; modified date is file metadata only</t>
        </is>
      </c>
      <c r="M186" t="inlineStr">
        <is>
          <t xml:space="preserve"> extracted pages/blocks/rows;  recipe keyword signals (not recipe count)</t>
        </is>
      </c>
    </row>
    <row r="187">
      <c r="B187" t="inlineStr">
        <is>
          <t>~$next purchase costings.xlsx</t>
        </is>
      </c>
      <c r="C187" t="inlineStr">
        <is>
          <t>C:\Users\J COMPUTER\OneDrive - Questindustries\dbakes management\~$next purchase costings.xlsx</t>
        </is>
      </c>
      <c r="D187" t="inlineStr">
        <is>
          <t>.xlsx</t>
        </is>
      </c>
      <c r="E187" t="inlineStr">
        <is>
          <t>2024-09-28T09:20:11+00:00</t>
        </is>
      </c>
      <c r="F187" t="inlineStr">
        <is>
          <t>165</t>
        </is>
      </c>
      <c r="H187" t="inlineStr">
        <is>
          <t>Office lock file</t>
        </is>
      </c>
      <c r="I187" t="inlineStr">
        <is>
          <t>Filename screened</t>
        </is>
      </c>
      <c r="J187" t="inlineStr">
        <is>
          <t>No owner production trial log found</t>
        </is>
      </c>
      <c r="K187" t="inlineStr">
        <is>
          <t>Not established / non-text</t>
        </is>
      </c>
      <c r="L187" t="inlineStr">
        <is>
          <t>No explicit version established; modified date is file metadata only</t>
        </is>
      </c>
      <c r="M187" t="inlineStr">
        <is>
          <t xml:space="preserve"> extracted pages/blocks/rows;  recipe keyword signals (not recipe count)</t>
        </is>
      </c>
    </row>
    <row r="188">
      <c r="A188" t="inlineStr">
        <is>
          <t>S081</t>
        </is>
      </c>
      <c r="B188" t="inlineStr">
        <is>
          <t>Delicious breads classic French Baguette rich Italian Ciabatta and soft Japanese Milk Bread.docx</t>
        </is>
      </c>
      <c r="C188" t="inlineStr">
        <is>
          <t>C:\Users\J COMPUTER\OneDrive - Questindustries\Delicious breads classic French Baguette rich Italian Ciabatta and soft Japanese Milk Bread.docx</t>
        </is>
      </c>
      <c r="D188" t="inlineStr">
        <is>
          <t>.docx</t>
        </is>
      </c>
      <c r="E188" t="inlineStr">
        <is>
          <t>2025-09-20T10:31:57+00:00</t>
        </is>
      </c>
      <c r="F188" t="inlineStr">
        <is>
          <t>18468</t>
        </is>
      </c>
      <c r="G188" t="inlineStr">
        <is>
          <t>9613fb8a627322db053576e4adeaf8112011c001a10e77d14fae689a52f0de09</t>
        </is>
      </c>
      <c r="H188" t="inlineStr">
        <is>
          <t>Extracted text</t>
        </is>
      </c>
      <c r="I188" t="inlineStr">
        <is>
          <t>Recipe source or technical context included</t>
        </is>
      </c>
      <c r="J188" t="inlineStr">
        <is>
          <t>No owner production trial log found</t>
        </is>
      </c>
      <c r="K188" t="inlineStr">
        <is>
          <t>English (text screening)</t>
        </is>
      </c>
      <c r="L188" t="inlineStr">
        <is>
          <t>No explicit version established; modified date is file metadata only</t>
        </is>
      </c>
      <c r="M188" t="inlineStr">
        <is>
          <t>109 extracted pages/blocks/rows; 18 recipe keyword signals (not recipe count)</t>
        </is>
      </c>
    </row>
    <row r="189">
      <c r="A189" t="inlineStr">
        <is>
          <t>S082</t>
        </is>
      </c>
      <c r="B189" t="inlineStr">
        <is>
          <t>brioche new recipes 27 juLY 2024.pdf</t>
        </is>
      </c>
      <c r="C189" t="inlineStr">
        <is>
          <t>C:\Users\J COMPUTER\OneDrive - Questindustries\Documents\brioche new recipes 27 juLY 2024.pdf</t>
        </is>
      </c>
      <c r="D189" t="inlineStr">
        <is>
          <t>.pdf</t>
        </is>
      </c>
      <c r="E189" t="inlineStr">
        <is>
          <t>2024-09-10T07:31:17+00:00</t>
        </is>
      </c>
      <c r="F189" t="inlineStr">
        <is>
          <t>51683</t>
        </is>
      </c>
      <c r="G189" t="inlineStr">
        <is>
          <t>038b5a8b0761ce3d5e8c019cf612215ebb2a9028b28b3ca0262f83bcaa27234a</t>
        </is>
      </c>
      <c r="H189" t="inlineStr">
        <is>
          <t>Extracted text</t>
        </is>
      </c>
      <c r="I189" t="inlineStr">
        <is>
          <t>Recipe source or technical context included</t>
        </is>
      </c>
      <c r="J189" t="inlineStr">
        <is>
          <t>No owner production trial log found</t>
        </is>
      </c>
      <c r="K189" t="inlineStr">
        <is>
          <t>English (text screening)</t>
        </is>
      </c>
      <c r="L189" t="inlineStr">
        <is>
          <t>No explicit version established; modified date is file metadata only</t>
        </is>
      </c>
      <c r="M189" t="inlineStr">
        <is>
          <t>2 extracted pages/blocks/rows; 1 recipe keyword signals (not recipe count)</t>
        </is>
      </c>
    </row>
    <row r="190">
      <c r="A190" t="inlineStr">
        <is>
          <t>S083</t>
        </is>
      </c>
      <c r="B190" t="inlineStr">
        <is>
          <t>LISTING DECC EXAMS GBHS NKAMBE 2023-2024.pdf</t>
        </is>
      </c>
      <c r="C190" t="inlineStr">
        <is>
          <t>C:\Users\J COMPUTER\OneDrive - Questindustries\Documents\LISTING DECC EXAMS GBHS NKAMBE 2023-2024.pdf</t>
        </is>
      </c>
      <c r="D190" t="inlineStr">
        <is>
          <t>.pdf</t>
        </is>
      </c>
      <c r="E190" t="inlineStr">
        <is>
          <t>2024-09-10T07:31:19+00:00</t>
        </is>
      </c>
      <c r="F190" t="inlineStr">
        <is>
          <t>19983</t>
        </is>
      </c>
      <c r="G190" t="inlineStr">
        <is>
          <t>ce886106e7512d63a2b0fd68b5680600836f45286a4c66cd0a769bdc342796ec</t>
        </is>
      </c>
      <c r="H190" t="inlineStr">
        <is>
          <t>Excluded: unrelated administrative, software or purchasing material</t>
        </is>
      </c>
      <c r="I190" t="inlineStr">
        <is>
          <t>Not a food recipe</t>
        </is>
      </c>
      <c r="J190" t="inlineStr">
        <is>
          <t>No owner production trial log found</t>
        </is>
      </c>
      <c r="K190" t="inlineStr">
        <is>
          <t>Not established / non-text</t>
        </is>
      </c>
      <c r="L190" t="inlineStr">
        <is>
          <t>No explicit version established; modified date is file metadata only</t>
        </is>
      </c>
      <c r="M190" t="inlineStr">
        <is>
          <t>1 extracted pages/blocks/rows; 0 recipe keyword signals (not recipe count)</t>
        </is>
      </c>
    </row>
    <row r="191">
      <c r="A191" t="inlineStr">
        <is>
          <t>S084</t>
        </is>
      </c>
      <c r="B191" t="inlineStr">
        <is>
          <t>Saint Martin de Porres Parish Binju Nkambe.odt</t>
        </is>
      </c>
      <c r="C191" t="inlineStr">
        <is>
          <t>C:\Users\J COMPUTER\OneDrive - Questindustries\Documents\Saint Martin de Porres Parish Binju Nkambe.odt</t>
        </is>
      </c>
      <c r="D191" t="inlineStr">
        <is>
          <t>.odt</t>
        </is>
      </c>
      <c r="E191" t="inlineStr">
        <is>
          <t>2024-09-10T07:31:23+00:00</t>
        </is>
      </c>
      <c r="F191" t="inlineStr">
        <is>
          <t>6274</t>
        </is>
      </c>
      <c r="G191" t="inlineStr">
        <is>
          <t>9904c01f8949c1cca0aacdcad998a210a3c9c9f498bff851156b9d523be48138</t>
        </is>
      </c>
      <c r="H191" t="inlineStr">
        <is>
          <t>Excluded: unrelated administrative, software or purchasing material</t>
        </is>
      </c>
      <c r="I191" t="inlineStr">
        <is>
          <t>Not a food recipe</t>
        </is>
      </c>
      <c r="J191" t="inlineStr">
        <is>
          <t>No owner production trial log found</t>
        </is>
      </c>
      <c r="K191" t="inlineStr">
        <is>
          <t>Not established / non-text</t>
        </is>
      </c>
      <c r="L191" t="inlineStr">
        <is>
          <t>No explicit version established; modified date is file metadata only</t>
        </is>
      </c>
      <c r="M191" t="inlineStr">
        <is>
          <t>0 extracted pages/blocks/rows; 0 recipe keyword signals (not recipe count)</t>
        </is>
      </c>
    </row>
    <row r="192">
      <c r="A192" t="inlineStr">
        <is>
          <t>S085</t>
        </is>
      </c>
      <c r="B192" t="inlineStr">
        <is>
          <t>Bakery recipes   melto 2026.xlsx</t>
        </is>
      </c>
      <c r="C192" t="inlineStr">
        <is>
          <t>C:\Users\J COMPUTER\OneDrive - Questindustries\Documents\WPS Cloud Files\178160521\Bakery recipes   melto 2026.xlsx</t>
        </is>
      </c>
      <c r="D192" t="inlineStr">
        <is>
          <t>.xlsx</t>
        </is>
      </c>
      <c r="E192" t="inlineStr">
        <is>
          <t>2026-02-12T17:48:40.471274+00:00</t>
        </is>
      </c>
      <c r="F192" t="inlineStr">
        <is>
          <t>118562</t>
        </is>
      </c>
      <c r="G192" t="inlineStr">
        <is>
          <t>2226afd1336e9d608e88a652b465970f022a43a0932a543b84d6b7a131e0a300</t>
        </is>
      </c>
      <c r="H192" t="inlineStr">
        <is>
          <t>Extracted text</t>
        </is>
      </c>
      <c r="I192" t="inlineStr">
        <is>
          <t>Recipe source or technical context included</t>
        </is>
      </c>
      <c r="J192" t="inlineStr">
        <is>
          <t>No owner production trial log found</t>
        </is>
      </c>
      <c r="K192" t="inlineStr">
        <is>
          <t>English (text screening)</t>
        </is>
      </c>
      <c r="L192" t="inlineStr">
        <is>
          <t>No explicit version established; modified date is file metadata only</t>
        </is>
      </c>
      <c r="M192" t="inlineStr">
        <is>
          <t>766 extracted pages/blocks/rows; 51 recipe keyword signals (not recipe count)</t>
        </is>
      </c>
    </row>
    <row r="193">
      <c r="A193" t="inlineStr">
        <is>
          <t>S086</t>
        </is>
      </c>
      <c r="B193" t="inlineStr">
        <is>
          <t>Bakery recipes incl Galette 2025.xlsx</t>
        </is>
      </c>
      <c r="C193" t="inlineStr">
        <is>
          <t>C:\Users\J COMPUTER\OneDrive - Questindustries\Documents\WPS Cloud Files\178160521\Bakery recipes incl Galette 2025.xlsx</t>
        </is>
      </c>
      <c r="D193" t="inlineStr">
        <is>
          <t>.xlsx</t>
        </is>
      </c>
      <c r="E193" t="inlineStr">
        <is>
          <t>2025-12-15T15:20:51.520776+00:00</t>
        </is>
      </c>
      <c r="F193" t="inlineStr">
        <is>
          <t>105359</t>
        </is>
      </c>
      <c r="G193" t="inlineStr">
        <is>
          <t>79f1267fef9826b1d59e16ea89fa3f9f6093385e255b29023cff010a4c6394ee</t>
        </is>
      </c>
      <c r="H193" t="inlineStr">
        <is>
          <t>Extracted text</t>
        </is>
      </c>
      <c r="I193" t="inlineStr">
        <is>
          <t>Recipe source or technical context included</t>
        </is>
      </c>
      <c r="J193" t="inlineStr">
        <is>
          <t>No owner production trial log found</t>
        </is>
      </c>
      <c r="K193" t="inlineStr">
        <is>
          <t>English (text screening)</t>
        </is>
      </c>
      <c r="L193" t="inlineStr">
        <is>
          <t>No explicit version established; modified date is file metadata only</t>
        </is>
      </c>
      <c r="M193" t="inlineStr">
        <is>
          <t>662 extracted pages/blocks/rows; 42 recipe keyword signals (not recipe count)</t>
        </is>
      </c>
    </row>
    <row r="194">
      <c r="B194" t="inlineStr">
        <is>
          <t>~$Bakery recipes   melto 2026.xlsx</t>
        </is>
      </c>
      <c r="C194" t="inlineStr">
        <is>
          <t>C:\Users\J COMPUTER\OneDrive - Questindustries\Documents\WPS Cloud Files\178160521\~$Bakery recipes   melto 2026.xlsx</t>
        </is>
      </c>
      <c r="D194" t="inlineStr">
        <is>
          <t>.xlsx</t>
        </is>
      </c>
      <c r="E194" t="inlineStr">
        <is>
          <t>2026-02-12T16:53:38.264172+00:00</t>
        </is>
      </c>
      <c r="F194" t="inlineStr">
        <is>
          <t>165</t>
        </is>
      </c>
      <c r="H194" t="inlineStr">
        <is>
          <t>Office lock file</t>
        </is>
      </c>
      <c r="I194" t="inlineStr">
        <is>
          <t>Filename screened</t>
        </is>
      </c>
      <c r="J194" t="inlineStr">
        <is>
          <t>No owner production trial log found</t>
        </is>
      </c>
      <c r="K194" t="inlineStr">
        <is>
          <t>Not established / non-text</t>
        </is>
      </c>
      <c r="L194" t="inlineStr">
        <is>
          <t>No explicit version established; modified date is file metadata only</t>
        </is>
      </c>
      <c r="M194" t="inlineStr">
        <is>
          <t xml:space="preserve"> extracted pages/blocks/rows;  recipe keyword signals (not recipe count)</t>
        </is>
      </c>
    </row>
    <row r="195">
      <c r="B195" t="inlineStr">
        <is>
          <t>~$Bakery recipes incl Galette 2025.xlsx</t>
        </is>
      </c>
      <c r="C195" t="inlineStr">
        <is>
          <t>C:\Users\J COMPUTER\OneDrive - Questindustries\Documents\WPS Cloud Files\178160521\~$Bakery recipes incl Galette 2025.xlsx</t>
        </is>
      </c>
      <c r="D195" t="inlineStr">
        <is>
          <t>.xlsx</t>
        </is>
      </c>
      <c r="E195" t="inlineStr">
        <is>
          <t>2025-10-03T06:52:27.097698+00:00</t>
        </is>
      </c>
      <c r="F195" t="inlineStr">
        <is>
          <t>165</t>
        </is>
      </c>
      <c r="H195" t="inlineStr">
        <is>
          <t>Office lock file</t>
        </is>
      </c>
      <c r="I195" t="inlineStr">
        <is>
          <t>Filename screened</t>
        </is>
      </c>
      <c r="J195" t="inlineStr">
        <is>
          <t>No owner production trial log found</t>
        </is>
      </c>
      <c r="K195" t="inlineStr">
        <is>
          <t>Not established / non-text</t>
        </is>
      </c>
      <c r="L195" t="inlineStr">
        <is>
          <t>No explicit version established; modified date is file metadata only</t>
        </is>
      </c>
      <c r="M195" t="inlineStr">
        <is>
          <t xml:space="preserve"> extracted pages/blocks/rows;  recipe keyword signals (not recipe count)</t>
        </is>
      </c>
    </row>
    <row r="196">
      <c r="A196" t="inlineStr">
        <is>
          <t>S087</t>
        </is>
      </c>
      <c r="B196" t="inlineStr">
        <is>
          <t>Homemade Phyllo (or Filo) Dough Recipe.pdf</t>
        </is>
      </c>
      <c r="C196" t="inlineStr">
        <is>
          <t>C:\Users\J COMPUTER\OneDrive - Questindustries\Homemade Phyllo (or Filo) Dough Recipe.pdf</t>
        </is>
      </c>
      <c r="D196" t="inlineStr">
        <is>
          <t>.pdf</t>
        </is>
      </c>
      <c r="E196" t="inlineStr">
        <is>
          <t>2025-04-13T14:38:32+00:00</t>
        </is>
      </c>
      <c r="F196" t="inlineStr">
        <is>
          <t>4260624</t>
        </is>
      </c>
      <c r="G196" t="inlineStr">
        <is>
          <t>b053f4af627ad4041a7f411df854c5eb34a7ae6c42f4af7cbb773a687ff81355</t>
        </is>
      </c>
      <c r="H196" t="inlineStr">
        <is>
          <t>Text encoding failed; locally OCR recovered, quantitative verification remains required</t>
        </is>
      </c>
      <c r="I196" t="inlineStr">
        <is>
          <t>Recipe source or technical context included</t>
        </is>
      </c>
      <c r="J196" t="inlineStr">
        <is>
          <t>No owner production trial log found</t>
        </is>
      </c>
      <c r="K196" t="inlineStr">
        <is>
          <t>Not established / non-text</t>
        </is>
      </c>
      <c r="L196" t="inlineStr">
        <is>
          <t>No explicit version established; modified date is file metadata only</t>
        </is>
      </c>
      <c r="M196" t="inlineStr">
        <is>
          <t>22 extracted pages/blocks/rows; 0 recipe keyword signals (not recipe count)</t>
        </is>
      </c>
    </row>
    <row r="197">
      <c r="A197" t="inlineStr">
        <is>
          <t>S088</t>
        </is>
      </c>
      <c r="B197" t="inlineStr">
        <is>
          <t>Most Profitable Bakery Products for Yaoundé.docx</t>
        </is>
      </c>
      <c r="C197" t="inlineStr">
        <is>
          <t>C:\Users\J COMPUTER\OneDrive - Questindustries\Most Profitable Bakery Products for Yaoundé.docx</t>
        </is>
      </c>
      <c r="D197" t="inlineStr">
        <is>
          <t>.docx</t>
        </is>
      </c>
      <c r="E197" t="inlineStr">
        <is>
          <t>2025-07-23T22:01:52+00:00</t>
        </is>
      </c>
      <c r="F197" t="inlineStr">
        <is>
          <t>22329</t>
        </is>
      </c>
      <c r="G197" t="inlineStr">
        <is>
          <t>3fa69a5ca9ecd40b0dc5afeeec776683661b52963ad5bb25c24bdfcbc2945430</t>
        </is>
      </c>
      <c r="H197" t="inlineStr">
        <is>
          <t>Extracted text</t>
        </is>
      </c>
      <c r="I197" t="inlineStr">
        <is>
          <t>Recipe source or technical context included</t>
        </is>
      </c>
      <c r="J197" t="inlineStr">
        <is>
          <t>No owner production trial log found</t>
        </is>
      </c>
      <c r="K197" t="inlineStr">
        <is>
          <t>English (text screening)</t>
        </is>
      </c>
      <c r="L197" t="inlineStr">
        <is>
          <t>No explicit version established; modified date is file metadata only</t>
        </is>
      </c>
      <c r="M197" t="inlineStr">
        <is>
          <t>170 extracted pages/blocks/rows; 15 recipe keyword signals (not recipe count)</t>
        </is>
      </c>
    </row>
    <row r="198">
      <c r="A198" t="inlineStr">
        <is>
          <t>S089</t>
        </is>
      </c>
      <c r="B198" t="inlineStr">
        <is>
          <t>Most Profitable Bakery Products in Yaoundé.docx</t>
        </is>
      </c>
      <c r="C198" t="inlineStr">
        <is>
          <t>C:\Users\J COMPUTER\OneDrive - Questindustries\Most Profitable Bakery Products in Yaoundé.docx</t>
        </is>
      </c>
      <c r="D198" t="inlineStr">
        <is>
          <t>.docx</t>
        </is>
      </c>
      <c r="E198" t="inlineStr">
        <is>
          <t>2025-07-23T22:08:15+00:00</t>
        </is>
      </c>
      <c r="F198" t="inlineStr">
        <is>
          <t>23269</t>
        </is>
      </c>
      <c r="G198" t="inlineStr">
        <is>
          <t>5ad658207c793dc60ccfab01d6ef92b7d20e2a0812aadd9744ff0eae6fbcfed7</t>
        </is>
      </c>
      <c r="H198" t="inlineStr">
        <is>
          <t>Extracted text</t>
        </is>
      </c>
      <c r="I198" t="inlineStr">
        <is>
          <t>Recipe source or technical context included</t>
        </is>
      </c>
      <c r="J198" t="inlineStr">
        <is>
          <t>No owner production trial log found</t>
        </is>
      </c>
      <c r="K198" t="inlineStr">
        <is>
          <t>English (text screening)</t>
        </is>
      </c>
      <c r="L198" t="inlineStr">
        <is>
          <t>No explicit version established; modified date is file metadata only</t>
        </is>
      </c>
      <c r="M198" t="inlineStr">
        <is>
          <t>166 extracted pages/blocks/rows; 5 recipe keyword signals (not recipe count)</t>
        </is>
      </c>
    </row>
    <row r="199">
      <c r="A199" t="inlineStr">
        <is>
          <t>S090</t>
        </is>
      </c>
      <c r="B199" t="inlineStr">
        <is>
          <t>Most Profitable Bakery Products in Yaoundétake note.docx</t>
        </is>
      </c>
      <c r="C199" t="inlineStr">
        <is>
          <t>C:\Users\J COMPUTER\OneDrive - Questindustries\Most Profitable Bakery Products in Yaoundétake note.docx</t>
        </is>
      </c>
      <c r="D199" t="inlineStr">
        <is>
          <t>.docx</t>
        </is>
      </c>
      <c r="E199" t="inlineStr">
        <is>
          <t>2025-07-23T22:03:07+00:00</t>
        </is>
      </c>
      <c r="F199" t="inlineStr">
        <is>
          <t>23271</t>
        </is>
      </c>
      <c r="G199" t="inlineStr">
        <is>
          <t>8d4057e8437d08fc2952912cbe5bf5d145faa97688cacdd299e4b0a950243a5e</t>
        </is>
      </c>
      <c r="H199" t="inlineStr">
        <is>
          <t>Extracted text</t>
        </is>
      </c>
      <c r="I199" t="inlineStr">
        <is>
          <t>Related edition, supporting context or superseded source; no independent trial inferred</t>
        </is>
      </c>
      <c r="J199" t="inlineStr">
        <is>
          <t>No owner production trial log found</t>
        </is>
      </c>
      <c r="K199" t="inlineStr">
        <is>
          <t>English (text screening)</t>
        </is>
      </c>
      <c r="L199" t="inlineStr">
        <is>
          <t>No explicit version established; modified date is file metadata only</t>
        </is>
      </c>
      <c r="M199" t="inlineStr">
        <is>
          <t>166 extracted pages/blocks/rows; 5 recipe keyword signals (not recipe count)</t>
        </is>
      </c>
    </row>
    <row r="200">
      <c r="A200" t="inlineStr">
        <is>
          <t>S091</t>
        </is>
      </c>
      <c r="B200" t="inlineStr">
        <is>
          <t>New baguette recipe.docx</t>
        </is>
      </c>
      <c r="C200" t="inlineStr">
        <is>
          <t>C:\Users\J COMPUTER\OneDrive - Questindustries\New baguette recipe.docx</t>
        </is>
      </c>
      <c r="D200" t="inlineStr">
        <is>
          <t>.docx</t>
        </is>
      </c>
      <c r="E200" t="inlineStr">
        <is>
          <t>2025-03-24T12:39:02+00:00</t>
        </is>
      </c>
      <c r="F200" t="inlineStr">
        <is>
          <t>15138</t>
        </is>
      </c>
      <c r="G200" t="inlineStr">
        <is>
          <t>bbf125c3f86f9f5179234c1320055f726919d48f685d0dc6039734ab83c8fb16</t>
        </is>
      </c>
      <c r="H200" t="inlineStr">
        <is>
          <t>Extracted text</t>
        </is>
      </c>
      <c r="I200" t="inlineStr">
        <is>
          <t>Recipe source or technical context included</t>
        </is>
      </c>
      <c r="J200" t="inlineStr">
        <is>
          <t>No owner production trial log found</t>
        </is>
      </c>
      <c r="K200" t="inlineStr">
        <is>
          <t>French (text screening)</t>
        </is>
      </c>
      <c r="L200" t="inlineStr">
        <is>
          <t>No explicit version established; modified date is file metadata only</t>
        </is>
      </c>
      <c r="M200" t="inlineStr">
        <is>
          <t>9 extracted pages/blocks/rows; 2 recipe keyword signals (not recipe count)</t>
        </is>
      </c>
    </row>
    <row r="201">
      <c r="A201" t="inlineStr">
        <is>
          <t>S092</t>
        </is>
      </c>
      <c r="B201" t="inlineStr">
        <is>
          <t>Bakery recipes April 2025.xlsx</t>
        </is>
      </c>
      <c r="C201" t="inlineStr">
        <is>
          <t>C:\Users\J COMPUTER\OneDrive - Questindustries\new purchase and bakery recipes\Bakery recipes April 2025.xlsx</t>
        </is>
      </c>
      <c r="D201" t="inlineStr">
        <is>
          <t>.xlsx</t>
        </is>
      </c>
      <c r="E201" t="inlineStr">
        <is>
          <t>2025-04-07T08:36:49+00:00</t>
        </is>
      </c>
      <c r="F201" t="inlineStr">
        <is>
          <t>101077</t>
        </is>
      </c>
      <c r="G201" t="inlineStr">
        <is>
          <t>af84ea597b60f3206c68974ff1240e81790d4850acc50fe657d04193d2c181f6</t>
        </is>
      </c>
      <c r="H201" t="inlineStr">
        <is>
          <t>Extracted text</t>
        </is>
      </c>
      <c r="I201" t="inlineStr">
        <is>
          <t>Related edition, supporting context or superseded source; no independent trial inferred</t>
        </is>
      </c>
      <c r="J201" t="inlineStr">
        <is>
          <t>No owner production trial log found</t>
        </is>
      </c>
      <c r="K201" t="inlineStr">
        <is>
          <t>English (text screening)</t>
        </is>
      </c>
      <c r="L201" t="inlineStr">
        <is>
          <t>No explicit version established; modified date is file metadata only</t>
        </is>
      </c>
      <c r="M201" t="inlineStr">
        <is>
          <t>627 extracted pages/blocks/rows; 39 recipe keyword signals (not recipe count)</t>
        </is>
      </c>
    </row>
    <row r="202">
      <c r="A202" t="inlineStr">
        <is>
          <t>S093</t>
        </is>
      </c>
      <c r="B202" t="inlineStr">
        <is>
          <t>Bakery recipes incllud galette 14th Jan 2025_001.xlsx</t>
        </is>
      </c>
      <c r="C202" t="inlineStr">
        <is>
          <t>C:\Users\J COMPUTER\OneDrive - Questindustries\new purchase and bakery recipes\Bakery recipes incllud galette 14th Jan 2025_001.xlsx</t>
        </is>
      </c>
      <c r="D202" t="inlineStr">
        <is>
          <t>.xlsx</t>
        </is>
      </c>
      <c r="E202" t="inlineStr">
        <is>
          <t>2025-04-07T07:57:04+00:00</t>
        </is>
      </c>
      <c r="F202" t="inlineStr">
        <is>
          <t>83162</t>
        </is>
      </c>
      <c r="G202" t="inlineStr">
        <is>
          <t>4d5bf0f1948cba755c2f2f6a8138956ce53a34d61186e257b37a9a1ad6a39833</t>
        </is>
      </c>
      <c r="H202" t="inlineStr">
        <is>
          <t>Extracted text</t>
        </is>
      </c>
      <c r="I202" t="inlineStr">
        <is>
          <t>Recipe source or technical context included</t>
        </is>
      </c>
      <c r="J202" t="inlineStr">
        <is>
          <t>No owner production trial log found</t>
        </is>
      </c>
      <c r="K202" t="inlineStr">
        <is>
          <t>English (text screening)</t>
        </is>
      </c>
      <c r="L202" t="inlineStr">
        <is>
          <t>No explicit version established; modified date is file metadata only</t>
        </is>
      </c>
      <c r="M202" t="inlineStr">
        <is>
          <t>513 extracted pages/blocks/rows; 32 recipe keyword signals (not recipe count)</t>
        </is>
      </c>
    </row>
    <row r="203">
      <c r="A203" t="inlineStr">
        <is>
          <t>S094</t>
        </is>
      </c>
      <c r="B203" t="inlineStr">
        <is>
          <t>Bakery recipes Jan 2025.xlsx</t>
        </is>
      </c>
      <c r="C203" t="inlineStr">
        <is>
          <t>C:\Users\J COMPUTER\OneDrive - Questindustries\new purchase and bakery recipes\Bakery recipes Jan 2025.xlsx</t>
        </is>
      </c>
      <c r="D203" t="inlineStr">
        <is>
          <t>.xlsx</t>
        </is>
      </c>
      <c r="E203" t="inlineStr">
        <is>
          <t>2025-04-07T07:55:10+00:00</t>
        </is>
      </c>
      <c r="F203" t="inlineStr">
        <is>
          <t>100415</t>
        </is>
      </c>
      <c r="G203" t="inlineStr">
        <is>
          <t>9fc634f1a3162638a2612768db3285f5d8ac6498fc883c5eea49f397aea40e51</t>
        </is>
      </c>
      <c r="H203" t="inlineStr">
        <is>
          <t>Extracted text</t>
        </is>
      </c>
      <c r="I203" t="inlineStr">
        <is>
          <t>Recipe source or technical context included</t>
        </is>
      </c>
      <c r="J203" t="inlineStr">
        <is>
          <t>No owner production trial log found</t>
        </is>
      </c>
      <c r="K203" t="inlineStr">
        <is>
          <t>English (text screening)</t>
        </is>
      </c>
      <c r="L203" t="inlineStr">
        <is>
          <t>No explicit version established; modified date is file metadata only</t>
        </is>
      </c>
      <c r="M203" t="inlineStr">
        <is>
          <t>591 extracted pages/blocks/rows; 36 recipe keyword signals (not recipe count)</t>
        </is>
      </c>
    </row>
    <row r="204">
      <c r="A204" t="inlineStr">
        <is>
          <t>S055</t>
        </is>
      </c>
      <c r="B204" t="inlineStr">
        <is>
          <t>Exported Users Sat Mar 15 2025.xlsx</t>
        </is>
      </c>
      <c r="C204" t="inlineStr">
        <is>
          <t>C:\Users\J COMPUTER\OneDrive - Questindustries\new purchase and bakery recipes\Exported Users Sat Mar 15 2025.xlsx</t>
        </is>
      </c>
      <c r="D204" t="inlineStr">
        <is>
          <t>.xlsx</t>
        </is>
      </c>
      <c r="E204" t="inlineStr">
        <is>
          <t>2025-03-15T13:46:54+00:00</t>
        </is>
      </c>
      <c r="F204" t="inlineStr">
        <is>
          <t>19296</t>
        </is>
      </c>
      <c r="G204" t="inlineStr">
        <is>
          <t>819761a6a2ab7101e4e49a2058145beb6013731c3c77b36bb280b7c5b48d4bac</t>
        </is>
      </c>
      <c r="H204" t="inlineStr">
        <is>
          <t>Excluded: unrelated administrative, software or purchasing material</t>
        </is>
      </c>
      <c r="I204" t="inlineStr">
        <is>
          <t>Not a food recipe</t>
        </is>
      </c>
      <c r="J204" t="inlineStr">
        <is>
          <t>No owner production trial log found</t>
        </is>
      </c>
      <c r="K204" t="inlineStr">
        <is>
          <t>Not established / non-text</t>
        </is>
      </c>
      <c r="L204" t="inlineStr">
        <is>
          <t>No explicit version established; modified date is file metadata only</t>
        </is>
      </c>
      <c r="M204" t="inlineStr">
        <is>
          <t xml:space="preserve"> extracted pages/blocks/rows;  recipe keyword signals (not recipe count)</t>
        </is>
      </c>
    </row>
    <row r="205">
      <c r="A205" t="inlineStr">
        <is>
          <t>S060</t>
        </is>
      </c>
      <c r="B205" t="inlineStr">
        <is>
          <t>last final purchase list march2025.xlsx</t>
        </is>
      </c>
      <c r="C205" t="inlineStr">
        <is>
          <t>C:\Users\J COMPUTER\OneDrive - Questindustries\new purchase and bakery recipes\last final purchase list march2025.xlsx</t>
        </is>
      </c>
      <c r="D205" t="inlineStr">
        <is>
          <t>.xlsx</t>
        </is>
      </c>
      <c r="E205" t="inlineStr">
        <is>
          <t>2025-04-07T07:55:14+00:00</t>
        </is>
      </c>
      <c r="F205" t="inlineStr">
        <is>
          <t>17428</t>
        </is>
      </c>
      <c r="G205" t="inlineStr">
        <is>
          <t>a8e8d0516f24148b7566cb330cbba20ff45462ad92c18c85c98e2113d3173ae2</t>
        </is>
      </c>
      <c r="H205" t="inlineStr">
        <is>
          <t>Exact duplicate</t>
        </is>
      </c>
      <c r="I205" t="inlineStr">
        <is>
          <t>Equipment/purchase context only; not proof of installed specification</t>
        </is>
      </c>
      <c r="J205" t="inlineStr">
        <is>
          <t>No owner production trial log found</t>
        </is>
      </c>
      <c r="K205" t="inlineStr">
        <is>
          <t>English (text screening)</t>
        </is>
      </c>
      <c r="L205" t="inlineStr">
        <is>
          <t>No explicit version established; modified date is file metadata only</t>
        </is>
      </c>
      <c r="M205" t="inlineStr">
        <is>
          <t xml:space="preserve"> extracted pages/blocks/rows;  recipe keyword signals (not recipe count)</t>
        </is>
      </c>
    </row>
    <row r="206">
      <c r="A206" t="inlineStr">
        <is>
          <t>S061</t>
        </is>
      </c>
      <c r="B206" t="inlineStr">
        <is>
          <t>next purchase costings Feb 2025.xlsx</t>
        </is>
      </c>
      <c r="C206" t="inlineStr">
        <is>
          <t>C:\Users\J COMPUTER\OneDrive - Questindustries\new purchase and bakery recipes\next purchase costings Feb 2025.xlsx</t>
        </is>
      </c>
      <c r="D206" t="inlineStr">
        <is>
          <t>.xlsx</t>
        </is>
      </c>
      <c r="E206" t="inlineStr">
        <is>
          <t>2025-04-07T07:55:10+00:00</t>
        </is>
      </c>
      <c r="F206" t="inlineStr">
        <is>
          <t>16044</t>
        </is>
      </c>
      <c r="G206" t="inlineStr">
        <is>
          <t>8562681ad796329c7808e0dd2ce4d7b16da2ed974734f7d6a3862a2d0e849adf</t>
        </is>
      </c>
      <c r="H206" t="inlineStr">
        <is>
          <t>Exact duplicate</t>
        </is>
      </c>
      <c r="I206" t="inlineStr">
        <is>
          <t>Equipment/purchase context only; not proof of installed specification</t>
        </is>
      </c>
      <c r="J206" t="inlineStr">
        <is>
          <t>No owner production trial log found</t>
        </is>
      </c>
      <c r="K206" t="inlineStr">
        <is>
          <t>English (text screening)</t>
        </is>
      </c>
      <c r="L206" t="inlineStr">
        <is>
          <t>No explicit version established; modified date is file metadata only</t>
        </is>
      </c>
      <c r="M206" t="inlineStr">
        <is>
          <t xml:space="preserve"> extracted pages/blocks/rows;  recipe keyword signals (not recipe count)</t>
        </is>
      </c>
    </row>
    <row r="207">
      <c r="A207" t="inlineStr">
        <is>
          <t>S062</t>
        </is>
      </c>
      <c r="B207" t="inlineStr">
        <is>
          <t>next purchase costings Jan 22 20252.xlsx</t>
        </is>
      </c>
      <c r="C207" t="inlineStr">
        <is>
          <t>C:\Users\J COMPUTER\OneDrive - Questindustries\new purchase and bakery recipes\next purchase costings Jan 22 20252.xlsx</t>
        </is>
      </c>
      <c r="D207" t="inlineStr">
        <is>
          <t>.xlsx</t>
        </is>
      </c>
      <c r="E207" t="inlineStr">
        <is>
          <t>2025-04-07T07:55:10+00:00</t>
        </is>
      </c>
      <c r="F207" t="inlineStr">
        <is>
          <t>11912</t>
        </is>
      </c>
      <c r="G207" t="inlineStr">
        <is>
          <t>7f62048e413505e123323e7cdfe897eb83d5807b7eeb268294b544e013db6cb3</t>
        </is>
      </c>
      <c r="H207" t="inlineStr">
        <is>
          <t>Exact duplicate</t>
        </is>
      </c>
      <c r="I207" t="inlineStr">
        <is>
          <t>Equipment/purchase context only; not proof of installed specification</t>
        </is>
      </c>
      <c r="J207" t="inlineStr">
        <is>
          <t>No owner production trial log found</t>
        </is>
      </c>
      <c r="K207" t="inlineStr">
        <is>
          <t>Not established / non-text</t>
        </is>
      </c>
      <c r="L207" t="inlineStr">
        <is>
          <t>No explicit version established; modified date is file metadata only</t>
        </is>
      </c>
      <c r="M207" t="inlineStr">
        <is>
          <t xml:space="preserve"> extracted pages/blocks/rows;  recipe keyword signals (not recipe count)</t>
        </is>
      </c>
    </row>
    <row r="208">
      <c r="A208" t="inlineStr">
        <is>
          <t>S080</t>
        </is>
      </c>
      <c r="B208" t="inlineStr">
        <is>
          <t>next purchase costings.xlsx</t>
        </is>
      </c>
      <c r="C208" t="inlineStr">
        <is>
          <t>C:\Users\J COMPUTER\OneDrive - Questindustries\new purchase and bakery recipes\next purchase costings.xlsx</t>
        </is>
      </c>
      <c r="D208" t="inlineStr">
        <is>
          <t>.xlsx</t>
        </is>
      </c>
      <c r="E208" t="inlineStr">
        <is>
          <t>2025-04-07T07:55:11+00:00</t>
        </is>
      </c>
      <c r="F208" t="inlineStr">
        <is>
          <t>10838</t>
        </is>
      </c>
      <c r="G208" t="inlineStr">
        <is>
          <t>f0e734d1889bcad9e1c0061df2fe581360d927b63ca6edecae4b8c73fe665b3c</t>
        </is>
      </c>
      <c r="H208" t="inlineStr">
        <is>
          <t>Exact duplicate</t>
        </is>
      </c>
      <c r="I208" t="inlineStr">
        <is>
          <t>Equipment/purchase context only; not proof of installed specification</t>
        </is>
      </c>
      <c r="J208" t="inlineStr">
        <is>
          <t>No owner production trial log found</t>
        </is>
      </c>
      <c r="K208" t="inlineStr">
        <is>
          <t>Not established / non-text</t>
        </is>
      </c>
      <c r="L208" t="inlineStr">
        <is>
          <t>No explicit version established; modified date is file metadata only</t>
        </is>
      </c>
      <c r="M208" t="inlineStr">
        <is>
          <t xml:space="preserve"> extracted pages/blocks/rows;  recipe keyword signals (not recipe count)</t>
        </is>
      </c>
    </row>
    <row r="209">
      <c r="A209" t="inlineStr">
        <is>
          <t>S095</t>
        </is>
      </c>
      <c r="B209" t="inlineStr">
        <is>
          <t>price comparison sheet.xlsx</t>
        </is>
      </c>
      <c r="C209" t="inlineStr">
        <is>
          <t>C:\Users\J COMPUTER\OneDrive - Questindustries\new purchase and bakery recipes\price comparison sheet.xlsx</t>
        </is>
      </c>
      <c r="D209" t="inlineStr">
        <is>
          <t>.xlsx</t>
        </is>
      </c>
      <c r="E209" t="inlineStr">
        <is>
          <t>2025-04-07T07:55:11+00:00</t>
        </is>
      </c>
      <c r="F209" t="inlineStr">
        <is>
          <t>11445</t>
        </is>
      </c>
      <c r="G209" t="inlineStr">
        <is>
          <t>e5dbd31a247e330126b75fb072acecacb24c5c5a3724d01d66a108755a814cfd</t>
        </is>
      </c>
      <c r="H209" t="inlineStr">
        <is>
          <t>Extracted text</t>
        </is>
      </c>
      <c r="I209" t="inlineStr">
        <is>
          <t>Equipment/purchase context only; not proof of installed specification</t>
        </is>
      </c>
      <c r="J209" t="inlineStr">
        <is>
          <t>No owner production trial log found</t>
        </is>
      </c>
      <c r="K209" t="inlineStr">
        <is>
          <t>English (text screening)</t>
        </is>
      </c>
      <c r="L209" t="inlineStr">
        <is>
          <t>No explicit version established; modified date is file metadata only</t>
        </is>
      </c>
      <c r="M209" t="inlineStr">
        <is>
          <t>17 extracted pages/blocks/rows; 0 recipe keyword signals (not recipe count)</t>
        </is>
      </c>
    </row>
    <row r="210">
      <c r="A210" t="inlineStr">
        <is>
          <t>S096</t>
        </is>
      </c>
      <c r="B210" t="inlineStr">
        <is>
          <t>professional danisa cookies recipe.docx</t>
        </is>
      </c>
      <c r="C210" t="inlineStr">
        <is>
          <t>C:\Users\J COMPUTER\OneDrive - Questindustries\professional danisa cookies recipe.docx</t>
        </is>
      </c>
      <c r="D210" t="inlineStr">
        <is>
          <t>.docx</t>
        </is>
      </c>
      <c r="E210" t="inlineStr">
        <is>
          <t>2025-07-23T21:43:57+00:00</t>
        </is>
      </c>
      <c r="F210" t="inlineStr">
        <is>
          <t>18430</t>
        </is>
      </c>
      <c r="G210" t="inlineStr">
        <is>
          <t>5e835ba3e67a50c9814b6bbbd7525473157906d50e04f985a362ba212cfca327</t>
        </is>
      </c>
      <c r="H210" t="inlineStr">
        <is>
          <t>Extracted text</t>
        </is>
      </c>
      <c r="I210" t="inlineStr">
        <is>
          <t>Recipe source or technical context included</t>
        </is>
      </c>
      <c r="J210" t="inlineStr">
        <is>
          <t>No owner production trial log found</t>
        </is>
      </c>
      <c r="K210" t="inlineStr">
        <is>
          <t>English (text screening)</t>
        </is>
      </c>
      <c r="L210" t="inlineStr">
        <is>
          <t>No explicit version established; modified date is file metadata only</t>
        </is>
      </c>
      <c r="M210" t="inlineStr">
        <is>
          <t>44 extracted pages/blocks/rows; 7 recipe keyword signals (not recipe count)</t>
        </is>
      </c>
    </row>
    <row r="211">
      <c r="A211" t="inlineStr">
        <is>
          <t>S097</t>
        </is>
      </c>
      <c r="B211" t="inlineStr">
        <is>
          <t>Professional French Baguette Recipe.docx</t>
        </is>
      </c>
      <c r="C211" t="inlineStr">
        <is>
          <t>C:\Users\J COMPUTER\OneDrive - Questindustries\Professional French Baguette Recipe.docx</t>
        </is>
      </c>
      <c r="D211" t="inlineStr">
        <is>
          <t>.docx</t>
        </is>
      </c>
      <c r="E211" t="inlineStr">
        <is>
          <t>2025-07-23T21:42:02+00:00</t>
        </is>
      </c>
      <c r="F211" t="inlineStr">
        <is>
          <t>22800</t>
        </is>
      </c>
      <c r="G211" t="inlineStr">
        <is>
          <t>511dd31210f48ee83a5fefa1161ce31089b8f86669be49172af1bd1d67d2fa73</t>
        </is>
      </c>
      <c r="H211" t="inlineStr">
        <is>
          <t>Extracted text</t>
        </is>
      </c>
      <c r="I211" t="inlineStr">
        <is>
          <t>Recipe source or technical context included</t>
        </is>
      </c>
      <c r="J211" t="inlineStr">
        <is>
          <t>No owner production trial log found</t>
        </is>
      </c>
      <c r="K211" t="inlineStr">
        <is>
          <t>English (text screening)</t>
        </is>
      </c>
      <c r="L211" t="inlineStr">
        <is>
          <t>No explicit version established; modified date is file metadata only</t>
        </is>
      </c>
      <c r="M211" t="inlineStr">
        <is>
          <t>183 extracted pages/blocks/rows; 11 recipe keyword signals (not recipe count)</t>
        </is>
      </c>
    </row>
    <row r="212">
      <c r="A212" t="inlineStr">
        <is>
          <t>S098</t>
        </is>
      </c>
      <c r="B212" t="inlineStr">
        <is>
          <t>Fiche de recettes.pdf</t>
        </is>
      </c>
      <c r="C212" t="inlineStr">
        <is>
          <t>C:\Users\J COMPUTER\OneDrive - Questindustries\receipts\Fiche de recettes.pdf</t>
        </is>
      </c>
      <c r="D212" t="inlineStr">
        <is>
          <t>.pdf</t>
        </is>
      </c>
      <c r="E212" t="inlineStr">
        <is>
          <t>2024-12-19T10:38:03+00:00</t>
        </is>
      </c>
      <c r="F212" t="inlineStr">
        <is>
          <t>96708</t>
        </is>
      </c>
      <c r="G212" t="inlineStr">
        <is>
          <t>d851d28a7cfac839f9241aa5f7e830b270cca8596f8735576fc0357e885bc114</t>
        </is>
      </c>
      <c r="H212" t="inlineStr">
        <is>
          <t>Excluded: unrelated administrative, software or purchasing material</t>
        </is>
      </c>
      <c r="I212" t="inlineStr">
        <is>
          <t>Not a food recipe</t>
        </is>
      </c>
      <c r="J212" t="inlineStr">
        <is>
          <t>No owner production trial log found</t>
        </is>
      </c>
      <c r="K212" t="inlineStr">
        <is>
          <t>Not established / non-text</t>
        </is>
      </c>
      <c r="L212" t="inlineStr">
        <is>
          <t>No explicit version established; modified date is file metadata only</t>
        </is>
      </c>
      <c r="M212" t="inlineStr">
        <is>
          <t>1 extracted pages/blocks/rows; 0 recipe keyword signals (not recipe count)</t>
        </is>
      </c>
    </row>
    <row r="213">
      <c r="A213" t="inlineStr">
        <is>
          <t>S099</t>
        </is>
      </c>
      <c r="B213" t="inlineStr">
        <is>
          <t>Recipes for Bakery.docx</t>
        </is>
      </c>
      <c r="C213" t="inlineStr">
        <is>
          <t>C:\Users\J COMPUTER\OneDrive - Questindustries\Recipes for Bakery.docx</t>
        </is>
      </c>
      <c r="D213" t="inlineStr">
        <is>
          <t>.docx</t>
        </is>
      </c>
      <c r="E213" t="inlineStr">
        <is>
          <t>2025-07-16T18:51:12+00:00</t>
        </is>
      </c>
      <c r="F213" t="inlineStr">
        <is>
          <t>48646</t>
        </is>
      </c>
      <c r="G213" t="inlineStr">
        <is>
          <t>10469e5e8aeb257485d2a1fea6cb1bb4c991625b29f8f46dbcbb226efadbd87f</t>
        </is>
      </c>
      <c r="H213" t="inlineStr">
        <is>
          <t>Extracted text</t>
        </is>
      </c>
      <c r="I213" t="inlineStr">
        <is>
          <t>Recipe source or technical context included</t>
        </is>
      </c>
      <c r="J213" t="inlineStr">
        <is>
          <t>No owner production trial log found</t>
        </is>
      </c>
      <c r="K213" t="inlineStr">
        <is>
          <t>English (text screening)</t>
        </is>
      </c>
      <c r="L213" t="inlineStr">
        <is>
          <t>No explicit version established; modified date is file metadata only</t>
        </is>
      </c>
      <c r="M213" t="inlineStr">
        <is>
          <t>491 extracted pages/blocks/rows; 54 recipe keyword signals (not recipe count)</t>
        </is>
      </c>
    </row>
    <row r="214">
      <c r="A214" t="inlineStr">
        <is>
          <t>S100</t>
        </is>
      </c>
      <c r="B214" t="inlineStr">
        <is>
          <t>DBakes tax receipt 2025.pdf</t>
        </is>
      </c>
      <c r="C214" t="inlineStr">
        <is>
          <t>C:\Users\J COMPUTER\OneDrive - Questindustries\tax delaration documents\DBakes tax receipt 2025.pdf</t>
        </is>
      </c>
      <c r="D214" t="inlineStr">
        <is>
          <t>.pdf</t>
        </is>
      </c>
      <c r="E214" t="inlineStr">
        <is>
          <t>2025-08-29T12:30:12+00:00</t>
        </is>
      </c>
      <c r="F214" t="inlineStr">
        <is>
          <t>2715246</t>
        </is>
      </c>
      <c r="G214" t="inlineStr">
        <is>
          <t>35799c077769bed56b2d5387806523294abfef0f9f6b6200fdb0b7edf659abf5</t>
        </is>
      </c>
      <c r="H214" t="inlineStr">
        <is>
          <t>Excluded: unrelated administrative, software or purchasing material</t>
        </is>
      </c>
      <c r="I214" t="inlineStr">
        <is>
          <t>Not a food recipe</t>
        </is>
      </c>
      <c r="J214" t="inlineStr">
        <is>
          <t>No owner production trial log found</t>
        </is>
      </c>
      <c r="K214" t="inlineStr">
        <is>
          <t>Not established / non-text</t>
        </is>
      </c>
      <c r="L214" t="inlineStr">
        <is>
          <t>No explicit version established; modified date is file metadata only</t>
        </is>
      </c>
      <c r="M214" t="inlineStr">
        <is>
          <t>1 extracted pages/blocks/rows; 0 recipe keyword signals (not recipe count)</t>
        </is>
      </c>
    </row>
    <row r="215">
      <c r="A215" t="inlineStr">
        <is>
          <t>S101</t>
        </is>
      </c>
      <c r="B215" t="inlineStr">
        <is>
          <t>Bakery recipes 1st Oct 2024.xlsx</t>
        </is>
      </c>
      <c r="C215" t="inlineStr">
        <is>
          <t>C:\Users\J COMPUTER\OneDrive\Bakery recipes 1st Oct 2024.xlsx</t>
        </is>
      </c>
      <c r="D215" t="inlineStr">
        <is>
          <t>.xlsx</t>
        </is>
      </c>
      <c r="E215" t="inlineStr">
        <is>
          <t>2025-01-14T07:57:33+00:00</t>
        </is>
      </c>
      <c r="F215" t="inlineStr">
        <is>
          <t>82839</t>
        </is>
      </c>
      <c r="G215" t="inlineStr">
        <is>
          <t>39527f5a67554a2aaa895021b03b67a5c0bc1189a000ccee7e0712f7b832518b</t>
        </is>
      </c>
      <c r="H215" t="inlineStr">
        <is>
          <t>Extracted text</t>
        </is>
      </c>
      <c r="I215" t="inlineStr">
        <is>
          <t>Related edition, supporting context or superseded source; no independent trial inferred</t>
        </is>
      </c>
      <c r="J215" t="inlineStr">
        <is>
          <t>No owner production trial log found</t>
        </is>
      </c>
      <c r="K215" t="inlineStr">
        <is>
          <t>English (text screening)</t>
        </is>
      </c>
      <c r="L215" t="inlineStr">
        <is>
          <t>No explicit version established; modified date is file metadata only</t>
        </is>
      </c>
      <c r="M215" t="inlineStr">
        <is>
          <t>513 extracted pages/blocks/rows; 32 recipe keyword signals (not recipe count)</t>
        </is>
      </c>
    </row>
    <row r="216">
      <c r="A216" t="inlineStr">
        <is>
          <t>S102</t>
        </is>
      </c>
      <c r="B216" t="inlineStr">
        <is>
          <t>bakery costing.xlsx</t>
        </is>
      </c>
      <c r="C216" t="inlineStr">
        <is>
          <t>C:\Users\J COMPUTER\OneDrive\Desktop\bakery costing.xlsx</t>
        </is>
      </c>
      <c r="D216" t="inlineStr">
        <is>
          <t>.xlsx</t>
        </is>
      </c>
      <c r="E216" t="inlineStr">
        <is>
          <t>2024-10-22T10:50:49+00:00</t>
        </is>
      </c>
      <c r="F216" t="inlineStr">
        <is>
          <t>76168</t>
        </is>
      </c>
      <c r="G216" t="inlineStr">
        <is>
          <t>c8f44ef7d8ac9cba3a13bab3467931c62060021c26e98924b585c86f9b0af07a</t>
        </is>
      </c>
      <c r="H216" t="inlineStr">
        <is>
          <t>Extracted text</t>
        </is>
      </c>
      <c r="I216" t="inlineStr">
        <is>
          <t>Recipe source or technical context included</t>
        </is>
      </c>
      <c r="J216" t="inlineStr">
        <is>
          <t>No owner production trial log found</t>
        </is>
      </c>
      <c r="K216" t="inlineStr">
        <is>
          <t>English (text screening)</t>
        </is>
      </c>
      <c r="L216" t="inlineStr">
        <is>
          <t>No explicit version established; modified date is file metadata only</t>
        </is>
      </c>
      <c r="M216" t="inlineStr">
        <is>
          <t>401 extracted pages/blocks/rows; 25 recipe keyword signals (not recipe count)</t>
        </is>
      </c>
    </row>
    <row r="217">
      <c r="A217" t="inlineStr">
        <is>
          <t>S103</t>
        </is>
      </c>
      <c r="B217" t="inlineStr">
        <is>
          <t>bakery%20costing(AutoRecovered).xlsx</t>
        </is>
      </c>
      <c r="C217" t="inlineStr">
        <is>
          <t>C:\Users\J COMPUTER\OneDrive\Desktop\bakery%20costing(AutoRecovered).xlsx</t>
        </is>
      </c>
      <c r="D217" t="inlineStr">
        <is>
          <t>.xlsx</t>
        </is>
      </c>
      <c r="E217" t="inlineStr">
        <is>
          <t>2024-01-19T12:59:19+00:00</t>
        </is>
      </c>
      <c r="F217" t="inlineStr">
        <is>
          <t>54346</t>
        </is>
      </c>
      <c r="G217" t="inlineStr">
        <is>
          <t>477c48f698d3596f61a1c969727b1f6cdd03a45cba3f02b9f59df847c3bd5c9c</t>
        </is>
      </c>
      <c r="H217" t="inlineStr">
        <is>
          <t>Extracted text</t>
        </is>
      </c>
      <c r="I217" t="inlineStr">
        <is>
          <t>Recipe source or technical context included</t>
        </is>
      </c>
      <c r="J217" t="inlineStr">
        <is>
          <t>No owner production trial log found</t>
        </is>
      </c>
      <c r="K217" t="inlineStr">
        <is>
          <t>English (text screening)</t>
        </is>
      </c>
      <c r="L217" t="inlineStr">
        <is>
          <t>No explicit version established; modified date is file metadata only</t>
        </is>
      </c>
      <c r="M217" t="inlineStr">
        <is>
          <t>267 extracted pages/blocks/rows; 17 recipe keyword signals (not recipe count)</t>
        </is>
      </c>
    </row>
    <row r="218">
      <c r="A218" t="inlineStr">
        <is>
          <t>S104</t>
        </is>
      </c>
      <c r="B218" t="inlineStr">
        <is>
          <t>bakery%20costing(AutoRecovered)pdf.pdf</t>
        </is>
      </c>
      <c r="C218" t="inlineStr">
        <is>
          <t>C:\Users\J COMPUTER\OneDrive\Desktop\bakery%20costing(AutoRecovered)pdf.pdf</t>
        </is>
      </c>
      <c r="D218" t="inlineStr">
        <is>
          <t>.pdf</t>
        </is>
      </c>
      <c r="E218" t="inlineStr">
        <is>
          <t>2024-06-02T08:56:13+00:00</t>
        </is>
      </c>
      <c r="F218" t="inlineStr">
        <is>
          <t>155714</t>
        </is>
      </c>
      <c r="G218" t="inlineStr">
        <is>
          <t>bb7702dff3e9103536ad444eb348da2df17cb5211b8921c7b52b0182e3d90120</t>
        </is>
      </c>
      <c r="H218" t="inlineStr">
        <is>
          <t>Extracted text</t>
        </is>
      </c>
      <c r="I218" t="inlineStr">
        <is>
          <t>Related edition, supporting context or superseded source; no independent trial inferred</t>
        </is>
      </c>
      <c r="J218" t="inlineStr">
        <is>
          <t>No owner production trial log found</t>
        </is>
      </c>
      <c r="K218" t="inlineStr">
        <is>
          <t>French/English mixed (text screening)</t>
        </is>
      </c>
      <c r="L218" t="inlineStr">
        <is>
          <t>No explicit version established; modified date is file metadata only</t>
        </is>
      </c>
      <c r="M218" t="inlineStr">
        <is>
          <t>39 extracted pages/blocks/rows; 17 recipe keyword signals (not recipe count)</t>
        </is>
      </c>
    </row>
    <row r="219">
      <c r="A219" t="inlineStr">
        <is>
          <t>S105</t>
        </is>
      </c>
      <c r="B219" t="inlineStr">
        <is>
          <t>new bakery recipes may 13 24.xlsx</t>
        </is>
      </c>
      <c r="C219" t="inlineStr">
        <is>
          <t>C:\Users\J COMPUTER\OneDrive\Desktop\new bakery recipes may 13 24.xlsx</t>
        </is>
      </c>
      <c r="D219" t="inlineStr">
        <is>
          <t>.xlsx</t>
        </is>
      </c>
      <c r="E219" t="inlineStr">
        <is>
          <t>2024-06-08T07:35:36+00:00</t>
        </is>
      </c>
      <c r="F219" t="inlineStr">
        <is>
          <t>85440</t>
        </is>
      </c>
      <c r="G219" t="inlineStr">
        <is>
          <t>809decd84499960c35b9df68154b86bb55b58c7d042d06e0dc2fb092e0807516</t>
        </is>
      </c>
      <c r="H219" t="inlineStr">
        <is>
          <t>Extracted text</t>
        </is>
      </c>
      <c r="I219" t="inlineStr">
        <is>
          <t>Recipe source or technical context included</t>
        </is>
      </c>
      <c r="J219" t="inlineStr">
        <is>
          <t>No owner production trial log found</t>
        </is>
      </c>
      <c r="K219" t="inlineStr">
        <is>
          <t>English (text screening)</t>
        </is>
      </c>
      <c r="L219" t="inlineStr">
        <is>
          <t>No explicit version established; modified date is file metadata only</t>
        </is>
      </c>
      <c r="M219" t="inlineStr">
        <is>
          <t>446 extracted pages/blocks/rows; 29 recipe keyword signals (not recipe count)</t>
        </is>
      </c>
    </row>
    <row r="220">
      <c r="A220" t="inlineStr">
        <is>
          <t>S106</t>
        </is>
      </c>
      <c r="B220" t="inlineStr">
        <is>
          <t>Bakery recipes 12 Dec 2024.xlsx</t>
        </is>
      </c>
      <c r="C220" t="inlineStr">
        <is>
          <t>C:\Users\J COMPUTER\OneDrive\Desktop\recommendation letter\Bakery recipes 12 Dec 2024.xlsx</t>
        </is>
      </c>
      <c r="D220" t="inlineStr">
        <is>
          <t>.xlsx</t>
        </is>
      </c>
      <c r="E220" t="inlineStr">
        <is>
          <t>2025-01-11T14:21:06+00:00</t>
        </is>
      </c>
      <c r="F220" t="inlineStr">
        <is>
          <t>90863</t>
        </is>
      </c>
      <c r="G220" t="inlineStr">
        <is>
          <t>ff533146f473fca0028ee2799f22bb002dd959ee066e55dc27bc3edf4c653dab</t>
        </is>
      </c>
      <c r="H220" t="inlineStr">
        <is>
          <t>Extracted text</t>
        </is>
      </c>
      <c r="I220" t="inlineStr">
        <is>
          <t>Recipe source or technical context included</t>
        </is>
      </c>
      <c r="J220" t="inlineStr">
        <is>
          <t>No owner production trial log found</t>
        </is>
      </c>
      <c r="K220" t="inlineStr">
        <is>
          <t>English (text screening)</t>
        </is>
      </c>
      <c r="L220" t="inlineStr">
        <is>
          <t>No explicit version established; modified date is file metadata only</t>
        </is>
      </c>
      <c r="M220" t="inlineStr">
        <is>
          <t>567 extracted pages/blocks/rows; 35 recipe keyword signals (not recipe count)</t>
        </is>
      </c>
    </row>
    <row r="221">
      <c r="A221" t="inlineStr">
        <is>
          <t>S041</t>
        </is>
      </c>
      <c r="B221" t="inlineStr">
        <is>
          <t>16 32 64 trays rotary oven.pdf</t>
        </is>
      </c>
      <c r="C221" t="inlineStr">
        <is>
          <t>C:\Users\J COMPUTER\OneDrive\Documents\bakery pdfs\16 32 64 trays rotary oven.pdf</t>
        </is>
      </c>
      <c r="D221" t="inlineStr">
        <is>
          <t>.pdf</t>
        </is>
      </c>
      <c r="E221" t="inlineStr">
        <is>
          <t>2025-03-30T08:20:26+00:00</t>
        </is>
      </c>
      <c r="F221" t="inlineStr">
        <is>
          <t>241712</t>
        </is>
      </c>
      <c r="G221" t="inlineStr">
        <is>
          <t>e2c03ebe66d665b72d0c8c2bfc6d4c69ffb1764eefb739a823affa22e5808450</t>
        </is>
      </c>
      <c r="H221" t="inlineStr">
        <is>
          <t>Exact duplicate</t>
        </is>
      </c>
      <c r="I221" t="inlineStr">
        <is>
          <t>Equipment/purchase context only; not proof of installed specification</t>
        </is>
      </c>
      <c r="J221" t="inlineStr">
        <is>
          <t>No owner production trial log found</t>
        </is>
      </c>
      <c r="K221" t="inlineStr">
        <is>
          <t>Not established / non-text</t>
        </is>
      </c>
      <c r="L221" t="inlineStr">
        <is>
          <t>No explicit version established; modified date is file metadata only</t>
        </is>
      </c>
      <c r="M221" t="inlineStr">
        <is>
          <t xml:space="preserve"> extracted pages/blocks/rows;  recipe keyword signals (not recipe count)</t>
        </is>
      </c>
    </row>
    <row r="222">
      <c r="A222" t="inlineStr">
        <is>
          <t>S042</t>
        </is>
      </c>
      <c r="B222" t="inlineStr">
        <is>
          <t>16+32+64+trays+rotary+oven.pdf</t>
        </is>
      </c>
      <c r="C222" t="inlineStr">
        <is>
          <t>C:\Users\J COMPUTER\OneDrive\Documents\bakery pdfs\16+32+64+trays+rotary+oven.pdf</t>
        </is>
      </c>
      <c r="D222" t="inlineStr">
        <is>
          <t>.pdf</t>
        </is>
      </c>
      <c r="E222" t="inlineStr">
        <is>
          <t>2025-03-30T08:09:54+00:00</t>
        </is>
      </c>
      <c r="F222" t="inlineStr">
        <is>
          <t>242252</t>
        </is>
      </c>
      <c r="G222" t="inlineStr">
        <is>
          <t>dddb4359df2f96f7f548133b256eb493f36e9e1fca51bbe366b3b2eaaa59bff0</t>
        </is>
      </c>
      <c r="H222" t="inlineStr">
        <is>
          <t>Exact duplicate</t>
        </is>
      </c>
      <c r="I222" t="inlineStr">
        <is>
          <t>Equipment/purchase context only; not proof of installed specification</t>
        </is>
      </c>
      <c r="J222" t="inlineStr">
        <is>
          <t>No owner production trial log found</t>
        </is>
      </c>
      <c r="K222" t="inlineStr">
        <is>
          <t>Not established / non-text</t>
        </is>
      </c>
      <c r="L222" t="inlineStr">
        <is>
          <t>No explicit version established; modified date is file metadata only</t>
        </is>
      </c>
      <c r="M222" t="inlineStr">
        <is>
          <t xml:space="preserve"> extracted pages/blocks/rows;  recipe keyword signals (not recipe count)</t>
        </is>
      </c>
    </row>
    <row r="223">
      <c r="B223" t="inlineStr">
        <is>
          <t>21b797e8e663f2790871ba24c8393040.png</t>
        </is>
      </c>
      <c r="C223" t="inlineStr">
        <is>
          <t>C:\Users\J COMPUTER\OneDrive\Documents\bakery pdfs\21b797e8e663f2790871ba24c8393040.png</t>
        </is>
      </c>
      <c r="D223" t="inlineStr">
        <is>
          <t>.png</t>
        </is>
      </c>
      <c r="E223" t="inlineStr">
        <is>
          <t>2025-04-01T08:58:16+00:00</t>
        </is>
      </c>
      <c r="F223" t="inlineStr">
        <is>
          <t>279592</t>
        </is>
      </c>
      <c r="H223" t="inlineStr">
        <is>
          <t>Visually screened relevant images; original preserved</t>
        </is>
      </c>
      <c r="I223" t="inlineStr">
        <is>
          <t>Image screening: burger reference, workbook screenshot or equipment photo; unrelated exam images excluded</t>
        </is>
      </c>
      <c r="J223" t="inlineStr">
        <is>
          <t>No owner production trial log found</t>
        </is>
      </c>
      <c r="K223" t="inlineStr">
        <is>
          <t>Not established / non-text</t>
        </is>
      </c>
      <c r="L223" t="inlineStr">
        <is>
          <t>No explicit version established; modified date is file metadata only</t>
        </is>
      </c>
      <c r="M223" t="inlineStr">
        <is>
          <t xml:space="preserve"> extracted pages/blocks/rows;  recipe keyword signals (not recipe count)</t>
        </is>
      </c>
    </row>
    <row r="224">
      <c r="B224" t="inlineStr">
        <is>
          <t>3ae06b491aa9f9a58355d664ac2aa69b (1).jpg</t>
        </is>
      </c>
      <c r="C224" t="inlineStr">
        <is>
          <t>C:\Users\J COMPUTER\OneDrive\Documents\bakery pdfs\3ae06b491aa9f9a58355d664ac2aa69b (1).jpg</t>
        </is>
      </c>
      <c r="D224" t="inlineStr">
        <is>
          <t>.jpg</t>
        </is>
      </c>
      <c r="E224" t="inlineStr">
        <is>
          <t>2025-03-17T17:24:59+00:00</t>
        </is>
      </c>
      <c r="F224" t="inlineStr">
        <is>
          <t>1052574</t>
        </is>
      </c>
      <c r="H224" t="inlineStr">
        <is>
          <t>Visually screened relevant images; original preserved</t>
        </is>
      </c>
      <c r="I224" t="inlineStr">
        <is>
          <t>Image screening: burger reference, workbook screenshot or equipment photo; unrelated exam images excluded</t>
        </is>
      </c>
      <c r="J224" t="inlineStr">
        <is>
          <t>No owner production trial log found</t>
        </is>
      </c>
      <c r="K224" t="inlineStr">
        <is>
          <t>Not established / non-text</t>
        </is>
      </c>
      <c r="L224" t="inlineStr">
        <is>
          <t>No explicit version established; modified date is file metadata only</t>
        </is>
      </c>
      <c r="M224" t="inlineStr">
        <is>
          <t xml:space="preserve"> extracted pages/blocks/rows;  recipe keyword signals (not recipe count)</t>
        </is>
      </c>
    </row>
    <row r="225">
      <c r="B225" t="inlineStr">
        <is>
          <t>3ae06b491aa9f9a58355d664ac2aa69b.jpg</t>
        </is>
      </c>
      <c r="C225" t="inlineStr">
        <is>
          <t>C:\Users\J COMPUTER\OneDrive\Documents\bakery pdfs\3ae06b491aa9f9a58355d664ac2aa69b.jpg</t>
        </is>
      </c>
      <c r="D225" t="inlineStr">
        <is>
          <t>.jpg</t>
        </is>
      </c>
      <c r="E225" t="inlineStr">
        <is>
          <t>2025-03-17T17:25:12+00:00</t>
        </is>
      </c>
      <c r="F225" t="inlineStr">
        <is>
          <t>1052574</t>
        </is>
      </c>
      <c r="H225" t="inlineStr">
        <is>
          <t>Visually screened relevant images; original preserved</t>
        </is>
      </c>
      <c r="I225" t="inlineStr">
        <is>
          <t>Image screening: burger reference, workbook screenshot or equipment photo; unrelated exam images excluded</t>
        </is>
      </c>
      <c r="J225" t="inlineStr">
        <is>
          <t>No owner production trial log found</t>
        </is>
      </c>
      <c r="K225" t="inlineStr">
        <is>
          <t>Not established / non-text</t>
        </is>
      </c>
      <c r="L225" t="inlineStr">
        <is>
          <t>No explicit version established; modified date is file metadata only</t>
        </is>
      </c>
      <c r="M225" t="inlineStr">
        <is>
          <t xml:space="preserve"> extracted pages/blocks/rows;  recipe keyword signals (not recipe count)</t>
        </is>
      </c>
    </row>
    <row r="226">
      <c r="A226" t="inlineStr">
        <is>
          <t>S107</t>
        </is>
      </c>
      <c r="B226" t="inlineStr">
        <is>
          <t>_PI  from Shanghai Qusheng Plastic Containers.,ltd to kouatchoua mark.pdf</t>
        </is>
      </c>
      <c r="C226" t="inlineStr">
        <is>
          <t>C:\Users\J COMPUTER\OneDrive\Documents\bakery pdfs\_PI  from Shanghai Qusheng Plastic Containers.,ltd to kouatchoua mark.pdf</t>
        </is>
      </c>
      <c r="D226" t="inlineStr">
        <is>
          <t>.pdf</t>
        </is>
      </c>
      <c r="E226" t="inlineStr">
        <is>
          <t>2025-04-17T09:00:38+00:00</t>
        </is>
      </c>
      <c r="F226" t="inlineStr">
        <is>
          <t>271520</t>
        </is>
      </c>
      <c r="G226" t="inlineStr">
        <is>
          <t>b3b5b6038282e24d50e2568af5ecd8a12e3427917d3fc6396290240380d80e94</t>
        </is>
      </c>
      <c r="H226" t="inlineStr">
        <is>
          <t>Extracted text</t>
        </is>
      </c>
      <c r="I226" t="inlineStr">
        <is>
          <t>Equipment/purchase context only; not proof of installed specification</t>
        </is>
      </c>
      <c r="J226" t="inlineStr">
        <is>
          <t>No owner production trial log found</t>
        </is>
      </c>
      <c r="K226" t="inlineStr">
        <is>
          <t>Not established / non-text</t>
        </is>
      </c>
      <c r="L226" t="inlineStr">
        <is>
          <t>No explicit version established; modified date is file metadata only</t>
        </is>
      </c>
      <c r="M226" t="inlineStr">
        <is>
          <t>1 extracted pages/blocks/rows; 0 recipe keyword signals (not recipe count)</t>
        </is>
      </c>
    </row>
    <row r="227">
      <c r="A227" t="inlineStr">
        <is>
          <t>S043</t>
        </is>
      </c>
      <c r="B227" t="inlineStr">
        <is>
          <t>Alice wang PI for pullman baking pans and trays 2025.pdf</t>
        </is>
      </c>
      <c r="C227" t="inlineStr">
        <is>
          <t>C:\Users\J COMPUTER\OneDrive\Documents\bakery pdfs\Alice wang PI for pullman baking pans and trays 2025.pdf</t>
        </is>
      </c>
      <c r="D227" t="inlineStr">
        <is>
          <t>.pdf</t>
        </is>
      </c>
      <c r="E227" t="inlineStr">
        <is>
          <t>2025-03-14T06:06:11+00:00</t>
        </is>
      </c>
      <c r="F227" t="inlineStr">
        <is>
          <t>139202</t>
        </is>
      </c>
      <c r="G227" t="inlineStr">
        <is>
          <t>8b5ed97f2e732fe285be3f581d186852488351613766d8cfc0f3df31280931d2</t>
        </is>
      </c>
      <c r="H227" t="inlineStr">
        <is>
          <t>Exact duplicate</t>
        </is>
      </c>
      <c r="I227" t="inlineStr">
        <is>
          <t>Equipment/purchase context only; not proof of installed specification</t>
        </is>
      </c>
      <c r="J227" t="inlineStr">
        <is>
          <t>No owner production trial log found</t>
        </is>
      </c>
      <c r="K227" t="inlineStr">
        <is>
          <t>Not established / non-text</t>
        </is>
      </c>
      <c r="L227" t="inlineStr">
        <is>
          <t>No explicit version established; modified date is file metadata only</t>
        </is>
      </c>
      <c r="M227" t="inlineStr">
        <is>
          <t xml:space="preserve"> extracted pages/blocks/rows;  recipe keyword signals (not recipe count)</t>
        </is>
      </c>
    </row>
    <row r="228">
      <c r="A228" t="inlineStr">
        <is>
          <t>S051</t>
        </is>
      </c>
      <c r="B228" t="inlineStr">
        <is>
          <t>chrome-extension___mhjfbmdgcfjbbpaeojofohoefgiehjai_edge_pdf_index.pdf</t>
        </is>
      </c>
      <c r="C228" t="inlineStr">
        <is>
          <t>C:\Users\J COMPUTER\OneDrive\Documents\bakery pdfs\chrome-extension___mhjfbmdgcfjbbpaeojofohoefgiehjai_edge_pdf_index.pdf</t>
        </is>
      </c>
      <c r="D228" t="inlineStr">
        <is>
          <t>.pdf</t>
        </is>
      </c>
      <c r="E228" t="inlineStr">
        <is>
          <t>2025-03-14T05:10:08+00:00</t>
        </is>
      </c>
      <c r="F228" t="inlineStr">
        <is>
          <t>139125</t>
        </is>
      </c>
      <c r="G228" t="inlineStr">
        <is>
          <t>7d3dc33199e198a360b10145716452f2e60dc63ef0f5ec0268af40ca9542d981</t>
        </is>
      </c>
      <c r="H228" t="inlineStr">
        <is>
          <t>Exact duplicate</t>
        </is>
      </c>
      <c r="I228" t="inlineStr">
        <is>
          <t>Equipment/purchase context only; not proof of installed specification</t>
        </is>
      </c>
      <c r="J228" t="inlineStr">
        <is>
          <t>No owner production trial log found</t>
        </is>
      </c>
      <c r="K228" t="inlineStr">
        <is>
          <t>Not established / non-text</t>
        </is>
      </c>
      <c r="L228" t="inlineStr">
        <is>
          <t>No explicit version established; modified date is file metadata only</t>
        </is>
      </c>
      <c r="M228" t="inlineStr">
        <is>
          <t xml:space="preserve"> extracted pages/blocks/rows;  recipe keyword signals (not recipe count)</t>
        </is>
      </c>
    </row>
    <row r="229">
      <c r="B229" t="inlineStr">
        <is>
          <t>d4934413c32ffd1f3f4b5e696b374614.jpg</t>
        </is>
      </c>
      <c r="C229" t="inlineStr">
        <is>
          <t>C:\Users\J COMPUTER\OneDrive\Documents\bakery pdfs\d4934413c32ffd1f3f4b5e696b374614.jpg</t>
        </is>
      </c>
      <c r="D229" t="inlineStr">
        <is>
          <t>.jpg</t>
        </is>
      </c>
      <c r="E229" t="inlineStr">
        <is>
          <t>2025-03-17T17:24:54+00:00</t>
        </is>
      </c>
      <c r="F229" t="inlineStr">
        <is>
          <t>2578357</t>
        </is>
      </c>
      <c r="H229" t="inlineStr">
        <is>
          <t>Visually screened relevant images; original preserved</t>
        </is>
      </c>
      <c r="I229" t="inlineStr">
        <is>
          <t>Image screening: burger reference, workbook screenshot or equipment photo; unrelated exam images excluded</t>
        </is>
      </c>
      <c r="J229" t="inlineStr">
        <is>
          <t>No owner production trial log found</t>
        </is>
      </c>
      <c r="K229" t="inlineStr">
        <is>
          <t>Not established / non-text</t>
        </is>
      </c>
      <c r="L229" t="inlineStr">
        <is>
          <t>No explicit version established; modified date is file metadata only</t>
        </is>
      </c>
      <c r="M229" t="inlineStr">
        <is>
          <t xml:space="preserve"> extracted pages/blocks/rows;  recipe keyword signals (not recipe count)</t>
        </is>
      </c>
    </row>
    <row r="230">
      <c r="A230" t="inlineStr">
        <is>
          <t>S053</t>
        </is>
      </c>
      <c r="B230" t="inlineStr">
        <is>
          <t>document-1733898008081.pdf</t>
        </is>
      </c>
      <c r="C230" t="inlineStr">
        <is>
          <t>C:\Users\J COMPUTER\OneDrive\Documents\bakery pdfs\document-1733898008081.pdf</t>
        </is>
      </c>
      <c r="D230" t="inlineStr">
        <is>
          <t>.pdf</t>
        </is>
      </c>
      <c r="E230" t="inlineStr">
        <is>
          <t>2025-03-22T09:45:18+00:00</t>
        </is>
      </c>
      <c r="F230" t="inlineStr">
        <is>
          <t>86632</t>
        </is>
      </c>
      <c r="G230" t="inlineStr">
        <is>
          <t>bd675f1e1b953f4cf83ef4d0b5df39f30b593309a9610c714d82f6bc3930d04a</t>
        </is>
      </c>
      <c r="H230" t="inlineStr">
        <is>
          <t>Exact duplicate</t>
        </is>
      </c>
      <c r="I230" t="inlineStr">
        <is>
          <t>Equipment/purchase context only; not proof of installed specification</t>
        </is>
      </c>
      <c r="J230" t="inlineStr">
        <is>
          <t>No owner production trial log found</t>
        </is>
      </c>
      <c r="K230" t="inlineStr">
        <is>
          <t>Not established / non-text</t>
        </is>
      </c>
      <c r="L230" t="inlineStr">
        <is>
          <t>No explicit version established; modified date is file metadata only</t>
        </is>
      </c>
      <c r="M230" t="inlineStr">
        <is>
          <t xml:space="preserve"> extracted pages/blocks/rows;  recipe keyword signals (not recipe count)</t>
        </is>
      </c>
    </row>
    <row r="231">
      <c r="A231" t="inlineStr">
        <is>
          <t>S054</t>
        </is>
      </c>
      <c r="B231" t="inlineStr">
        <is>
          <t>dough sheeter quotation（起酥机）.pdf</t>
        </is>
      </c>
      <c r="C231" t="inlineStr">
        <is>
          <t>C:\Users\J COMPUTER\OneDrive\Documents\bakery pdfs\dough sheeter quotation（起酥机）.pdf</t>
        </is>
      </c>
      <c r="D231" t="inlineStr">
        <is>
          <t>.pdf</t>
        </is>
      </c>
      <c r="E231" t="inlineStr">
        <is>
          <t>2025-04-01T08:05:06+00:00</t>
        </is>
      </c>
      <c r="F231" t="inlineStr">
        <is>
          <t>361510</t>
        </is>
      </c>
      <c r="G231" t="inlineStr">
        <is>
          <t>8d4dcf13bb29f8d9a353931b8a03910610d034b557b63de789d16908023fe310</t>
        </is>
      </c>
      <c r="H231" t="inlineStr">
        <is>
          <t>Exact duplicate</t>
        </is>
      </c>
      <c r="I231" t="inlineStr">
        <is>
          <t>Equipment/purchase context only; not proof of installed specification</t>
        </is>
      </c>
      <c r="J231" t="inlineStr">
        <is>
          <t>No owner production trial log found</t>
        </is>
      </c>
      <c r="K231" t="inlineStr">
        <is>
          <t>English (text screening)</t>
        </is>
      </c>
      <c r="L231" t="inlineStr">
        <is>
          <t>No explicit version established; modified date is file metadata only</t>
        </is>
      </c>
      <c r="M231" t="inlineStr">
        <is>
          <t xml:space="preserve"> extracted pages/blocks/rows;  recipe keyword signals (not recipe count)</t>
        </is>
      </c>
    </row>
    <row r="232">
      <c r="A232" t="inlineStr">
        <is>
          <t>S108</t>
        </is>
      </c>
      <c r="B232" t="inlineStr">
        <is>
          <t>Exported Brands Thu Apr 17 2025.xlsx</t>
        </is>
      </c>
      <c r="C232" t="inlineStr">
        <is>
          <t>C:\Users\J COMPUTER\OneDrive\Documents\bakery pdfs\Exported Brands Thu Apr 17 2025.xlsx</t>
        </is>
      </c>
      <c r="D232" t="inlineStr">
        <is>
          <t>.xlsx</t>
        </is>
      </c>
      <c r="E232" t="inlineStr">
        <is>
          <t>2025-04-17T15:27:04+00:00</t>
        </is>
      </c>
      <c r="F232" t="inlineStr">
        <is>
          <t>16298</t>
        </is>
      </c>
      <c r="G232" t="inlineStr">
        <is>
          <t>9b15bd1e14159a84d3d327e336fb101b189bf257f24518ed3bd556b589c4a785</t>
        </is>
      </c>
      <c r="H232" t="inlineStr">
        <is>
          <t>Excluded: unrelated administrative, software or purchasing material</t>
        </is>
      </c>
      <c r="I232" t="inlineStr">
        <is>
          <t>Not a food recipe</t>
        </is>
      </c>
      <c r="J232" t="inlineStr">
        <is>
          <t>No owner production trial log found</t>
        </is>
      </c>
      <c r="K232" t="inlineStr">
        <is>
          <t>Not established / non-text</t>
        </is>
      </c>
      <c r="L232" t="inlineStr">
        <is>
          <t>No explicit version established; modified date is file metadata only</t>
        </is>
      </c>
      <c r="M232" t="inlineStr">
        <is>
          <t>2 extracted pages/blocks/rows; 0 recipe keyword signals (not recipe count)</t>
        </is>
      </c>
    </row>
    <row r="233">
      <c r="A233" t="inlineStr">
        <is>
          <t>S055</t>
        </is>
      </c>
      <c r="B233" t="inlineStr">
        <is>
          <t>Exported Users Sat Mar 15 2025.xlsx</t>
        </is>
      </c>
      <c r="C233" t="inlineStr">
        <is>
          <t>C:\Users\J COMPUTER\OneDrive\Documents\bakery pdfs\Exported Users Sat Mar 15 2025.xlsx</t>
        </is>
      </c>
      <c r="D233" t="inlineStr">
        <is>
          <t>.xlsx</t>
        </is>
      </c>
      <c r="E233" t="inlineStr">
        <is>
          <t>2025-03-15T13:46:54+00:00</t>
        </is>
      </c>
      <c r="F233" t="inlineStr">
        <is>
          <t>19296</t>
        </is>
      </c>
      <c r="G233" t="inlineStr">
        <is>
          <t>819761a6a2ab7101e4e49a2058145beb6013731c3c77b36bb280b7c5b48d4bac</t>
        </is>
      </c>
      <c r="H233" t="inlineStr">
        <is>
          <t>Excluded: unrelated administrative, software or purchasing material</t>
        </is>
      </c>
      <c r="I233" t="inlineStr">
        <is>
          <t>Not a food recipe</t>
        </is>
      </c>
      <c r="J233" t="inlineStr">
        <is>
          <t>No owner production trial log found</t>
        </is>
      </c>
      <c r="K233" t="inlineStr">
        <is>
          <t>Not established / non-text</t>
        </is>
      </c>
      <c r="L233" t="inlineStr">
        <is>
          <t>No explicit version established; modified date is file metadata only</t>
        </is>
      </c>
      <c r="M233" t="inlineStr">
        <is>
          <t xml:space="preserve"> extracted pages/blocks/rows;  recipe keyword signals (not recipe count)</t>
        </is>
      </c>
    </row>
    <row r="234">
      <c r="B234" t="inlineStr">
        <is>
          <t>fb69b1a3312060c57a854dd4f8a25b65.jpg</t>
        </is>
      </c>
      <c r="C234" t="inlineStr">
        <is>
          <t>C:\Users\J COMPUTER\OneDrive\Documents\bakery pdfs\fb69b1a3312060c57a854dd4f8a25b65.jpg</t>
        </is>
      </c>
      <c r="D234" t="inlineStr">
        <is>
          <t>.jpg</t>
        </is>
      </c>
      <c r="E234" t="inlineStr">
        <is>
          <t>2025-03-17T17:25:03+00:00</t>
        </is>
      </c>
      <c r="F234" t="inlineStr">
        <is>
          <t>2791521</t>
        </is>
      </c>
      <c r="H234" t="inlineStr">
        <is>
          <t>Visually screened relevant images; original preserved</t>
        </is>
      </c>
      <c r="I234" t="inlineStr">
        <is>
          <t>Image screening: burger reference, workbook screenshot or equipment photo; unrelated exam images excluded</t>
        </is>
      </c>
      <c r="J234" t="inlineStr">
        <is>
          <t>No owner production trial log found</t>
        </is>
      </c>
      <c r="K234" t="inlineStr">
        <is>
          <t>Not established / non-text</t>
        </is>
      </c>
      <c r="L234" t="inlineStr">
        <is>
          <t>No explicit version established; modified date is file metadata only</t>
        </is>
      </c>
      <c r="M234" t="inlineStr">
        <is>
          <t xml:space="preserve"> extracted pages/blocks/rows;  recipe keyword signals (not recipe count)</t>
        </is>
      </c>
    </row>
    <row r="235">
      <c r="A235" t="inlineStr">
        <is>
          <t>S057</t>
        </is>
      </c>
      <c r="B235" t="inlineStr">
        <is>
          <t>Hanbeter Proforma Invoice 20250314H01.pdf</t>
        </is>
      </c>
      <c r="C235" t="inlineStr">
        <is>
          <t>C:\Users\J COMPUTER\OneDrive\Documents\bakery pdfs\Hanbeter Proforma Invoice 20250314H01.pdf</t>
        </is>
      </c>
      <c r="D235" t="inlineStr">
        <is>
          <t>.pdf</t>
        </is>
      </c>
      <c r="E235" t="inlineStr">
        <is>
          <t>2025-03-17T08:53:12+00:00</t>
        </is>
      </c>
      <c r="F235" t="inlineStr">
        <is>
          <t>255026</t>
        </is>
      </c>
      <c r="G235" t="inlineStr">
        <is>
          <t>327b68ae13b485eab062b74f5f1c934267981037550cea1016653c4bf75228aa</t>
        </is>
      </c>
      <c r="H235" t="inlineStr">
        <is>
          <t>Exact duplicate</t>
        </is>
      </c>
      <c r="I235" t="inlineStr">
        <is>
          <t>Equipment/purchase context only; not proof of installed specification</t>
        </is>
      </c>
      <c r="J235" t="inlineStr">
        <is>
          <t>No owner production trial log found</t>
        </is>
      </c>
      <c r="K235" t="inlineStr">
        <is>
          <t>English (text screening)</t>
        </is>
      </c>
      <c r="L235" t="inlineStr">
        <is>
          <t>No explicit version established; modified date is file metadata only</t>
        </is>
      </c>
      <c r="M235" t="inlineStr">
        <is>
          <t xml:space="preserve"> extracted pages/blocks/rows;  recipe keyword signals (not recipe count)</t>
        </is>
      </c>
    </row>
    <row r="236">
      <c r="A236" t="inlineStr">
        <is>
          <t>S058</t>
        </is>
      </c>
      <c r="B236" t="inlineStr">
        <is>
          <t>Hanbeter Proforma Invoice 20250314H012.pdf</t>
        </is>
      </c>
      <c r="C236" t="inlineStr">
        <is>
          <t>C:\Users\J COMPUTER\OneDrive\Documents\bakery pdfs\Hanbeter Proforma Invoice 20250314H012.pdf</t>
        </is>
      </c>
      <c r="D236" t="inlineStr">
        <is>
          <t>.pdf</t>
        </is>
      </c>
      <c r="E236" t="inlineStr">
        <is>
          <t>2025-03-14T20:08:06+00:00</t>
        </is>
      </c>
      <c r="F236" t="inlineStr">
        <is>
          <t>255117</t>
        </is>
      </c>
      <c r="G236" t="inlineStr">
        <is>
          <t>c549bd8da6dba9b02ab4108dbbcc8cec8752164aa5d118834575386ad72491c6</t>
        </is>
      </c>
      <c r="H236" t="inlineStr">
        <is>
          <t>Exact duplicate</t>
        </is>
      </c>
      <c r="I236" t="inlineStr">
        <is>
          <t>Equipment/purchase context only; not proof of installed specification</t>
        </is>
      </c>
      <c r="J236" t="inlineStr">
        <is>
          <t>No owner production trial log found</t>
        </is>
      </c>
      <c r="K236" t="inlineStr">
        <is>
          <t>English (text screening)</t>
        </is>
      </c>
      <c r="L236" t="inlineStr">
        <is>
          <t>No explicit version established; modified date is file metadata only</t>
        </is>
      </c>
      <c r="M236" t="inlineStr">
        <is>
          <t xml:space="preserve"> extracted pages/blocks/rows;  recipe keyword signals (not recipe count)</t>
        </is>
      </c>
    </row>
    <row r="237">
      <c r="A237" t="inlineStr">
        <is>
          <t>S067</t>
        </is>
      </c>
      <c r="B237" t="inlineStr">
        <is>
          <t>R&amp;M Catalog 2025 winnie tang .pdf</t>
        </is>
      </c>
      <c r="C237" t="inlineStr">
        <is>
          <t>C:\Users\J COMPUTER\OneDrive\Documents\bakery pdfs\R&amp;M Catalog 2025 winnie tang .pdf</t>
        </is>
      </c>
      <c r="D237" t="inlineStr">
        <is>
          <t>.pdf</t>
        </is>
      </c>
      <c r="E237" t="inlineStr">
        <is>
          <t>2025-03-14T04:41:03+00:00</t>
        </is>
      </c>
      <c r="F237" t="inlineStr">
        <is>
          <t>20925107</t>
        </is>
      </c>
      <c r="G237" t="inlineStr">
        <is>
          <t>47c2b4dcc4e0ec5b99061bbff52a1a61c2448b0d9d4557cb5cca20c198dfeee4</t>
        </is>
      </c>
      <c r="H237" t="inlineStr">
        <is>
          <t>Exact duplicate</t>
        </is>
      </c>
      <c r="I237" t="inlineStr">
        <is>
          <t>Equipment/purchase context only; not proof of installed specification</t>
        </is>
      </c>
      <c r="J237" t="inlineStr">
        <is>
          <t>No owner production trial log found</t>
        </is>
      </c>
      <c r="K237" t="inlineStr">
        <is>
          <t>Not established / non-text</t>
        </is>
      </c>
      <c r="L237" t="inlineStr">
        <is>
          <t>No explicit version established; modified date is file metadata only</t>
        </is>
      </c>
      <c r="M237" t="inlineStr">
        <is>
          <t xml:space="preserve"> extracted pages/blocks/rows;  recipe keyword signals (not recipe count)</t>
        </is>
      </c>
    </row>
    <row r="238">
      <c r="A238" t="inlineStr">
        <is>
          <t>S068</t>
        </is>
      </c>
      <c r="B238" t="inlineStr">
        <is>
          <t>Shanghai Hongzhong Industry.pdf</t>
        </is>
      </c>
      <c r="C238" t="inlineStr">
        <is>
          <t>C:\Users\J COMPUTER\OneDrive\Documents\bakery pdfs\Shanghai Hongzhong Industry.pdf</t>
        </is>
      </c>
      <c r="D238" t="inlineStr">
        <is>
          <t>.pdf</t>
        </is>
      </c>
      <c r="E238" t="inlineStr">
        <is>
          <t>2025-03-30T08:27:17+00:00</t>
        </is>
      </c>
      <c r="F238" t="inlineStr">
        <is>
          <t>97080227</t>
        </is>
      </c>
      <c r="G238" t="inlineStr">
        <is>
          <t>faf4a2b0c24d5a3a5875100765e8f9b8cedd41c9f568eb9f9d9b7f9e5338be63</t>
        </is>
      </c>
      <c r="H238" t="inlineStr">
        <is>
          <t>Exact duplicate</t>
        </is>
      </c>
      <c r="I238" t="inlineStr">
        <is>
          <t>Equipment/purchase context only; not proof of installed specification</t>
        </is>
      </c>
      <c r="J238" t="inlineStr">
        <is>
          <t>No owner production trial log found</t>
        </is>
      </c>
      <c r="K238" t="inlineStr">
        <is>
          <t>Not established / non-text</t>
        </is>
      </c>
      <c r="L238" t="inlineStr">
        <is>
          <t>No explicit version established; modified date is file metadata only</t>
        </is>
      </c>
      <c r="M238" t="inlineStr">
        <is>
          <t xml:space="preserve"> extracted pages/blocks/rows;  recipe keyword signals (not recipe count)</t>
        </is>
      </c>
    </row>
    <row r="239">
      <c r="A239" t="inlineStr">
        <is>
          <t>S109</t>
        </is>
      </c>
      <c r="B239" t="inlineStr">
        <is>
          <t>BaiDi-winter(1).pdf</t>
        </is>
      </c>
      <c r="C239" t="inlineStr">
        <is>
          <t>C:\Users\J COMPUTER\OneDrive\Documents\bakery purchase\BaiDi-winter(1).pdf</t>
        </is>
      </c>
      <c r="D239" t="inlineStr">
        <is>
          <t>.pdf</t>
        </is>
      </c>
      <c r="E239" t="inlineStr">
        <is>
          <t>2022-11-11T09:57:11+00:00</t>
        </is>
      </c>
      <c r="F239" t="inlineStr">
        <is>
          <t>48425478</t>
        </is>
      </c>
      <c r="G239" t="inlineStr">
        <is>
          <t>16310bbb038d121fc3dafa443707baff9eebfc91600ee98add75b7760d297829</t>
        </is>
      </c>
      <c r="H239" t="inlineStr">
        <is>
          <t>Excluded: unrelated administrative, software or purchasing material</t>
        </is>
      </c>
      <c r="I239" t="inlineStr">
        <is>
          <t>Not a food recipe</t>
        </is>
      </c>
      <c r="J239" t="inlineStr">
        <is>
          <t>No owner production trial log found</t>
        </is>
      </c>
      <c r="K239" t="inlineStr">
        <is>
          <t>Not established / non-text</t>
        </is>
      </c>
      <c r="L239" t="inlineStr">
        <is>
          <t>No explicit version established; modified date is file metadata only</t>
        </is>
      </c>
      <c r="M239" t="inlineStr">
        <is>
          <t>32 extracted pages/blocks/rows; 0 recipe keyword signals (not recipe count)</t>
        </is>
      </c>
    </row>
    <row r="240">
      <c r="A240" t="inlineStr">
        <is>
          <t>S110</t>
        </is>
      </c>
      <c r="B240" t="inlineStr">
        <is>
          <t>best dresses.pdf</t>
        </is>
      </c>
      <c r="C240" t="inlineStr">
        <is>
          <t>C:\Users\J COMPUTER\OneDrive\Documents\bakery purchase\best dresses.pdf</t>
        </is>
      </c>
      <c r="D240" t="inlineStr">
        <is>
          <t>.pdf</t>
        </is>
      </c>
      <c r="E240" t="inlineStr">
        <is>
          <t>2022-11-11T08:22:36+00:00</t>
        </is>
      </c>
      <c r="F240" t="inlineStr">
        <is>
          <t>1139015</t>
        </is>
      </c>
      <c r="G240" t="inlineStr">
        <is>
          <t>3b4a94afcc0124281cf510d928c72305eadd44b4483dc5d3b2ec5c9fc8d86af4</t>
        </is>
      </c>
      <c r="H240" t="inlineStr">
        <is>
          <t>Excluded: unrelated administrative, software or purchasing material</t>
        </is>
      </c>
      <c r="I240" t="inlineStr">
        <is>
          <t>Not a food recipe</t>
        </is>
      </c>
      <c r="J240" t="inlineStr">
        <is>
          <t>No owner production trial log found</t>
        </is>
      </c>
      <c r="K240" t="inlineStr">
        <is>
          <t>Not established / non-text</t>
        </is>
      </c>
      <c r="L240" t="inlineStr">
        <is>
          <t>No explicit version established; modified date is file metadata only</t>
        </is>
      </c>
      <c r="M240" t="inlineStr">
        <is>
          <t>1 extracted pages/blocks/rows; 0 recipe keyword signals (not recipe count)</t>
        </is>
      </c>
    </row>
    <row r="241">
      <c r="A241" t="inlineStr">
        <is>
          <t>S111</t>
        </is>
      </c>
      <c r="B241" t="inlineStr">
        <is>
          <t>DATES-DE-PASSAGE-DES-EPREUVES-DES-EXAMENS-OBC-SESSION-2022.pdf</t>
        </is>
      </c>
      <c r="C241" t="inlineStr">
        <is>
          <t>C:\Users\J COMPUTER\OneDrive\Documents\bakery purchase\DATES-DE-PASSAGE-DES-EPREUVES-DES-EXAMENS-OBC-SESSION-2022.pdf</t>
        </is>
      </c>
      <c r="D241" t="inlineStr">
        <is>
          <t>.pdf</t>
        </is>
      </c>
      <c r="E241" t="inlineStr">
        <is>
          <t>2022-11-09T15:11:40+00:00</t>
        </is>
      </c>
      <c r="F241" t="inlineStr">
        <is>
          <t>113988</t>
        </is>
      </c>
      <c r="G241" t="inlineStr">
        <is>
          <t>f7fb74e5319d714a6e3037ea42c8d5eef13f36036d9906003b676ca8e19509e9</t>
        </is>
      </c>
      <c r="H241" t="inlineStr">
        <is>
          <t>Excluded: unrelated administrative, software or purchasing material</t>
        </is>
      </c>
      <c r="I241" t="inlineStr">
        <is>
          <t>Not a food recipe</t>
        </is>
      </c>
      <c r="J241" t="inlineStr">
        <is>
          <t>No owner production trial log found</t>
        </is>
      </c>
      <c r="K241" t="inlineStr">
        <is>
          <t>Not established / non-text</t>
        </is>
      </c>
      <c r="L241" t="inlineStr">
        <is>
          <t>No explicit version established; modified date is file metadata only</t>
        </is>
      </c>
      <c r="M241" t="inlineStr">
        <is>
          <t>1 extracted pages/blocks/rows; 0 recipe keyword signals (not recipe count)</t>
        </is>
      </c>
    </row>
    <row r="242">
      <c r="A242" t="inlineStr">
        <is>
          <t>S112</t>
        </is>
      </c>
      <c r="B242" t="inlineStr">
        <is>
          <t>display digital adverts device.pdf</t>
        </is>
      </c>
      <c r="C242" t="inlineStr">
        <is>
          <t>C:\Users\J COMPUTER\OneDrive\Documents\bakery purchase\display digital adverts device.pdf</t>
        </is>
      </c>
      <c r="D242" t="inlineStr">
        <is>
          <t>.pdf</t>
        </is>
      </c>
      <c r="E242" t="inlineStr">
        <is>
          <t>2023-01-15T11:57:40+00:00</t>
        </is>
      </c>
      <c r="F242" t="inlineStr">
        <is>
          <t>14228770</t>
        </is>
      </c>
      <c r="G242" t="inlineStr">
        <is>
          <t>c931d2df8cfe99edbb1a9fabebcfc65a0a6e990f09c6bec2822218cb26fe17e2</t>
        </is>
      </c>
      <c r="H242" t="inlineStr">
        <is>
          <t>Excluded: unrelated administrative, software or purchasing material</t>
        </is>
      </c>
      <c r="I242" t="inlineStr">
        <is>
          <t>Not a food recipe</t>
        </is>
      </c>
      <c r="J242" t="inlineStr">
        <is>
          <t>No owner production trial log found</t>
        </is>
      </c>
      <c r="K242" t="inlineStr">
        <is>
          <t>Not established / non-text</t>
        </is>
      </c>
      <c r="L242" t="inlineStr">
        <is>
          <t>No explicit version established; modified date is file metadata only</t>
        </is>
      </c>
      <c r="M242" t="inlineStr">
        <is>
          <t>43 extracted pages/blocks/rows; 0 recipe keyword signals (not recipe count)</t>
        </is>
      </c>
    </row>
    <row r="243">
      <c r="A243" t="inlineStr">
        <is>
          <t>S113</t>
        </is>
      </c>
      <c r="B243" t="inlineStr">
        <is>
          <t>EXCELLENCE SCOLARSHIP GBHS NDU 2022-2023.odt</t>
        </is>
      </c>
      <c r="C243" t="inlineStr">
        <is>
          <t>C:\Users\J COMPUTER\OneDrive\Documents\bakery purchase\EXCELLENCE SCOLARSHIP GBHS NDU 2022-2023.odt</t>
        </is>
      </c>
      <c r="D243" t="inlineStr">
        <is>
          <t>.odt</t>
        </is>
      </c>
      <c r="E243" t="inlineStr">
        <is>
          <t>2022-11-03T14:01:22+00:00</t>
        </is>
      </c>
      <c r="F243" t="inlineStr">
        <is>
          <t>18038</t>
        </is>
      </c>
      <c r="G243" t="inlineStr">
        <is>
          <t>d7f12900a4da65133334797343f75d8692c1d65c6cceb1345835755e4a723952</t>
        </is>
      </c>
      <c r="H243" t="inlineStr">
        <is>
          <t>Excluded: unrelated administrative, software or purchasing material</t>
        </is>
      </c>
      <c r="I243" t="inlineStr">
        <is>
          <t>Not a food recipe</t>
        </is>
      </c>
      <c r="J243" t="inlineStr">
        <is>
          <t>No owner production trial log found</t>
        </is>
      </c>
      <c r="K243" t="inlineStr">
        <is>
          <t>Not established / non-text</t>
        </is>
      </c>
      <c r="L243" t="inlineStr">
        <is>
          <t>No explicit version established; modified date is file metadata only</t>
        </is>
      </c>
      <c r="M243" t="inlineStr">
        <is>
          <t>0 extracted pages/blocks/rows; 0 recipe keyword signals (not recipe count)</t>
        </is>
      </c>
    </row>
    <row r="244">
      <c r="A244" t="inlineStr">
        <is>
          <t>S114</t>
        </is>
      </c>
      <c r="B244" t="inlineStr">
        <is>
          <t>felicity order modified.pdf</t>
        </is>
      </c>
      <c r="C244" t="inlineStr">
        <is>
          <t>C:\Users\J COMPUTER\OneDrive\Documents\bakery purchase\felicity order modified.pdf</t>
        </is>
      </c>
      <c r="D244" t="inlineStr">
        <is>
          <t>.pdf</t>
        </is>
      </c>
      <c r="E244" t="inlineStr">
        <is>
          <t>2022-11-11T08:28:40+00:00</t>
        </is>
      </c>
      <c r="F244" t="inlineStr">
        <is>
          <t>323235</t>
        </is>
      </c>
      <c r="G244" t="inlineStr">
        <is>
          <t>e35f733dc7e65001252921fbb00f2556cebf055627d64b90e640bbcb1ef2e662</t>
        </is>
      </c>
      <c r="H244" t="inlineStr">
        <is>
          <t>Excluded: unrelated administrative, software or purchasing material</t>
        </is>
      </c>
      <c r="I244" t="inlineStr">
        <is>
          <t>Not a food recipe</t>
        </is>
      </c>
      <c r="J244" t="inlineStr">
        <is>
          <t>No owner production trial log found</t>
        </is>
      </c>
      <c r="K244" t="inlineStr">
        <is>
          <t>Not established / non-text</t>
        </is>
      </c>
      <c r="L244" t="inlineStr">
        <is>
          <t>No explicit version established; modified date is file metadata only</t>
        </is>
      </c>
      <c r="M244" t="inlineStr">
        <is>
          <t>2 extracted pages/blocks/rows; 0 recipe keyword signals (not recipe count)</t>
        </is>
      </c>
    </row>
    <row r="245">
      <c r="A245" t="inlineStr">
        <is>
          <t>S115</t>
        </is>
      </c>
      <c r="B245" t="inlineStr">
        <is>
          <t>JideTech Security Camera System Price List 2022Q3(1).pdf</t>
        </is>
      </c>
      <c r="C245" t="inlineStr">
        <is>
          <t>C:\Users\J COMPUTER\OneDrive\Documents\bakery purchase\JideTech Security Camera System Price List 2022Q3(1).pdf</t>
        </is>
      </c>
      <c r="D245" t="inlineStr">
        <is>
          <t>.pdf</t>
        </is>
      </c>
      <c r="E245" t="inlineStr">
        <is>
          <t>2022-11-01T18:02:56+00:00</t>
        </is>
      </c>
      <c r="F245" t="inlineStr">
        <is>
          <t>1432625</t>
        </is>
      </c>
      <c r="G245" t="inlineStr">
        <is>
          <t>963dc56e7764bab997eb229ce6516db475e8fa2c95c24fc084dc08d21a8cf9bb</t>
        </is>
      </c>
      <c r="H245" t="inlineStr">
        <is>
          <t>Excluded: unrelated administrative, software or purchasing material</t>
        </is>
      </c>
      <c r="I245" t="inlineStr">
        <is>
          <t>Not a food recipe</t>
        </is>
      </c>
      <c r="J245" t="inlineStr">
        <is>
          <t>No owner production trial log found</t>
        </is>
      </c>
      <c r="K245" t="inlineStr">
        <is>
          <t>Not established / non-text</t>
        </is>
      </c>
      <c r="L245" t="inlineStr">
        <is>
          <t>No explicit version established; modified date is file metadata only</t>
        </is>
      </c>
      <c r="M245" t="inlineStr">
        <is>
          <t>2 extracted pages/blocks/rows; 0 recipe keyword signals (not recipe count)</t>
        </is>
      </c>
    </row>
    <row r="246">
      <c r="A246" t="inlineStr">
        <is>
          <t>S116</t>
        </is>
      </c>
      <c r="B246" t="inlineStr">
        <is>
          <t>payment schedule for purchases latest.odt</t>
        </is>
      </c>
      <c r="C246" t="inlineStr">
        <is>
          <t>C:\Users\J COMPUTER\OneDrive\Documents\bakery purchase\payment schedule for purchases latest.odt</t>
        </is>
      </c>
      <c r="D246" t="inlineStr">
        <is>
          <t>.odt</t>
        </is>
      </c>
      <c r="E246" t="inlineStr">
        <is>
          <t>2023-02-18T03:52:40+00:00</t>
        </is>
      </c>
      <c r="F246" t="inlineStr">
        <is>
          <t>33796</t>
        </is>
      </c>
      <c r="G246" t="inlineStr">
        <is>
          <t>bce3378529e7ca15fdd93358a0835313a5b74c5dd5352210a7501c4e65b5b9d1</t>
        </is>
      </c>
      <c r="H246" t="inlineStr">
        <is>
          <t>Excluded: unrelated administrative, software or purchasing material</t>
        </is>
      </c>
      <c r="I246" t="inlineStr">
        <is>
          <t>Not a food recipe</t>
        </is>
      </c>
      <c r="J246" t="inlineStr">
        <is>
          <t>No owner production trial log found</t>
        </is>
      </c>
      <c r="K246" t="inlineStr">
        <is>
          <t>Not established / non-text</t>
        </is>
      </c>
      <c r="L246" t="inlineStr">
        <is>
          <t>No explicit version established; modified date is file metadata only</t>
        </is>
      </c>
      <c r="M246" t="inlineStr">
        <is>
          <t>0 extracted pages/blocks/rows; 0 recipe keyword signals (not recipe count)</t>
        </is>
      </c>
    </row>
    <row r="247">
      <c r="A247" t="inlineStr">
        <is>
          <t>S117</t>
        </is>
      </c>
      <c r="B247" t="inlineStr">
        <is>
          <t>payment schedule for purchases-DESKTOP-M6BFLSJ.odt</t>
        </is>
      </c>
      <c r="C247" t="inlineStr">
        <is>
          <t>C:\Users\J COMPUTER\OneDrive\Documents\bakery purchase\payment schedule for purchases-DESKTOP-M6BFLSJ.odt</t>
        </is>
      </c>
      <c r="D247" t="inlineStr">
        <is>
          <t>.odt</t>
        </is>
      </c>
      <c r="E247" t="inlineStr">
        <is>
          <t>2022-11-21T09:42:27+00:00</t>
        </is>
      </c>
      <c r="F247" t="inlineStr">
        <is>
          <t>29686</t>
        </is>
      </c>
      <c r="G247" t="inlineStr">
        <is>
          <t>fe283762cf68e22b48736211db48e609da92abb3be021f9cab81d662eba9dcd4</t>
        </is>
      </c>
      <c r="H247" t="inlineStr">
        <is>
          <t>Excluded: unrelated administrative, software or purchasing material</t>
        </is>
      </c>
      <c r="I247" t="inlineStr">
        <is>
          <t>Not a food recipe</t>
        </is>
      </c>
      <c r="J247" t="inlineStr">
        <is>
          <t>No owner production trial log found</t>
        </is>
      </c>
      <c r="K247" t="inlineStr">
        <is>
          <t>Not established / non-text</t>
        </is>
      </c>
      <c r="L247" t="inlineStr">
        <is>
          <t>No explicit version established; modified date is file metadata only</t>
        </is>
      </c>
      <c r="M247" t="inlineStr">
        <is>
          <t>0 extracted pages/blocks/rows; 0 recipe keyword signals (not recipe count)</t>
        </is>
      </c>
    </row>
    <row r="248">
      <c r="A248" t="inlineStr">
        <is>
          <t>S118</t>
        </is>
      </c>
      <c r="B248" t="inlineStr">
        <is>
          <t>payment schedule for purchases.odt</t>
        </is>
      </c>
      <c r="C248" t="inlineStr">
        <is>
          <t>C:\Users\J COMPUTER\OneDrive\Documents\bakery purchase\payment schedule for purchases.odt</t>
        </is>
      </c>
      <c r="D248" t="inlineStr">
        <is>
          <t>.odt</t>
        </is>
      </c>
      <c r="E248" t="inlineStr">
        <is>
          <t>2022-11-12T09:17:17+00:00</t>
        </is>
      </c>
      <c r="F248" t="inlineStr">
        <is>
          <t>28116</t>
        </is>
      </c>
      <c r="G248" t="inlineStr">
        <is>
          <t>3643ac560ef1f6a6df588144ddab68645079f55f29efab5e22cdf0e1630f037c</t>
        </is>
      </c>
      <c r="H248" t="inlineStr">
        <is>
          <t>Excluded: unrelated administrative, software or purchasing material</t>
        </is>
      </c>
      <c r="I248" t="inlineStr">
        <is>
          <t>Not a food recipe</t>
        </is>
      </c>
      <c r="J248" t="inlineStr">
        <is>
          <t>No owner production trial log found</t>
        </is>
      </c>
      <c r="K248" t="inlineStr">
        <is>
          <t>Not established / non-text</t>
        </is>
      </c>
      <c r="L248" t="inlineStr">
        <is>
          <t>No explicit version established; modified date is file metadata only</t>
        </is>
      </c>
      <c r="M248" t="inlineStr">
        <is>
          <t>0 extracted pages/blocks/rows; 0 recipe keyword signals (not recipe count)</t>
        </is>
      </c>
    </row>
    <row r="249">
      <c r="A249" t="inlineStr">
        <is>
          <t>S119</t>
        </is>
      </c>
      <c r="B249" t="inlineStr">
        <is>
          <t>PI for FL-221014-D01 felicity.pdf</t>
        </is>
      </c>
      <c r="C249" t="inlineStr">
        <is>
          <t>C:\Users\J COMPUTER\OneDrive\Documents\bakery purchase\PI for FL-221014-D01 felicity.pdf</t>
        </is>
      </c>
      <c r="D249" t="inlineStr">
        <is>
          <t>.pdf</t>
        </is>
      </c>
      <c r="E249" t="inlineStr">
        <is>
          <t>2022-11-11T08:20:07+00:00</t>
        </is>
      </c>
      <c r="F249" t="inlineStr">
        <is>
          <t>326824</t>
        </is>
      </c>
      <c r="G249" t="inlineStr">
        <is>
          <t>8777ac8baac718a8e382f67b77efb6aadb398aad20e7f08a81753d19c6c8791f</t>
        </is>
      </c>
      <c r="H249" t="inlineStr">
        <is>
          <t>Excluded: unrelated administrative, software or purchasing material</t>
        </is>
      </c>
      <c r="I249" t="inlineStr">
        <is>
          <t>Not a food recipe</t>
        </is>
      </c>
      <c r="J249" t="inlineStr">
        <is>
          <t>No owner production trial log found</t>
        </is>
      </c>
      <c r="K249" t="inlineStr">
        <is>
          <t>Not established / non-text</t>
        </is>
      </c>
      <c r="L249" t="inlineStr">
        <is>
          <t>No explicit version established; modified date is file metadata only</t>
        </is>
      </c>
      <c r="M249" t="inlineStr">
        <is>
          <t>1 extracted pages/blocks/rows; 0 recipe keyword signals (not recipe count)</t>
        </is>
      </c>
    </row>
    <row r="250">
      <c r="A250" t="inlineStr">
        <is>
          <t>S120</t>
        </is>
      </c>
      <c r="B250" t="inlineStr">
        <is>
          <t>PI- Kouatchoua Mark 2022 10 29 foodsense.pdf</t>
        </is>
      </c>
      <c r="C250" t="inlineStr">
        <is>
          <t>C:\Users\J COMPUTER\OneDrive\Documents\bakery purchase\PI- Kouatchoua Mark 2022 10 29 foodsense.pdf</t>
        </is>
      </c>
      <c r="D250" t="inlineStr">
        <is>
          <t>.pdf</t>
        </is>
      </c>
      <c r="E250" t="inlineStr">
        <is>
          <t>2022-11-14T09:45:27+00:00</t>
        </is>
      </c>
      <c r="F250" t="inlineStr">
        <is>
          <t>674209</t>
        </is>
      </c>
      <c r="G250" t="inlineStr">
        <is>
          <t>8ac25f135e8705e9c84aa57bb08d1560f86f4a4ffbdee101923483791dfb9fdb</t>
        </is>
      </c>
      <c r="H250" t="inlineStr">
        <is>
          <t>Excluded: unrelated administrative, software or purchasing material</t>
        </is>
      </c>
      <c r="I250" t="inlineStr">
        <is>
          <t>Not a food recipe</t>
        </is>
      </c>
      <c r="J250" t="inlineStr">
        <is>
          <t>No owner production trial log found</t>
        </is>
      </c>
      <c r="K250" t="inlineStr">
        <is>
          <t>English (text screening)</t>
        </is>
      </c>
      <c r="L250" t="inlineStr">
        <is>
          <t>No explicit version established; modified date is file metadata only</t>
        </is>
      </c>
      <c r="M250" t="inlineStr">
        <is>
          <t>3 extracted pages/blocks/rows; 1 recipe keyword signals (not recipe count)</t>
        </is>
      </c>
    </row>
    <row r="251">
      <c r="A251" t="inlineStr">
        <is>
          <t>S121</t>
        </is>
      </c>
      <c r="B251" t="inlineStr">
        <is>
          <t>purchases and others.odt</t>
        </is>
      </c>
      <c r="C251" t="inlineStr">
        <is>
          <t>C:\Users\J COMPUTER\OneDrive\Documents\bakery purchase\purchases and others.odt</t>
        </is>
      </c>
      <c r="D251" t="inlineStr">
        <is>
          <t>.odt</t>
        </is>
      </c>
      <c r="E251" t="inlineStr">
        <is>
          <t>2022-12-17T06:12:12+00:00</t>
        </is>
      </c>
      <c r="F251" t="inlineStr">
        <is>
          <t>28894</t>
        </is>
      </c>
      <c r="G251" t="inlineStr">
        <is>
          <t>1ee1fccc8a32a34b18c0ce600053f90b43c78f7d0b65e42c3f5d39c9cf9b11c4</t>
        </is>
      </c>
      <c r="H251" t="inlineStr">
        <is>
          <t>Excluded: unrelated administrative, software or purchasing material</t>
        </is>
      </c>
      <c r="I251" t="inlineStr">
        <is>
          <t>Not a food recipe</t>
        </is>
      </c>
      <c r="J251" t="inlineStr">
        <is>
          <t>No owner production trial log found</t>
        </is>
      </c>
      <c r="K251" t="inlineStr">
        <is>
          <t>Not established / non-text</t>
        </is>
      </c>
      <c r="L251" t="inlineStr">
        <is>
          <t>No explicit version established; modified date is file metadata only</t>
        </is>
      </c>
      <c r="M251" t="inlineStr">
        <is>
          <t>0 extracted pages/blocks/rows; 0 recipe keyword signals (not recipe count)</t>
        </is>
      </c>
    </row>
    <row r="252">
      <c r="A252" t="inlineStr">
        <is>
          <t>S122</t>
        </is>
      </c>
      <c r="B252" t="inlineStr">
        <is>
          <t>Timeline for payments 2.docx</t>
        </is>
      </c>
      <c r="C252" t="inlineStr">
        <is>
          <t>C:\Users\J COMPUTER\OneDrive\Documents\bakery purchase\Timeline for payments 2.docx</t>
        </is>
      </c>
      <c r="D252" t="inlineStr">
        <is>
          <t>.docx</t>
        </is>
      </c>
      <c r="E252" t="inlineStr">
        <is>
          <t>2022-11-21T16:09:09+00:00</t>
        </is>
      </c>
      <c r="F252" t="inlineStr">
        <is>
          <t>24987</t>
        </is>
      </c>
      <c r="G252" t="inlineStr">
        <is>
          <t>03d7f9ad1d50ff9ce333d0b9b54819202c530caa52aa4846a348eb04b83ffff0</t>
        </is>
      </c>
      <c r="H252" t="inlineStr">
        <is>
          <t>Excluded: unrelated administrative, software or purchasing material</t>
        </is>
      </c>
      <c r="I252" t="inlineStr">
        <is>
          <t>Not a food recipe</t>
        </is>
      </c>
      <c r="J252" t="inlineStr">
        <is>
          <t>No owner production trial log found</t>
        </is>
      </c>
      <c r="K252" t="inlineStr">
        <is>
          <t>Not established / non-text</t>
        </is>
      </c>
      <c r="L252" t="inlineStr">
        <is>
          <t>No explicit version established; modified date is file metadata only</t>
        </is>
      </c>
      <c r="M252" t="inlineStr">
        <is>
          <t>41 extracted pages/blocks/rows; 0 recipe keyword signals (not recipe count)</t>
        </is>
      </c>
    </row>
    <row r="253">
      <c r="A253" t="inlineStr">
        <is>
          <t>S123</t>
        </is>
      </c>
      <c r="B253" t="inlineStr">
        <is>
          <t>Timeline for payments 3.docx</t>
        </is>
      </c>
      <c r="C253" t="inlineStr">
        <is>
          <t>C:\Users\J COMPUTER\OneDrive\Documents\bakery purchase\Timeline for payments 3.docx</t>
        </is>
      </c>
      <c r="D253" t="inlineStr">
        <is>
          <t>.docx</t>
        </is>
      </c>
      <c r="E253" t="inlineStr">
        <is>
          <t>2022-11-22T14:41:16+00:00</t>
        </is>
      </c>
      <c r="F253" t="inlineStr">
        <is>
          <t>25610</t>
        </is>
      </c>
      <c r="G253" t="inlineStr">
        <is>
          <t>9ef0ffb11905f5070809cfb48511112ada49677c32599540d15b5494ae1bbeb8</t>
        </is>
      </c>
      <c r="H253" t="inlineStr">
        <is>
          <t>Excluded: unrelated administrative, software or purchasing material</t>
        </is>
      </c>
      <c r="I253" t="inlineStr">
        <is>
          <t>Not a food recipe</t>
        </is>
      </c>
      <c r="J253" t="inlineStr">
        <is>
          <t>No owner production trial log found</t>
        </is>
      </c>
      <c r="K253" t="inlineStr">
        <is>
          <t>Not established / non-text</t>
        </is>
      </c>
      <c r="L253" t="inlineStr">
        <is>
          <t>No explicit version established; modified date is file metadata only</t>
        </is>
      </c>
      <c r="M253" t="inlineStr">
        <is>
          <t>48 extracted pages/blocks/rows; 0 recipe keyword signals (not recipe count)</t>
        </is>
      </c>
    </row>
    <row r="254">
      <c r="A254" t="inlineStr">
        <is>
          <t>S124</t>
        </is>
      </c>
      <c r="B254" t="inlineStr">
        <is>
          <t>Timeline for payments.docx</t>
        </is>
      </c>
      <c r="C254" t="inlineStr">
        <is>
          <t>C:\Users\J COMPUTER\OneDrive\Documents\bakery purchase\Timeline for payments.docx</t>
        </is>
      </c>
      <c r="D254" t="inlineStr">
        <is>
          <t>.docx</t>
        </is>
      </c>
      <c r="E254" t="inlineStr">
        <is>
          <t>2022-11-21T12:59:54+00:00</t>
        </is>
      </c>
      <c r="F254" t="inlineStr">
        <is>
          <t>16630</t>
        </is>
      </c>
      <c r="G254" t="inlineStr">
        <is>
          <t>ec383a4efb0880c231af47331f849460b639f8eddbf82a85f1bfa6d777e5bff9</t>
        </is>
      </c>
      <c r="H254" t="inlineStr">
        <is>
          <t>Excluded: unrelated administrative, software or purchasing material</t>
        </is>
      </c>
      <c r="I254" t="inlineStr">
        <is>
          <t>Not a food recipe</t>
        </is>
      </c>
      <c r="J254" t="inlineStr">
        <is>
          <t>No owner production trial log found</t>
        </is>
      </c>
      <c r="K254" t="inlineStr">
        <is>
          <t>Not established / non-text</t>
        </is>
      </c>
      <c r="L254" t="inlineStr">
        <is>
          <t>No explicit version established; modified date is file metadata only</t>
        </is>
      </c>
      <c r="M254" t="inlineStr">
        <is>
          <t>28 extracted pages/blocks/rows; 0 recipe keyword signals (not recipe count)</t>
        </is>
      </c>
    </row>
    <row r="255">
      <c r="A255" t="inlineStr">
        <is>
          <t>S125</t>
        </is>
      </c>
      <c r="B255" t="inlineStr">
        <is>
          <t>无宏price list (1).pdf</t>
        </is>
      </c>
      <c r="C255" t="inlineStr">
        <is>
          <t>C:\Users\J COMPUTER\OneDrive\Documents\bakery purchase\无宏price list (1).pdf</t>
        </is>
      </c>
      <c r="D255" t="inlineStr">
        <is>
          <t>.pdf</t>
        </is>
      </c>
      <c r="E255" t="inlineStr">
        <is>
          <t>2022-11-08T17:35:37+00:00</t>
        </is>
      </c>
      <c r="F255" t="inlineStr">
        <is>
          <t>1139962</t>
        </is>
      </c>
      <c r="G255" t="inlineStr">
        <is>
          <t>b9e54b4b839bad1d3ea7e5ff8cc52a505800b85f2412ee22f2a12fb421d566c2</t>
        </is>
      </c>
      <c r="H255" t="inlineStr">
        <is>
          <t>Excluded: unrelated administrative, software or purchasing material</t>
        </is>
      </c>
      <c r="I255" t="inlineStr">
        <is>
          <t>Not a food recipe</t>
        </is>
      </c>
      <c r="J255" t="inlineStr">
        <is>
          <t>No owner production trial log found</t>
        </is>
      </c>
      <c r="K255" t="inlineStr">
        <is>
          <t>Not established / non-text</t>
        </is>
      </c>
      <c r="L255" t="inlineStr">
        <is>
          <t>No explicit version established; modified date is file metadata only</t>
        </is>
      </c>
      <c r="M255" t="inlineStr">
        <is>
          <t>1 extracted pages/blocks/rows; 0 recipe keyword signals (not recipe count)</t>
        </is>
      </c>
    </row>
    <row r="256">
      <c r="A256" t="inlineStr">
        <is>
          <t>S126</t>
        </is>
      </c>
      <c r="B256" t="inlineStr">
        <is>
          <t>Ice Cream Maker Recipes-2.pdf</t>
        </is>
      </c>
      <c r="C256" t="inlineStr">
        <is>
          <t>C:\Users\J COMPUTER\OneDrive\Documents\Compputer sciences notes\Ice Cream Maker Recipes-2.pdf</t>
        </is>
      </c>
      <c r="D256" t="inlineStr">
        <is>
          <t>.pdf</t>
        </is>
      </c>
      <c r="E256" t="inlineStr">
        <is>
          <t>2022-10-25T14:56:09+00:00</t>
        </is>
      </c>
      <c r="F256" t="inlineStr">
        <is>
          <t>455328</t>
        </is>
      </c>
      <c r="G256" t="inlineStr">
        <is>
          <t>fa4b41b881f411a408502569cc308785d54da2aaadf2f72309318a236d8b0f26</t>
        </is>
      </c>
      <c r="H256" t="inlineStr">
        <is>
          <t>Extracted text</t>
        </is>
      </c>
      <c r="I256" t="inlineStr">
        <is>
          <t>Recipe source or technical context included</t>
        </is>
      </c>
      <c r="J256" t="inlineStr">
        <is>
          <t>No owner production trial log found</t>
        </is>
      </c>
      <c r="K256" t="inlineStr">
        <is>
          <t>English (text screening)</t>
        </is>
      </c>
      <c r="L256" t="inlineStr">
        <is>
          <t>No explicit version established; modified date is file metadata only</t>
        </is>
      </c>
      <c r="M256" t="inlineStr">
        <is>
          <t>30 extracted pages/blocks/rows; 17 recipe keyword signals (not recipe count)</t>
        </is>
      </c>
    </row>
    <row r="257">
      <c r="A257" t="inlineStr">
        <is>
          <t>S127</t>
        </is>
      </c>
      <c r="B257" t="inlineStr">
        <is>
          <t>ice100xa-recipe-may-2021.pdf</t>
        </is>
      </c>
      <c r="C257" t="inlineStr">
        <is>
          <t>C:\Users\J COMPUTER\OneDrive\Documents\Compputer sciences notes\ice100xa-recipe-may-2021.pdf</t>
        </is>
      </c>
      <c r="D257" t="inlineStr">
        <is>
          <t>.pdf</t>
        </is>
      </c>
      <c r="E257" t="inlineStr">
        <is>
          <t>2022-10-25T14:54:06+00:00</t>
        </is>
      </c>
      <c r="F257" t="inlineStr">
        <is>
          <t>244916</t>
        </is>
      </c>
      <c r="G257" t="inlineStr">
        <is>
          <t>dc43bbc0bcd781be1d0b318634c0196b1d01277e6567336153efb5f18fee59f7</t>
        </is>
      </c>
      <c r="H257" t="inlineStr">
        <is>
          <t>Extracted text</t>
        </is>
      </c>
      <c r="I257" t="inlineStr">
        <is>
          <t>Recipe source or technical context included</t>
        </is>
      </c>
      <c r="J257" t="inlineStr">
        <is>
          <t>No owner production trial log found</t>
        </is>
      </c>
      <c r="K257" t="inlineStr">
        <is>
          <t>English (text screening)</t>
        </is>
      </c>
      <c r="L257" t="inlineStr">
        <is>
          <t>No explicit version established; modified date is file metadata only</t>
        </is>
      </c>
      <c r="M257" t="inlineStr">
        <is>
          <t>21 extracted pages/blocks/rows; 11 recipe keyword signals (not recipe count)</t>
        </is>
      </c>
    </row>
    <row r="258">
      <c r="A258" t="inlineStr">
        <is>
          <t>S128</t>
        </is>
      </c>
      <c r="B258" t="inlineStr">
        <is>
          <t>safe-homemade-ice-cream.pdf</t>
        </is>
      </c>
      <c r="C258" t="inlineStr">
        <is>
          <t>C:\Users\J COMPUTER\OneDrive\Documents\Compputer sciences notes\safe-homemade-ice-cream.pdf</t>
        </is>
      </c>
      <c r="D258" t="inlineStr">
        <is>
          <t>.pdf</t>
        </is>
      </c>
      <c r="E258" t="inlineStr">
        <is>
          <t>2022-10-25T18:10:22+00:00</t>
        </is>
      </c>
      <c r="F258" t="inlineStr">
        <is>
          <t>2360362</t>
        </is>
      </c>
      <c r="G258" t="inlineStr">
        <is>
          <t>02d22c813d81b13d462a58182046b044ca27d3dad5af5f09b9c5e1577f9fb3dd</t>
        </is>
      </c>
      <c r="H258" t="inlineStr">
        <is>
          <t>Extracted text</t>
        </is>
      </c>
      <c r="I258" t="inlineStr">
        <is>
          <t>Recipe source or technical context included</t>
        </is>
      </c>
      <c r="J258" t="inlineStr">
        <is>
          <t>No owner production trial log found</t>
        </is>
      </c>
      <c r="K258" t="inlineStr">
        <is>
          <t>English (text screening)</t>
        </is>
      </c>
      <c r="L258" t="inlineStr">
        <is>
          <t>No explicit version established; modified date is file metadata only</t>
        </is>
      </c>
      <c r="M258" t="inlineStr">
        <is>
          <t>18 extracted pages/blocks/rows; 22 recipe keyword signals (not recipe count)</t>
        </is>
      </c>
    </row>
    <row r="259">
      <c r="A259" t="inlineStr">
        <is>
          <t>S129</t>
        </is>
      </c>
      <c r="B259" t="inlineStr">
        <is>
          <t>Sweet cream and sugar cones_ 90 recipes for making your own ice cream and frozen treats from Bi-Rite Creamery ( PDFDrive ).pdf</t>
        </is>
      </c>
      <c r="C259" t="inlineStr">
        <is>
          <t>C:\Users\J COMPUTER\OneDrive\Documents\Compputer sciences notes\Sweet cream and sugar cones_ 90 recipes for making your own ice cream and frozen treats from Bi-Rite Creamery ( PDFDrive ).pdf</t>
        </is>
      </c>
      <c r="D259" t="inlineStr">
        <is>
          <t>.pdf</t>
        </is>
      </c>
      <c r="E259" t="inlineStr">
        <is>
          <t>2022-10-25T18:08:55+00:00</t>
        </is>
      </c>
      <c r="F259" t="inlineStr">
        <is>
          <t>9440347</t>
        </is>
      </c>
      <c r="G259" t="inlineStr">
        <is>
          <t>f457606e5f91e60b2ff5728183da0ac76c54257e1c57cde24a8a85ebb8138fda</t>
        </is>
      </c>
      <c r="H259" t="inlineStr">
        <is>
          <t>Extracted text</t>
        </is>
      </c>
      <c r="I259" t="inlineStr">
        <is>
          <t>Recipe source or technical context included</t>
        </is>
      </c>
      <c r="J259" t="inlineStr">
        <is>
          <t>No owner production trial log found</t>
        </is>
      </c>
      <c r="K259" t="inlineStr">
        <is>
          <t>English (text screening)</t>
        </is>
      </c>
      <c r="L259" t="inlineStr">
        <is>
          <t>v3.1</t>
        </is>
      </c>
      <c r="M259" t="inlineStr">
        <is>
          <t>423 extracted pages/blocks/rows; 153 recipe keyword signals (not recipe count)</t>
        </is>
      </c>
    </row>
    <row r="260">
      <c r="A260" t="inlineStr">
        <is>
          <t>S083</t>
        </is>
      </c>
      <c r="B260" t="inlineStr">
        <is>
          <t>LISTING DECC EXAMS GBHS NKAMBE 2023-2024.pdf</t>
        </is>
      </c>
      <c r="C260" t="inlineStr">
        <is>
          <t>C:\Users\J COMPUTER\OneDrive\Documents\LISTING DECC EXAMS GBHS NKAMBE 2023-2024.pdf</t>
        </is>
      </c>
      <c r="D260" t="inlineStr">
        <is>
          <t>.pdf</t>
        </is>
      </c>
      <c r="E260" t="inlineStr">
        <is>
          <t>2024-01-25T11:24:53+00:00</t>
        </is>
      </c>
      <c r="F260" t="inlineStr">
        <is>
          <t>19983</t>
        </is>
      </c>
      <c r="G260" t="inlineStr">
        <is>
          <t>ce886106e7512d63a2b0fd68b5680600836f45286a4c66cd0a769bdc342796ec</t>
        </is>
      </c>
      <c r="H260" t="inlineStr">
        <is>
          <t>Excluded: unrelated administrative, software or purchasing material</t>
        </is>
      </c>
      <c r="I260" t="inlineStr">
        <is>
          <t>Not a food recipe</t>
        </is>
      </c>
      <c r="J260" t="inlineStr">
        <is>
          <t>No owner production trial log found</t>
        </is>
      </c>
      <c r="K260" t="inlineStr">
        <is>
          <t>Not established / non-text</t>
        </is>
      </c>
      <c r="L260" t="inlineStr">
        <is>
          <t>No explicit version established; modified date is file metadata only</t>
        </is>
      </c>
      <c r="M260" t="inlineStr">
        <is>
          <t xml:space="preserve"> extracted pages/blocks/rows;  recipe keyword signals (not recipe count)</t>
        </is>
      </c>
    </row>
    <row r="261">
      <c r="A261" t="inlineStr">
        <is>
          <t>S130</t>
        </is>
      </c>
      <c r="B261" t="inlineStr">
        <is>
          <t>Purchases for equipment solar, and bakery.docx</t>
        </is>
      </c>
      <c r="C261" t="inlineStr">
        <is>
          <t>C:\Users\J COMPUTER\OneDrive\Documents\Purchases for equipment solar, and bakery.docx</t>
        </is>
      </c>
      <c r="D261" t="inlineStr">
        <is>
          <t>.docx</t>
        </is>
      </c>
      <c r="E261" t="inlineStr">
        <is>
          <t>2023-02-18T11:46:32+00:00</t>
        </is>
      </c>
      <c r="F261" t="inlineStr">
        <is>
          <t>83563</t>
        </is>
      </c>
      <c r="G261" t="inlineStr">
        <is>
          <t>b0c701903ed8d745a6086142a1308e4670d22cbd15a0b7a2cbffa6c1536be038</t>
        </is>
      </c>
      <c r="H261" t="inlineStr">
        <is>
          <t>Excluded: unrelated administrative, software or purchasing material</t>
        </is>
      </c>
      <c r="I261" t="inlineStr">
        <is>
          <t>Not a food recipe</t>
        </is>
      </c>
      <c r="J261" t="inlineStr">
        <is>
          <t>No owner production trial log found</t>
        </is>
      </c>
      <c r="K261" t="inlineStr">
        <is>
          <t>Not established / non-text</t>
        </is>
      </c>
      <c r="L261" t="inlineStr">
        <is>
          <t>No explicit version established; modified date is file metadata only</t>
        </is>
      </c>
      <c r="M261" t="inlineStr">
        <is>
          <t>70 extracted pages/blocks/rows; 0 recipe keyword signals (not recipe count)</t>
        </is>
      </c>
    </row>
    <row r="262">
      <c r="B262" t="inlineStr">
        <is>
          <t>NDJOMO.jpg</t>
        </is>
      </c>
      <c r="C262" t="inlineStr">
        <is>
          <t>C:\Users\J COMPUTER\OneDrive\Pictures\GBHS NKAMBE 2023 EXAM\PROBATOIRE\NDJOMO.jpg</t>
        </is>
      </c>
      <c r="D262" t="inlineStr">
        <is>
          <t>.jpg</t>
        </is>
      </c>
      <c r="E262" t="inlineStr">
        <is>
          <t>2022-11-13T11:54:38+00:00</t>
        </is>
      </c>
      <c r="F262" t="inlineStr">
        <is>
          <t>28482</t>
        </is>
      </c>
      <c r="H262" t="inlineStr">
        <is>
          <t>Visually screened relevant images; original preserved</t>
        </is>
      </c>
      <c r="I262" t="inlineStr">
        <is>
          <t>Image screening: burger reference, workbook screenshot or equipment photo; unrelated exam images excluded</t>
        </is>
      </c>
      <c r="J262" t="inlineStr">
        <is>
          <t>No owner production trial log found</t>
        </is>
      </c>
      <c r="K262" t="inlineStr">
        <is>
          <t>Not established / non-text</t>
        </is>
      </c>
      <c r="L262" t="inlineStr">
        <is>
          <t>No explicit version established; modified date is file metadata only</t>
        </is>
      </c>
      <c r="M262" t="inlineStr">
        <is>
          <t xml:space="preserve"> extracted pages/blocks/rows;  recipe keyword signals (not recipe count)</t>
        </is>
      </c>
    </row>
    <row r="263">
      <c r="B263" t="inlineStr">
        <is>
          <t>NDJOMO1.jpg</t>
        </is>
      </c>
      <c r="C263" t="inlineStr">
        <is>
          <t>C:\Users\J COMPUTER\OneDrive\Pictures\GBHS NKAMBE 2023 EXAM\PROBATOIRE\NDJOMO1.jpg</t>
        </is>
      </c>
      <c r="D263" t="inlineStr">
        <is>
          <t>.jpg</t>
        </is>
      </c>
      <c r="E263" t="inlineStr">
        <is>
          <t>2022-11-13T12:00:07+00:00</t>
        </is>
      </c>
      <c r="F263" t="inlineStr">
        <is>
          <t>34718</t>
        </is>
      </c>
      <c r="H263" t="inlineStr">
        <is>
          <t>Visually screened relevant images; original preserved</t>
        </is>
      </c>
      <c r="I263" t="inlineStr">
        <is>
          <t>Image screening: burger reference, workbook screenshot or equipment photo; unrelated exam images excluded</t>
        </is>
      </c>
      <c r="J263" t="inlineStr">
        <is>
          <t>No owner production trial log found</t>
        </is>
      </c>
      <c r="K263" t="inlineStr">
        <is>
          <t>Not established / non-text</t>
        </is>
      </c>
      <c r="L263" t="inlineStr">
        <is>
          <t>No explicit version established; modified date is file metadata only</t>
        </is>
      </c>
      <c r="M263" t="inlineStr">
        <is>
          <t xml:space="preserve"> extracted pages/blocks/rows;  recipe keyword signals (not recipe count)</t>
        </is>
      </c>
    </row>
    <row r="264">
      <c r="B264" t="inlineStr">
        <is>
          <t>Exact Recipe.docx</t>
        </is>
      </c>
      <c r="C264" t="inlineStr">
        <is>
          <t>C:\Users\J COMPUTER\WPS Cloud Files\.3728209773449\cachedata\00AB631F952E4927918CB6957438B4E7\Exact Recipe.docx</t>
        </is>
      </c>
      <c r="D264" t="inlineStr">
        <is>
          <t>.docx</t>
        </is>
      </c>
      <c r="E264" t="inlineStr">
        <is>
          <t>2026-08-30T09:54:33.234445+00:00</t>
        </is>
      </c>
      <c r="F264" t="inlineStr">
        <is>
          <t>11343</t>
        </is>
      </c>
      <c r="H264" t="inlineStr">
        <is>
          <t>Software document, not a food recipe</t>
        </is>
      </c>
      <c r="I264" t="inlineStr">
        <is>
          <t>Filename screened</t>
        </is>
      </c>
      <c r="J264" t="inlineStr">
        <is>
          <t>No owner production trial log found</t>
        </is>
      </c>
      <c r="K264" t="inlineStr">
        <is>
          <t>Not established / non-text</t>
        </is>
      </c>
      <c r="L264" t="inlineStr">
        <is>
          <t>No explicit version established; modified date is file metadata only</t>
        </is>
      </c>
      <c r="M264" t="inlineStr">
        <is>
          <t xml:space="preserve"> extracted pages/blocks/rows;  recipe keyword signals (not recipe count)</t>
        </is>
      </c>
    </row>
    <row r="265">
      <c r="A265" t="inlineStr">
        <is>
          <t>S131</t>
        </is>
      </c>
      <c r="B265" t="inlineStr">
        <is>
          <t>Nkambe_Bakery_Business_and_Production_Plan.pdf</t>
        </is>
      </c>
      <c r="C265" t="inlineStr">
        <is>
          <t>C:\Users\J COMPUTER\WPS Cloud Files\.3728209773449\cachedata\2B0BE17ABD444588A82615757DB640F5\Nkambe_Bakery_Business_and_Production_Plan.pdf</t>
        </is>
      </c>
      <c r="D265" t="inlineStr">
        <is>
          <t>.pdf</t>
        </is>
      </c>
      <c r="E265" t="inlineStr">
        <is>
          <t>2026-10-03T10:12:05.927905+00:00</t>
        </is>
      </c>
      <c r="F265" t="inlineStr">
        <is>
          <t>356206</t>
        </is>
      </c>
      <c r="G265" t="inlineStr">
        <is>
          <t>276d5d4223c288f4d7cb899ac6855bf996932fe517e3514b780fd70913bf1f78</t>
        </is>
      </c>
      <c r="H265" t="inlineStr">
        <is>
          <t>Extracted text</t>
        </is>
      </c>
      <c r="I265" t="inlineStr">
        <is>
          <t>Related edition, supporting context or superseded source; no independent trial inferred</t>
        </is>
      </c>
      <c r="J265" t="inlineStr">
        <is>
          <t>No owner production trial log found</t>
        </is>
      </c>
      <c r="K265" t="inlineStr">
        <is>
          <t>English (text screening)</t>
        </is>
      </c>
      <c r="L265" t="inlineStr">
        <is>
          <t>No explicit version established; modified date is file metadata only</t>
        </is>
      </c>
      <c r="M265" t="inlineStr">
        <is>
          <t>74 extracted pages/blocks/rows; 285 recipe keyword signals (not recipe count)</t>
        </is>
      </c>
    </row>
    <row r="266">
      <c r="A266" t="inlineStr">
        <is>
          <t>S024</t>
        </is>
      </c>
      <c r="B266" t="inlineStr">
        <is>
          <t>Bakery_Empire_Master_Operations_Manual (1).pdf</t>
        </is>
      </c>
      <c r="C266" t="inlineStr">
        <is>
          <t>C:\Users\J COMPUTER\WPS Cloud Files\.3728209773449\cachedata\2C3ACF96F6E54C669DB9566D709C3C95\Bakery_Empire_Master_Operations_Manual (1).pdf</t>
        </is>
      </c>
      <c r="D266" t="inlineStr">
        <is>
          <t>.pdf</t>
        </is>
      </c>
      <c r="E266" t="inlineStr">
        <is>
          <t>2026-09-11T16:54:08.916317+00:00</t>
        </is>
      </c>
      <c r="F266" t="inlineStr">
        <is>
          <t>12105</t>
        </is>
      </c>
      <c r="G266" t="inlineStr">
        <is>
          <t>46a528981a7b8d2a0ad93a0d12e12eee374c70e345df7c9de4ee740ac240b501</t>
        </is>
      </c>
      <c r="H266" t="inlineStr">
        <is>
          <t>Exact duplicate</t>
        </is>
      </c>
      <c r="I266" t="inlineStr">
        <is>
          <t>Related edition, supporting context or superseded source; no independent trial inferred</t>
        </is>
      </c>
      <c r="J266" t="inlineStr">
        <is>
          <t>No owner production trial log found</t>
        </is>
      </c>
      <c r="K266" t="inlineStr">
        <is>
          <t>English (text screening)</t>
        </is>
      </c>
      <c r="L266" t="inlineStr">
        <is>
          <t>No explicit version established; modified date is file metadata only</t>
        </is>
      </c>
      <c r="M266" t="inlineStr">
        <is>
          <t xml:space="preserve"> extracted pages/blocks/rows;  recipe keyword signals (not recipe count)</t>
        </is>
      </c>
    </row>
    <row r="267">
      <c r="A267" t="inlineStr">
        <is>
          <t>S013</t>
        </is>
      </c>
      <c r="B267" t="inlineStr">
        <is>
          <t>Nkambe_Bakery_Product_Development_and_Profitability_Strategy.pdf</t>
        </is>
      </c>
      <c r="C267" t="inlineStr">
        <is>
          <t>C:\Users\J COMPUTER\WPS Cloud Files\.3728209773449\cachedata\3C51122B78FD475B9BA98A07F8C0662F\Nkambe_Bakery_Product_Development_and_Profitability_Strategy.pdf</t>
        </is>
      </c>
      <c r="D267" t="inlineStr">
        <is>
          <t>.pdf</t>
        </is>
      </c>
      <c r="E267" t="inlineStr">
        <is>
          <t>2026-10-08T12:08:08.212843+00:00</t>
        </is>
      </c>
      <c r="F267" t="inlineStr">
        <is>
          <t>118715</t>
        </is>
      </c>
      <c r="G267" t="inlineStr">
        <is>
          <t>e8f97c198f48cc035c0576d1a468fb627c37ddc51d0f8658281053a950ac8b84</t>
        </is>
      </c>
      <c r="H267" t="inlineStr">
        <is>
          <t>Exact duplicate</t>
        </is>
      </c>
      <c r="I267" t="inlineStr">
        <is>
          <t>Recipe source or technical context included</t>
        </is>
      </c>
      <c r="J267" t="inlineStr">
        <is>
          <t>No owner production trial log found</t>
        </is>
      </c>
      <c r="K267" t="inlineStr">
        <is>
          <t>English (text screening)</t>
        </is>
      </c>
      <c r="L267" t="inlineStr">
        <is>
          <t>No explicit version established; modified date is file metadata only</t>
        </is>
      </c>
      <c r="M267" t="inlineStr">
        <is>
          <t xml:space="preserve"> extracted pages/blocks/rows;  recipe keyword signals (not recipe count)</t>
        </is>
      </c>
    </row>
    <row r="268">
      <c r="A268" t="inlineStr">
        <is>
          <t>S132</t>
        </is>
      </c>
      <c r="B268" t="inlineStr">
        <is>
          <t>Bakery recipes   melto 2026.xlsx</t>
        </is>
      </c>
      <c r="C268" t="inlineStr">
        <is>
          <t>C:\Users\J COMPUTER\WPS Cloud Files\.3728209773449\cachedata\5043ADA36005483A909FCB090088D82E\Bakery recipes   melto 2026.xlsx</t>
        </is>
      </c>
      <c r="D268" t="inlineStr">
        <is>
          <t>.xlsx</t>
        </is>
      </c>
      <c r="E268" t="inlineStr">
        <is>
          <t>2026-10-07T11:41:24.755287+00:00</t>
        </is>
      </c>
      <c r="F268" t="inlineStr">
        <is>
          <t>136354</t>
        </is>
      </c>
      <c r="G268" t="inlineStr">
        <is>
          <t>490d02185a7c06723e11518d018b847caab9fc63c7c224d07cdbd281a1d57a09</t>
        </is>
      </c>
      <c r="H268" t="inlineStr">
        <is>
          <t>Extracted text</t>
        </is>
      </c>
      <c r="I268" t="inlineStr">
        <is>
          <t>Recipe source or technical context included</t>
        </is>
      </c>
      <c r="J268" t="inlineStr">
        <is>
          <t>No owner production trial log found</t>
        </is>
      </c>
      <c r="K268" t="inlineStr">
        <is>
          <t>English (text screening)</t>
        </is>
      </c>
      <c r="L268" t="inlineStr">
        <is>
          <t>No explicit version established; modified date is file metadata only</t>
        </is>
      </c>
      <c r="M268" t="inlineStr">
        <is>
          <t>886 extracted pages/blocks/rows; 55 recipe keyword signals (not recipe count)</t>
        </is>
      </c>
    </row>
    <row r="269">
      <c r="A269" t="inlineStr">
        <is>
          <t>S047</t>
        </is>
      </c>
      <c r="B269" t="inlineStr">
        <is>
          <t>Bakery recipes Jan 2025.xlsx</t>
        </is>
      </c>
      <c r="C269" t="inlineStr">
        <is>
          <t>C:\Users\J COMPUTER\WPS Cloud Files\.3728209773449\cachedata\5293A98EEC59442195411F80AAE630D6\Bakery recipes Jan 2025.xlsx</t>
        </is>
      </c>
      <c r="D269" t="inlineStr">
        <is>
          <t>.xlsx</t>
        </is>
      </c>
      <c r="E269" t="inlineStr">
        <is>
          <t>2025-09-08T06:34:28+00:00</t>
        </is>
      </c>
      <c r="F269" t="inlineStr">
        <is>
          <t>100219</t>
        </is>
      </c>
      <c r="G269" t="inlineStr">
        <is>
          <t>63f55b2e66068d8a7c27384e332f879238f09288ed94e225ba42cfd72f896047</t>
        </is>
      </c>
      <c r="H269" t="inlineStr">
        <is>
          <t>Exact duplicate</t>
        </is>
      </c>
      <c r="I269" t="inlineStr">
        <is>
          <t>Recipe source or technical context included</t>
        </is>
      </c>
      <c r="J269" t="inlineStr">
        <is>
          <t>No owner production trial log found</t>
        </is>
      </c>
      <c r="K269" t="inlineStr">
        <is>
          <t>English (text screening)</t>
        </is>
      </c>
      <c r="L269" t="inlineStr">
        <is>
          <t>No explicit version established; modified date is file metadata only</t>
        </is>
      </c>
      <c r="M269" t="inlineStr">
        <is>
          <t xml:space="preserve"> extracted pages/blocks/rows;  recipe keyword signals (not recipe count)</t>
        </is>
      </c>
    </row>
    <row r="270">
      <c r="A270" t="inlineStr">
        <is>
          <t>S031</t>
        </is>
      </c>
      <c r="B270" t="inlineStr">
        <is>
          <t>Les Meilleures Recettes de Bâtonnets Made in Africa (2) (1).pdf</t>
        </is>
      </c>
      <c r="C270" t="inlineStr">
        <is>
          <t>C:\Users\J COMPUTER\WPS Cloud Files\.3728209773449\cachedata\60C7016E4C2E42398557D2FFBFC3898A\Les Meilleures Recettes de Bâtonnets Made in Africa (2) (1).pdf</t>
        </is>
      </c>
      <c r="D270" t="inlineStr">
        <is>
          <t>.pdf</t>
        </is>
      </c>
      <c r="E270" t="inlineStr">
        <is>
          <t>2026-07-31T11:44:22.206967+00:00</t>
        </is>
      </c>
      <c r="F270" t="inlineStr">
        <is>
          <t>2144582</t>
        </is>
      </c>
      <c r="G270" t="inlineStr">
        <is>
          <t>babd46226ae382261dba4b9f1b1eae935f9cdd530e236cdcb91d3aae2cfb2505</t>
        </is>
      </c>
      <c r="H270" t="inlineStr">
        <is>
          <t>Exact duplicate</t>
        </is>
      </c>
      <c r="I270" t="inlineStr">
        <is>
          <t>Recipe source or technical context included</t>
        </is>
      </c>
      <c r="J270" t="inlineStr">
        <is>
          <t>No owner production trial log found</t>
        </is>
      </c>
      <c r="K270" t="inlineStr">
        <is>
          <t>French (text screening)</t>
        </is>
      </c>
      <c r="L270" t="inlineStr">
        <is>
          <t>No explicit version established; modified date is file metadata only</t>
        </is>
      </c>
      <c r="M270" t="inlineStr">
        <is>
          <t xml:space="preserve"> extracted pages/blocks/rows;  recipe keyword signals (not recipe count)</t>
        </is>
      </c>
    </row>
    <row r="271">
      <c r="A271" t="inlineStr">
        <is>
          <t>S133</t>
        </is>
      </c>
      <c r="B271" t="inlineStr">
        <is>
          <t>beignet soufle recipe.docx</t>
        </is>
      </c>
      <c r="C271" t="inlineStr">
        <is>
          <t>C:\Users\J COMPUTER\WPS Cloud Files\.3728209773449\cachedata\668D8B37D0D94F3AAE6499C34E307B69\beignet soufle recipe.docx</t>
        </is>
      </c>
      <c r="D271" t="inlineStr">
        <is>
          <t>.docx</t>
        </is>
      </c>
      <c r="E271" t="inlineStr">
        <is>
          <t>2026-09-12T12:28:43.254217+00:00</t>
        </is>
      </c>
      <c r="F271" t="inlineStr">
        <is>
          <t>10895</t>
        </is>
      </c>
      <c r="G271" t="inlineStr">
        <is>
          <t>1438be1229d685a13ad404187736d4fad832a87cee0c735e764b50ed47d03f9c</t>
        </is>
      </c>
      <c r="H271" t="inlineStr">
        <is>
          <t>Extracted text</t>
        </is>
      </c>
      <c r="I271" t="inlineStr">
        <is>
          <t>Recipe source or technical context included</t>
        </is>
      </c>
      <c r="J271" t="inlineStr">
        <is>
          <t>No owner production trial log found</t>
        </is>
      </c>
      <c r="K271" t="inlineStr">
        <is>
          <t>English (text screening)</t>
        </is>
      </c>
      <c r="L271" t="inlineStr">
        <is>
          <t>No explicit version established; modified date is file metadata only</t>
        </is>
      </c>
      <c r="M271" t="inlineStr">
        <is>
          <t>11 extracted pages/blocks/rows; 1 recipe keyword signals (not recipe count)</t>
        </is>
      </c>
    </row>
    <row r="272">
      <c r="A272" t="inlineStr">
        <is>
          <t>S134</t>
        </is>
      </c>
      <c r="B272" t="inlineStr">
        <is>
          <t>The Premium Kumba Bread Formulation.docx</t>
        </is>
      </c>
      <c r="C272" t="inlineStr">
        <is>
          <t>C:\Users\J COMPUTER\WPS Cloud Files\.3728209773449\cachedata\73AB234355B34F12AF4880D3EA67C24F\The Premium Kumba Bread Formulation.docx</t>
        </is>
      </c>
      <c r="D272" t="inlineStr">
        <is>
          <t>.docx</t>
        </is>
      </c>
      <c r="E272" t="inlineStr">
        <is>
          <t>2026-09-01T13:12:36.693307+00:00</t>
        </is>
      </c>
      <c r="F272" t="inlineStr">
        <is>
          <t>17619</t>
        </is>
      </c>
      <c r="G272" t="inlineStr">
        <is>
          <t>605bb2d9483fdcd94ba19fbf411f4dcc03ffa4550290e82a206874eb97315ab5</t>
        </is>
      </c>
      <c r="H272" t="inlineStr">
        <is>
          <t>Extracted text</t>
        </is>
      </c>
      <c r="I272" t="inlineStr">
        <is>
          <t>Recipe source or technical context included</t>
        </is>
      </c>
      <c r="J272" t="inlineStr">
        <is>
          <t>No owner production trial log found</t>
        </is>
      </c>
      <c r="K272" t="inlineStr">
        <is>
          <t>English (text screening)</t>
        </is>
      </c>
      <c r="L272" t="inlineStr">
        <is>
          <t>No explicit version established; modified date is file metadata only</t>
        </is>
      </c>
      <c r="M272" t="inlineStr">
        <is>
          <t>42 extracted pages/blocks/rows; 6 recipe keyword signals (not recipe count)</t>
        </is>
      </c>
    </row>
    <row r="273">
      <c r="A273" t="inlineStr">
        <is>
          <t>S025</t>
        </is>
      </c>
      <c r="B273" t="inlineStr">
        <is>
          <t>Bakery_Empire_Master_Operations_Manual (2).pdf</t>
        </is>
      </c>
      <c r="C273" t="inlineStr">
        <is>
          <t>C:\Users\J COMPUTER\WPS Cloud Files\.3728209773449\cachedata\815FE71BF3024A83B6460CD886961F1F\Bakery_Empire_Master_Operations_Manual (2).pdf</t>
        </is>
      </c>
      <c r="D273" t="inlineStr">
        <is>
          <t>.pdf</t>
        </is>
      </c>
      <c r="E273" t="inlineStr">
        <is>
          <t>2026-09-11T16:56:41.168424+00:00</t>
        </is>
      </c>
      <c r="F273" t="inlineStr">
        <is>
          <t>32229</t>
        </is>
      </c>
      <c r="G273" t="inlineStr">
        <is>
          <t>932b0e956856e9421f11a71c2fa2a862b50407d87f283486b1b7482eb3205e3a</t>
        </is>
      </c>
      <c r="H273" t="inlineStr">
        <is>
          <t>Exact duplicate</t>
        </is>
      </c>
      <c r="I273" t="inlineStr">
        <is>
          <t>Related edition, supporting context or superseded source; no independent trial inferred</t>
        </is>
      </c>
      <c r="J273" t="inlineStr">
        <is>
          <t>No owner production trial log found</t>
        </is>
      </c>
      <c r="K273" t="inlineStr">
        <is>
          <t>English (text screening)</t>
        </is>
      </c>
      <c r="L273" t="inlineStr">
        <is>
          <t>No explicit version established; modified date is file metadata only</t>
        </is>
      </c>
      <c r="M273" t="inlineStr">
        <is>
          <t xml:space="preserve"> extracted pages/blocks/rows;  recipe keyword signals (not recipe count)</t>
        </is>
      </c>
    </row>
    <row r="274">
      <c r="A274" t="inlineStr">
        <is>
          <t>S135</t>
        </is>
      </c>
      <c r="B274" t="inlineStr">
        <is>
          <t>bakery_strategy_and_recipe_manual.pdf</t>
        </is>
      </c>
      <c r="C274" t="inlineStr">
        <is>
          <t>C:\Users\J COMPUTER\WPS Cloud Files\.3728209773449\cachedata\A71411088D9C49E7B19BEE9A638E0A14\bakery_strategy_and_recipe_manual.pdf</t>
        </is>
      </c>
      <c r="D274" t="inlineStr">
        <is>
          <t>.pdf</t>
        </is>
      </c>
      <c r="E274" t="inlineStr">
        <is>
          <t>2026-09-12T03:11:44.179329+00:00</t>
        </is>
      </c>
      <c r="F274" t="inlineStr">
        <is>
          <t>108223</t>
        </is>
      </c>
      <c r="G274" t="inlineStr">
        <is>
          <t>e5f09d32012c83d37e75613ac301e9beaa40c5053cb21fd40899dc86a270ff19</t>
        </is>
      </c>
      <c r="H274" t="inlineStr">
        <is>
          <t>Extracted text</t>
        </is>
      </c>
      <c r="I274" t="inlineStr">
        <is>
          <t>Related edition, supporting context or superseded source; no independent trial inferred</t>
        </is>
      </c>
      <c r="J274" t="inlineStr">
        <is>
          <t>No owner production trial log found</t>
        </is>
      </c>
      <c r="K274" t="inlineStr">
        <is>
          <t>English (text screening)</t>
        </is>
      </c>
      <c r="L274" t="inlineStr">
        <is>
          <t>No explicit version established; modified date is file metadata only</t>
        </is>
      </c>
      <c r="M274" t="inlineStr">
        <is>
          <t>9 extracted pages/blocks/rows; 56 recipe keyword signals (not recipe count)</t>
        </is>
      </c>
    </row>
    <row r="275">
      <c r="A275" t="inlineStr">
        <is>
          <t>S023</t>
        </is>
      </c>
      <c r="B275" t="inlineStr">
        <is>
          <t>555736575-La-Patisserie.pdf</t>
        </is>
      </c>
      <c r="C275" t="inlineStr">
        <is>
          <t>C:\Users\J COMPUTER\WPS Cloud Files\.3728209773449\cachedata\AE50C35880F148A29F575683ACC803CC\555736575-La-Patisserie.pdf</t>
        </is>
      </c>
      <c r="D275" t="inlineStr">
        <is>
          <t>.pdf</t>
        </is>
      </c>
      <c r="E275" t="inlineStr">
        <is>
          <t>2026-08-24T16:40:39.220155+00:00</t>
        </is>
      </c>
      <c r="F275" t="inlineStr">
        <is>
          <t>110658519</t>
        </is>
      </c>
      <c r="G275" t="inlineStr">
        <is>
          <t>7e37e75a026a50a01406e1cbe886bf6f31f609608e1765d410433ecd858ffe93</t>
        </is>
      </c>
      <c r="H275" t="inlineStr">
        <is>
          <t>Locally OCR recovered; adopted quantities require image check</t>
        </is>
      </c>
      <c r="I275" t="inlineStr">
        <is>
          <t>Recipe source or technical context included</t>
        </is>
      </c>
      <c r="J275" t="inlineStr">
        <is>
          <t>No owner production trial log found</t>
        </is>
      </c>
      <c r="K275" t="inlineStr">
        <is>
          <t>Not established / non-text</t>
        </is>
      </c>
      <c r="L275" t="inlineStr">
        <is>
          <t>No explicit version established; modified date is file metadata only</t>
        </is>
      </c>
      <c r="M275" t="inlineStr">
        <is>
          <t xml:space="preserve"> extracted pages/blocks/rows;  recipe keyword signals (not recipe count)</t>
        </is>
      </c>
    </row>
    <row r="276">
      <c r="A276" t="inlineStr">
        <is>
          <t>S136</t>
        </is>
      </c>
      <c r="B276" t="inlineStr">
        <is>
          <t>melto_bakery_comprehensive_recipe_book.xlsx</t>
        </is>
      </c>
      <c r="C276" t="inlineStr">
        <is>
          <t>C:\Users\J COMPUTER\WPS Cloud Files\.3728209773449\cachedata\B2067C87E6274097B90E3271909A057C\melto_bakery_comprehensive_recipe_book.xlsx</t>
        </is>
      </c>
      <c r="D276" t="inlineStr">
        <is>
          <t>.xlsx</t>
        </is>
      </c>
      <c r="E276" t="inlineStr">
        <is>
          <t>2026-05-31T15:37:14.625100+00:00</t>
        </is>
      </c>
      <c r="F276" t="inlineStr">
        <is>
          <t>148044</t>
        </is>
      </c>
      <c r="G276" t="inlineStr">
        <is>
          <t>12a8b0669721f0c5d36d8e0970088a4b2386541c6a89a567ecd6cbb2851a244f</t>
        </is>
      </c>
      <c r="H276" t="inlineStr">
        <is>
          <t>Extracted text</t>
        </is>
      </c>
      <c r="I276" t="inlineStr">
        <is>
          <t>Recipe source or technical context included</t>
        </is>
      </c>
      <c r="J276" t="inlineStr">
        <is>
          <t>No owner production trial log found</t>
        </is>
      </c>
      <c r="K276" t="inlineStr">
        <is>
          <t>English (text screening)</t>
        </is>
      </c>
      <c r="L276" t="inlineStr">
        <is>
          <t>No explicit version established; modified date is file metadata only</t>
        </is>
      </c>
      <c r="M276" t="inlineStr">
        <is>
          <t>1842 extracted pages/blocks/rows; 623 recipe keyword signals (not recipe count)</t>
        </is>
      </c>
    </row>
    <row r="277">
      <c r="A277" t="inlineStr">
        <is>
          <t>S137</t>
        </is>
      </c>
      <c r="B277" t="inlineStr">
        <is>
          <t>Nkambe_Bakery_Business_and_Production_Plan.pdf</t>
        </is>
      </c>
      <c r="C277" t="inlineStr">
        <is>
          <t>C:\Users\J COMPUTER\WPS Cloud Files\.3728209773449\cachedata\D084D8E5B0104800B3A610A601B8DF7B\Nkambe_Bakery_Business_and_Production_Plan.pdf</t>
        </is>
      </c>
      <c r="D277" t="inlineStr">
        <is>
          <t>.pdf</t>
        </is>
      </c>
      <c r="E277" t="inlineStr">
        <is>
          <t>2026-10-03T11:35:59.792504+00:00</t>
        </is>
      </c>
      <c r="F277" t="inlineStr">
        <is>
          <t>397289</t>
        </is>
      </c>
      <c r="G277" t="inlineStr">
        <is>
          <t>7bbebda929df8fa5076c9823ee9a15e9053a0c84a97863963acb34dde17f5704</t>
        </is>
      </c>
      <c r="H277" t="inlineStr">
        <is>
          <t>Extracted text</t>
        </is>
      </c>
      <c r="I277" t="inlineStr">
        <is>
          <t>Related edition, supporting context or superseded source; no independent trial inferred</t>
        </is>
      </c>
      <c r="J277" t="inlineStr">
        <is>
          <t>No owner production trial log found</t>
        </is>
      </c>
      <c r="K277" t="inlineStr">
        <is>
          <t>English (text screening)</t>
        </is>
      </c>
      <c r="L277" t="inlineStr">
        <is>
          <t>No explicit version established; modified date is file metadata only</t>
        </is>
      </c>
      <c r="M277" t="inlineStr">
        <is>
          <t>83 extracted pages/blocks/rows; 304 recipe keyword signals (not recipe count)</t>
        </is>
      </c>
    </row>
    <row r="278">
      <c r="A278" t="inlineStr">
        <is>
          <t>S035</t>
        </is>
      </c>
      <c r="B278" t="inlineStr">
        <is>
          <t>Professional Popsicle production.docx</t>
        </is>
      </c>
      <c r="C278" t="inlineStr">
        <is>
          <t>C:\Users\J COMPUTER\WPS Cloud Files\.3728209773449\cachedata\D266D05307C74798B88B4927E7C054F1\Professional Popsicle production.docx</t>
        </is>
      </c>
      <c r="D278" t="inlineStr">
        <is>
          <t>.docx</t>
        </is>
      </c>
      <c r="E278" t="inlineStr">
        <is>
          <t>2026-07-31T11:18:08.333180+00:00</t>
        </is>
      </c>
      <c r="F278" t="inlineStr">
        <is>
          <t>18845</t>
        </is>
      </c>
      <c r="G278" t="inlineStr">
        <is>
          <t>143f4f3edd4519afcd071ea3fdaf0a79197473131e8145ea1368f172ffa4c41e</t>
        </is>
      </c>
      <c r="H278" t="inlineStr">
        <is>
          <t>Exact duplicate</t>
        </is>
      </c>
      <c r="I278" t="inlineStr">
        <is>
          <t>Recipe source or technical context included</t>
        </is>
      </c>
      <c r="J278" t="inlineStr">
        <is>
          <t>No owner production trial log found</t>
        </is>
      </c>
      <c r="K278" t="inlineStr">
        <is>
          <t>English (text screening)</t>
        </is>
      </c>
      <c r="L278" t="inlineStr">
        <is>
          <t>No explicit version established; modified date is file metadata only</t>
        </is>
      </c>
      <c r="M278" t="inlineStr">
        <is>
          <t xml:space="preserve"> extracted pages/blocks/rows;  recipe keyword signals (not recipe count)</t>
        </is>
      </c>
    </row>
    <row r="279">
      <c r="A279" t="inlineStr">
        <is>
          <t>S138</t>
        </is>
      </c>
      <c r="B279" t="inlineStr">
        <is>
          <t>bakery_strategy_and_recipe_manual.docx</t>
        </is>
      </c>
      <c r="C279" t="inlineStr">
        <is>
          <t>C:\Users\J COMPUTER\WPS Cloud Files\.3728209773449\cachedata\D624C510281C49CAAEF293FC53329A2E\bakery_strategy_and_recipe_manual.docx</t>
        </is>
      </c>
      <c r="D279" t="inlineStr">
        <is>
          <t>.docx</t>
        </is>
      </c>
      <c r="E279" t="inlineStr">
        <is>
          <t>2026-09-12T03:10:14.227133+00:00</t>
        </is>
      </c>
      <c r="F279" t="inlineStr">
        <is>
          <t>56234</t>
        </is>
      </c>
      <c r="G279" t="inlineStr">
        <is>
          <t>42b1e75f95c4986a64274c0ac6705961859a4791775837624b3754e83150c17b</t>
        </is>
      </c>
      <c r="H279" t="inlineStr">
        <is>
          <t>Extracted text</t>
        </is>
      </c>
      <c r="I279" t="inlineStr">
        <is>
          <t>Related edition, supporting context or superseded source; no independent trial inferred</t>
        </is>
      </c>
      <c r="J279" t="inlineStr">
        <is>
          <t>No owner production trial log found</t>
        </is>
      </c>
      <c r="K279" t="inlineStr">
        <is>
          <t>English (text screening)</t>
        </is>
      </c>
      <c r="L279" t="inlineStr">
        <is>
          <t>No explicit version established; modified date is file metadata only</t>
        </is>
      </c>
      <c r="M279" t="inlineStr">
        <is>
          <t>160 extracted pages/blocks/rows; 47 recipe keyword signals (not recipe count)</t>
        </is>
      </c>
    </row>
    <row r="280">
      <c r="A280" t="inlineStr">
        <is>
          <t>S139</t>
        </is>
      </c>
      <c r="B280" t="inlineStr">
        <is>
          <t>Nkambe_Bakery_Handbook.pdf</t>
        </is>
      </c>
      <c r="C280" t="inlineStr">
        <is>
          <t>C:\Users\J COMPUTER\WPS Cloud Files\.3728209773449\cachedata\D645253CDD9142B3B9ABCB09E288FC49\Nkambe_Bakery_Handbook.pdf</t>
        </is>
      </c>
      <c r="D280" t="inlineStr">
        <is>
          <t>.pdf</t>
        </is>
      </c>
      <c r="E280" t="inlineStr">
        <is>
          <t>2026-10-03T15:22:04.764699+00:00</t>
        </is>
      </c>
      <c r="F280" t="inlineStr">
        <is>
          <t>684148</t>
        </is>
      </c>
      <c r="G280" t="inlineStr">
        <is>
          <t>34725addea1d4c59e73439bc10d490abf5cef97df26b66d07896f6d90f699b80</t>
        </is>
      </c>
      <c r="H280" t="inlineStr">
        <is>
          <t>Extracted text</t>
        </is>
      </c>
      <c r="I280" t="inlineStr">
        <is>
          <t>Related edition, supporting context or superseded source; no independent trial inferred</t>
        </is>
      </c>
      <c r="J280" t="inlineStr">
        <is>
          <t>No owner production trial log found</t>
        </is>
      </c>
      <c r="K280" t="inlineStr">
        <is>
          <t>English (text screening)</t>
        </is>
      </c>
      <c r="L280" t="inlineStr">
        <is>
          <t>No explicit version established; modified date is file metadata only</t>
        </is>
      </c>
      <c r="M280" t="inlineStr">
        <is>
          <t>155 extracted pages/blocks/rows; 606 recipe keyword signals (not recipe count)</t>
        </is>
      </c>
    </row>
    <row r="281">
      <c r="A281" t="inlineStr">
        <is>
          <t>S029</t>
        </is>
      </c>
      <c r="B281" t="inlineStr">
        <is>
          <t>cameroon_bakery_high_value_recipes.pdf</t>
        </is>
      </c>
      <c r="C281" t="inlineStr">
        <is>
          <t>C:\Users\J COMPUTER\WPS Cloud Files\.3728209773449\cachedata\E3BC5B9CCCD1443E83C114CB060255EC\cameroon_bakery_high_value_recipes.pdf</t>
        </is>
      </c>
      <c r="D281" t="inlineStr">
        <is>
          <t>.pdf</t>
        </is>
      </c>
      <c r="E281" t="inlineStr">
        <is>
          <t>2026-10-01T13:41:52.130100+00:00</t>
        </is>
      </c>
      <c r="F281" t="inlineStr">
        <is>
          <t>16749</t>
        </is>
      </c>
      <c r="G281" t="inlineStr">
        <is>
          <t>c1e351d255b996875eb6f165b188b9b10fa2b61f1b1381533c2cd5658168bc4a</t>
        </is>
      </c>
      <c r="H281" t="inlineStr">
        <is>
          <t>Exact duplicate</t>
        </is>
      </c>
      <c r="I281" t="inlineStr">
        <is>
          <t>Related edition, supporting context or superseded source; no independent trial inferred</t>
        </is>
      </c>
      <c r="J281" t="inlineStr">
        <is>
          <t>No owner production trial log found</t>
        </is>
      </c>
      <c r="K281" t="inlineStr">
        <is>
          <t>English (text screening)</t>
        </is>
      </c>
      <c r="L281" t="inlineStr">
        <is>
          <t>No explicit version established; modified date is file metadata only</t>
        </is>
      </c>
      <c r="M281" t="inlineStr">
        <is>
          <t xml:space="preserve"> extracted pages/blocks/rows;  recipe keyword signals (not recipe count)</t>
        </is>
      </c>
    </row>
    <row r="282">
      <c r="A282" t="inlineStr">
        <is>
          <t>S020</t>
        </is>
      </c>
      <c r="B282" t="inlineStr">
        <is>
          <t>21+1 Recettes de glace italiennes douces et crémeuses pour Machine à Glace Italienne _ Le Guide Complet (Revision 1).pdf</t>
        </is>
      </c>
      <c r="C282" t="inlineStr">
        <is>
          <t>C:\Users\J COMPUTER\WPS Cloud Files\.3728209773449\cachedata\EC76AA3D562C49A09B4A86B668313CCF\21+1 Recettes de glace italiennes douces et crémeuses pour Machine à Glace Italienne _ Le Guide Complet (Revision 1).pdf</t>
        </is>
      </c>
      <c r="D282" t="inlineStr">
        <is>
          <t>.pdf</t>
        </is>
      </c>
      <c r="E282" t="inlineStr">
        <is>
          <t>2026-07-28T05:30:01.688744+00:00</t>
        </is>
      </c>
      <c r="F282" t="inlineStr">
        <is>
          <t>1014362</t>
        </is>
      </c>
      <c r="G282" t="inlineStr">
        <is>
          <t>25fd0c270e36987055351627aa7c53fa0691a38516e78228604e6a02dcade103</t>
        </is>
      </c>
      <c r="H282" t="inlineStr">
        <is>
          <t>Exact duplicate</t>
        </is>
      </c>
      <c r="I282" t="inlineStr">
        <is>
          <t>Recipe source or technical context included</t>
        </is>
      </c>
      <c r="J282" t="inlineStr">
        <is>
          <t>No owner production trial log found</t>
        </is>
      </c>
      <c r="K282" t="inlineStr">
        <is>
          <t>French (text screening)</t>
        </is>
      </c>
      <c r="L282" t="inlineStr">
        <is>
          <t>No explicit version established; modified date is file metadata only</t>
        </is>
      </c>
      <c r="M282" t="inlineStr">
        <is>
          <t xml:space="preserve"> extracted pages/blocks/rows;  recipe keyword signals (not recipe count)</t>
        </is>
      </c>
    </row>
    <row r="283">
      <c r="A283" t="inlineStr">
        <is>
          <t>S007</t>
        </is>
      </c>
      <c r="B283" t="inlineStr">
        <is>
          <t>Nkambe_Bakery_Strategy_and_Recipe_Manual.pdf</t>
        </is>
      </c>
      <c r="C283" t="inlineStr">
        <is>
          <t>C:\Users\J COMPUTER\WPS Cloud Files\.3728209773449\cachedata\F4EE902C3E014875A3F17DD2DA7834CD\Nkambe_Bakery_Strategy_and_Recipe_Manual.pdf</t>
        </is>
      </c>
      <c r="D283" t="inlineStr">
        <is>
          <t>.pdf</t>
        </is>
      </c>
      <c r="E283" t="inlineStr">
        <is>
          <t>2026-09-14T14:11:36.397636+00:00</t>
        </is>
      </c>
      <c r="F283" t="inlineStr">
        <is>
          <t>428291</t>
        </is>
      </c>
      <c r="G283" t="inlineStr">
        <is>
          <t>1ff70f54a43346e89057c30486c799af12e845502adaa43fd3ebfc20cf5d24e9</t>
        </is>
      </c>
      <c r="H283" t="inlineStr">
        <is>
          <t>Exact duplicate</t>
        </is>
      </c>
      <c r="I283" t="inlineStr">
        <is>
          <t>Related edition, supporting context or superseded source; no independent trial inferred</t>
        </is>
      </c>
      <c r="J283" t="inlineStr">
        <is>
          <t>No owner production trial log found</t>
        </is>
      </c>
      <c r="K283" t="inlineStr">
        <is>
          <t>English (text screening)</t>
        </is>
      </c>
      <c r="L283" t="inlineStr">
        <is>
          <t>No explicit version established; modified date is file metadata only</t>
        </is>
      </c>
      <c r="M283" t="inlineStr">
        <is>
          <t xml:space="preserve"> extracted pages/blocks/rows;  recipe keyword signals (not recipe count)</t>
        </is>
      </c>
    </row>
    <row r="284">
      <c r="A284" t="inlineStr">
        <is>
          <t>S019</t>
        </is>
      </c>
      <c r="B284" t="inlineStr">
        <is>
          <t>Cameroon_Bakery_Technical_Report.pdf</t>
        </is>
      </c>
      <c r="C284" t="inlineStr">
        <is>
          <t>C:\Users\J COMPUTER\WPS Cloud Files\.3728209773449\cachedata\FA19AB435B78476C9BF4D9A7EF2229B3\Cameroon_Bakery_Technical_Report.pdf</t>
        </is>
      </c>
      <c r="D284" t="inlineStr">
        <is>
          <t>.pdf</t>
        </is>
      </c>
      <c r="E284" t="inlineStr">
        <is>
          <t>2026-10-08T12:29:11.693516+00:00</t>
        </is>
      </c>
      <c r="F284" t="inlineStr">
        <is>
          <t>256963</t>
        </is>
      </c>
      <c r="G284" t="inlineStr">
        <is>
          <t>3969ecc3b021b9d5e042b5f5986ff8b86185845ec923e7cb5e9c248ec4b7674d</t>
        </is>
      </c>
      <c r="H284" t="inlineStr">
        <is>
          <t>Exact duplicate</t>
        </is>
      </c>
      <c r="I284" t="inlineStr">
        <is>
          <t>Related edition, supporting context or superseded source; no independent trial inferred</t>
        </is>
      </c>
      <c r="J284" t="inlineStr">
        <is>
          <t>No owner production trial log found</t>
        </is>
      </c>
      <c r="K284" t="inlineStr">
        <is>
          <t>English (text screening)</t>
        </is>
      </c>
      <c r="L284" t="inlineStr">
        <is>
          <t>No explicit version established; modified date is file metadata only</t>
        </is>
      </c>
      <c r="M284" t="inlineStr">
        <is>
          <t xml:space="preserve"> extracted pages/blocks/rows;  recipe keyword signals (not recipe count)</t>
        </is>
      </c>
    </row>
    <row r="285">
      <c r="A285" t="inlineStr">
        <is>
          <t>S027</t>
        </is>
      </c>
      <c r="B285" t="inlineStr">
        <is>
          <t>Bakery_Empire_Master_Operations_Manual.pdf</t>
        </is>
      </c>
      <c r="C285" t="inlineStr">
        <is>
          <t>C:\Users\J COMPUTER\WPS Cloud Files\.3728209773449\cachedata\FCF9C925AF6E4764873D3EF3DC2B7CEF\Bakery_Empire_Master_Operations_Manual.pdf</t>
        </is>
      </c>
      <c r="D285" t="inlineStr">
        <is>
          <t>.pdf</t>
        </is>
      </c>
      <c r="E285" t="inlineStr">
        <is>
          <t>2026-09-11T16:27:02.758401+00:00</t>
        </is>
      </c>
      <c r="F285" t="inlineStr">
        <is>
          <t>10652</t>
        </is>
      </c>
      <c r="G285" t="inlineStr">
        <is>
          <t>1d02155b06ffa4777a41cfdab99a47dc53fcbc8b1aa963c08b1a92063b53fef5</t>
        </is>
      </c>
      <c r="H285" t="inlineStr">
        <is>
          <t>Exact duplicate</t>
        </is>
      </c>
      <c r="I285" t="inlineStr">
        <is>
          <t>H2 five-batch scheduling companion; original 101-piece and timetable claims audited</t>
        </is>
      </c>
      <c r="J285" t="inlineStr">
        <is>
          <t>No owner production trial log found</t>
        </is>
      </c>
      <c r="K285" t="inlineStr">
        <is>
          <t>English (text screening)</t>
        </is>
      </c>
      <c r="L285" t="inlineStr">
        <is>
          <t>No explicit version established; modified date is file metadata only</t>
        </is>
      </c>
      <c r="M285" t="inlineStr">
        <is>
          <t xml:space="preserve"> extracted pages/blocks/rows;  recipe keyword signals (not recipe count)</t>
        </is>
      </c>
    </row>
    <row r="286">
      <c r="A286" t="inlineStr">
        <is>
          <t>S140</t>
        </is>
      </c>
      <c r="B286" t="inlineStr">
        <is>
          <t>bakery costing.xlsx</t>
        </is>
      </c>
      <c r="C286" t="inlineStr">
        <is>
          <t>C:\Users\J COMPUTER\WPSDrive\3728209773449\WPSDrive\bakery costing.xlsx</t>
        </is>
      </c>
      <c r="D286" t="inlineStr">
        <is>
          <t>.xlsx</t>
        </is>
      </c>
      <c r="E286" t="inlineStr">
        <is>
          <t>2024-07-12T11:54:24+00:00</t>
        </is>
      </c>
      <c r="F286" t="inlineStr">
        <is>
          <t>51848</t>
        </is>
      </c>
      <c r="G286" t="inlineStr">
        <is>
          <t>69804d4bee168efbc0443e31ac354cedd2c9fc7ace0561587d626dbd3e3d3738</t>
        </is>
      </c>
      <c r="H286" t="inlineStr">
        <is>
          <t>Extracted text</t>
        </is>
      </c>
      <c r="I286" t="inlineStr">
        <is>
          <t>Recipe source or technical context included</t>
        </is>
      </c>
      <c r="J286" t="inlineStr">
        <is>
          <t>No owner production trial log found</t>
        </is>
      </c>
      <c r="K286" t="inlineStr">
        <is>
          <t>English (text screening)</t>
        </is>
      </c>
      <c r="L286" t="inlineStr">
        <is>
          <t>No explicit version established; modified date is file metadata only</t>
        </is>
      </c>
      <c r="M286" t="inlineStr">
        <is>
          <t>385 extracted pages/blocks/rows; 23 recipe keyword signals (not recipe count)</t>
        </is>
      </c>
    </row>
    <row r="287">
      <c r="A287" t="inlineStr">
        <is>
          <t>S085</t>
        </is>
      </c>
      <c r="B287" t="inlineStr">
        <is>
          <t>Bakery recipes   melto 2026.xlsx</t>
        </is>
      </c>
      <c r="C287" t="inlineStr">
        <is>
          <t>C:\Users\J COMPUTER\WPSDrive\3728209773449\WPSDrive\Bakery recipes   melto 2026.xlsx</t>
        </is>
      </c>
      <c r="D287" t="inlineStr">
        <is>
          <t>.xlsx</t>
        </is>
      </c>
      <c r="E287" t="inlineStr">
        <is>
          <t>2026-02-12T17:46:18+00:00</t>
        </is>
      </c>
      <c r="F287" t="inlineStr">
        <is>
          <t>118562</t>
        </is>
      </c>
      <c r="G287" t="inlineStr">
        <is>
          <t>2226afd1336e9d608e88a652b465970f022a43a0932a543b84d6b7a131e0a300</t>
        </is>
      </c>
      <c r="H287" t="inlineStr">
        <is>
          <t>Exact duplicate</t>
        </is>
      </c>
      <c r="I287" t="inlineStr">
        <is>
          <t>Recipe source or technical context included</t>
        </is>
      </c>
      <c r="J287" t="inlineStr">
        <is>
          <t>No owner production trial log found</t>
        </is>
      </c>
      <c r="K287" t="inlineStr">
        <is>
          <t>English (text screening)</t>
        </is>
      </c>
      <c r="L287" t="inlineStr">
        <is>
          <t>No explicit version established; modified date is file metadata only</t>
        </is>
      </c>
      <c r="M287" t="inlineStr">
        <is>
          <t xml:space="preserve"> extracted pages/blocks/rows;  recipe keyword signals (not recipe count)</t>
        </is>
      </c>
    </row>
    <row r="288">
      <c r="A288" t="inlineStr">
        <is>
          <t>S141</t>
        </is>
      </c>
      <c r="B288" t="inlineStr">
        <is>
          <t>Bakery recipes 1st Oct 2024.xlsx</t>
        </is>
      </c>
      <c r="C288" t="inlineStr">
        <is>
          <t>C:\Users\J COMPUTER\WPSDrive\3728209773449\WPSDrive\Bakery recipes 1st Oct 2024.xlsx</t>
        </is>
      </c>
      <c r="D288" t="inlineStr">
        <is>
          <t>.xlsx</t>
        </is>
      </c>
      <c r="E288" t="inlineStr">
        <is>
          <t>2024-12-26T18:21:47+00:00</t>
        </is>
      </c>
      <c r="F288" t="inlineStr">
        <is>
          <t>67040</t>
        </is>
      </c>
      <c r="G288" t="inlineStr">
        <is>
          <t>e574944e5c8ee0633d06d5864498a23cfc11f05638dbdb705817d4509da7b2a9</t>
        </is>
      </c>
      <c r="H288" t="inlineStr">
        <is>
          <t>Extracted text</t>
        </is>
      </c>
      <c r="I288" t="inlineStr">
        <is>
          <t>Recipe source or technical context included</t>
        </is>
      </c>
      <c r="J288" t="inlineStr">
        <is>
          <t>No owner production trial log found</t>
        </is>
      </c>
      <c r="K288" t="inlineStr">
        <is>
          <t>English (text screening)</t>
        </is>
      </c>
      <c r="L288" t="inlineStr">
        <is>
          <t>No explicit version established; modified date is file metadata only</t>
        </is>
      </c>
      <c r="M288" t="inlineStr">
        <is>
          <t>517 extracted pages/blocks/rows; 32 recipe keyword signals (not recipe count)</t>
        </is>
      </c>
    </row>
    <row r="289">
      <c r="A289" t="inlineStr">
        <is>
          <t>S086</t>
        </is>
      </c>
      <c r="B289" t="inlineStr">
        <is>
          <t>Bakery recipes incl Galette 2025.xlsx</t>
        </is>
      </c>
      <c r="C289" t="inlineStr">
        <is>
          <t>C:\Users\J COMPUTER\WPSDrive\3728209773449\WPSDrive\Bakery recipes incl Galette 2025.xlsx</t>
        </is>
      </c>
      <c r="D289" t="inlineStr">
        <is>
          <t>.xlsx</t>
        </is>
      </c>
      <c r="E289" t="inlineStr">
        <is>
          <t>2025-12-15T15:18:28+00:00</t>
        </is>
      </c>
      <c r="F289" t="inlineStr">
        <is>
          <t>105359</t>
        </is>
      </c>
      <c r="G289" t="inlineStr">
        <is>
          <t>79f1267fef9826b1d59e16ea89fa3f9f6093385e255b29023cff010a4c6394ee</t>
        </is>
      </c>
      <c r="H289" t="inlineStr">
        <is>
          <t>Exact duplicate</t>
        </is>
      </c>
      <c r="I289" t="inlineStr">
        <is>
          <t>Recipe source or technical context included</t>
        </is>
      </c>
      <c r="J289" t="inlineStr">
        <is>
          <t>No owner production trial log found</t>
        </is>
      </c>
      <c r="K289" t="inlineStr">
        <is>
          <t>English (text screening)</t>
        </is>
      </c>
      <c r="L289" t="inlineStr">
        <is>
          <t>No explicit version established; modified date is file metadata only</t>
        </is>
      </c>
      <c r="M289" t="inlineStr">
        <is>
          <t xml:space="preserve"> extracted pages/blocks/rows;  recipe keyword signals (not recipe count)</t>
        </is>
      </c>
    </row>
    <row r="290">
      <c r="A290" t="inlineStr">
        <is>
          <t>S142</t>
        </is>
      </c>
      <c r="B290" t="inlineStr">
        <is>
          <t>Bakery recipes Jan 2025-2.xlsx</t>
        </is>
      </c>
      <c r="C290" t="inlineStr">
        <is>
          <t>C:\Users\J COMPUTER\WPSDrive\3728209773449\WPSDrive\Bakery recipes Jan 2025-2.xlsx</t>
        </is>
      </c>
      <c r="D290" t="inlineStr">
        <is>
          <t>.xlsx</t>
        </is>
      </c>
      <c r="E290" t="inlineStr">
        <is>
          <t>2025-06-05T07:57:32+00:00</t>
        </is>
      </c>
      <c r="F290" t="inlineStr">
        <is>
          <t>99127</t>
        </is>
      </c>
      <c r="G290" t="inlineStr">
        <is>
          <t>2e43de3dc22e4510f4a1409a58fbc18aae849ea51ee5145ae0ef25c951932092</t>
        </is>
      </c>
      <c r="H290" t="inlineStr">
        <is>
          <t>Extracted text</t>
        </is>
      </c>
      <c r="I290" t="inlineStr">
        <is>
          <t>Recipe source or technical context included</t>
        </is>
      </c>
      <c r="J290" t="inlineStr">
        <is>
          <t>No owner production trial log found</t>
        </is>
      </c>
      <c r="K290" t="inlineStr">
        <is>
          <t>English (text screening)</t>
        </is>
      </c>
      <c r="L290" t="inlineStr">
        <is>
          <t>No explicit version established; modified date is file metadata only</t>
        </is>
      </c>
      <c r="M290" t="inlineStr">
        <is>
          <t>612 extracted pages/blocks/rows; 37 recipe keyword signals (not recipe count)</t>
        </is>
      </c>
    </row>
    <row r="291">
      <c r="A291" t="inlineStr">
        <is>
          <t>S143</t>
        </is>
      </c>
      <c r="B291" t="inlineStr">
        <is>
          <t>Bakery recipes Jan 2025.xlsx</t>
        </is>
      </c>
      <c r="C291" t="inlineStr">
        <is>
          <t>C:\Users\J COMPUTER\WPSDrive\3728209773449\WPSDrive\Bakery recipes Jan 2025.xlsx</t>
        </is>
      </c>
      <c r="D291" t="inlineStr">
        <is>
          <t>.xlsx</t>
        </is>
      </c>
      <c r="E291" t="inlineStr">
        <is>
          <t>2025-01-23T18:58:26+00:00</t>
        </is>
      </c>
      <c r="F291" t="inlineStr">
        <is>
          <t>74257</t>
        </is>
      </c>
      <c r="G291" t="inlineStr">
        <is>
          <t>ffe35d9a98b2122bdc45ce6cbddcce3e2a354fd8b26f8351893a803df4923a85</t>
        </is>
      </c>
      <c r="H291" t="inlineStr">
        <is>
          <t>Extracted text</t>
        </is>
      </c>
      <c r="I291" t="inlineStr">
        <is>
          <t>Recipe source or technical context included</t>
        </is>
      </c>
      <c r="J291" t="inlineStr">
        <is>
          <t>No owner production trial log found</t>
        </is>
      </c>
      <c r="K291" t="inlineStr">
        <is>
          <t>English (text screening)</t>
        </is>
      </c>
      <c r="L291" t="inlineStr">
        <is>
          <t>No explicit version established; modified date is file metadata only</t>
        </is>
      </c>
      <c r="M291" t="inlineStr">
        <is>
          <t>570 extracted pages/blocks/rows; 35 recipe keyword signals (not recipe count)</t>
        </is>
      </c>
    </row>
    <row r="292">
      <c r="A292" t="inlineStr">
        <is>
          <t>S144</t>
        </is>
      </c>
      <c r="B292" t="inlineStr">
        <is>
          <t>Galette Recipe-WPS Office.docx</t>
        </is>
      </c>
      <c r="C292" t="inlineStr">
        <is>
          <t>C:\Users\J COMPUTER\WPSDrive\3728209773449\WPSDrive\Galette Recipe-WPS Office.docx</t>
        </is>
      </c>
      <c r="D292" t="inlineStr">
        <is>
          <t>.docx</t>
        </is>
      </c>
      <c r="E292" t="inlineStr">
        <is>
          <t>2024-12-12T15:51:20+00:00</t>
        </is>
      </c>
      <c r="F292" t="inlineStr">
        <is>
          <t>9048</t>
        </is>
      </c>
      <c r="G292" t="inlineStr">
        <is>
          <t>ccdad0ea30df5069cdab2ea2a377a567aea0b55ed4c22c5db406adf6d2543012</t>
        </is>
      </c>
      <c r="H292" t="inlineStr">
        <is>
          <t>Extracted text</t>
        </is>
      </c>
      <c r="I292" t="inlineStr">
        <is>
          <t>Recipe source or technical context included</t>
        </is>
      </c>
      <c r="J292" t="inlineStr">
        <is>
          <t>No owner production trial log found</t>
        </is>
      </c>
      <c r="K292" t="inlineStr">
        <is>
          <t>English (text screening)</t>
        </is>
      </c>
      <c r="L292" t="inlineStr">
        <is>
          <t>No explicit version established; modified date is file metadata only</t>
        </is>
      </c>
      <c r="M292" t="inlineStr">
        <is>
          <t>11 extracted pages/blocks/rows; 2 recipe keyword signals (not recipe count)</t>
        </is>
      </c>
    </row>
    <row r="293">
      <c r="A293" t="inlineStr">
        <is>
          <t>S145</t>
        </is>
      </c>
      <c r="B293" t="inlineStr">
        <is>
          <t>lettre aux millitaires  fr.docx</t>
        </is>
      </c>
      <c r="C293" t="inlineStr">
        <is>
          <t>E:\DBakes communications\lettre aux millitaires  fr.docx</t>
        </is>
      </c>
      <c r="D293" t="inlineStr">
        <is>
          <t>.docx</t>
        </is>
      </c>
      <c r="E293" t="inlineStr">
        <is>
          <t>2026-09-01T08:00:42.542999+00:00</t>
        </is>
      </c>
      <c r="F293" t="inlineStr">
        <is>
          <t>11279</t>
        </is>
      </c>
      <c r="G293" t="inlineStr">
        <is>
          <t>346d6de966dca3965bb9554542a4eccdd553658f3b9664aa71f69f11fe7f4451</t>
        </is>
      </c>
      <c r="H293" t="inlineStr">
        <is>
          <t>Excluded: unrelated administrative, software or purchasing material</t>
        </is>
      </c>
      <c r="I293" t="inlineStr">
        <is>
          <t>Not a food recipe</t>
        </is>
      </c>
      <c r="J293" t="inlineStr">
        <is>
          <t>No owner production trial log found</t>
        </is>
      </c>
      <c r="K293" t="inlineStr">
        <is>
          <t>Not established / non-text</t>
        </is>
      </c>
      <c r="L293" t="inlineStr">
        <is>
          <t>No explicit version established; modified date is file metadata only</t>
        </is>
      </c>
      <c r="M293" t="inlineStr">
        <is>
          <t>7 extracted pages/blocks/rows; 0 recipe keyword signals (not recipe count)</t>
        </is>
      </c>
    </row>
    <row r="294">
      <c r="A294" t="inlineStr">
        <is>
          <t>S146</t>
        </is>
      </c>
      <c r="B294" t="inlineStr">
        <is>
          <t>lettre aux millitaires.docx</t>
        </is>
      </c>
      <c r="C294" t="inlineStr">
        <is>
          <t>E:\DBakes communications\lettre aux millitaires.docx</t>
        </is>
      </c>
      <c r="D294" t="inlineStr">
        <is>
          <t>.docx</t>
        </is>
      </c>
      <c r="E294" t="inlineStr">
        <is>
          <t>2026-09-01T06:50:56.769479+00:00</t>
        </is>
      </c>
      <c r="F294" t="inlineStr">
        <is>
          <t>11702</t>
        </is>
      </c>
      <c r="G294" t="inlineStr">
        <is>
          <t>4cf24246c3ed67e313f209f410e8ba0757b9207be046370d41532cc3a904af37</t>
        </is>
      </c>
      <c r="H294" t="inlineStr">
        <is>
          <t>Excluded: unrelated administrative, software or purchasing material</t>
        </is>
      </c>
      <c r="I294" t="inlineStr">
        <is>
          <t>Not a food recipe</t>
        </is>
      </c>
      <c r="J294" t="inlineStr">
        <is>
          <t>No owner production trial log found</t>
        </is>
      </c>
      <c r="K294" t="inlineStr">
        <is>
          <t>Not established / non-text</t>
        </is>
      </c>
      <c r="L294" t="inlineStr">
        <is>
          <t>No explicit version established; modified date is file metadata only</t>
        </is>
      </c>
      <c r="M294" t="inlineStr">
        <is>
          <t>24 extracted pages/blocks/rows; 0 recipe keyword signals (not recipe count)</t>
        </is>
      </c>
    </row>
    <row r="295">
      <c r="A295" t="inlineStr">
        <is>
          <t>S147</t>
        </is>
      </c>
      <c r="B295" t="inlineStr">
        <is>
          <t>lettre aux millitaires.pdf</t>
        </is>
      </c>
      <c r="C295" t="inlineStr">
        <is>
          <t>E:\DBakes communications\lettre aux millitaires.pdf</t>
        </is>
      </c>
      <c r="D295" t="inlineStr">
        <is>
          <t>.pdf</t>
        </is>
      </c>
      <c r="E295" t="inlineStr">
        <is>
          <t>2026-09-01T06:51:27.398508+00:00</t>
        </is>
      </c>
      <c r="F295" t="inlineStr">
        <is>
          <t>38327</t>
        </is>
      </c>
      <c r="G295" t="inlineStr">
        <is>
          <t>5e37f05d7b5a2c46fba629d58064bd40bf1a37a7acd1f80d3550f82f44905ca6</t>
        </is>
      </c>
      <c r="H295" t="inlineStr">
        <is>
          <t>Excluded: unrelated administrative, software or purchasing material</t>
        </is>
      </c>
      <c r="I295" t="inlineStr">
        <is>
          <t>Not a food recipe</t>
        </is>
      </c>
      <c r="J295" t="inlineStr">
        <is>
          <t>No owner production trial log found</t>
        </is>
      </c>
      <c r="K295" t="inlineStr">
        <is>
          <t>Not established / non-text</t>
        </is>
      </c>
      <c r="L295" t="inlineStr">
        <is>
          <t>No explicit version established; modified date is file metadata only</t>
        </is>
      </c>
      <c r="M295" t="inlineStr">
        <is>
          <t>1 extracted pages/blocks/rows; 0 recipe keyword signals (not recipe count)</t>
        </is>
      </c>
    </row>
    <row r="296">
      <c r="A296" t="inlineStr">
        <is>
          <t>S148</t>
        </is>
      </c>
      <c r="B296" t="inlineStr">
        <is>
          <t>lettre aux millitaires1.docx</t>
        </is>
      </c>
      <c r="C296" t="inlineStr">
        <is>
          <t>E:\DBakes communications\lettre aux millitaires1.docx</t>
        </is>
      </c>
      <c r="D296" t="inlineStr">
        <is>
          <t>.docx</t>
        </is>
      </c>
      <c r="E296" t="inlineStr">
        <is>
          <t>2026-09-01T08:00:38.464029+00:00</t>
        </is>
      </c>
      <c r="F296" t="inlineStr">
        <is>
          <t>11652</t>
        </is>
      </c>
      <c r="G296" t="inlineStr">
        <is>
          <t>d51f0029deb8243df721bc27fa73968dddf679026d2510f148d4bc97211b785c</t>
        </is>
      </c>
      <c r="H296" t="inlineStr">
        <is>
          <t>Excluded: unrelated administrative, software or purchasing material</t>
        </is>
      </c>
      <c r="I296" t="inlineStr">
        <is>
          <t>Not a food recipe</t>
        </is>
      </c>
      <c r="J296" t="inlineStr">
        <is>
          <t>No owner production trial log found</t>
        </is>
      </c>
      <c r="K296" t="inlineStr">
        <is>
          <t>Not established / non-text</t>
        </is>
      </c>
      <c r="L296" t="inlineStr">
        <is>
          <t>No explicit version established; modified date is file metadata only</t>
        </is>
      </c>
      <c r="M296" t="inlineStr">
        <is>
          <t>21 extracted pages/blocks/rows; 0 recipe keyword signals (not recipe count)</t>
        </is>
      </c>
    </row>
    <row r="297">
      <c r="A297" t="inlineStr">
        <is>
          <t>S149</t>
        </is>
      </c>
      <c r="B297" t="inlineStr">
        <is>
          <t>Master the Gelato Original Recipe_ Taste the Difference – Artisto Gelato – Traditional Italian Recipe Gelato and Sorbetto.pdf</t>
        </is>
      </c>
      <c r="C297" t="inlineStr">
        <is>
          <t>E:\gelato recipe\Master the Gelato Original Recipe_ Taste the Difference – Artisto Gelato – Traditional Italian Recipe Gelato and Sorbetto.pdf</t>
        </is>
      </c>
      <c r="D297" t="inlineStr">
        <is>
          <t>.pdf</t>
        </is>
      </c>
      <c r="E297" t="inlineStr">
        <is>
          <t>2026-08-10T05:22:28.121818+00:00</t>
        </is>
      </c>
      <c r="F297" t="inlineStr">
        <is>
          <t>1842399</t>
        </is>
      </c>
      <c r="G297" t="inlineStr">
        <is>
          <t>d769ab8d5eac3d25ab67ba68dc8bf9e16f56e2e732089e56788350b0974b22ca</t>
        </is>
      </c>
      <c r="H297" t="inlineStr">
        <is>
          <t>Extracted text</t>
        </is>
      </c>
      <c r="I297" t="inlineStr">
        <is>
          <t>Related edition, supporting context or superseded source; no independent trial inferred</t>
        </is>
      </c>
      <c r="J297" t="inlineStr">
        <is>
          <t>No owner production trial log found</t>
        </is>
      </c>
      <c r="K297" t="inlineStr">
        <is>
          <t>English (text screening)</t>
        </is>
      </c>
      <c r="L297" t="inlineStr">
        <is>
          <t>No explicit version established; modified date is file metadata only</t>
        </is>
      </c>
      <c r="M297" t="inlineStr">
        <is>
          <t>12 extracted pages/blocks/rows; 16 recipe keyword signals (not recipe count)</t>
        </is>
      </c>
    </row>
    <row r="298">
      <c r="A298" t="inlineStr">
        <is>
          <t>S020</t>
        </is>
      </c>
      <c r="B298" t="inlineStr">
        <is>
          <t>21+1 Recettes de glace italiennes douces et crémeuses pour Machine à Glace Italienne _ Le Guide Complet (Revision 1).pdf</t>
        </is>
      </c>
      <c r="C298" t="inlineStr">
        <is>
          <t>E:\Ice Cream and Popsicles\21+1 Recettes de glace italiennes douces et crémeuses pour Machine à Glace Italienne _ Le Guide Complet (Revision 1).pdf</t>
        </is>
      </c>
      <c r="D298" t="inlineStr">
        <is>
          <t>.pdf</t>
        </is>
      </c>
      <c r="E298" t="inlineStr">
        <is>
          <t>2026-07-28T05:30:01.688744+00:00</t>
        </is>
      </c>
      <c r="F298" t="inlineStr">
        <is>
          <t>1014362</t>
        </is>
      </c>
      <c r="G298" t="inlineStr">
        <is>
          <t>25fd0c270e36987055351627aa7c53fa0691a38516e78228604e6a02dcade103</t>
        </is>
      </c>
      <c r="H298" t="inlineStr">
        <is>
          <t>Exact duplicate</t>
        </is>
      </c>
      <c r="I298" t="inlineStr">
        <is>
          <t>Recipe source or technical context included</t>
        </is>
      </c>
      <c r="J298" t="inlineStr">
        <is>
          <t>No owner production trial log found</t>
        </is>
      </c>
      <c r="K298" t="inlineStr">
        <is>
          <t>French (text screening)</t>
        </is>
      </c>
      <c r="L298" t="inlineStr">
        <is>
          <t>No explicit version established; modified date is file metadata only</t>
        </is>
      </c>
      <c r="M298" t="inlineStr">
        <is>
          <t xml:space="preserve"> extracted pages/blocks/rows;  recipe keyword signals (not recipe count)</t>
        </is>
      </c>
    </row>
    <row r="299">
      <c r="A299" t="inlineStr">
        <is>
          <t>S150</t>
        </is>
      </c>
      <c r="B299" t="inlineStr">
        <is>
          <t>invoice-SALEXASYR3LL72ZB63T.pdf</t>
        </is>
      </c>
      <c r="C299" t="inlineStr">
        <is>
          <t>E:\Ice Cream and Popsicles\invoice-SALEXASYR3LL72ZB63T.pdf</t>
        </is>
      </c>
      <c r="D299" t="inlineStr">
        <is>
          <t>.pdf</t>
        </is>
      </c>
      <c r="E299" t="inlineStr">
        <is>
          <t>2026-07-31T11:44:36.730210+00:00</t>
        </is>
      </c>
      <c r="F299" t="inlineStr">
        <is>
          <t>2432</t>
        </is>
      </c>
      <c r="G299" t="inlineStr">
        <is>
          <t>2b5450133b00f054578c187521164be61c07b7bda121fef49dbfbc61235cb702</t>
        </is>
      </c>
      <c r="H299" t="inlineStr">
        <is>
          <t>Excluded: unrelated administrative, software or purchasing material</t>
        </is>
      </c>
      <c r="I299" t="inlineStr">
        <is>
          <t>Not a food recipe</t>
        </is>
      </c>
      <c r="J299" t="inlineStr">
        <is>
          <t>No owner production trial log found</t>
        </is>
      </c>
      <c r="K299" t="inlineStr">
        <is>
          <t>Not established / non-text</t>
        </is>
      </c>
      <c r="L299" t="inlineStr">
        <is>
          <t>No explicit version established; modified date is file metadata only</t>
        </is>
      </c>
      <c r="M299" t="inlineStr">
        <is>
          <t>1 extracted pages/blocks/rows; 0 recipe keyword signals (not recipe count)</t>
        </is>
      </c>
    </row>
    <row r="300">
      <c r="A300" t="inlineStr">
        <is>
          <t>S031</t>
        </is>
      </c>
      <c r="B300" t="inlineStr">
        <is>
          <t>Les Meilleures Recettes de Bâtonnets Made in Africa (2) (1).pdf</t>
        </is>
      </c>
      <c r="C300" t="inlineStr">
        <is>
          <t>E:\Ice Cream and Popsicles\Les Meilleures Recettes de Bâtonnets Made in Africa (2) (1).pdf</t>
        </is>
      </c>
      <c r="D300" t="inlineStr">
        <is>
          <t>.pdf</t>
        </is>
      </c>
      <c r="E300" t="inlineStr">
        <is>
          <t>2026-07-31T11:44:22.206967+00:00</t>
        </is>
      </c>
      <c r="F300" t="inlineStr">
        <is>
          <t>2144582</t>
        </is>
      </c>
      <c r="G300" t="inlineStr">
        <is>
          <t>babd46226ae382261dba4b9f1b1eae935f9cdd530e236cdcb91d3aae2cfb2505</t>
        </is>
      </c>
      <c r="H300" t="inlineStr">
        <is>
          <t>Exact duplicate</t>
        </is>
      </c>
      <c r="I300" t="inlineStr">
        <is>
          <t>Recipe source or technical context included</t>
        </is>
      </c>
      <c r="J300" t="inlineStr">
        <is>
          <t>No owner production trial log found</t>
        </is>
      </c>
      <c r="K300" t="inlineStr">
        <is>
          <t>French (text screening)</t>
        </is>
      </c>
      <c r="L300" t="inlineStr">
        <is>
          <t>No explicit version established; modified date is file metadata only</t>
        </is>
      </c>
      <c r="M300" t="inlineStr">
        <is>
          <t xml:space="preserve"> extracted pages/blocks/rows;  recipe keyword signals (not recipe count)</t>
        </is>
      </c>
    </row>
    <row r="301">
      <c r="A301" t="inlineStr">
        <is>
          <t>S035</t>
        </is>
      </c>
      <c r="B301" t="inlineStr">
        <is>
          <t>Professional Popsicle production.docx</t>
        </is>
      </c>
      <c r="C301" t="inlineStr">
        <is>
          <t>E:\Ice Cream and Popsicles\Professional Popsicle production.docx</t>
        </is>
      </c>
      <c r="D301" t="inlineStr">
        <is>
          <t>.docx</t>
        </is>
      </c>
      <c r="E301" t="inlineStr">
        <is>
          <t>2026-07-31T11:18:08.333180+00:00</t>
        </is>
      </c>
      <c r="F301" t="inlineStr">
        <is>
          <t>18845</t>
        </is>
      </c>
      <c r="G301" t="inlineStr">
        <is>
          <t>143f4f3edd4519afcd071ea3fdaf0a79197473131e8145ea1368f172ffa4c41e</t>
        </is>
      </c>
      <c r="H301" t="inlineStr">
        <is>
          <t>Exact duplicate</t>
        </is>
      </c>
      <c r="I301" t="inlineStr">
        <is>
          <t>Recipe source or technical context included</t>
        </is>
      </c>
      <c r="J301" t="inlineStr">
        <is>
          <t>No owner production trial log found</t>
        </is>
      </c>
      <c r="K301" t="inlineStr">
        <is>
          <t>English (text screening)</t>
        </is>
      </c>
      <c r="L301" t="inlineStr">
        <is>
          <t>No explicit version established; modified date is file metadata only</t>
        </is>
      </c>
      <c r="M301" t="inlineStr">
        <is>
          <t xml:space="preserve"> extracted pages/blocks/rows;  recipe keyword signals (not recipe count)</t>
        </is>
      </c>
    </row>
    <row r="302">
      <c r="A302" t="inlineStr">
        <is>
          <t>S036</t>
        </is>
      </c>
      <c r="B302" t="inlineStr">
        <is>
          <t>Recettes_Magnum.pdf</t>
        </is>
      </c>
      <c r="C302" t="inlineStr">
        <is>
          <t>E:\Ice Cream and Popsicles\Recettes_Magnum.pdf</t>
        </is>
      </c>
      <c r="D302" t="inlineStr">
        <is>
          <t>.pdf</t>
        </is>
      </c>
      <c r="E302" t="inlineStr">
        <is>
          <t>2026-07-31T11:44:23.305031+00:00</t>
        </is>
      </c>
      <c r="F302" t="inlineStr">
        <is>
          <t>4170277</t>
        </is>
      </c>
      <c r="G302" t="inlineStr">
        <is>
          <t>db2bcdafd28323e03f8846f21dd0314d56b1700e0f907f57f5830769f5ccebe3</t>
        </is>
      </c>
      <c r="H302" t="inlineStr">
        <is>
          <t>Exact duplicate</t>
        </is>
      </c>
      <c r="I302" t="inlineStr">
        <is>
          <t>Recipe source or technical context included</t>
        </is>
      </c>
      <c r="J302" t="inlineStr">
        <is>
          <t>No owner production trial log found</t>
        </is>
      </c>
      <c r="K302" t="inlineStr">
        <is>
          <t>French (text screening)</t>
        </is>
      </c>
      <c r="L302" t="inlineStr">
        <is>
          <t>No explicit version established; modified date is file metadata only</t>
        </is>
      </c>
      <c r="M302" t="inlineStr">
        <is>
          <t xml:space="preserve"> extracted pages/blocks/rows;  recipe keyword signals (not recipe count)</t>
        </is>
      </c>
    </row>
    <row r="303">
      <c r="A303" t="inlineStr">
        <is>
          <t>S133</t>
        </is>
      </c>
      <c r="B303" t="inlineStr">
        <is>
          <t>beignet soufle recipe.docx</t>
        </is>
      </c>
      <c r="C303" t="inlineStr">
        <is>
          <t>E:\Kumba bread recipe\beignet soufle recipe.docx</t>
        </is>
      </c>
      <c r="D303" t="inlineStr">
        <is>
          <t>.docx</t>
        </is>
      </c>
      <c r="E303" t="inlineStr">
        <is>
          <t>2026-09-12T12:28:43.254217+00:00</t>
        </is>
      </c>
      <c r="F303" t="inlineStr">
        <is>
          <t>10895</t>
        </is>
      </c>
      <c r="G303" t="inlineStr">
        <is>
          <t>1438be1229d685a13ad404187736d4fad832a87cee0c735e764b50ed47d03f9c</t>
        </is>
      </c>
      <c r="H303" t="inlineStr">
        <is>
          <t>Exact duplicate</t>
        </is>
      </c>
      <c r="I303" t="inlineStr">
        <is>
          <t>Recipe source or technical context included</t>
        </is>
      </c>
      <c r="J303" t="inlineStr">
        <is>
          <t>No owner production trial log found</t>
        </is>
      </c>
      <c r="K303" t="inlineStr">
        <is>
          <t>English (text screening)</t>
        </is>
      </c>
      <c r="L303" t="inlineStr">
        <is>
          <t>No explicit version established; modified date is file metadata only</t>
        </is>
      </c>
      <c r="M303" t="inlineStr">
        <is>
          <t xml:space="preserve"> extracted pages/blocks/rows;  recipe keyword signals (not recipe count)</t>
        </is>
      </c>
    </row>
    <row r="304">
      <c r="A304" t="inlineStr">
        <is>
          <t>S151</t>
        </is>
      </c>
      <c r="B304" t="inlineStr">
        <is>
          <t>The Premium Burger Bun.docx</t>
        </is>
      </c>
      <c r="C304" t="inlineStr">
        <is>
          <t>E:\Kumba bread recipe\The Premium Burger Bun.docx</t>
        </is>
      </c>
      <c r="D304" t="inlineStr">
        <is>
          <t>.docx</t>
        </is>
      </c>
      <c r="E304" t="inlineStr">
        <is>
          <t>2026-09-01T13:40:38.087182+00:00</t>
        </is>
      </c>
      <c r="F304" t="inlineStr">
        <is>
          <t>22877</t>
        </is>
      </c>
      <c r="G304" t="inlineStr">
        <is>
          <t>67838bc1d92be3291173bd02c9a932f2dffabcaf1788005f1f75b7559387a89c</t>
        </is>
      </c>
      <c r="H304" t="inlineStr">
        <is>
          <t>Extracted text</t>
        </is>
      </c>
      <c r="I304" t="inlineStr">
        <is>
          <t>Recipe source or technical context included</t>
        </is>
      </c>
      <c r="J304" t="inlineStr">
        <is>
          <t>No owner production trial log found</t>
        </is>
      </c>
      <c r="K304" t="inlineStr">
        <is>
          <t>English (text screening)</t>
        </is>
      </c>
      <c r="L304" t="inlineStr">
        <is>
          <t>No explicit version established; modified date is file metadata only</t>
        </is>
      </c>
      <c r="M304" t="inlineStr">
        <is>
          <t>84 extracted pages/blocks/rows; 8 recipe keyword signals (not recipe count)</t>
        </is>
      </c>
    </row>
    <row r="305">
      <c r="A305" t="inlineStr">
        <is>
          <t>S134</t>
        </is>
      </c>
      <c r="B305" t="inlineStr">
        <is>
          <t>The Premium Kumba Bread Formulation.docx</t>
        </is>
      </c>
      <c r="C305" t="inlineStr">
        <is>
          <t>E:\Kumba bread recipe\The Premium Kumba Bread Formulation.docx</t>
        </is>
      </c>
      <c r="D305" t="inlineStr">
        <is>
          <t>.docx</t>
        </is>
      </c>
      <c r="E305" t="inlineStr">
        <is>
          <t>2026-09-01T13:12:36.693307+00:00</t>
        </is>
      </c>
      <c r="F305" t="inlineStr">
        <is>
          <t>17619</t>
        </is>
      </c>
      <c r="G305" t="inlineStr">
        <is>
          <t>605bb2d9483fdcd94ba19fbf411f4dcc03ffa4550290e82a206874eb97315ab5</t>
        </is>
      </c>
      <c r="H305" t="inlineStr">
        <is>
          <t>Exact duplicate</t>
        </is>
      </c>
      <c r="I305" t="inlineStr">
        <is>
          <t>Recipe source or technical context included</t>
        </is>
      </c>
      <c r="J305" t="inlineStr">
        <is>
          <t>No owner production trial log found</t>
        </is>
      </c>
      <c r="K305" t="inlineStr">
        <is>
          <t>English (text screening)</t>
        </is>
      </c>
      <c r="L305" t="inlineStr">
        <is>
          <t>No explicit version established; modified date is file metadata only</t>
        </is>
      </c>
      <c r="M305" t="inlineStr">
        <is>
          <t xml:space="preserve"> extracted pages/blocks/rows;  recipe keyword signals (not recipe count)</t>
        </is>
      </c>
    </row>
    <row r="306">
      <c r="A306" t="inlineStr">
        <is>
          <t>S152</t>
        </is>
      </c>
      <c r="B306" t="inlineStr">
        <is>
          <t>The things they do 4 verses.docx</t>
        </is>
      </c>
      <c r="C306" t="inlineStr">
        <is>
          <t>E:\Kumba bread recipe\The things they do 4 verses.docx</t>
        </is>
      </c>
      <c r="D306" t="inlineStr">
        <is>
          <t>.docx</t>
        </is>
      </c>
      <c r="E306" t="inlineStr">
        <is>
          <t>2026-09-05T17:14:27.589931+00:00</t>
        </is>
      </c>
      <c r="F306" t="inlineStr">
        <is>
          <t>11306</t>
        </is>
      </c>
      <c r="G306" t="inlineStr">
        <is>
          <t>5b26e887ac7df502f03bc7cd53af6981c3e5e0d7f67a63cf6fd2f09b036e4c57</t>
        </is>
      </c>
      <c r="H306" t="inlineStr">
        <is>
          <t>Excluded: unrelated administrative, software or purchasing material</t>
        </is>
      </c>
      <c r="I306" t="inlineStr">
        <is>
          <t>Not a food recipe</t>
        </is>
      </c>
      <c r="J306" t="inlineStr">
        <is>
          <t>No owner production trial log found</t>
        </is>
      </c>
      <c r="K306" t="inlineStr">
        <is>
          <t>Not established / non-text</t>
        </is>
      </c>
      <c r="L306" t="inlineStr">
        <is>
          <t>No explicit version established; modified date is file metadata only</t>
        </is>
      </c>
      <c r="M306" t="inlineStr">
        <is>
          <t>6 extracted pages/blocks/rows; 0 recipe keyword signals (not recipe count)</t>
        </is>
      </c>
    </row>
    <row r="307">
      <c r="A307" t="inlineStr">
        <is>
          <t>S153</t>
        </is>
      </c>
      <c r="B307" t="inlineStr">
        <is>
          <t>The things they do.docx</t>
        </is>
      </c>
      <c r="C307" t="inlineStr">
        <is>
          <t>E:\Kumba bread recipe\The things they do.docx</t>
        </is>
      </c>
      <c r="D307" t="inlineStr">
        <is>
          <t>.docx</t>
        </is>
      </c>
      <c r="E307" t="inlineStr">
        <is>
          <t>2026-09-05T17:10:13.169061+00:00</t>
        </is>
      </c>
      <c r="F307" t="inlineStr">
        <is>
          <t>12206</t>
        </is>
      </c>
      <c r="G307" t="inlineStr">
        <is>
          <t>179e49f0d1983a6906958083d7bc4c6b1d7012232b1815137eee3a2260da20db</t>
        </is>
      </c>
      <c r="H307" t="inlineStr">
        <is>
          <t>Excluded: unrelated administrative, software or purchasing material</t>
        </is>
      </c>
      <c r="I307" t="inlineStr">
        <is>
          <t>Not a food recipe</t>
        </is>
      </c>
      <c r="J307" t="inlineStr">
        <is>
          <t>No owner production trial log found</t>
        </is>
      </c>
      <c r="K307" t="inlineStr">
        <is>
          <t>Not established / non-text</t>
        </is>
      </c>
      <c r="L307" t="inlineStr">
        <is>
          <t>No explicit version established; modified date is file metadata only</t>
        </is>
      </c>
      <c r="M307" t="inlineStr">
        <is>
          <t>18 extracted pages/blocks/rows; 0 recipe keyword signals (not recipe count)</t>
        </is>
      </c>
    </row>
    <row r="308">
      <c r="A308" t="inlineStr">
        <is>
          <t>S154</t>
        </is>
      </c>
      <c r="B308" t="inlineStr">
        <is>
          <t>To love is to suffer.docx</t>
        </is>
      </c>
      <c r="C308" t="inlineStr">
        <is>
          <t>E:\Kumba bread recipe\To love is to suffer.docx</t>
        </is>
      </c>
      <c r="D308" t="inlineStr">
        <is>
          <t>.docx</t>
        </is>
      </c>
      <c r="E308" t="inlineStr">
        <is>
          <t>2026-09-05T19:15:46.055305+00:00</t>
        </is>
      </c>
      <c r="F308" t="inlineStr">
        <is>
          <t>13297</t>
        </is>
      </c>
      <c r="G308" t="inlineStr">
        <is>
          <t>b926a34de678031f817e3e7d93b6bd6802cb65d8cacd11439f91f0bdebca7d12</t>
        </is>
      </c>
      <c r="H308" t="inlineStr">
        <is>
          <t>Excluded: unrelated administrative, software or purchasing material</t>
        </is>
      </c>
      <c r="I308" t="inlineStr">
        <is>
          <t>Not a food recipe</t>
        </is>
      </c>
      <c r="J308" t="inlineStr">
        <is>
          <t>No owner production trial log found</t>
        </is>
      </c>
      <c r="K308" t="inlineStr">
        <is>
          <t>Not established / non-text</t>
        </is>
      </c>
      <c r="L308" t="inlineStr">
        <is>
          <t>No explicit version established; modified date is file metadata only</t>
        </is>
      </c>
      <c r="M308" t="inlineStr">
        <is>
          <t>35 extracted pages/blocks/rows; 0 recipe keyword signals (not recipe count)</t>
        </is>
      </c>
    </row>
    <row r="309">
      <c r="A309" t="inlineStr">
        <is>
          <t>S155</t>
        </is>
      </c>
      <c r="B309" t="inlineStr">
        <is>
          <t>To love is to suffer.pdf</t>
        </is>
      </c>
      <c r="C309" t="inlineStr">
        <is>
          <t>E:\Kumba bread recipe\To love is to suffer.pdf</t>
        </is>
      </c>
      <c r="D309" t="inlineStr">
        <is>
          <t>.pdf</t>
        </is>
      </c>
      <c r="E309" t="inlineStr">
        <is>
          <t>2026-09-05T19:18:27.603256+00:00</t>
        </is>
      </c>
      <c r="F309" t="inlineStr">
        <is>
          <t>110019</t>
        </is>
      </c>
      <c r="G309" t="inlineStr">
        <is>
          <t>b39a5e4eaaca4063b72f8d4035f2416175507d8eef15d789808c4f938e45309b</t>
        </is>
      </c>
      <c r="H309" t="inlineStr">
        <is>
          <t>Excluded: unrelated administrative, software or purchasing material</t>
        </is>
      </c>
      <c r="I309" t="inlineStr">
        <is>
          <t>Not a food recipe</t>
        </is>
      </c>
      <c r="J309" t="inlineStr">
        <is>
          <t>No owner production trial log found</t>
        </is>
      </c>
      <c r="K309" t="inlineStr">
        <is>
          <t>Not established / non-text</t>
        </is>
      </c>
      <c r="L309" t="inlineStr">
        <is>
          <t>No explicit version established; modified date is file metadata only</t>
        </is>
      </c>
      <c r="M309" t="inlineStr">
        <is>
          <t>2 extracted pages/blocks/rows; 0 recipe keyword signals (not recipe count)</t>
        </is>
      </c>
    </row>
    <row r="310">
      <c r="B310" t="inlineStr">
        <is>
          <t>~$e things they do 4 verses.docx</t>
        </is>
      </c>
      <c r="C310" t="inlineStr">
        <is>
          <t>E:\Kumba bread recipe\~$e things they do 4 verses.docx</t>
        </is>
      </c>
      <c r="D310" t="inlineStr">
        <is>
          <t>.docx</t>
        </is>
      </c>
      <c r="E310" t="inlineStr">
        <is>
          <t>2026-09-05T17:14:27.589931+00:00</t>
        </is>
      </c>
      <c r="F310" t="inlineStr">
        <is>
          <t>162</t>
        </is>
      </c>
      <c r="H310" t="inlineStr">
        <is>
          <t>Office lock file</t>
        </is>
      </c>
      <c r="I310" t="inlineStr">
        <is>
          <t>Filename screened</t>
        </is>
      </c>
      <c r="J310" t="inlineStr">
        <is>
          <t>No owner production trial log found</t>
        </is>
      </c>
      <c r="K310" t="inlineStr">
        <is>
          <t>Not established / non-text</t>
        </is>
      </c>
      <c r="L310" t="inlineStr">
        <is>
          <t>No explicit version established; modified date is file metadata only</t>
        </is>
      </c>
      <c r="M310" t="inlineStr">
        <is>
          <t xml:space="preserve"> extracted pages/blocks/rows;  recipe keyword signals (not recipe count)</t>
        </is>
      </c>
    </row>
    <row r="311">
      <c r="B311" t="inlineStr">
        <is>
          <t>COMPREHENSIVE_TECHNOLOGY_RECOMMENDATIONS_FOR_BAKERY_MANAGEMENT_SYSTEM.md</t>
        </is>
      </c>
      <c r="C311" t="inlineStr">
        <is>
          <t>E:\ohada saas\Focused projects\stoquify-referral-release-20260809\docs\product\strategy\COMPREHENSIVE_TECHNOLOGY_RECOMMENDATIONS_FOR_BAKERY_MANAGEMENT_SYSTEM.md</t>
        </is>
      </c>
      <c r="D311" t="inlineStr">
        <is>
          <t>.md</t>
        </is>
      </c>
      <c r="E311" t="inlineStr">
        <is>
          <t>2026-08-09T13:24:27.316201+00:00</t>
        </is>
      </c>
      <c r="F311" t="inlineStr">
        <is>
          <t>19252</t>
        </is>
      </c>
      <c r="H311" t="inlineStr">
        <is>
          <t>Software document, not a food recipe</t>
        </is>
      </c>
      <c r="I311" t="inlineStr">
        <is>
          <t>Filename screened</t>
        </is>
      </c>
      <c r="J311" t="inlineStr">
        <is>
          <t>No owner production trial log found</t>
        </is>
      </c>
      <c r="K311" t="inlineStr">
        <is>
          <t>Not established / non-text</t>
        </is>
      </c>
      <c r="L311" t="inlineStr">
        <is>
          <t>No explicit version established; modified date is file metadata only</t>
        </is>
      </c>
      <c r="M311" t="inlineStr">
        <is>
          <t xml:space="preserve"> extracted pages/blocks/rows;  recipe keyword signals (not recipe count)</t>
        </is>
      </c>
    </row>
    <row r="312">
      <c r="B312" t="inlineStr">
        <is>
          <t>AQSTOQFLOW_HR_PAYROLL_COUNTRY_PACK_APPROVAL_BREADTH_GATE_REPORT_2026-07-01.md</t>
        </is>
      </c>
      <c r="C312" t="inlineStr">
        <is>
          <t>E:\ohada saas\Focused projects\stoquify-referral-release-20260809\what-next\payroll\AQSTOQFLOW_HR_PAYROLL_COUNTRY_PACK_APPROVAL_BREADTH_GATE_REPORT_2026-07-01.md</t>
        </is>
      </c>
      <c r="D312" t="inlineStr">
        <is>
          <t>.md</t>
        </is>
      </c>
      <c r="E312" t="inlineStr">
        <is>
          <t>2026-08-09T13:24:31.151284+00:00</t>
        </is>
      </c>
      <c r="F312" t="inlineStr">
        <is>
          <t>5537</t>
        </is>
      </c>
      <c r="H312" t="inlineStr">
        <is>
          <t>Software document, not a food recipe</t>
        </is>
      </c>
      <c r="I312" t="inlineStr">
        <is>
          <t>Filename screened</t>
        </is>
      </c>
      <c r="J312" t="inlineStr">
        <is>
          <t>No owner production trial log found</t>
        </is>
      </c>
      <c r="K312" t="inlineStr">
        <is>
          <t>Not established / non-text</t>
        </is>
      </c>
      <c r="L312" t="inlineStr">
        <is>
          <t>No explicit version established; modified date is file metadata only</t>
        </is>
      </c>
      <c r="M312" t="inlineStr">
        <is>
          <t xml:space="preserve"> extracted pages/blocks/rows;  recipe keyword signals (not recipe count)</t>
        </is>
      </c>
    </row>
    <row r="313">
      <c r="B313" t="inlineStr">
        <is>
          <t>AQSTOQFLOW_HR_PAYROLL_WAVE_1_CNPS_EXECUTABLE_FIXTURE_BREADTH_REPORT_2026-06-28.md</t>
        </is>
      </c>
      <c r="C313" t="inlineStr">
        <is>
          <t>E:\ohada saas\Focused projects\stoquify-referral-release-20260809\what-next\payroll\AQSTOQFLOW_HR_PAYROLL_WAVE_1_CNPS_EXECUTABLE_FIXTURE_BREADTH_REPORT_2026-06-28.md</t>
        </is>
      </c>
      <c r="D313" t="inlineStr">
        <is>
          <t>.md</t>
        </is>
      </c>
      <c r="E313" t="inlineStr">
        <is>
          <t>2026-08-09T13:24:31.292267+00:00</t>
        </is>
      </c>
      <c r="F313" t="inlineStr">
        <is>
          <t>4470</t>
        </is>
      </c>
      <c r="H313" t="inlineStr">
        <is>
          <t>Software document, not a food recipe</t>
        </is>
      </c>
      <c r="I313" t="inlineStr">
        <is>
          <t>Filename screened</t>
        </is>
      </c>
      <c r="J313" t="inlineStr">
        <is>
          <t>No owner production trial log found</t>
        </is>
      </c>
      <c r="K313" t="inlineStr">
        <is>
          <t>Not established / non-text</t>
        </is>
      </c>
      <c r="L313" t="inlineStr">
        <is>
          <t>No explicit version established; modified date is file metadata only</t>
        </is>
      </c>
      <c r="M313" t="inlineStr">
        <is>
          <t xml:space="preserve"> extracted pages/blocks/rows;  recipe keyword signals (not recipe count)</t>
        </is>
      </c>
    </row>
    <row r="314">
      <c r="B314" t="inlineStr">
        <is>
          <t>COMPREHENSIVE_TECHNOLOGY_RECOMMENDATIONS_FOR_BAKERY_MANAGEMENT_SYSTEM.md</t>
        </is>
      </c>
      <c r="C314" t="inlineStr">
        <is>
          <t>E:\ohada saas\Focused projects\stoquify\.codex-tmp\pos-g0-release-20260817\docs\product\strategy\COMPREHENSIVE_TECHNOLOGY_RECOMMENDATIONS_FOR_BAKERY_MANAGEMENT_SYSTEM.md</t>
        </is>
      </c>
      <c r="D314" t="inlineStr">
        <is>
          <t>.md</t>
        </is>
      </c>
      <c r="E314" t="inlineStr">
        <is>
          <t>2026-08-17T09:24:57.677497+00:00</t>
        </is>
      </c>
      <c r="F314" t="inlineStr">
        <is>
          <t>19252</t>
        </is>
      </c>
      <c r="H314" t="inlineStr">
        <is>
          <t>Generated work or software support file</t>
        </is>
      </c>
      <c r="I314" t="inlineStr">
        <is>
          <t>Filename screened</t>
        </is>
      </c>
      <c r="J314" t="inlineStr">
        <is>
          <t>No owner production trial log found</t>
        </is>
      </c>
      <c r="K314" t="inlineStr">
        <is>
          <t>Not established / non-text</t>
        </is>
      </c>
      <c r="L314" t="inlineStr">
        <is>
          <t>No explicit version established; modified date is file metadata only</t>
        </is>
      </c>
      <c r="M314" t="inlineStr">
        <is>
          <t xml:space="preserve"> extracted pages/blocks/rows;  recipe keyword signals (not recipe count)</t>
        </is>
      </c>
    </row>
    <row r="315">
      <c r="B315" t="inlineStr">
        <is>
          <t>AQSTOQFLOW_HR_PAYROLL_COUNTRY_PACK_APPROVAL_BREADTH_GATE_REPORT_2026-07-01.md</t>
        </is>
      </c>
      <c r="C315" t="inlineStr">
        <is>
          <t>E:\ohada saas\Focused projects\stoquify\.codex-tmp\pos-g0-release-20260817\what-next\payroll\AQSTOQFLOW_HR_PAYROLL_COUNTRY_PACK_APPROVAL_BREADTH_GATE_REPORT_2026-07-01.md</t>
        </is>
      </c>
      <c r="D315" t="inlineStr">
        <is>
          <t>.md</t>
        </is>
      </c>
      <c r="E315" t="inlineStr">
        <is>
          <t>2026-08-17T09:25:05.540572+00:00</t>
        </is>
      </c>
      <c r="F315" t="inlineStr">
        <is>
          <t>5537</t>
        </is>
      </c>
      <c r="H315" t="inlineStr">
        <is>
          <t>Generated work or software support file</t>
        </is>
      </c>
      <c r="I315" t="inlineStr">
        <is>
          <t>Filename screened</t>
        </is>
      </c>
      <c r="J315" t="inlineStr">
        <is>
          <t>No owner production trial log found</t>
        </is>
      </c>
      <c r="K315" t="inlineStr">
        <is>
          <t>Not established / non-text</t>
        </is>
      </c>
      <c r="L315" t="inlineStr">
        <is>
          <t>No explicit version established; modified date is file metadata only</t>
        </is>
      </c>
      <c r="M315" t="inlineStr">
        <is>
          <t xml:space="preserve"> extracted pages/blocks/rows;  recipe keyword signals (not recipe count)</t>
        </is>
      </c>
    </row>
    <row r="316">
      <c r="B316" t="inlineStr">
        <is>
          <t>AQSTOQFLOW_HR_PAYROLL_WAVE_1_CNPS_EXECUTABLE_FIXTURE_BREADTH_REPORT_2026-06-28.md</t>
        </is>
      </c>
      <c r="C316" t="inlineStr">
        <is>
          <t>E:\ohada saas\Focused projects\stoquify\.codex-tmp\pos-g0-release-20260817\what-next\payroll\AQSTOQFLOW_HR_PAYROLL_WAVE_1_CNPS_EXECUTABLE_FIXTURE_BREADTH_REPORT_2026-06-28.md</t>
        </is>
      </c>
      <c r="D316" t="inlineStr">
        <is>
          <t>.md</t>
        </is>
      </c>
      <c r="E316" t="inlineStr">
        <is>
          <t>2026-08-17T09:25:05.659853+00:00</t>
        </is>
      </c>
      <c r="F316" t="inlineStr">
        <is>
          <t>4470</t>
        </is>
      </c>
      <c r="H316" t="inlineStr">
        <is>
          <t>Generated work or software support file</t>
        </is>
      </c>
      <c r="I316" t="inlineStr">
        <is>
          <t>Filename screened</t>
        </is>
      </c>
      <c r="J316" t="inlineStr">
        <is>
          <t>No owner production trial log found</t>
        </is>
      </c>
      <c r="K316" t="inlineStr">
        <is>
          <t>Not established / non-text</t>
        </is>
      </c>
      <c r="L316" t="inlineStr">
        <is>
          <t>No explicit version established; modified date is file metadata only</t>
        </is>
      </c>
      <c r="M316" t="inlineStr">
        <is>
          <t xml:space="preserve"> extracted pages/blocks/rows;  recipe keyword signals (not recipe count)</t>
        </is>
      </c>
    </row>
    <row r="317">
      <c r="A317" t="inlineStr">
        <is>
          <t>S156</t>
        </is>
      </c>
      <c r="B317" t="inlineStr">
        <is>
          <t>NKAMBE_BAKERY_RECIPES_EQUIPMENT_AND_MARKET_STRATEGY.md</t>
        </is>
      </c>
      <c r="C317" t="inlineStr">
        <is>
          <t>E:\ohada saas\Focused projects\stoquify\docs\bakery-recipes\NKAMBE_BAKERY_RECIPES_EQUIPMENT_AND_MARKET_STRATEGY.md</t>
        </is>
      </c>
      <c r="D317" t="inlineStr">
        <is>
          <t>.md</t>
        </is>
      </c>
      <c r="E317" t="inlineStr">
        <is>
          <t>2026-09-08T16:02:13.149935+00:00</t>
        </is>
      </c>
      <c r="F317" t="inlineStr">
        <is>
          <t>29361</t>
        </is>
      </c>
      <c r="G317" t="inlineStr">
        <is>
          <t>f6420de1291abc30eebf1ada9eec67abb45219383c6fe204f9db4dc5838921d6</t>
        </is>
      </c>
      <c r="H317" t="inlineStr">
        <is>
          <t>Extracted text</t>
        </is>
      </c>
      <c r="I317" t="inlineStr">
        <is>
          <t>Recipe source or technical context included</t>
        </is>
      </c>
      <c r="J317" t="inlineStr">
        <is>
          <t>No owner production trial log found</t>
        </is>
      </c>
      <c r="K317" t="inlineStr">
        <is>
          <t>English (text screening)</t>
        </is>
      </c>
      <c r="L317" t="inlineStr">
        <is>
          <t>No explicit version established; modified date is file metadata only</t>
        </is>
      </c>
      <c r="M317" t="inlineStr">
        <is>
          <t>396 extracted pages/blocks/rows; 17 recipe keyword signals (not recipe count)</t>
        </is>
      </c>
    </row>
    <row r="318">
      <c r="A318" t="inlineStr">
        <is>
          <t>S157</t>
        </is>
      </c>
      <c r="B318" t="inlineStr">
        <is>
          <t>NKAMBE_BAKERY_RECIPES_EQUIPMENT_AND_MARKET_STRATEGY.pdf</t>
        </is>
      </c>
      <c r="C318" t="inlineStr">
        <is>
          <t>E:\ohada saas\Focused projects\stoquify\docs\bakery-recipes\NKAMBE_BAKERY_RECIPES_EQUIPMENT_AND_MARKET_STRATEGY.pdf</t>
        </is>
      </c>
      <c r="D318" t="inlineStr">
        <is>
          <t>.pdf</t>
        </is>
      </c>
      <c r="E318" t="inlineStr">
        <is>
          <t>2026-09-08T16:02:45.825854+00:00</t>
        </is>
      </c>
      <c r="F318" t="inlineStr">
        <is>
          <t>96436</t>
        </is>
      </c>
      <c r="G318" t="inlineStr">
        <is>
          <t>0fd01fbe0eda9b301d4b20e5b185b7b75b138af9fa5d1cb9447dfa9411d2b6e6</t>
        </is>
      </c>
      <c r="H318" t="inlineStr">
        <is>
          <t>Extracted text</t>
        </is>
      </c>
      <c r="I318" t="inlineStr">
        <is>
          <t>Related edition, supporting context or superseded source; no independent trial inferred</t>
        </is>
      </c>
      <c r="J318" t="inlineStr">
        <is>
          <t>No owner production trial log found</t>
        </is>
      </c>
      <c r="K318" t="inlineStr">
        <is>
          <t>English (text screening)</t>
        </is>
      </c>
      <c r="L318" t="inlineStr">
        <is>
          <t>No explicit version established; modified date is file metadata only</t>
        </is>
      </c>
      <c r="M318" t="inlineStr">
        <is>
          <t>11 extracted pages/blocks/rows; 17 recipe keyword signals (not recipe count)</t>
        </is>
      </c>
    </row>
    <row r="319">
      <c r="A319" t="inlineStr">
        <is>
          <t>S158</t>
        </is>
      </c>
      <c r="B319" t="inlineStr">
        <is>
          <t>Bakery_Melto_Profitability_2026-10-03.md</t>
        </is>
      </c>
      <c r="C319" t="inlineStr">
        <is>
          <t>E:\ohada saas\Focused projects\stoquify\docs\bakery\Bakery_Melto_Profitability_2026-10-03.md</t>
        </is>
      </c>
      <c r="D319" t="inlineStr">
        <is>
          <t>.md</t>
        </is>
      </c>
      <c r="E319" t="inlineStr">
        <is>
          <t>2026-10-03T16:51:41.123914+00:00</t>
        </is>
      </c>
      <c r="F319" t="inlineStr">
        <is>
          <t>66295</t>
        </is>
      </c>
      <c r="G319" t="inlineStr">
        <is>
          <t>2e264dbdbfcbcd4ff6de2dcf71f0770b82054d268bb790a4fbe251cc1a316b8d</t>
        </is>
      </c>
      <c r="H319" t="inlineStr">
        <is>
          <t>Extracted text</t>
        </is>
      </c>
      <c r="I319" t="inlineStr">
        <is>
          <t>Related edition, supporting context or superseded source; no independent trial inferred</t>
        </is>
      </c>
      <c r="J319" t="inlineStr">
        <is>
          <t>No owner production trial log found</t>
        </is>
      </c>
      <c r="K319" t="inlineStr">
        <is>
          <t>English (text screening)</t>
        </is>
      </c>
      <c r="L319" t="inlineStr">
        <is>
          <t>No explicit version established; modified date is file metadata only</t>
        </is>
      </c>
      <c r="M319" t="inlineStr">
        <is>
          <t>854 extracted pages/blocks/rows; 166 recipe keyword signals (not recipe count)</t>
        </is>
      </c>
    </row>
    <row r="320">
      <c r="A320" t="inlineStr">
        <is>
          <t>S159</t>
        </is>
      </c>
      <c r="B320" t="inlineStr">
        <is>
          <t>Bakery_Melto_Profitability_2026-10-03.pdf</t>
        </is>
      </c>
      <c r="C320" t="inlineStr">
        <is>
          <t>E:\ohada saas\Focused projects\stoquify\docs\bakery\Bakery_Melto_Profitability_2026-10-03.pdf</t>
        </is>
      </c>
      <c r="D320" t="inlineStr">
        <is>
          <t>.pdf</t>
        </is>
      </c>
      <c r="E320" t="inlineStr">
        <is>
          <t>2026-10-03T16:51:55.857749+00:00</t>
        </is>
      </c>
      <c r="F320" t="inlineStr">
        <is>
          <t>204258</t>
        </is>
      </c>
      <c r="G320" t="inlineStr">
        <is>
          <t>70f8dffbd328e42dd05a2c73393e4e5f35e612e9a1e063216ced57847147a99f</t>
        </is>
      </c>
      <c r="H320" t="inlineStr">
        <is>
          <t>Extracted text</t>
        </is>
      </c>
      <c r="I320" t="inlineStr">
        <is>
          <t>Related edition, supporting context or superseded source; no independent trial inferred</t>
        </is>
      </c>
      <c r="J320" t="inlineStr">
        <is>
          <t>No owner production trial log found</t>
        </is>
      </c>
      <c r="K320" t="inlineStr">
        <is>
          <t>English (text screening)</t>
        </is>
      </c>
      <c r="L320" t="inlineStr">
        <is>
          <t>No explicit version established; modified date is file metadata only</t>
        </is>
      </c>
      <c r="M320" t="inlineStr">
        <is>
          <t>27 extracted pages/blocks/rows; 187 recipe keyword signals (not recipe count)</t>
        </is>
      </c>
    </row>
    <row r="321">
      <c r="A321" t="inlineStr">
        <is>
          <t>S160</t>
        </is>
      </c>
      <c r="B321" t="inlineStr">
        <is>
          <t>Bakery_Melto_Profitability_2026-10-03.xlsx</t>
        </is>
      </c>
      <c r="C321" t="inlineStr">
        <is>
          <t>E:\ohada saas\Focused projects\stoquify\docs\bakery\Bakery_Melto_Profitability_2026-10-03.xlsx</t>
        </is>
      </c>
      <c r="D321" t="inlineStr">
        <is>
          <t>.xlsx</t>
        </is>
      </c>
      <c r="E321" t="inlineStr">
        <is>
          <t>2026-10-03T16:51:54.099073+00:00</t>
        </is>
      </c>
      <c r="F321" t="inlineStr">
        <is>
          <t>116666</t>
        </is>
      </c>
      <c r="G321" t="inlineStr">
        <is>
          <t>b45756380ff3d5211fe7601c40b21b7b80db64e1d3b10b1cc23a2d8adc2dc266</t>
        </is>
      </c>
      <c r="H321" t="inlineStr">
        <is>
          <t>Extracted text</t>
        </is>
      </c>
      <c r="I321" t="inlineStr">
        <is>
          <t>Related edition, supporting context or superseded source; no independent trial inferred</t>
        </is>
      </c>
      <c r="J321" t="inlineStr">
        <is>
          <t>No owner production trial log found</t>
        </is>
      </c>
      <c r="K321" t="inlineStr">
        <is>
          <t>English (text screening)</t>
        </is>
      </c>
      <c r="L321" t="inlineStr">
        <is>
          <t>No explicit version established; modified date is file metadata only</t>
        </is>
      </c>
      <c r="M321" t="inlineStr">
        <is>
          <t>692 extracted pages/blocks/rows; 333 recipe keyword signals (not recipe count)</t>
        </is>
      </c>
    </row>
    <row r="322">
      <c r="A322" t="inlineStr">
        <is>
          <t>S161</t>
        </is>
      </c>
      <c r="B322" t="inlineStr">
        <is>
          <t>Nkambe_Bakery_Business_and_Production_Plan.md</t>
        </is>
      </c>
      <c r="C322" t="inlineStr">
        <is>
          <t>E:\ohada saas\Focused projects\stoquify\docs\bakery\Nkambe_Bakery_Business_and_Production_Plan.md</t>
        </is>
      </c>
      <c r="D322" t="inlineStr">
        <is>
          <t>.md</t>
        </is>
      </c>
      <c r="E322" t="inlineStr">
        <is>
          <t>2026-10-03T11:34:34.435449+00:00</t>
        </is>
      </c>
      <c r="F322" t="inlineStr">
        <is>
          <t>208820</t>
        </is>
      </c>
      <c r="G322" t="inlineStr">
        <is>
          <t>eaac248ad7162b8c3149c976a99b16925ecf3c199324a30d399b13b1f7a62904</t>
        </is>
      </c>
      <c r="H322" t="inlineStr">
        <is>
          <t>Extracted text</t>
        </is>
      </c>
      <c r="I322" t="inlineStr">
        <is>
          <t>Related edition, supporting context or superseded source; no independent trial inferred</t>
        </is>
      </c>
      <c r="J322" t="inlineStr">
        <is>
          <t>No owner production trial log found</t>
        </is>
      </c>
      <c r="K322" t="inlineStr">
        <is>
          <t>English (text screening)</t>
        </is>
      </c>
      <c r="L322" t="inlineStr">
        <is>
          <t>No explicit version established; modified date is file metadata only</t>
        </is>
      </c>
      <c r="M322" t="inlineStr">
        <is>
          <t>2875 extracted pages/blocks/rows; 289 recipe keyword signals (not recipe count)</t>
        </is>
      </c>
    </row>
    <row r="323">
      <c r="A323" t="inlineStr">
        <is>
          <t>S137</t>
        </is>
      </c>
      <c r="B323" t="inlineStr">
        <is>
          <t>Nkambe_Bakery_Business_and_Production_Plan.pdf</t>
        </is>
      </c>
      <c r="C323" t="inlineStr">
        <is>
          <t>E:\ohada saas\Focused projects\stoquify\docs\bakery\Nkambe_Bakery_Business_and_Production_Plan.pdf</t>
        </is>
      </c>
      <c r="D323" t="inlineStr">
        <is>
          <t>.pdf</t>
        </is>
      </c>
      <c r="E323" t="inlineStr">
        <is>
          <t>2026-10-03T11:35:59.792504+00:00</t>
        </is>
      </c>
      <c r="F323" t="inlineStr">
        <is>
          <t>397289</t>
        </is>
      </c>
      <c r="G323" t="inlineStr">
        <is>
          <t>7bbebda929df8fa5076c9823ee9a15e9053a0c84a97863963acb34dde17f5704</t>
        </is>
      </c>
      <c r="H323" t="inlineStr">
        <is>
          <t>Exact duplicate</t>
        </is>
      </c>
      <c r="I323" t="inlineStr">
        <is>
          <t>Related edition, supporting context or superseded source; no independent trial inferred</t>
        </is>
      </c>
      <c r="J323" t="inlineStr">
        <is>
          <t>No owner production trial log found</t>
        </is>
      </c>
      <c r="K323" t="inlineStr">
        <is>
          <t>English (text screening)</t>
        </is>
      </c>
      <c r="L323" t="inlineStr">
        <is>
          <t>No explicit version established; modified date is file metadata only</t>
        </is>
      </c>
      <c r="M323" t="inlineStr">
        <is>
          <t xml:space="preserve"> extracted pages/blocks/rows;  recipe keyword signals (not recipe count)</t>
        </is>
      </c>
    </row>
    <row r="324">
      <c r="A324" t="inlineStr">
        <is>
          <t>S162</t>
        </is>
      </c>
      <c r="B324" t="inlineStr">
        <is>
          <t>Nkambe_Bakery_Handbook.docx</t>
        </is>
      </c>
      <c r="C324" t="inlineStr">
        <is>
          <t>E:\ohada saas\Focused projects\stoquify\docs\bakery\Nkambe_Bakery_Handbook.docx</t>
        </is>
      </c>
      <c r="D324" t="inlineStr">
        <is>
          <t>.docx</t>
        </is>
      </c>
      <c r="E324" t="inlineStr">
        <is>
          <t>2026-10-03T15:19:42.696022+00:00</t>
        </is>
      </c>
      <c r="F324" t="inlineStr">
        <is>
          <t>209769</t>
        </is>
      </c>
      <c r="G324" t="inlineStr">
        <is>
          <t>1d3b4be1815bfcfb56f0ca5e3c24b2c7399f0e139cacaeb77a443f599a5cc490</t>
        </is>
      </c>
      <c r="H324" t="inlineStr">
        <is>
          <t>Extracted text</t>
        </is>
      </c>
      <c r="I324" t="inlineStr">
        <is>
          <t>Related edition, supporting context or superseded source; no independent trial inferred</t>
        </is>
      </c>
      <c r="J324" t="inlineStr">
        <is>
          <t>No owner production trial log found</t>
        </is>
      </c>
      <c r="K324" t="inlineStr">
        <is>
          <t>English (text screening)</t>
        </is>
      </c>
      <c r="L324" t="inlineStr">
        <is>
          <t>No explicit version established; modified date is file metadata only</t>
        </is>
      </c>
      <c r="M324" t="inlineStr">
        <is>
          <t>2300 extracted pages/blocks/rows; 587 recipe keyword signals (not recipe count)</t>
        </is>
      </c>
    </row>
    <row r="325">
      <c r="A325" t="inlineStr">
        <is>
          <t>S163</t>
        </is>
      </c>
      <c r="B325" t="inlineStr">
        <is>
          <t>Nkambe_Bakery_Handbook.md</t>
        </is>
      </c>
      <c r="C325" t="inlineStr">
        <is>
          <t>E:\ohada saas\Focused projects\stoquify\docs\bakery\Nkambe_Bakery_Handbook.md</t>
        </is>
      </c>
      <c r="D325" t="inlineStr">
        <is>
          <t>.md</t>
        </is>
      </c>
      <c r="E325" t="inlineStr">
        <is>
          <t>2026-10-03T15:19:15.309482+00:00</t>
        </is>
      </c>
      <c r="F325" t="inlineStr">
        <is>
          <t>398973</t>
        </is>
      </c>
      <c r="G325" t="inlineStr">
        <is>
          <t>b872368fefa6b73e2576c76c34f82f6f15f1492ab72b6bcf546fe8c38edf1593</t>
        </is>
      </c>
      <c r="H325" t="inlineStr">
        <is>
          <t>Extracted text</t>
        </is>
      </c>
      <c r="I325" t="inlineStr">
        <is>
          <t>Recipe source or technical context included</t>
        </is>
      </c>
      <c r="J325" t="inlineStr">
        <is>
          <t>No owner production trial log found</t>
        </is>
      </c>
      <c r="K325" t="inlineStr">
        <is>
          <t>English (text screening)</t>
        </is>
      </c>
      <c r="L325" t="inlineStr">
        <is>
          <t>No explicit version established; modified date is file metadata only</t>
        </is>
      </c>
      <c r="M325" t="inlineStr">
        <is>
          <t>5356 extracted pages/blocks/rows; 589 recipe keyword signals (not recipe count)</t>
        </is>
      </c>
    </row>
    <row r="326">
      <c r="A326" t="inlineStr">
        <is>
          <t>S139</t>
        </is>
      </c>
      <c r="B326" t="inlineStr">
        <is>
          <t>Nkambe_Bakery_Handbook.pdf</t>
        </is>
      </c>
      <c r="C326" t="inlineStr">
        <is>
          <t>E:\ohada saas\Focused projects\stoquify\docs\bakery\Nkambe_Bakery_Handbook.pdf</t>
        </is>
      </c>
      <c r="D326" t="inlineStr">
        <is>
          <t>.pdf</t>
        </is>
      </c>
      <c r="E326" t="inlineStr">
        <is>
          <t>2026-10-03T15:22:04.764699+00:00</t>
        </is>
      </c>
      <c r="F326" t="inlineStr">
        <is>
          <t>684148</t>
        </is>
      </c>
      <c r="G326" t="inlineStr">
        <is>
          <t>34725addea1d4c59e73439bc10d490abf5cef97df26b66d07896f6d90f699b80</t>
        </is>
      </c>
      <c r="H326" t="inlineStr">
        <is>
          <t>Exact duplicate</t>
        </is>
      </c>
      <c r="I326" t="inlineStr">
        <is>
          <t>Related edition, supporting context or superseded source; no independent trial inferred</t>
        </is>
      </c>
      <c r="J326" t="inlineStr">
        <is>
          <t>No owner production trial log found</t>
        </is>
      </c>
      <c r="K326" t="inlineStr">
        <is>
          <t>English (text screening)</t>
        </is>
      </c>
      <c r="L326" t="inlineStr">
        <is>
          <t>No explicit version established; modified date is file metadata only</t>
        </is>
      </c>
      <c r="M326" t="inlineStr">
        <is>
          <t xml:space="preserve"> extracted pages/blocks/rows;  recipe keyword signals (not recipe count)</t>
        </is>
      </c>
    </row>
    <row r="327">
      <c r="A327" t="inlineStr">
        <is>
          <t>S164</t>
        </is>
      </c>
      <c r="B327" t="inlineStr">
        <is>
          <t>Source_and_Editorial_Record.md</t>
        </is>
      </c>
      <c r="C327" t="inlineStr">
        <is>
          <t>E:\ohada saas\Focused projects\stoquify\docs\bakery\Source_and_Editorial_Record.md</t>
        </is>
      </c>
      <c r="D327" t="inlineStr">
        <is>
          <t>.md</t>
        </is>
      </c>
      <c r="E327" t="inlineStr">
        <is>
          <t>2026-10-03T15:19:15.344743+00:00</t>
        </is>
      </c>
      <c r="F327" t="inlineStr">
        <is>
          <t>35570</t>
        </is>
      </c>
      <c r="G327" t="inlineStr">
        <is>
          <t>0e75d91b49a7c4c86815c84ebf49c20ecdc17054a9696db6260dd5a5673007b6</t>
        </is>
      </c>
      <c r="H327" t="inlineStr">
        <is>
          <t>Extracted text</t>
        </is>
      </c>
      <c r="I327" t="inlineStr">
        <is>
          <t>Related edition, supporting context or superseded source; no independent trial inferred</t>
        </is>
      </c>
      <c r="J327" t="inlineStr">
        <is>
          <t>No owner production trial log found</t>
        </is>
      </c>
      <c r="K327" t="inlineStr">
        <is>
          <t>English (text screening)</t>
        </is>
      </c>
      <c r="L327" t="inlineStr">
        <is>
          <t>No explicit version established; modified date is file metadata only</t>
        </is>
      </c>
      <c r="M327" t="inlineStr">
        <is>
          <t>418 extracted pages/blocks/rows; 17 recipe keyword signals (not recipe count)</t>
        </is>
      </c>
    </row>
    <row r="328">
      <c r="A328" t="inlineStr">
        <is>
          <t>S165</t>
        </is>
      </c>
      <c r="B328" t="inlineStr">
        <is>
          <t>Source_and_Editorial_Record.pdf</t>
        </is>
      </c>
      <c r="C328" t="inlineStr">
        <is>
          <t>E:\ohada saas\Focused projects\stoquify\docs\bakery\Source_and_Editorial_Record.pdf</t>
        </is>
      </c>
      <c r="D328" t="inlineStr">
        <is>
          <t>.pdf</t>
        </is>
      </c>
      <c r="E328" t="inlineStr">
        <is>
          <t>2026-10-03T15:22:04.795168+00:00</t>
        </is>
      </c>
      <c r="F328" t="inlineStr">
        <is>
          <t>134821</t>
        </is>
      </c>
      <c r="G328" t="inlineStr">
        <is>
          <t>edad59f8d6c19b2cbbf919366a400c24c6898fdbea8f4d540be967e27eb7755a</t>
        </is>
      </c>
      <c r="H328" t="inlineStr">
        <is>
          <t>Extracted text</t>
        </is>
      </c>
      <c r="I328" t="inlineStr">
        <is>
          <t>Related edition, supporting context or superseded source; no independent trial inferred</t>
        </is>
      </c>
      <c r="J328" t="inlineStr">
        <is>
          <t>No owner production trial log found</t>
        </is>
      </c>
      <c r="K328" t="inlineStr">
        <is>
          <t>English (text screening)</t>
        </is>
      </c>
      <c r="L328" t="inlineStr">
        <is>
          <t>No explicit version established; modified date is file metadata only</t>
        </is>
      </c>
      <c r="M328" t="inlineStr">
        <is>
          <t>14 extracted pages/blocks/rows; 17 recipe keyword signals (not recipe count)</t>
        </is>
      </c>
    </row>
    <row r="329">
      <c r="B329" t="inlineStr">
        <is>
          <t>Exact Recipe.docx</t>
        </is>
      </c>
      <c r="C329" t="inlineStr">
        <is>
          <t>E:\ohada saas\Focused projects\stoquify\docs\migrations\Exact Recipe.docx</t>
        </is>
      </c>
      <c r="D329" t="inlineStr">
        <is>
          <t>.docx</t>
        </is>
      </c>
      <c r="E329" t="inlineStr">
        <is>
          <t>2026-08-30T09:54:33.234445+00:00</t>
        </is>
      </c>
      <c r="F329" t="inlineStr">
        <is>
          <t>11343</t>
        </is>
      </c>
      <c r="H329" t="inlineStr">
        <is>
          <t>Software document, not a food recipe</t>
        </is>
      </c>
      <c r="I329" t="inlineStr">
        <is>
          <t>Filename screened</t>
        </is>
      </c>
      <c r="J329" t="inlineStr">
        <is>
          <t>No owner production trial log found</t>
        </is>
      </c>
      <c r="K329" t="inlineStr">
        <is>
          <t>Not established / non-text</t>
        </is>
      </c>
      <c r="L329" t="inlineStr">
        <is>
          <t>No explicit version established; modified date is file metadata only</t>
        </is>
      </c>
      <c r="M329" t="inlineStr">
        <is>
          <t xml:space="preserve"> extracted pages/blocks/rows;  recipe keyword signals (not recipe count)</t>
        </is>
      </c>
    </row>
    <row r="330">
      <c r="B330" t="inlineStr">
        <is>
          <t>COMPREHENSIVE_TECHNOLOGY_RECOMMENDATIONS_FOR_BAKERY_MANAGEMENT_SYSTEM.md</t>
        </is>
      </c>
      <c r="C330" t="inlineStr">
        <is>
          <t>E:\ohada saas\Focused projects\stoquify\docs\product\strategy\COMPREHENSIVE_TECHNOLOGY_RECOMMENDATIONS_FOR_BAKERY_MANAGEMENT_SYSTEM.md</t>
        </is>
      </c>
      <c r="D330" t="inlineStr">
        <is>
          <t>.md</t>
        </is>
      </c>
      <c r="E330" t="inlineStr">
        <is>
          <t>2026-07-02T04:58:57.195939+00:00</t>
        </is>
      </c>
      <c r="F330" t="inlineStr">
        <is>
          <t>19252</t>
        </is>
      </c>
      <c r="H330" t="inlineStr">
        <is>
          <t>Software document, not a food recipe</t>
        </is>
      </c>
      <c r="I330" t="inlineStr">
        <is>
          <t>Filename screened</t>
        </is>
      </c>
      <c r="J330" t="inlineStr">
        <is>
          <t>No owner production trial log found</t>
        </is>
      </c>
      <c r="K330" t="inlineStr">
        <is>
          <t>Not established / non-text</t>
        </is>
      </c>
      <c r="L330" t="inlineStr">
        <is>
          <t>No explicit version established; modified date is file metadata only</t>
        </is>
      </c>
      <c r="M330" t="inlineStr">
        <is>
          <t xml:space="preserve"> extracted pages/blocks/rows;  recipe keyword signals (not recipe count)</t>
        </is>
      </c>
    </row>
    <row r="331">
      <c r="A331" t="inlineStr">
        <is>
          <t>S160</t>
        </is>
      </c>
      <c r="B331" t="inlineStr">
        <is>
          <t>Bakery_Melto_Profitability_2026-10-03.xlsx</t>
        </is>
      </c>
      <c r="C331" t="inlineStr">
        <is>
          <t>E:\ohada saas\Focused projects\stoquify\outputs\bakery-profitability-2026-10-03\Bakery_Melto_Profitability_2026-10-03.xlsx</t>
        </is>
      </c>
      <c r="D331" t="inlineStr">
        <is>
          <t>.xlsx</t>
        </is>
      </c>
      <c r="E331" t="inlineStr">
        <is>
          <t>2026-10-03T16:51:54.099073+00:00</t>
        </is>
      </c>
      <c r="F331" t="inlineStr">
        <is>
          <t>116666</t>
        </is>
      </c>
      <c r="G331" t="inlineStr">
        <is>
          <t>b45756380ff3d5211fe7601c40b21b7b80db64e1d3b10b1cc23a2d8adc2dc266</t>
        </is>
      </c>
      <c r="H331" t="inlineStr">
        <is>
          <t>Exact duplicate</t>
        </is>
      </c>
      <c r="I331" t="inlineStr">
        <is>
          <t>Related edition, supporting context or superseded source; no independent trial inferred</t>
        </is>
      </c>
      <c r="J331" t="inlineStr">
        <is>
          <t>No owner production trial log found</t>
        </is>
      </c>
      <c r="K331" t="inlineStr">
        <is>
          <t>English (text screening)</t>
        </is>
      </c>
      <c r="L331" t="inlineStr">
        <is>
          <t>No explicit version established; modified date is file metadata only</t>
        </is>
      </c>
      <c r="M331" t="inlineStr">
        <is>
          <t xml:space="preserve"> extracted pages/blocks/rows;  recipe keyword signals (not recipe count)</t>
        </is>
      </c>
    </row>
    <row r="332">
      <c r="A332" t="inlineStr">
        <is>
          <t>S166</t>
        </is>
      </c>
      <c r="B332" t="inlineStr">
        <is>
          <t>Nkambe_Bakery_Handbook.docx</t>
        </is>
      </c>
      <c r="C332" t="inlineStr">
        <is>
          <t>E:\ohada saas\Focused projects\stoquify\what-next\bakery-booklet-2026-10-03\Nkambe_Bakery_Handbook.docx</t>
        </is>
      </c>
      <c r="D332" t="inlineStr">
        <is>
          <t>.docx</t>
        </is>
      </c>
      <c r="E332" t="inlineStr">
        <is>
          <t>2026-10-03T15:05:59.565933+00:00</t>
        </is>
      </c>
      <c r="F332" t="inlineStr">
        <is>
          <t>360192</t>
        </is>
      </c>
      <c r="G332" t="inlineStr">
        <is>
          <t>1b0c09f5cfe6c8b6a1ecd22570fa00112ac9113a1d8dcf49759224967e53617b</t>
        </is>
      </c>
      <c r="H332" t="inlineStr">
        <is>
          <t>Extracted text</t>
        </is>
      </c>
      <c r="I332" t="inlineStr">
        <is>
          <t>Related edition, supporting context or superseded source; no independent trial inferred</t>
        </is>
      </c>
      <c r="J332" t="inlineStr">
        <is>
          <t>No owner production trial log found</t>
        </is>
      </c>
      <c r="K332" t="inlineStr">
        <is>
          <t>English (text screening)</t>
        </is>
      </c>
      <c r="L332" t="inlineStr">
        <is>
          <t>No explicit version established; modified date is file metadata only</t>
        </is>
      </c>
      <c r="M332" t="inlineStr">
        <is>
          <t>2452 extracted pages/blocks/rows; 578 recipe keyword signals (not recipe count)</t>
        </is>
      </c>
    </row>
    <row r="333">
      <c r="A333" t="inlineStr">
        <is>
          <t>S167</t>
        </is>
      </c>
      <c r="B333" t="inlineStr">
        <is>
          <t>Nkambe_Bakery_Handbook.md</t>
        </is>
      </c>
      <c r="C333" t="inlineStr">
        <is>
          <t>E:\ohada saas\Focused projects\stoquify\what-next\bakery-booklet-2026-10-03\Nkambe_Bakery_Handbook.md</t>
        </is>
      </c>
      <c r="D333" t="inlineStr">
        <is>
          <t>.md</t>
        </is>
      </c>
      <c r="E333" t="inlineStr">
        <is>
          <t>2026-10-03T14:59:23.104106+00:00</t>
        </is>
      </c>
      <c r="F333" t="inlineStr">
        <is>
          <t>382849</t>
        </is>
      </c>
      <c r="G333" t="inlineStr">
        <is>
          <t>8b751dacbbf65829c4817af74f36d4de5850196ac47373210e76d0c3008a8e94</t>
        </is>
      </c>
      <c r="H333" t="inlineStr">
        <is>
          <t>Extracted text</t>
        </is>
      </c>
      <c r="I333" t="inlineStr">
        <is>
          <t>Related edition, supporting context or superseded source; no independent trial inferred</t>
        </is>
      </c>
      <c r="J333" t="inlineStr">
        <is>
          <t>No owner production trial log found</t>
        </is>
      </c>
      <c r="K333" t="inlineStr">
        <is>
          <t>English (text screening)</t>
        </is>
      </c>
      <c r="L333" t="inlineStr">
        <is>
          <t>No explicit version established; modified date is file metadata only</t>
        </is>
      </c>
      <c r="M333" t="inlineStr">
        <is>
          <t>5220 extracted pages/blocks/rows; 576 recipe keyword signals (not recipe count)</t>
        </is>
      </c>
    </row>
    <row r="334">
      <c r="A334" t="inlineStr">
        <is>
          <t>S168</t>
        </is>
      </c>
      <c r="B334" t="inlineStr">
        <is>
          <t>Nkambe_Bakery_Handbook.pdf</t>
        </is>
      </c>
      <c r="C334" t="inlineStr">
        <is>
          <t>E:\ohada saas\Focused projects\stoquify\what-next\bakery-booklet-2026-10-03\Nkambe_Bakery_Handbook.pdf</t>
        </is>
      </c>
      <c r="D334" t="inlineStr">
        <is>
          <t>.pdf</t>
        </is>
      </c>
      <c r="E334" t="inlineStr">
        <is>
          <t>2026-10-03T15:06:45.586175+00:00</t>
        </is>
      </c>
      <c r="F334" t="inlineStr">
        <is>
          <t>1305498</t>
        </is>
      </c>
      <c r="G334" t="inlineStr">
        <is>
          <t>e7094f62fdf1c3a57bbbd2271a1495d43a39dbf65658fbdc9aa677d2dec6ff3b</t>
        </is>
      </c>
      <c r="H334" t="inlineStr">
        <is>
          <t>Extracted text</t>
        </is>
      </c>
      <c r="I334" t="inlineStr">
        <is>
          <t>Related edition, supporting context or superseded source; no independent trial inferred</t>
        </is>
      </c>
      <c r="J334" t="inlineStr">
        <is>
          <t>No owner production trial log found</t>
        </is>
      </c>
      <c r="K334" t="inlineStr">
        <is>
          <t>English (text screening)</t>
        </is>
      </c>
      <c r="L334" t="inlineStr">
        <is>
          <t>No explicit version established; modified date is file metadata only</t>
        </is>
      </c>
      <c r="M334" t="inlineStr">
        <is>
          <t>165 extracted pages/blocks/rows; 768 recipe keyword signals (not recipe count)</t>
        </is>
      </c>
    </row>
    <row r="335">
      <c r="A335" t="inlineStr">
        <is>
          <t>S169</t>
        </is>
      </c>
      <c r="B335" t="inlineStr">
        <is>
          <t>Source_and_Editorial_Record.md</t>
        </is>
      </c>
      <c r="C335" t="inlineStr">
        <is>
          <t>E:\ohada saas\Focused projects\stoquify\what-next\bakery-booklet-2026-10-03\Source_and_Editorial_Record.md</t>
        </is>
      </c>
      <c r="D335" t="inlineStr">
        <is>
          <t>.md</t>
        </is>
      </c>
      <c r="E335" t="inlineStr">
        <is>
          <t>2026-10-03T15:07:28.712187+00:00</t>
        </is>
      </c>
      <c r="F335" t="inlineStr">
        <is>
          <t>33214</t>
        </is>
      </c>
      <c r="G335" t="inlineStr">
        <is>
          <t>49ce5d4cc6350be86b664076b97d1789a2b1124cc03de4455c60a416ed7251a1</t>
        </is>
      </c>
      <c r="H335" t="inlineStr">
        <is>
          <t>Extracted text</t>
        </is>
      </c>
      <c r="I335" t="inlineStr">
        <is>
          <t>Related edition, supporting context or superseded source; no independent trial inferred</t>
        </is>
      </c>
      <c r="J335" t="inlineStr">
        <is>
          <t>No owner production trial log found</t>
        </is>
      </c>
      <c r="K335" t="inlineStr">
        <is>
          <t>English (text screening)</t>
        </is>
      </c>
      <c r="L335" t="inlineStr">
        <is>
          <t>No explicit version established; modified date is file metadata only</t>
        </is>
      </c>
      <c r="M335" t="inlineStr">
        <is>
          <t>407 extracted pages/blocks/rows; 14 recipe keyword signals (not recipe count)</t>
        </is>
      </c>
    </row>
    <row r="336">
      <c r="B336" t="inlineStr">
        <is>
          <t>baguette_workflow.md</t>
        </is>
      </c>
      <c r="C336" t="inlineStr">
        <is>
          <t>E:\ohada saas\Focused projects\stoquify\what-next\bakery-booklet-2026-10-03\work\baguette_workflow.md</t>
        </is>
      </c>
      <c r="D336" t="inlineStr">
        <is>
          <t>.md</t>
        </is>
      </c>
      <c r="E336" t="inlineStr">
        <is>
          <t>2026-10-03T15:18:02.954229+00:00</t>
        </is>
      </c>
      <c r="F336" t="inlineStr">
        <is>
          <t>15359</t>
        </is>
      </c>
      <c r="H336" t="inlineStr">
        <is>
          <t>Generated work or software support file</t>
        </is>
      </c>
      <c r="I336" t="inlineStr">
        <is>
          <t>Filename screened</t>
        </is>
      </c>
      <c r="J336" t="inlineStr">
        <is>
          <t>No owner production trial log found</t>
        </is>
      </c>
      <c r="K336" t="inlineStr">
        <is>
          <t>Not established / non-text</t>
        </is>
      </c>
      <c r="L336" t="inlineStr">
        <is>
          <t>No explicit version established; modified date is file metadata only</t>
        </is>
      </c>
      <c r="M336" t="inlineStr">
        <is>
          <t xml:space="preserve"> extracted pages/blocks/rows;  recipe keyword signals (not recipe count)</t>
        </is>
      </c>
    </row>
    <row r="337">
      <c r="B337" t="inlineStr">
        <is>
          <t>Nkambe_Bakery_Business_and_Production_Plan.md</t>
        </is>
      </c>
      <c r="C337" t="inlineStr">
        <is>
          <t>E:\ohada saas\Focused projects\stoquify\what-next\bakery-booklet-2026-10-03\work\bakery_publish_backup\Nkambe_Bakery_Business_and_Production_Plan.md</t>
        </is>
      </c>
      <c r="D337" t="inlineStr">
        <is>
          <t>.md</t>
        </is>
      </c>
      <c r="E337" t="inlineStr">
        <is>
          <t>2026-10-03T15:19:15.347251+00:00</t>
        </is>
      </c>
      <c r="F337" t="inlineStr">
        <is>
          <t>208820</t>
        </is>
      </c>
      <c r="H337" t="inlineStr">
        <is>
          <t>Generated work or software support file</t>
        </is>
      </c>
      <c r="I337" t="inlineStr">
        <is>
          <t>Filename screened</t>
        </is>
      </c>
      <c r="J337" t="inlineStr">
        <is>
          <t>No owner production trial log found</t>
        </is>
      </c>
      <c r="K337" t="inlineStr">
        <is>
          <t>Not established / non-text</t>
        </is>
      </c>
      <c r="L337" t="inlineStr">
        <is>
          <t>No explicit version established; modified date is file metadata only</t>
        </is>
      </c>
      <c r="M337" t="inlineStr">
        <is>
          <t xml:space="preserve"> extracted pages/blocks/rows;  recipe keyword signals (not recipe count)</t>
        </is>
      </c>
    </row>
    <row r="338">
      <c r="B338" t="inlineStr">
        <is>
          <t>Nkambe_Bakery_Business_and_Production_Plan.pdf</t>
        </is>
      </c>
      <c r="C338" t="inlineStr">
        <is>
          <t>E:\ohada saas\Focused projects\stoquify\what-next\bakery-booklet-2026-10-03\work\bakery_publish_backup\Nkambe_Bakery_Business_and_Production_Plan.pdf</t>
        </is>
      </c>
      <c r="D338" t="inlineStr">
        <is>
          <t>.pdf</t>
        </is>
      </c>
      <c r="E338" t="inlineStr">
        <is>
          <t>2026-10-03T15:19:15.349252+00:00</t>
        </is>
      </c>
      <c r="F338" t="inlineStr">
        <is>
          <t>397289</t>
        </is>
      </c>
      <c r="H338" t="inlineStr">
        <is>
          <t>Generated work or software support file</t>
        </is>
      </c>
      <c r="I338" t="inlineStr">
        <is>
          <t>Filename screened</t>
        </is>
      </c>
      <c r="J338" t="inlineStr">
        <is>
          <t>No owner production trial log found</t>
        </is>
      </c>
      <c r="K338" t="inlineStr">
        <is>
          <t>Not established / non-text</t>
        </is>
      </c>
      <c r="L338" t="inlineStr">
        <is>
          <t>No explicit version established; modified date is file metadata only</t>
        </is>
      </c>
      <c r="M338" t="inlineStr">
        <is>
          <t xml:space="preserve"> extracted pages/blocks/rows;  recipe keyword signals (not recipe count)</t>
        </is>
      </c>
    </row>
    <row r="339">
      <c r="B339" t="inlineStr">
        <is>
          <t>download_sources.txt</t>
        </is>
      </c>
      <c r="C339" t="inlineStr">
        <is>
          <t>E:\ohada saas\Focused projects\stoquify\what-next\bakery-booklet-2026-10-03\work\download_sources.txt</t>
        </is>
      </c>
      <c r="D339" t="inlineStr">
        <is>
          <t>.txt</t>
        </is>
      </c>
      <c r="E339" t="inlineStr">
        <is>
          <t>2026-10-03T14:43:49.676743+00:00</t>
        </is>
      </c>
      <c r="F339" t="inlineStr">
        <is>
          <t>111577</t>
        </is>
      </c>
      <c r="H339" t="inlineStr">
        <is>
          <t>Generated work or software support file</t>
        </is>
      </c>
      <c r="I339" t="inlineStr">
        <is>
          <t>Filename screened</t>
        </is>
      </c>
      <c r="J339" t="inlineStr">
        <is>
          <t>No owner production trial log found</t>
        </is>
      </c>
      <c r="K339" t="inlineStr">
        <is>
          <t>Not established / non-text</t>
        </is>
      </c>
      <c r="L339" t="inlineStr">
        <is>
          <t>No explicit version established; modified date is file metadata only</t>
        </is>
      </c>
      <c r="M339" t="inlineStr">
        <is>
          <t xml:space="preserve"> extracted pages/blocks/rows;  recipe keyword signals (not recipe count)</t>
        </is>
      </c>
    </row>
    <row r="340">
      <c r="B340" t="inlineStr">
        <is>
          <t>final_cover.png</t>
        </is>
      </c>
      <c r="C340" t="inlineStr">
        <is>
          <t>E:\ohada saas\Focused projects\stoquify\what-next\bakery-booklet-2026-10-03\work\final_cover.png</t>
        </is>
      </c>
      <c r="D340" t="inlineStr">
        <is>
          <t>.png</t>
        </is>
      </c>
      <c r="E340" t="inlineStr">
        <is>
          <t>2026-10-03T15:07:28.666586+00:00</t>
        </is>
      </c>
      <c r="F340" t="inlineStr">
        <is>
          <t>83679</t>
        </is>
      </c>
      <c r="H340" t="inlineStr">
        <is>
          <t>Generated work or software support file</t>
        </is>
      </c>
      <c r="I340" t="inlineStr">
        <is>
          <t>Filename screened</t>
        </is>
      </c>
      <c r="J340" t="inlineStr">
        <is>
          <t>No owner production trial log found</t>
        </is>
      </c>
      <c r="K340" t="inlineStr">
        <is>
          <t>Not established / non-text</t>
        </is>
      </c>
      <c r="L340" t="inlineStr">
        <is>
          <t>No explicit version established; modified date is file metadata only</t>
        </is>
      </c>
      <c r="M340" t="inlineStr">
        <is>
          <t xml:space="preserve"> extracted pages/blocks/rows;  recipe keyword signals (not recipe count)</t>
        </is>
      </c>
    </row>
    <row r="341">
      <c r="B341" t="inlineStr">
        <is>
          <t>new_references.md</t>
        </is>
      </c>
      <c r="C341" t="inlineStr">
        <is>
          <t>E:\ohada saas\Focused projects\stoquify\what-next\bakery-booklet-2026-10-03\work\new_references.md</t>
        </is>
      </c>
      <c r="D341" t="inlineStr">
        <is>
          <t>.md</t>
        </is>
      </c>
      <c r="E341" t="inlineStr">
        <is>
          <t>2026-10-03T14:53:02.284807+00:00</t>
        </is>
      </c>
      <c r="F341" t="inlineStr">
        <is>
          <t>2436</t>
        </is>
      </c>
      <c r="H341" t="inlineStr">
        <is>
          <t>Generated work or software support file</t>
        </is>
      </c>
      <c r="I341" t="inlineStr">
        <is>
          <t>Filename screened</t>
        </is>
      </c>
      <c r="J341" t="inlineStr">
        <is>
          <t>No owner production trial log found</t>
        </is>
      </c>
      <c r="K341" t="inlineStr">
        <is>
          <t>Not established / non-text</t>
        </is>
      </c>
      <c r="L341" t="inlineStr">
        <is>
          <t>No explicit version established; modified date is file metadata only</t>
        </is>
      </c>
      <c r="M341" t="inlineStr">
        <is>
          <t xml:space="preserve"> extracted pages/blocks/rows;  recipe keyword signals (not recipe count)</t>
        </is>
      </c>
    </row>
    <row r="342">
      <c r="B342" t="inlineStr">
        <is>
          <t>contact-01.jpg</t>
        </is>
      </c>
      <c r="C342" t="inlineStr">
        <is>
          <t>E:\ohada saas\Focused projects\stoquify\what-next\bakery-booklet-2026-10-03\work\pages\contact-01.jpg</t>
        </is>
      </c>
      <c r="D342" t="inlineStr">
        <is>
          <t>.jpg</t>
        </is>
      </c>
      <c r="E342" t="inlineStr">
        <is>
          <t>2026-10-03T15:02:51.740456+00:00</t>
        </is>
      </c>
      <c r="F342" t="inlineStr">
        <is>
          <t>481514</t>
        </is>
      </c>
      <c r="H342" t="inlineStr">
        <is>
          <t>Generated work or software support file</t>
        </is>
      </c>
      <c r="I342" t="inlineStr">
        <is>
          <t>Filename screened</t>
        </is>
      </c>
      <c r="J342" t="inlineStr">
        <is>
          <t>No owner production trial log found</t>
        </is>
      </c>
      <c r="K342" t="inlineStr">
        <is>
          <t>Not established / non-text</t>
        </is>
      </c>
      <c r="L342" t="inlineStr">
        <is>
          <t>No explicit version established; modified date is file metadata only</t>
        </is>
      </c>
      <c r="M342" t="inlineStr">
        <is>
          <t xml:space="preserve"> extracted pages/blocks/rows;  recipe keyword signals (not recipe count)</t>
        </is>
      </c>
    </row>
    <row r="343">
      <c r="B343" t="inlineStr">
        <is>
          <t>contact-02.jpg</t>
        </is>
      </c>
      <c r="C343" t="inlineStr">
        <is>
          <t>E:\ohada saas\Focused projects\stoquify\what-next\bakery-booklet-2026-10-03\work\pages\contact-02.jpg</t>
        </is>
      </c>
      <c r="D343" t="inlineStr">
        <is>
          <t>.jpg</t>
        </is>
      </c>
      <c r="E343" t="inlineStr">
        <is>
          <t>2026-10-03T15:02:51.778620+00:00</t>
        </is>
      </c>
      <c r="F343" t="inlineStr">
        <is>
          <t>419222</t>
        </is>
      </c>
      <c r="H343" t="inlineStr">
        <is>
          <t>Generated work or software support file</t>
        </is>
      </c>
      <c r="I343" t="inlineStr">
        <is>
          <t>Filename screened</t>
        </is>
      </c>
      <c r="J343" t="inlineStr">
        <is>
          <t>No owner production trial log found</t>
        </is>
      </c>
      <c r="K343" t="inlineStr">
        <is>
          <t>Not established / non-text</t>
        </is>
      </c>
      <c r="L343" t="inlineStr">
        <is>
          <t>No explicit version established; modified date is file metadata only</t>
        </is>
      </c>
      <c r="M343" t="inlineStr">
        <is>
          <t xml:space="preserve"> extracted pages/blocks/rows;  recipe keyword signals (not recipe count)</t>
        </is>
      </c>
    </row>
    <row r="344">
      <c r="B344" t="inlineStr">
        <is>
          <t>contact-03.jpg</t>
        </is>
      </c>
      <c r="C344" t="inlineStr">
        <is>
          <t>E:\ohada saas\Focused projects\stoquify\what-next\bakery-booklet-2026-10-03\work\pages\contact-03.jpg</t>
        </is>
      </c>
      <c r="D344" t="inlineStr">
        <is>
          <t>.jpg</t>
        </is>
      </c>
      <c r="E344" t="inlineStr">
        <is>
          <t>2026-10-03T15:02:51.846806+00:00</t>
        </is>
      </c>
      <c r="F344" t="inlineStr">
        <is>
          <t>489597</t>
        </is>
      </c>
      <c r="H344" t="inlineStr">
        <is>
          <t>Generated work or software support file</t>
        </is>
      </c>
      <c r="I344" t="inlineStr">
        <is>
          <t>Filename screened</t>
        </is>
      </c>
      <c r="J344" t="inlineStr">
        <is>
          <t>No owner production trial log found</t>
        </is>
      </c>
      <c r="K344" t="inlineStr">
        <is>
          <t>Not established / non-text</t>
        </is>
      </c>
      <c r="L344" t="inlineStr">
        <is>
          <t>No explicit version established; modified date is file metadata only</t>
        </is>
      </c>
      <c r="M344" t="inlineStr">
        <is>
          <t xml:space="preserve"> extracted pages/blocks/rows;  recipe keyword signals (not recipe count)</t>
        </is>
      </c>
    </row>
    <row r="345">
      <c r="B345" t="inlineStr">
        <is>
          <t>contact-04.jpg</t>
        </is>
      </c>
      <c r="C345" t="inlineStr">
        <is>
          <t>E:\ohada saas\Focused projects\stoquify\what-next\bakery-booklet-2026-10-03\work\pages\contact-04.jpg</t>
        </is>
      </c>
      <c r="D345" t="inlineStr">
        <is>
          <t>.jpg</t>
        </is>
      </c>
      <c r="E345" t="inlineStr">
        <is>
          <t>2026-10-03T15:02:51.908978+00:00</t>
        </is>
      </c>
      <c r="F345" t="inlineStr">
        <is>
          <t>507825</t>
        </is>
      </c>
      <c r="H345" t="inlineStr">
        <is>
          <t>Generated work or software support file</t>
        </is>
      </c>
      <c r="I345" t="inlineStr">
        <is>
          <t>Filename screened</t>
        </is>
      </c>
      <c r="J345" t="inlineStr">
        <is>
          <t>No owner production trial log found</t>
        </is>
      </c>
      <c r="K345" t="inlineStr">
        <is>
          <t>Not established / non-text</t>
        </is>
      </c>
      <c r="L345" t="inlineStr">
        <is>
          <t>No explicit version established; modified date is file metadata only</t>
        </is>
      </c>
      <c r="M345" t="inlineStr">
        <is>
          <t xml:space="preserve"> extracted pages/blocks/rows;  recipe keyword signals (not recipe count)</t>
        </is>
      </c>
    </row>
    <row r="346">
      <c r="B346" t="inlineStr">
        <is>
          <t>contact-05.jpg</t>
        </is>
      </c>
      <c r="C346" t="inlineStr">
        <is>
          <t>E:\ohada saas\Focused projects\stoquify\what-next\bakery-booklet-2026-10-03\work\pages\contact-05.jpg</t>
        </is>
      </c>
      <c r="D346" t="inlineStr">
        <is>
          <t>.jpg</t>
        </is>
      </c>
      <c r="E346" t="inlineStr">
        <is>
          <t>2026-10-03T15:02:51.970761+00:00</t>
        </is>
      </c>
      <c r="F346" t="inlineStr">
        <is>
          <t>477180</t>
        </is>
      </c>
      <c r="H346" t="inlineStr">
        <is>
          <t>Generated work or software support file</t>
        </is>
      </c>
      <c r="I346" t="inlineStr">
        <is>
          <t>Filename screened</t>
        </is>
      </c>
      <c r="J346" t="inlineStr">
        <is>
          <t>No owner production trial log found</t>
        </is>
      </c>
      <c r="K346" t="inlineStr">
        <is>
          <t>Not established / non-text</t>
        </is>
      </c>
      <c r="L346" t="inlineStr">
        <is>
          <t>No explicit version established; modified date is file metadata only</t>
        </is>
      </c>
      <c r="M346" t="inlineStr">
        <is>
          <t xml:space="preserve"> extracted pages/blocks/rows;  recipe keyword signals (not recipe count)</t>
        </is>
      </c>
    </row>
    <row r="347">
      <c r="B347" t="inlineStr">
        <is>
          <t>contact-06.jpg</t>
        </is>
      </c>
      <c r="C347" t="inlineStr">
        <is>
          <t>E:\ohada saas\Focused projects\stoquify\what-next\bakery-booklet-2026-10-03\work\pages\contact-06.jpg</t>
        </is>
      </c>
      <c r="D347" t="inlineStr">
        <is>
          <t>.jpg</t>
        </is>
      </c>
      <c r="E347" t="inlineStr">
        <is>
          <t>2026-10-03T15:02:52.028432+00:00</t>
        </is>
      </c>
      <c r="F347" t="inlineStr">
        <is>
          <t>466999</t>
        </is>
      </c>
      <c r="H347" t="inlineStr">
        <is>
          <t>Generated work or software support file</t>
        </is>
      </c>
      <c r="I347" t="inlineStr">
        <is>
          <t>Filename screened</t>
        </is>
      </c>
      <c r="J347" t="inlineStr">
        <is>
          <t>No owner production trial log found</t>
        </is>
      </c>
      <c r="K347" t="inlineStr">
        <is>
          <t>Not established / non-text</t>
        </is>
      </c>
      <c r="L347" t="inlineStr">
        <is>
          <t>No explicit version established; modified date is file metadata only</t>
        </is>
      </c>
      <c r="M347" t="inlineStr">
        <is>
          <t xml:space="preserve"> extracted pages/blocks/rows;  recipe keyword signals (not recipe count)</t>
        </is>
      </c>
    </row>
    <row r="348">
      <c r="B348" t="inlineStr">
        <is>
          <t>contact-07.jpg</t>
        </is>
      </c>
      <c r="C348" t="inlineStr">
        <is>
          <t>E:\ohada saas\Focused projects\stoquify\what-next\bakery-booklet-2026-10-03\work\pages\contact-07.jpg</t>
        </is>
      </c>
      <c r="D348" t="inlineStr">
        <is>
          <t>.jpg</t>
        </is>
      </c>
      <c r="E348" t="inlineStr">
        <is>
          <t>2026-10-03T15:02:52.080595+00:00</t>
        </is>
      </c>
      <c r="F348" t="inlineStr">
        <is>
          <t>476847</t>
        </is>
      </c>
      <c r="H348" t="inlineStr">
        <is>
          <t>Generated work or software support file</t>
        </is>
      </c>
      <c r="I348" t="inlineStr">
        <is>
          <t>Filename screened</t>
        </is>
      </c>
      <c r="J348" t="inlineStr">
        <is>
          <t>No owner production trial log found</t>
        </is>
      </c>
      <c r="K348" t="inlineStr">
        <is>
          <t>Not established / non-text</t>
        </is>
      </c>
      <c r="L348" t="inlineStr">
        <is>
          <t>No explicit version established; modified date is file metadata only</t>
        </is>
      </c>
      <c r="M348" t="inlineStr">
        <is>
          <t xml:space="preserve"> extracted pages/blocks/rows;  recipe keyword signals (not recipe count)</t>
        </is>
      </c>
    </row>
    <row r="349">
      <c r="B349" t="inlineStr">
        <is>
          <t>contact-08.jpg</t>
        </is>
      </c>
      <c r="C349" t="inlineStr">
        <is>
          <t>E:\ohada saas\Focused projects\stoquify\what-next\bakery-booklet-2026-10-03\work\pages\contact-08.jpg</t>
        </is>
      </c>
      <c r="D349" t="inlineStr">
        <is>
          <t>.jpg</t>
        </is>
      </c>
      <c r="E349" t="inlineStr">
        <is>
          <t>2026-10-03T15:02:52.135699+00:00</t>
        </is>
      </c>
      <c r="F349" t="inlineStr">
        <is>
          <t>442207</t>
        </is>
      </c>
      <c r="H349" t="inlineStr">
        <is>
          <t>Generated work or software support file</t>
        </is>
      </c>
      <c r="I349" t="inlineStr">
        <is>
          <t>Filename screened</t>
        </is>
      </c>
      <c r="J349" t="inlineStr">
        <is>
          <t>No owner production trial log found</t>
        </is>
      </c>
      <c r="K349" t="inlineStr">
        <is>
          <t>Not established / non-text</t>
        </is>
      </c>
      <c r="L349" t="inlineStr">
        <is>
          <t>No explicit version established; modified date is file metadata only</t>
        </is>
      </c>
      <c r="M349" t="inlineStr">
        <is>
          <t xml:space="preserve"> extracted pages/blocks/rows;  recipe keyword signals (not recipe count)</t>
        </is>
      </c>
    </row>
    <row r="350">
      <c r="B350" t="inlineStr">
        <is>
          <t>contact-09.jpg</t>
        </is>
      </c>
      <c r="C350" t="inlineStr">
        <is>
          <t>E:\ohada saas\Focused projects\stoquify\what-next\bakery-booklet-2026-10-03\work\pages\contact-09.jpg</t>
        </is>
      </c>
      <c r="D350" t="inlineStr">
        <is>
          <t>.jpg</t>
        </is>
      </c>
      <c r="E350" t="inlineStr">
        <is>
          <t>2026-10-03T15:02:52.172070+00:00</t>
        </is>
      </c>
      <c r="F350" t="inlineStr">
        <is>
          <t>132121</t>
        </is>
      </c>
      <c r="H350" t="inlineStr">
        <is>
          <t>Generated work or software support file</t>
        </is>
      </c>
      <c r="I350" t="inlineStr">
        <is>
          <t>Filename screened</t>
        </is>
      </c>
      <c r="J350" t="inlineStr">
        <is>
          <t>No owner production trial log found</t>
        </is>
      </c>
      <c r="K350" t="inlineStr">
        <is>
          <t>Not established / non-text</t>
        </is>
      </c>
      <c r="L350" t="inlineStr">
        <is>
          <t>No explicit version established; modified date is file metadata only</t>
        </is>
      </c>
      <c r="M350" t="inlineStr">
        <is>
          <t xml:space="preserve"> extracted pages/blocks/rows;  recipe keyword signals (not recipe count)</t>
        </is>
      </c>
    </row>
    <row r="351">
      <c r="B351" t="inlineStr">
        <is>
          <t>page-001.png</t>
        </is>
      </c>
      <c r="C351" t="inlineStr">
        <is>
          <t>E:\ohada saas\Focused projects\stoquify\what-next\bakery-booklet-2026-10-03\work\pages\page-001.png</t>
        </is>
      </c>
      <c r="D351" t="inlineStr">
        <is>
          <t>.png</t>
        </is>
      </c>
      <c r="E351" t="inlineStr">
        <is>
          <t>2026-10-03T15:02:20.247075+00:00</t>
        </is>
      </c>
      <c r="F351" t="inlineStr">
        <is>
          <t>83811</t>
        </is>
      </c>
      <c r="H351" t="inlineStr">
        <is>
          <t>Generated work or software support file</t>
        </is>
      </c>
      <c r="I351" t="inlineStr">
        <is>
          <t>Filename screened</t>
        </is>
      </c>
      <c r="J351" t="inlineStr">
        <is>
          <t>No owner production trial log found</t>
        </is>
      </c>
      <c r="K351" t="inlineStr">
        <is>
          <t>Not established / non-text</t>
        </is>
      </c>
      <c r="L351" t="inlineStr">
        <is>
          <t>No explicit version established; modified date is file metadata only</t>
        </is>
      </c>
      <c r="M351" t="inlineStr">
        <is>
          <t xml:space="preserve"> extracted pages/blocks/rows;  recipe keyword signals (not recipe count)</t>
        </is>
      </c>
    </row>
    <row r="352">
      <c r="B352" t="inlineStr">
        <is>
          <t>page-002.png</t>
        </is>
      </c>
      <c r="C352" t="inlineStr">
        <is>
          <t>E:\ohada saas\Focused projects\stoquify\what-next\bakery-booklet-2026-10-03\work\pages\page-002.png</t>
        </is>
      </c>
      <c r="D352" t="inlineStr">
        <is>
          <t>.png</t>
        </is>
      </c>
      <c r="E352" t="inlineStr">
        <is>
          <t>2026-10-03T15:02:20.427035+00:00</t>
        </is>
      </c>
      <c r="F352" t="inlineStr">
        <is>
          <t>151756</t>
        </is>
      </c>
      <c r="H352" t="inlineStr">
        <is>
          <t>Generated work or software support file</t>
        </is>
      </c>
      <c r="I352" t="inlineStr">
        <is>
          <t>Filename screened</t>
        </is>
      </c>
      <c r="J352" t="inlineStr">
        <is>
          <t>No owner production trial log found</t>
        </is>
      </c>
      <c r="K352" t="inlineStr">
        <is>
          <t>Not established / non-text</t>
        </is>
      </c>
      <c r="L352" t="inlineStr">
        <is>
          <t>No explicit version established; modified date is file metadata only</t>
        </is>
      </c>
      <c r="M352" t="inlineStr">
        <is>
          <t xml:space="preserve"> extracted pages/blocks/rows;  recipe keyword signals (not recipe count)</t>
        </is>
      </c>
    </row>
    <row r="353">
      <c r="B353" t="inlineStr">
        <is>
          <t>page-003.png</t>
        </is>
      </c>
      <c r="C353" t="inlineStr">
        <is>
          <t>E:\ohada saas\Focused projects\stoquify\what-next\bakery-booklet-2026-10-03\work\pages\page-003.png</t>
        </is>
      </c>
      <c r="D353" t="inlineStr">
        <is>
          <t>.png</t>
        </is>
      </c>
      <c r="E353" t="inlineStr">
        <is>
          <t>2026-10-03T15:02:20.604336+00:00</t>
        </is>
      </c>
      <c r="F353" t="inlineStr">
        <is>
          <t>162937</t>
        </is>
      </c>
      <c r="H353" t="inlineStr">
        <is>
          <t>Generated work or software support file</t>
        </is>
      </c>
      <c r="I353" t="inlineStr">
        <is>
          <t>Filename screened</t>
        </is>
      </c>
      <c r="J353" t="inlineStr">
        <is>
          <t>No owner production trial log found</t>
        </is>
      </c>
      <c r="K353" t="inlineStr">
        <is>
          <t>Not established / non-text</t>
        </is>
      </c>
      <c r="L353" t="inlineStr">
        <is>
          <t>No explicit version established; modified date is file metadata only</t>
        </is>
      </c>
      <c r="M353" t="inlineStr">
        <is>
          <t xml:space="preserve"> extracted pages/blocks/rows;  recipe keyword signals (not recipe count)</t>
        </is>
      </c>
    </row>
    <row r="354">
      <c r="B354" t="inlineStr">
        <is>
          <t>page-004.png</t>
        </is>
      </c>
      <c r="C354" t="inlineStr">
        <is>
          <t>E:\ohada saas\Focused projects\stoquify\what-next\bakery-booklet-2026-10-03\work\pages\page-004.png</t>
        </is>
      </c>
      <c r="D354" t="inlineStr">
        <is>
          <t>.png</t>
        </is>
      </c>
      <c r="E354" t="inlineStr">
        <is>
          <t>2026-10-03T15:02:20.765664+00:00</t>
        </is>
      </c>
      <c r="F354" t="inlineStr">
        <is>
          <t>180399</t>
        </is>
      </c>
      <c r="H354" t="inlineStr">
        <is>
          <t>Generated work or software support file</t>
        </is>
      </c>
      <c r="I354" t="inlineStr">
        <is>
          <t>Filename screened</t>
        </is>
      </c>
      <c r="J354" t="inlineStr">
        <is>
          <t>No owner production trial log found</t>
        </is>
      </c>
      <c r="K354" t="inlineStr">
        <is>
          <t>Not established / non-text</t>
        </is>
      </c>
      <c r="L354" t="inlineStr">
        <is>
          <t>No explicit version established; modified date is file metadata only</t>
        </is>
      </c>
      <c r="M354" t="inlineStr">
        <is>
          <t xml:space="preserve"> extracted pages/blocks/rows;  recipe keyword signals (not recipe count)</t>
        </is>
      </c>
    </row>
    <row r="355">
      <c r="B355" t="inlineStr">
        <is>
          <t>page-005.png</t>
        </is>
      </c>
      <c r="C355" t="inlineStr">
        <is>
          <t>E:\ohada saas\Focused projects\stoquify\what-next\bakery-booklet-2026-10-03\work\pages\page-005.png</t>
        </is>
      </c>
      <c r="D355" t="inlineStr">
        <is>
          <t>.png</t>
        </is>
      </c>
      <c r="E355" t="inlineStr">
        <is>
          <t>2026-10-03T15:02:20.941198+00:00</t>
        </is>
      </c>
      <c r="F355" t="inlineStr">
        <is>
          <t>172537</t>
        </is>
      </c>
      <c r="H355" t="inlineStr">
        <is>
          <t>Generated work or software support file</t>
        </is>
      </c>
      <c r="I355" t="inlineStr">
        <is>
          <t>Filename screened</t>
        </is>
      </c>
      <c r="J355" t="inlineStr">
        <is>
          <t>No owner production trial log found</t>
        </is>
      </c>
      <c r="K355" t="inlineStr">
        <is>
          <t>Not established / non-text</t>
        </is>
      </c>
      <c r="L355" t="inlineStr">
        <is>
          <t>No explicit version established; modified date is file metadata only</t>
        </is>
      </c>
      <c r="M355" t="inlineStr">
        <is>
          <t xml:space="preserve"> extracted pages/blocks/rows;  recipe keyword signals (not recipe count)</t>
        </is>
      </c>
    </row>
    <row r="356">
      <c r="B356" t="inlineStr">
        <is>
          <t>page-006.png</t>
        </is>
      </c>
      <c r="C356" t="inlineStr">
        <is>
          <t>E:\ohada saas\Focused projects\stoquify\what-next\bakery-booklet-2026-10-03\work\pages\page-006.png</t>
        </is>
      </c>
      <c r="D356" t="inlineStr">
        <is>
          <t>.png</t>
        </is>
      </c>
      <c r="E356" t="inlineStr">
        <is>
          <t>2026-10-03T15:02:21.140756+00:00</t>
        </is>
      </c>
      <c r="F356" t="inlineStr">
        <is>
          <t>157856</t>
        </is>
      </c>
      <c r="H356" t="inlineStr">
        <is>
          <t>Generated work or software support file</t>
        </is>
      </c>
      <c r="I356" t="inlineStr">
        <is>
          <t>Filename screened</t>
        </is>
      </c>
      <c r="J356" t="inlineStr">
        <is>
          <t>No owner production trial log found</t>
        </is>
      </c>
      <c r="K356" t="inlineStr">
        <is>
          <t>Not established / non-text</t>
        </is>
      </c>
      <c r="L356" t="inlineStr">
        <is>
          <t>No explicit version established; modified date is file metadata only</t>
        </is>
      </c>
      <c r="M356" t="inlineStr">
        <is>
          <t xml:space="preserve"> extracted pages/blocks/rows;  recipe keyword signals (not recipe count)</t>
        </is>
      </c>
    </row>
    <row r="357">
      <c r="B357" t="inlineStr">
        <is>
          <t>page-007.png</t>
        </is>
      </c>
      <c r="C357" t="inlineStr">
        <is>
          <t>E:\ohada saas\Focused projects\stoquify\what-next\bakery-booklet-2026-10-03\work\pages\page-007.png</t>
        </is>
      </c>
      <c r="D357" t="inlineStr">
        <is>
          <t>.png</t>
        </is>
      </c>
      <c r="E357" t="inlineStr">
        <is>
          <t>2026-10-03T15:02:21.329342+00:00</t>
        </is>
      </c>
      <c r="F357" t="inlineStr">
        <is>
          <t>132107</t>
        </is>
      </c>
      <c r="H357" t="inlineStr">
        <is>
          <t>Generated work or software support file</t>
        </is>
      </c>
      <c r="I357" t="inlineStr">
        <is>
          <t>Filename screened</t>
        </is>
      </c>
      <c r="J357" t="inlineStr">
        <is>
          <t>No owner production trial log found</t>
        </is>
      </c>
      <c r="K357" t="inlineStr">
        <is>
          <t>Not established / non-text</t>
        </is>
      </c>
      <c r="L357" t="inlineStr">
        <is>
          <t>No explicit version established; modified date is file metadata only</t>
        </is>
      </c>
      <c r="M357" t="inlineStr">
        <is>
          <t xml:space="preserve"> extracted pages/blocks/rows;  recipe keyword signals (not recipe count)</t>
        </is>
      </c>
    </row>
    <row r="358">
      <c r="B358" t="inlineStr">
        <is>
          <t>page-008.png</t>
        </is>
      </c>
      <c r="C358" t="inlineStr">
        <is>
          <t>E:\ohada saas\Focused projects\stoquify\what-next\bakery-booklet-2026-10-03\work\pages\page-008.png</t>
        </is>
      </c>
      <c r="D358" t="inlineStr">
        <is>
          <t>.png</t>
        </is>
      </c>
      <c r="E358" t="inlineStr">
        <is>
          <t>2026-10-03T15:02:21.508970+00:00</t>
        </is>
      </c>
      <c r="F358" t="inlineStr">
        <is>
          <t>226833</t>
        </is>
      </c>
      <c r="H358" t="inlineStr">
        <is>
          <t>Generated work or software support file</t>
        </is>
      </c>
      <c r="I358" t="inlineStr">
        <is>
          <t>Filename screened</t>
        </is>
      </c>
      <c r="J358" t="inlineStr">
        <is>
          <t>No owner production trial log found</t>
        </is>
      </c>
      <c r="K358" t="inlineStr">
        <is>
          <t>Not established / non-text</t>
        </is>
      </c>
      <c r="L358" t="inlineStr">
        <is>
          <t>No explicit version established; modified date is file metadata only</t>
        </is>
      </c>
      <c r="M358" t="inlineStr">
        <is>
          <t xml:space="preserve"> extracted pages/blocks/rows;  recipe keyword signals (not recipe count)</t>
        </is>
      </c>
    </row>
    <row r="359">
      <c r="B359" t="inlineStr">
        <is>
          <t>page-009.png</t>
        </is>
      </c>
      <c r="C359" t="inlineStr">
        <is>
          <t>E:\ohada saas\Focused projects\stoquify\what-next\bakery-booklet-2026-10-03\work\pages\page-009.png</t>
        </is>
      </c>
      <c r="D359" t="inlineStr">
        <is>
          <t>.png</t>
        </is>
      </c>
      <c r="E359" t="inlineStr">
        <is>
          <t>2026-10-03T15:02:21.727076+00:00</t>
        </is>
      </c>
      <c r="F359" t="inlineStr">
        <is>
          <t>319029</t>
        </is>
      </c>
      <c r="H359" t="inlineStr">
        <is>
          <t>Generated work or software support file</t>
        </is>
      </c>
      <c r="I359" t="inlineStr">
        <is>
          <t>Filename screened</t>
        </is>
      </c>
      <c r="J359" t="inlineStr">
        <is>
          <t>No owner production trial log found</t>
        </is>
      </c>
      <c r="K359" t="inlineStr">
        <is>
          <t>Not established / non-text</t>
        </is>
      </c>
      <c r="L359" t="inlineStr">
        <is>
          <t>No explicit version established; modified date is file metadata only</t>
        </is>
      </c>
      <c r="M359" t="inlineStr">
        <is>
          <t xml:space="preserve"> extracted pages/blocks/rows;  recipe keyword signals (not recipe count)</t>
        </is>
      </c>
    </row>
    <row r="360">
      <c r="B360" t="inlineStr">
        <is>
          <t>page-010.png</t>
        </is>
      </c>
      <c r="C360" t="inlineStr">
        <is>
          <t>E:\ohada saas\Focused projects\stoquify\what-next\bakery-booklet-2026-10-03\work\pages\page-010.png</t>
        </is>
      </c>
      <c r="D360" t="inlineStr">
        <is>
          <t>.png</t>
        </is>
      </c>
      <c r="E360" t="inlineStr">
        <is>
          <t>2026-10-03T15:02:21.945589+00:00</t>
        </is>
      </c>
      <c r="F360" t="inlineStr">
        <is>
          <t>303236</t>
        </is>
      </c>
      <c r="H360" t="inlineStr">
        <is>
          <t>Generated work or software support file</t>
        </is>
      </c>
      <c r="I360" t="inlineStr">
        <is>
          <t>Filename screened</t>
        </is>
      </c>
      <c r="J360" t="inlineStr">
        <is>
          <t>No owner production trial log found</t>
        </is>
      </c>
      <c r="K360" t="inlineStr">
        <is>
          <t>Not established / non-text</t>
        </is>
      </c>
      <c r="L360" t="inlineStr">
        <is>
          <t>No explicit version established; modified date is file metadata only</t>
        </is>
      </c>
      <c r="M360" t="inlineStr">
        <is>
          <t xml:space="preserve"> extracted pages/blocks/rows;  recipe keyword signals (not recipe count)</t>
        </is>
      </c>
    </row>
    <row r="361">
      <c r="B361" t="inlineStr">
        <is>
          <t>page-011.png</t>
        </is>
      </c>
      <c r="C361" t="inlineStr">
        <is>
          <t>E:\ohada saas\Focused projects\stoquify\what-next\bakery-booklet-2026-10-03\work\pages\page-011.png</t>
        </is>
      </c>
      <c r="D361" t="inlineStr">
        <is>
          <t>.png</t>
        </is>
      </c>
      <c r="E361" t="inlineStr">
        <is>
          <t>2026-10-03T15:02:22.165943+00:00</t>
        </is>
      </c>
      <c r="F361" t="inlineStr">
        <is>
          <t>214514</t>
        </is>
      </c>
      <c r="H361" t="inlineStr">
        <is>
          <t>Generated work or software support file</t>
        </is>
      </c>
      <c r="I361" t="inlineStr">
        <is>
          <t>Filename screened</t>
        </is>
      </c>
      <c r="J361" t="inlineStr">
        <is>
          <t>No owner production trial log found</t>
        </is>
      </c>
      <c r="K361" t="inlineStr">
        <is>
          <t>Not established / non-text</t>
        </is>
      </c>
      <c r="L361" t="inlineStr">
        <is>
          <t>No explicit version established; modified date is file metadata only</t>
        </is>
      </c>
      <c r="M361" t="inlineStr">
        <is>
          <t xml:space="preserve"> extracted pages/blocks/rows;  recipe keyword signals (not recipe count)</t>
        </is>
      </c>
    </row>
    <row r="362">
      <c r="B362" t="inlineStr">
        <is>
          <t>page-012.png</t>
        </is>
      </c>
      <c r="C362" t="inlineStr">
        <is>
          <t>E:\ohada saas\Focused projects\stoquify\what-next\bakery-booklet-2026-10-03\work\pages\page-012.png</t>
        </is>
      </c>
      <c r="D362" t="inlineStr">
        <is>
          <t>.png</t>
        </is>
      </c>
      <c r="E362" t="inlineStr">
        <is>
          <t>2026-10-03T15:02:22.479383+00:00</t>
        </is>
      </c>
      <c r="F362" t="inlineStr">
        <is>
          <t>200406</t>
        </is>
      </c>
      <c r="H362" t="inlineStr">
        <is>
          <t>Generated work or software support file</t>
        </is>
      </c>
      <c r="I362" t="inlineStr">
        <is>
          <t>Filename screened</t>
        </is>
      </c>
      <c r="J362" t="inlineStr">
        <is>
          <t>No owner production trial log found</t>
        </is>
      </c>
      <c r="K362" t="inlineStr">
        <is>
          <t>Not established / non-text</t>
        </is>
      </c>
      <c r="L362" t="inlineStr">
        <is>
          <t>No explicit version established; modified date is file metadata only</t>
        </is>
      </c>
      <c r="M362" t="inlineStr">
        <is>
          <t xml:space="preserve"> extracted pages/blocks/rows;  recipe keyword signals (not recipe count)</t>
        </is>
      </c>
    </row>
    <row r="363">
      <c r="B363" t="inlineStr">
        <is>
          <t>page-013.png</t>
        </is>
      </c>
      <c r="C363" t="inlineStr">
        <is>
          <t>E:\ohada saas\Focused projects\stoquify\what-next\bakery-booklet-2026-10-03\work\pages\page-013.png</t>
        </is>
      </c>
      <c r="D363" t="inlineStr">
        <is>
          <t>.png</t>
        </is>
      </c>
      <c r="E363" t="inlineStr">
        <is>
          <t>2026-10-03T15:02:22.668029+00:00</t>
        </is>
      </c>
      <c r="F363" t="inlineStr">
        <is>
          <t>232938</t>
        </is>
      </c>
      <c r="H363" t="inlineStr">
        <is>
          <t>Generated work or software support file</t>
        </is>
      </c>
      <c r="I363" t="inlineStr">
        <is>
          <t>Filename screened</t>
        </is>
      </c>
      <c r="J363" t="inlineStr">
        <is>
          <t>No owner production trial log found</t>
        </is>
      </c>
      <c r="K363" t="inlineStr">
        <is>
          <t>Not established / non-text</t>
        </is>
      </c>
      <c r="L363" t="inlineStr">
        <is>
          <t>No explicit version established; modified date is file metadata only</t>
        </is>
      </c>
      <c r="M363" t="inlineStr">
        <is>
          <t xml:space="preserve"> extracted pages/blocks/rows;  recipe keyword signals (not recipe count)</t>
        </is>
      </c>
    </row>
    <row r="364">
      <c r="B364" t="inlineStr">
        <is>
          <t>page-014.png</t>
        </is>
      </c>
      <c r="C364" t="inlineStr">
        <is>
          <t>E:\ohada saas\Focused projects\stoquify\what-next\bakery-booklet-2026-10-03\work\pages\page-014.png</t>
        </is>
      </c>
      <c r="D364" t="inlineStr">
        <is>
          <t>.png</t>
        </is>
      </c>
      <c r="E364" t="inlineStr">
        <is>
          <t>2026-10-03T15:02:22.832984+00:00</t>
        </is>
      </c>
      <c r="F364" t="inlineStr">
        <is>
          <t>199853</t>
        </is>
      </c>
      <c r="H364" t="inlineStr">
        <is>
          <t>Generated work or software support file</t>
        </is>
      </c>
      <c r="I364" t="inlineStr">
        <is>
          <t>Filename screened</t>
        </is>
      </c>
      <c r="J364" t="inlineStr">
        <is>
          <t>No owner production trial log found</t>
        </is>
      </c>
      <c r="K364" t="inlineStr">
        <is>
          <t>Not established / non-text</t>
        </is>
      </c>
      <c r="L364" t="inlineStr">
        <is>
          <t>No explicit version established; modified date is file metadata only</t>
        </is>
      </c>
      <c r="M364" t="inlineStr">
        <is>
          <t xml:space="preserve"> extracted pages/blocks/rows;  recipe keyword signals (not recipe count)</t>
        </is>
      </c>
    </row>
    <row r="365">
      <c r="B365" t="inlineStr">
        <is>
          <t>page-015.png</t>
        </is>
      </c>
      <c r="C365" t="inlineStr">
        <is>
          <t>E:\ohada saas\Focused projects\stoquify\what-next\bakery-booklet-2026-10-03\work\pages\page-015.png</t>
        </is>
      </c>
      <c r="D365" t="inlineStr">
        <is>
          <t>.png</t>
        </is>
      </c>
      <c r="E365" t="inlineStr">
        <is>
          <t>2026-10-03T15:02:23.001810+00:00</t>
        </is>
      </c>
      <c r="F365" t="inlineStr">
        <is>
          <t>230092</t>
        </is>
      </c>
      <c r="H365" t="inlineStr">
        <is>
          <t>Generated work or software support file</t>
        </is>
      </c>
      <c r="I365" t="inlineStr">
        <is>
          <t>Filename screened</t>
        </is>
      </c>
      <c r="J365" t="inlineStr">
        <is>
          <t>No owner production trial log found</t>
        </is>
      </c>
      <c r="K365" t="inlineStr">
        <is>
          <t>Not established / non-text</t>
        </is>
      </c>
      <c r="L365" t="inlineStr">
        <is>
          <t>No explicit version established; modified date is file metadata only</t>
        </is>
      </c>
      <c r="M365" t="inlineStr">
        <is>
          <t xml:space="preserve"> extracted pages/blocks/rows;  recipe keyword signals (not recipe count)</t>
        </is>
      </c>
    </row>
    <row r="366">
      <c r="B366" t="inlineStr">
        <is>
          <t>page-016.png</t>
        </is>
      </c>
      <c r="C366" t="inlineStr">
        <is>
          <t>E:\ohada saas\Focused projects\stoquify\what-next\bakery-booklet-2026-10-03\work\pages\page-016.png</t>
        </is>
      </c>
      <c r="D366" t="inlineStr">
        <is>
          <t>.png</t>
        </is>
      </c>
      <c r="E366" t="inlineStr">
        <is>
          <t>2026-10-03T15:02:23.212303+00:00</t>
        </is>
      </c>
      <c r="F366" t="inlineStr">
        <is>
          <t>180252</t>
        </is>
      </c>
      <c r="H366" t="inlineStr">
        <is>
          <t>Generated work or software support file</t>
        </is>
      </c>
      <c r="I366" t="inlineStr">
        <is>
          <t>Filename screened</t>
        </is>
      </c>
      <c r="J366" t="inlineStr">
        <is>
          <t>No owner production trial log found</t>
        </is>
      </c>
      <c r="K366" t="inlineStr">
        <is>
          <t>Not established / non-text</t>
        </is>
      </c>
      <c r="L366" t="inlineStr">
        <is>
          <t>No explicit version established; modified date is file metadata only</t>
        </is>
      </c>
      <c r="M366" t="inlineStr">
        <is>
          <t xml:space="preserve"> extracted pages/blocks/rows;  recipe keyword signals (not recipe count)</t>
        </is>
      </c>
    </row>
    <row r="367">
      <c r="B367" t="inlineStr">
        <is>
          <t>page-017.png</t>
        </is>
      </c>
      <c r="C367" t="inlineStr">
        <is>
          <t>E:\ohada saas\Focused projects\stoquify\what-next\bakery-booklet-2026-10-03\work\pages\page-017.png</t>
        </is>
      </c>
      <c r="D367" t="inlineStr">
        <is>
          <t>.png</t>
        </is>
      </c>
      <c r="E367" t="inlineStr">
        <is>
          <t>2026-10-03T15:02:23.376283+00:00</t>
        </is>
      </c>
      <c r="F367" t="inlineStr">
        <is>
          <t>176177</t>
        </is>
      </c>
      <c r="H367" t="inlineStr">
        <is>
          <t>Generated work or software support file</t>
        </is>
      </c>
      <c r="I367" t="inlineStr">
        <is>
          <t>Filename screened</t>
        </is>
      </c>
      <c r="J367" t="inlineStr">
        <is>
          <t>No owner production trial log found</t>
        </is>
      </c>
      <c r="K367" t="inlineStr">
        <is>
          <t>Not established / non-text</t>
        </is>
      </c>
      <c r="L367" t="inlineStr">
        <is>
          <t>No explicit version established; modified date is file metadata only</t>
        </is>
      </c>
      <c r="M367" t="inlineStr">
        <is>
          <t xml:space="preserve"> extracted pages/blocks/rows;  recipe keyword signals (not recipe count)</t>
        </is>
      </c>
    </row>
    <row r="368">
      <c r="B368" t="inlineStr">
        <is>
          <t>page-018.png</t>
        </is>
      </c>
      <c r="C368" t="inlineStr">
        <is>
          <t>E:\ohada saas\Focused projects\stoquify\what-next\bakery-booklet-2026-10-03\work\pages\page-018.png</t>
        </is>
      </c>
      <c r="D368" t="inlineStr">
        <is>
          <t>.png</t>
        </is>
      </c>
      <c r="E368" t="inlineStr">
        <is>
          <t>2026-10-03T15:02:23.538325+00:00</t>
        </is>
      </c>
      <c r="F368" t="inlineStr">
        <is>
          <t>148594</t>
        </is>
      </c>
      <c r="H368" t="inlineStr">
        <is>
          <t>Generated work or software support file</t>
        </is>
      </c>
      <c r="I368" t="inlineStr">
        <is>
          <t>Filename screened</t>
        </is>
      </c>
      <c r="J368" t="inlineStr">
        <is>
          <t>No owner production trial log found</t>
        </is>
      </c>
      <c r="K368" t="inlineStr">
        <is>
          <t>Not established / non-text</t>
        </is>
      </c>
      <c r="L368" t="inlineStr">
        <is>
          <t>No explicit version established; modified date is file metadata only</t>
        </is>
      </c>
      <c r="M368" t="inlineStr">
        <is>
          <t xml:space="preserve"> extracted pages/blocks/rows;  recipe keyword signals (not recipe count)</t>
        </is>
      </c>
    </row>
    <row r="369">
      <c r="B369" t="inlineStr">
        <is>
          <t>page-019.png</t>
        </is>
      </c>
      <c r="C369" t="inlineStr">
        <is>
          <t>E:\ohada saas\Focused projects\stoquify\what-next\bakery-booklet-2026-10-03\work\pages\page-019.png</t>
        </is>
      </c>
      <c r="D369" t="inlineStr">
        <is>
          <t>.png</t>
        </is>
      </c>
      <c r="E369" t="inlineStr">
        <is>
          <t>2026-10-03T15:02:23.691949+00:00</t>
        </is>
      </c>
      <c r="F369" t="inlineStr">
        <is>
          <t>177505</t>
        </is>
      </c>
      <c r="H369" t="inlineStr">
        <is>
          <t>Generated work or software support file</t>
        </is>
      </c>
      <c r="I369" t="inlineStr">
        <is>
          <t>Filename screened</t>
        </is>
      </c>
      <c r="J369" t="inlineStr">
        <is>
          <t>No owner production trial log found</t>
        </is>
      </c>
      <c r="K369" t="inlineStr">
        <is>
          <t>Not established / non-text</t>
        </is>
      </c>
      <c r="L369" t="inlineStr">
        <is>
          <t>No explicit version established; modified date is file metadata only</t>
        </is>
      </c>
      <c r="M369" t="inlineStr">
        <is>
          <t xml:space="preserve"> extracted pages/blocks/rows;  recipe keyword signals (not recipe count)</t>
        </is>
      </c>
    </row>
    <row r="370">
      <c r="B370" t="inlineStr">
        <is>
          <t>page-020.png</t>
        </is>
      </c>
      <c r="C370" t="inlineStr">
        <is>
          <t>E:\ohada saas\Focused projects\stoquify\what-next\bakery-booklet-2026-10-03\work\pages\page-020.png</t>
        </is>
      </c>
      <c r="D370" t="inlineStr">
        <is>
          <t>.png</t>
        </is>
      </c>
      <c r="E370" t="inlineStr">
        <is>
          <t>2026-10-03T15:02:23.969013+00:00</t>
        </is>
      </c>
      <c r="F370" t="inlineStr">
        <is>
          <t>171255</t>
        </is>
      </c>
      <c r="H370" t="inlineStr">
        <is>
          <t>Generated work or software support file</t>
        </is>
      </c>
      <c r="I370" t="inlineStr">
        <is>
          <t>Filename screened</t>
        </is>
      </c>
      <c r="J370" t="inlineStr">
        <is>
          <t>No owner production trial log found</t>
        </is>
      </c>
      <c r="K370" t="inlineStr">
        <is>
          <t>Not established / non-text</t>
        </is>
      </c>
      <c r="L370" t="inlineStr">
        <is>
          <t>No explicit version established; modified date is file metadata only</t>
        </is>
      </c>
      <c r="M370" t="inlineStr">
        <is>
          <t xml:space="preserve"> extracted pages/blocks/rows;  recipe keyword signals (not recipe count)</t>
        </is>
      </c>
    </row>
    <row r="371">
      <c r="B371" t="inlineStr">
        <is>
          <t>page-021.png</t>
        </is>
      </c>
      <c r="C371" t="inlineStr">
        <is>
          <t>E:\ohada saas\Focused projects\stoquify\what-next\bakery-booklet-2026-10-03\work\pages\page-021.png</t>
        </is>
      </c>
      <c r="D371" t="inlineStr">
        <is>
          <t>.png</t>
        </is>
      </c>
      <c r="E371" t="inlineStr">
        <is>
          <t>2026-10-03T15:02:24.134953+00:00</t>
        </is>
      </c>
      <c r="F371" t="inlineStr">
        <is>
          <t>129729</t>
        </is>
      </c>
      <c r="H371" t="inlineStr">
        <is>
          <t>Generated work or software support file</t>
        </is>
      </c>
      <c r="I371" t="inlineStr">
        <is>
          <t>Filename screened</t>
        </is>
      </c>
      <c r="J371" t="inlineStr">
        <is>
          <t>No owner production trial log found</t>
        </is>
      </c>
      <c r="K371" t="inlineStr">
        <is>
          <t>Not established / non-text</t>
        </is>
      </c>
      <c r="L371" t="inlineStr">
        <is>
          <t>No explicit version established; modified date is file metadata only</t>
        </is>
      </c>
      <c r="M371" t="inlineStr">
        <is>
          <t xml:space="preserve"> extracted pages/blocks/rows;  recipe keyword signals (not recipe count)</t>
        </is>
      </c>
    </row>
    <row r="372">
      <c r="B372" t="inlineStr">
        <is>
          <t>page-022.png</t>
        </is>
      </c>
      <c r="C372" t="inlineStr">
        <is>
          <t>E:\ohada saas\Focused projects\stoquify\what-next\bakery-booklet-2026-10-03\work\pages\page-022.png</t>
        </is>
      </c>
      <c r="D372" t="inlineStr">
        <is>
          <t>.png</t>
        </is>
      </c>
      <c r="E372" t="inlineStr">
        <is>
          <t>2026-10-03T15:02:24.312109+00:00</t>
        </is>
      </c>
      <c r="F372" t="inlineStr">
        <is>
          <t>153270</t>
        </is>
      </c>
      <c r="H372" t="inlineStr">
        <is>
          <t>Generated work or software support file</t>
        </is>
      </c>
      <c r="I372" t="inlineStr">
        <is>
          <t>Filename screened</t>
        </is>
      </c>
      <c r="J372" t="inlineStr">
        <is>
          <t>No owner production trial log found</t>
        </is>
      </c>
      <c r="K372" t="inlineStr">
        <is>
          <t>Not established / non-text</t>
        </is>
      </c>
      <c r="L372" t="inlineStr">
        <is>
          <t>No explicit version established; modified date is file metadata only</t>
        </is>
      </c>
      <c r="M372" t="inlineStr">
        <is>
          <t xml:space="preserve"> extracted pages/blocks/rows;  recipe keyword signals (not recipe count)</t>
        </is>
      </c>
    </row>
    <row r="373">
      <c r="B373" t="inlineStr">
        <is>
          <t>page-023.png</t>
        </is>
      </c>
      <c r="C373" t="inlineStr">
        <is>
          <t>E:\ohada saas\Focused projects\stoquify\what-next\bakery-booklet-2026-10-03\work\pages\page-023.png</t>
        </is>
      </c>
      <c r="D373" t="inlineStr">
        <is>
          <t>.png</t>
        </is>
      </c>
      <c r="E373" t="inlineStr">
        <is>
          <t>2026-10-03T15:02:24.444762+00:00</t>
        </is>
      </c>
      <c r="F373" t="inlineStr">
        <is>
          <t>142825</t>
        </is>
      </c>
      <c r="H373" t="inlineStr">
        <is>
          <t>Generated work or software support file</t>
        </is>
      </c>
      <c r="I373" t="inlineStr">
        <is>
          <t>Filename screened</t>
        </is>
      </c>
      <c r="J373" t="inlineStr">
        <is>
          <t>No owner production trial log found</t>
        </is>
      </c>
      <c r="K373" t="inlineStr">
        <is>
          <t>Not established / non-text</t>
        </is>
      </c>
      <c r="L373" t="inlineStr">
        <is>
          <t>No explicit version established; modified date is file metadata only</t>
        </is>
      </c>
      <c r="M373" t="inlineStr">
        <is>
          <t xml:space="preserve"> extracted pages/blocks/rows;  recipe keyword signals (not recipe count)</t>
        </is>
      </c>
    </row>
    <row r="374">
      <c r="B374" t="inlineStr">
        <is>
          <t>page-024.png</t>
        </is>
      </c>
      <c r="C374" t="inlineStr">
        <is>
          <t>E:\ohada saas\Focused projects\stoquify\what-next\bakery-booklet-2026-10-03\work\pages\page-024.png</t>
        </is>
      </c>
      <c r="D374" t="inlineStr">
        <is>
          <t>.png</t>
        </is>
      </c>
      <c r="E374" t="inlineStr">
        <is>
          <t>2026-10-03T15:02:24.604596+00:00</t>
        </is>
      </c>
      <c r="F374" t="inlineStr">
        <is>
          <t>166543</t>
        </is>
      </c>
      <c r="H374" t="inlineStr">
        <is>
          <t>Generated work or software support file</t>
        </is>
      </c>
      <c r="I374" t="inlineStr">
        <is>
          <t>Filename screened</t>
        </is>
      </c>
      <c r="J374" t="inlineStr">
        <is>
          <t>No owner production trial log found</t>
        </is>
      </c>
      <c r="K374" t="inlineStr">
        <is>
          <t>Not established / non-text</t>
        </is>
      </c>
      <c r="L374" t="inlineStr">
        <is>
          <t>No explicit version established; modified date is file metadata only</t>
        </is>
      </c>
      <c r="M374" t="inlineStr">
        <is>
          <t xml:space="preserve"> extracted pages/blocks/rows;  recipe keyword signals (not recipe count)</t>
        </is>
      </c>
    </row>
    <row r="375">
      <c r="B375" t="inlineStr">
        <is>
          <t>page-025.png</t>
        </is>
      </c>
      <c r="C375" t="inlineStr">
        <is>
          <t>E:\ohada saas\Focused projects\stoquify\what-next\bakery-booklet-2026-10-03\work\pages\page-025.png</t>
        </is>
      </c>
      <c r="D375" t="inlineStr">
        <is>
          <t>.png</t>
        </is>
      </c>
      <c r="E375" t="inlineStr">
        <is>
          <t>2026-10-03T15:02:24.733203+00:00</t>
        </is>
      </c>
      <c r="F375" t="inlineStr">
        <is>
          <t>160378</t>
        </is>
      </c>
      <c r="H375" t="inlineStr">
        <is>
          <t>Generated work or software support file</t>
        </is>
      </c>
      <c r="I375" t="inlineStr">
        <is>
          <t>Filename screened</t>
        </is>
      </c>
      <c r="J375" t="inlineStr">
        <is>
          <t>No owner production trial log found</t>
        </is>
      </c>
      <c r="K375" t="inlineStr">
        <is>
          <t>Not established / non-text</t>
        </is>
      </c>
      <c r="L375" t="inlineStr">
        <is>
          <t>No explicit version established; modified date is file metadata only</t>
        </is>
      </c>
      <c r="M375" t="inlineStr">
        <is>
          <t xml:space="preserve"> extracted pages/blocks/rows;  recipe keyword signals (not recipe count)</t>
        </is>
      </c>
    </row>
    <row r="376">
      <c r="B376" t="inlineStr">
        <is>
          <t>page-026.png</t>
        </is>
      </c>
      <c r="C376" t="inlineStr">
        <is>
          <t>E:\ohada saas\Focused projects\stoquify\what-next\bakery-booklet-2026-10-03\work\pages\page-026.png</t>
        </is>
      </c>
      <c r="D376" t="inlineStr">
        <is>
          <t>.png</t>
        </is>
      </c>
      <c r="E376" t="inlineStr">
        <is>
          <t>2026-10-03T15:02:24.865839+00:00</t>
        </is>
      </c>
      <c r="F376" t="inlineStr">
        <is>
          <t>148282</t>
        </is>
      </c>
      <c r="H376" t="inlineStr">
        <is>
          <t>Generated work or software support file</t>
        </is>
      </c>
      <c r="I376" t="inlineStr">
        <is>
          <t>Filename screened</t>
        </is>
      </c>
      <c r="J376" t="inlineStr">
        <is>
          <t>No owner production trial log found</t>
        </is>
      </c>
      <c r="K376" t="inlineStr">
        <is>
          <t>Not established / non-text</t>
        </is>
      </c>
      <c r="L376" t="inlineStr">
        <is>
          <t>No explicit version established; modified date is file metadata only</t>
        </is>
      </c>
      <c r="M376" t="inlineStr">
        <is>
          <t xml:space="preserve"> extracted pages/blocks/rows;  recipe keyword signals (not recipe count)</t>
        </is>
      </c>
    </row>
    <row r="377">
      <c r="B377" t="inlineStr">
        <is>
          <t>page-027.png</t>
        </is>
      </c>
      <c r="C377" t="inlineStr">
        <is>
          <t>E:\ohada saas\Focused projects\stoquify\what-next\bakery-booklet-2026-10-03\work\pages\page-027.png</t>
        </is>
      </c>
      <c r="D377" t="inlineStr">
        <is>
          <t>.png</t>
        </is>
      </c>
      <c r="E377" t="inlineStr">
        <is>
          <t>2026-10-03T15:02:24.994983+00:00</t>
        </is>
      </c>
      <c r="F377" t="inlineStr">
        <is>
          <t>168965</t>
        </is>
      </c>
      <c r="H377" t="inlineStr">
        <is>
          <t>Generated work or software support file</t>
        </is>
      </c>
      <c r="I377" t="inlineStr">
        <is>
          <t>Filename screened</t>
        </is>
      </c>
      <c r="J377" t="inlineStr">
        <is>
          <t>No owner production trial log found</t>
        </is>
      </c>
      <c r="K377" t="inlineStr">
        <is>
          <t>Not established / non-text</t>
        </is>
      </c>
      <c r="L377" t="inlineStr">
        <is>
          <t>No explicit version established; modified date is file metadata only</t>
        </is>
      </c>
      <c r="M377" t="inlineStr">
        <is>
          <t xml:space="preserve"> extracted pages/blocks/rows;  recipe keyword signals (not recipe count)</t>
        </is>
      </c>
    </row>
    <row r="378">
      <c r="B378" t="inlineStr">
        <is>
          <t>page-028.png</t>
        </is>
      </c>
      <c r="C378" t="inlineStr">
        <is>
          <t>E:\ohada saas\Focused projects\stoquify\what-next\bakery-booklet-2026-10-03\work\pages\page-028.png</t>
        </is>
      </c>
      <c r="D378" t="inlineStr">
        <is>
          <t>.png</t>
        </is>
      </c>
      <c r="E378" t="inlineStr">
        <is>
          <t>2026-10-03T15:02:25.150534+00:00</t>
        </is>
      </c>
      <c r="F378" t="inlineStr">
        <is>
          <t>163552</t>
        </is>
      </c>
      <c r="H378" t="inlineStr">
        <is>
          <t>Generated work or software support file</t>
        </is>
      </c>
      <c r="I378" t="inlineStr">
        <is>
          <t>Filename screened</t>
        </is>
      </c>
      <c r="J378" t="inlineStr">
        <is>
          <t>No owner production trial log found</t>
        </is>
      </c>
      <c r="K378" t="inlineStr">
        <is>
          <t>Not established / non-text</t>
        </is>
      </c>
      <c r="L378" t="inlineStr">
        <is>
          <t>No explicit version established; modified date is file metadata only</t>
        </is>
      </c>
      <c r="M378" t="inlineStr">
        <is>
          <t xml:space="preserve"> extracted pages/blocks/rows;  recipe keyword signals (not recipe count)</t>
        </is>
      </c>
    </row>
    <row r="379">
      <c r="B379" t="inlineStr">
        <is>
          <t>page-029.png</t>
        </is>
      </c>
      <c r="C379" t="inlineStr">
        <is>
          <t>E:\ohada saas\Focused projects\stoquify\what-next\bakery-booklet-2026-10-03\work\pages\page-029.png</t>
        </is>
      </c>
      <c r="D379" t="inlineStr">
        <is>
          <t>.png</t>
        </is>
      </c>
      <c r="E379" t="inlineStr">
        <is>
          <t>2026-10-03T15:02:25.380761+00:00</t>
        </is>
      </c>
      <c r="F379" t="inlineStr">
        <is>
          <t>172991</t>
        </is>
      </c>
      <c r="H379" t="inlineStr">
        <is>
          <t>Generated work or software support file</t>
        </is>
      </c>
      <c r="I379" t="inlineStr">
        <is>
          <t>Filename screened</t>
        </is>
      </c>
      <c r="J379" t="inlineStr">
        <is>
          <t>No owner production trial log found</t>
        </is>
      </c>
      <c r="K379" t="inlineStr">
        <is>
          <t>Not established / non-text</t>
        </is>
      </c>
      <c r="L379" t="inlineStr">
        <is>
          <t>No explicit version established; modified date is file metadata only</t>
        </is>
      </c>
      <c r="M379" t="inlineStr">
        <is>
          <t xml:space="preserve"> extracted pages/blocks/rows;  recipe keyword signals (not recipe count)</t>
        </is>
      </c>
    </row>
    <row r="380">
      <c r="B380" t="inlineStr">
        <is>
          <t>page-030.png</t>
        </is>
      </c>
      <c r="C380" t="inlineStr">
        <is>
          <t>E:\ohada saas\Focused projects\stoquify\what-next\bakery-booklet-2026-10-03\work\pages\page-030.png</t>
        </is>
      </c>
      <c r="D380" t="inlineStr">
        <is>
          <t>.png</t>
        </is>
      </c>
      <c r="E380" t="inlineStr">
        <is>
          <t>2026-10-03T15:02:25.508231+00:00</t>
        </is>
      </c>
      <c r="F380" t="inlineStr">
        <is>
          <t>187171</t>
        </is>
      </c>
      <c r="H380" t="inlineStr">
        <is>
          <t>Generated work or software support file</t>
        </is>
      </c>
      <c r="I380" t="inlineStr">
        <is>
          <t>Filename screened</t>
        </is>
      </c>
      <c r="J380" t="inlineStr">
        <is>
          <t>No owner production trial log found</t>
        </is>
      </c>
      <c r="K380" t="inlineStr">
        <is>
          <t>Not established / non-text</t>
        </is>
      </c>
      <c r="L380" t="inlineStr">
        <is>
          <t>No explicit version established; modified date is file metadata only</t>
        </is>
      </c>
      <c r="M380" t="inlineStr">
        <is>
          <t xml:space="preserve"> extracted pages/blocks/rows;  recipe keyword signals (not recipe count)</t>
        </is>
      </c>
    </row>
    <row r="381">
      <c r="B381" t="inlineStr">
        <is>
          <t>page-031.png</t>
        </is>
      </c>
      <c r="C381" t="inlineStr">
        <is>
          <t>E:\ohada saas\Focused projects\stoquify\what-next\bakery-booklet-2026-10-03\work\pages\page-031.png</t>
        </is>
      </c>
      <c r="D381" t="inlineStr">
        <is>
          <t>.png</t>
        </is>
      </c>
      <c r="E381" t="inlineStr">
        <is>
          <t>2026-10-03T15:02:25.618703+00:00</t>
        </is>
      </c>
      <c r="F381" t="inlineStr">
        <is>
          <t>144492</t>
        </is>
      </c>
      <c r="H381" t="inlineStr">
        <is>
          <t>Generated work or software support file</t>
        </is>
      </c>
      <c r="I381" t="inlineStr">
        <is>
          <t>Filename screened</t>
        </is>
      </c>
      <c r="J381" t="inlineStr">
        <is>
          <t>No owner production trial log found</t>
        </is>
      </c>
      <c r="K381" t="inlineStr">
        <is>
          <t>Not established / non-text</t>
        </is>
      </c>
      <c r="L381" t="inlineStr">
        <is>
          <t>No explicit version established; modified date is file metadata only</t>
        </is>
      </c>
      <c r="M381" t="inlineStr">
        <is>
          <t xml:space="preserve"> extracted pages/blocks/rows;  recipe keyword signals (not recipe count)</t>
        </is>
      </c>
    </row>
    <row r="382">
      <c r="B382" t="inlineStr">
        <is>
          <t>page-032.png</t>
        </is>
      </c>
      <c r="C382" t="inlineStr">
        <is>
          <t>E:\ohada saas\Focused projects\stoquify\what-next\bakery-booklet-2026-10-03\work\pages\page-032.png</t>
        </is>
      </c>
      <c r="D382" t="inlineStr">
        <is>
          <t>.png</t>
        </is>
      </c>
      <c r="E382" t="inlineStr">
        <is>
          <t>2026-10-03T15:02:25.740555+00:00</t>
        </is>
      </c>
      <c r="F382" t="inlineStr">
        <is>
          <t>162014</t>
        </is>
      </c>
      <c r="H382" t="inlineStr">
        <is>
          <t>Generated work or software support file</t>
        </is>
      </c>
      <c r="I382" t="inlineStr">
        <is>
          <t>Filename screened</t>
        </is>
      </c>
      <c r="J382" t="inlineStr">
        <is>
          <t>No owner production trial log found</t>
        </is>
      </c>
      <c r="K382" t="inlineStr">
        <is>
          <t>Not established / non-text</t>
        </is>
      </c>
      <c r="L382" t="inlineStr">
        <is>
          <t>No explicit version established; modified date is file metadata only</t>
        </is>
      </c>
      <c r="M382" t="inlineStr">
        <is>
          <t xml:space="preserve"> extracted pages/blocks/rows;  recipe keyword signals (not recipe count)</t>
        </is>
      </c>
    </row>
    <row r="383">
      <c r="B383" t="inlineStr">
        <is>
          <t>page-033.png</t>
        </is>
      </c>
      <c r="C383" t="inlineStr">
        <is>
          <t>E:\ohada saas\Focused projects\stoquify\what-next\bakery-booklet-2026-10-03\work\pages\page-033.png</t>
        </is>
      </c>
      <c r="D383" t="inlineStr">
        <is>
          <t>.png</t>
        </is>
      </c>
      <c r="E383" t="inlineStr">
        <is>
          <t>2026-10-03T15:02:25.874231+00:00</t>
        </is>
      </c>
      <c r="F383" t="inlineStr">
        <is>
          <t>161395</t>
        </is>
      </c>
      <c r="H383" t="inlineStr">
        <is>
          <t>Generated work or software support file</t>
        </is>
      </c>
      <c r="I383" t="inlineStr">
        <is>
          <t>Filename screened</t>
        </is>
      </c>
      <c r="J383" t="inlineStr">
        <is>
          <t>No owner production trial log found</t>
        </is>
      </c>
      <c r="K383" t="inlineStr">
        <is>
          <t>Not established / non-text</t>
        </is>
      </c>
      <c r="L383" t="inlineStr">
        <is>
          <t>No explicit version established; modified date is file metadata only</t>
        </is>
      </c>
      <c r="M383" t="inlineStr">
        <is>
          <t xml:space="preserve"> extracted pages/blocks/rows;  recipe keyword signals (not recipe count)</t>
        </is>
      </c>
    </row>
    <row r="384">
      <c r="B384" t="inlineStr">
        <is>
          <t>page-034.png</t>
        </is>
      </c>
      <c r="C384" t="inlineStr">
        <is>
          <t>E:\ohada saas\Focused projects\stoquify\what-next\bakery-booklet-2026-10-03\work\pages\page-034.png</t>
        </is>
      </c>
      <c r="D384" t="inlineStr">
        <is>
          <t>.png</t>
        </is>
      </c>
      <c r="E384" t="inlineStr">
        <is>
          <t>2026-10-03T15:02:26.005169+00:00</t>
        </is>
      </c>
      <c r="F384" t="inlineStr">
        <is>
          <t>172185</t>
        </is>
      </c>
      <c r="H384" t="inlineStr">
        <is>
          <t>Generated work or software support file</t>
        </is>
      </c>
      <c r="I384" t="inlineStr">
        <is>
          <t>Filename screened</t>
        </is>
      </c>
      <c r="J384" t="inlineStr">
        <is>
          <t>No owner production trial log found</t>
        </is>
      </c>
      <c r="K384" t="inlineStr">
        <is>
          <t>Not established / non-text</t>
        </is>
      </c>
      <c r="L384" t="inlineStr">
        <is>
          <t>No explicit version established; modified date is file metadata only</t>
        </is>
      </c>
      <c r="M384" t="inlineStr">
        <is>
          <t xml:space="preserve"> extracted pages/blocks/rows;  recipe keyword signals (not recipe count)</t>
        </is>
      </c>
    </row>
    <row r="385">
      <c r="B385" t="inlineStr">
        <is>
          <t>page-035.png</t>
        </is>
      </c>
      <c r="C385" t="inlineStr">
        <is>
          <t>E:\ohada saas\Focused projects\stoquify\what-next\bakery-booklet-2026-10-03\work\pages\page-035.png</t>
        </is>
      </c>
      <c r="D385" t="inlineStr">
        <is>
          <t>.png</t>
        </is>
      </c>
      <c r="E385" t="inlineStr">
        <is>
          <t>2026-10-03T15:02:26.180590+00:00</t>
        </is>
      </c>
      <c r="F385" t="inlineStr">
        <is>
          <t>163989</t>
        </is>
      </c>
      <c r="H385" t="inlineStr">
        <is>
          <t>Generated work or software support file</t>
        </is>
      </c>
      <c r="I385" t="inlineStr">
        <is>
          <t>Filename screened</t>
        </is>
      </c>
      <c r="J385" t="inlineStr">
        <is>
          <t>No owner production trial log found</t>
        </is>
      </c>
      <c r="K385" t="inlineStr">
        <is>
          <t>Not established / non-text</t>
        </is>
      </c>
      <c r="L385" t="inlineStr">
        <is>
          <t>No explicit version established; modified date is file metadata only</t>
        </is>
      </c>
      <c r="M385" t="inlineStr">
        <is>
          <t xml:space="preserve"> extracted pages/blocks/rows;  recipe keyword signals (not recipe count)</t>
        </is>
      </c>
    </row>
    <row r="386">
      <c r="B386" t="inlineStr">
        <is>
          <t>page-036.png</t>
        </is>
      </c>
      <c r="C386" t="inlineStr">
        <is>
          <t>E:\ohada saas\Focused projects\stoquify\what-next\bakery-booklet-2026-10-03\work\pages\page-036.png</t>
        </is>
      </c>
      <c r="D386" t="inlineStr">
        <is>
          <t>.png</t>
        </is>
      </c>
      <c r="E386" t="inlineStr">
        <is>
          <t>2026-10-03T15:02:26.344233+00:00</t>
        </is>
      </c>
      <c r="F386" t="inlineStr">
        <is>
          <t>152978</t>
        </is>
      </c>
      <c r="H386" t="inlineStr">
        <is>
          <t>Generated work or software support file</t>
        </is>
      </c>
      <c r="I386" t="inlineStr">
        <is>
          <t>Filename screened</t>
        </is>
      </c>
      <c r="J386" t="inlineStr">
        <is>
          <t>No owner production trial log found</t>
        </is>
      </c>
      <c r="K386" t="inlineStr">
        <is>
          <t>Not established / non-text</t>
        </is>
      </c>
      <c r="L386" t="inlineStr">
        <is>
          <t>No explicit version established; modified date is file metadata only</t>
        </is>
      </c>
      <c r="M386" t="inlineStr">
        <is>
          <t xml:space="preserve"> extracted pages/blocks/rows;  recipe keyword signals (not recipe count)</t>
        </is>
      </c>
    </row>
    <row r="387">
      <c r="B387" t="inlineStr">
        <is>
          <t>page-037.png</t>
        </is>
      </c>
      <c r="C387" t="inlineStr">
        <is>
          <t>E:\ohada saas\Focused projects\stoquify\what-next\bakery-booklet-2026-10-03\work\pages\page-037.png</t>
        </is>
      </c>
      <c r="D387" t="inlineStr">
        <is>
          <t>.png</t>
        </is>
      </c>
      <c r="E387" t="inlineStr">
        <is>
          <t>2026-10-03T15:02:26.505960+00:00</t>
        </is>
      </c>
      <c r="F387" t="inlineStr">
        <is>
          <t>173340</t>
        </is>
      </c>
      <c r="H387" t="inlineStr">
        <is>
          <t>Generated work or software support file</t>
        </is>
      </c>
      <c r="I387" t="inlineStr">
        <is>
          <t>Filename screened</t>
        </is>
      </c>
      <c r="J387" t="inlineStr">
        <is>
          <t>No owner production trial log found</t>
        </is>
      </c>
      <c r="K387" t="inlineStr">
        <is>
          <t>Not established / non-text</t>
        </is>
      </c>
      <c r="L387" t="inlineStr">
        <is>
          <t>No explicit version established; modified date is file metadata only</t>
        </is>
      </c>
      <c r="M387" t="inlineStr">
        <is>
          <t xml:space="preserve"> extracted pages/blocks/rows;  recipe keyword signals (not recipe count)</t>
        </is>
      </c>
    </row>
    <row r="388">
      <c r="B388" t="inlineStr">
        <is>
          <t>page-038.png</t>
        </is>
      </c>
      <c r="C388" t="inlineStr">
        <is>
          <t>E:\ohada saas\Focused projects\stoquify\what-next\bakery-booklet-2026-10-03\work\pages\page-038.png</t>
        </is>
      </c>
      <c r="D388" t="inlineStr">
        <is>
          <t>.png</t>
        </is>
      </c>
      <c r="E388" t="inlineStr">
        <is>
          <t>2026-10-03T15:02:26.748558+00:00</t>
        </is>
      </c>
      <c r="F388" t="inlineStr">
        <is>
          <t>174818</t>
        </is>
      </c>
      <c r="H388" t="inlineStr">
        <is>
          <t>Generated work or software support file</t>
        </is>
      </c>
      <c r="I388" t="inlineStr">
        <is>
          <t>Filename screened</t>
        </is>
      </c>
      <c r="J388" t="inlineStr">
        <is>
          <t>No owner production trial log found</t>
        </is>
      </c>
      <c r="K388" t="inlineStr">
        <is>
          <t>Not established / non-text</t>
        </is>
      </c>
      <c r="L388" t="inlineStr">
        <is>
          <t>No explicit version established; modified date is file metadata only</t>
        </is>
      </c>
      <c r="M388" t="inlineStr">
        <is>
          <t xml:space="preserve"> extracted pages/blocks/rows;  recipe keyword signals (not recipe count)</t>
        </is>
      </c>
    </row>
    <row r="389">
      <c r="B389" t="inlineStr">
        <is>
          <t>page-039.png</t>
        </is>
      </c>
      <c r="C389" t="inlineStr">
        <is>
          <t>E:\ohada saas\Focused projects\stoquify\what-next\bakery-booklet-2026-10-03\work\pages\page-039.png</t>
        </is>
      </c>
      <c r="D389" t="inlineStr">
        <is>
          <t>.png</t>
        </is>
      </c>
      <c r="E389" t="inlineStr">
        <is>
          <t>2026-10-03T15:02:26.853724+00:00</t>
        </is>
      </c>
      <c r="F389" t="inlineStr">
        <is>
          <t>144918</t>
        </is>
      </c>
      <c r="H389" t="inlineStr">
        <is>
          <t>Generated work or software support file</t>
        </is>
      </c>
      <c r="I389" t="inlineStr">
        <is>
          <t>Filename screened</t>
        </is>
      </c>
      <c r="J389" t="inlineStr">
        <is>
          <t>No owner production trial log found</t>
        </is>
      </c>
      <c r="K389" t="inlineStr">
        <is>
          <t>Not established / non-text</t>
        </is>
      </c>
      <c r="L389" t="inlineStr">
        <is>
          <t>No explicit version established; modified date is file metadata only</t>
        </is>
      </c>
      <c r="M389" t="inlineStr">
        <is>
          <t xml:space="preserve"> extracted pages/blocks/rows;  recipe keyword signals (not recipe count)</t>
        </is>
      </c>
    </row>
    <row r="390">
      <c r="B390" t="inlineStr">
        <is>
          <t>page-040.png</t>
        </is>
      </c>
      <c r="C390" t="inlineStr">
        <is>
          <t>E:\ohada saas\Focused projects\stoquify\what-next\bakery-booklet-2026-10-03\work\pages\page-040.png</t>
        </is>
      </c>
      <c r="D390" t="inlineStr">
        <is>
          <t>.png</t>
        </is>
      </c>
      <c r="E390" t="inlineStr">
        <is>
          <t>2026-10-03T15:02:26.959096+00:00</t>
        </is>
      </c>
      <c r="F390" t="inlineStr">
        <is>
          <t>163004</t>
        </is>
      </c>
      <c r="H390" t="inlineStr">
        <is>
          <t>Generated work or software support file</t>
        </is>
      </c>
      <c r="I390" t="inlineStr">
        <is>
          <t>Filename screened</t>
        </is>
      </c>
      <c r="J390" t="inlineStr">
        <is>
          <t>No owner production trial log found</t>
        </is>
      </c>
      <c r="K390" t="inlineStr">
        <is>
          <t>Not established / non-text</t>
        </is>
      </c>
      <c r="L390" t="inlineStr">
        <is>
          <t>No explicit version established; modified date is file metadata only</t>
        </is>
      </c>
      <c r="M390" t="inlineStr">
        <is>
          <t xml:space="preserve"> extracted pages/blocks/rows;  recipe keyword signals (not recipe count)</t>
        </is>
      </c>
    </row>
    <row r="391">
      <c r="B391" t="inlineStr">
        <is>
          <t>page-041.png</t>
        </is>
      </c>
      <c r="C391" t="inlineStr">
        <is>
          <t>E:\ohada saas\Focused projects\stoquify\what-next\bakery-booklet-2026-10-03\work\pages\page-041.png</t>
        </is>
      </c>
      <c r="D391" t="inlineStr">
        <is>
          <t>.png</t>
        </is>
      </c>
      <c r="E391" t="inlineStr">
        <is>
          <t>2026-10-03T15:02:27.123745+00:00</t>
        </is>
      </c>
      <c r="F391" t="inlineStr">
        <is>
          <t>217685</t>
        </is>
      </c>
      <c r="H391" t="inlineStr">
        <is>
          <t>Generated work or software support file</t>
        </is>
      </c>
      <c r="I391" t="inlineStr">
        <is>
          <t>Filename screened</t>
        </is>
      </c>
      <c r="J391" t="inlineStr">
        <is>
          <t>No owner production trial log found</t>
        </is>
      </c>
      <c r="K391" t="inlineStr">
        <is>
          <t>Not established / non-text</t>
        </is>
      </c>
      <c r="L391" t="inlineStr">
        <is>
          <t>No explicit version established; modified date is file metadata only</t>
        </is>
      </c>
      <c r="M391" t="inlineStr">
        <is>
          <t xml:space="preserve"> extracted pages/blocks/rows;  recipe keyword signals (not recipe count)</t>
        </is>
      </c>
    </row>
    <row r="392">
      <c r="B392" t="inlineStr">
        <is>
          <t>page-042.png</t>
        </is>
      </c>
      <c r="C392" t="inlineStr">
        <is>
          <t>E:\ohada saas\Focused projects\stoquify\what-next\bakery-booklet-2026-10-03\work\pages\page-042.png</t>
        </is>
      </c>
      <c r="D392" t="inlineStr">
        <is>
          <t>.png</t>
        </is>
      </c>
      <c r="E392" t="inlineStr">
        <is>
          <t>2026-10-03T15:02:27.339884+00:00</t>
        </is>
      </c>
      <c r="F392" t="inlineStr">
        <is>
          <t>207148</t>
        </is>
      </c>
      <c r="H392" t="inlineStr">
        <is>
          <t>Generated work or software support file</t>
        </is>
      </c>
      <c r="I392" t="inlineStr">
        <is>
          <t>Filename screened</t>
        </is>
      </c>
      <c r="J392" t="inlineStr">
        <is>
          <t>No owner production trial log found</t>
        </is>
      </c>
      <c r="K392" t="inlineStr">
        <is>
          <t>Not established / non-text</t>
        </is>
      </c>
      <c r="L392" t="inlineStr">
        <is>
          <t>No explicit version established; modified date is file metadata only</t>
        </is>
      </c>
      <c r="M392" t="inlineStr">
        <is>
          <t xml:space="preserve"> extracted pages/blocks/rows;  recipe keyword signals (not recipe count)</t>
        </is>
      </c>
    </row>
    <row r="393">
      <c r="B393" t="inlineStr">
        <is>
          <t>page-043.png</t>
        </is>
      </c>
      <c r="C393" t="inlineStr">
        <is>
          <t>E:\ohada saas\Focused projects\stoquify\what-next\bakery-booklet-2026-10-03\work\pages\page-043.png</t>
        </is>
      </c>
      <c r="D393" t="inlineStr">
        <is>
          <t>.png</t>
        </is>
      </c>
      <c r="E393" t="inlineStr">
        <is>
          <t>2026-10-03T15:02:27.581963+00:00</t>
        </is>
      </c>
      <c r="F393" t="inlineStr">
        <is>
          <t>215158</t>
        </is>
      </c>
      <c r="H393" t="inlineStr">
        <is>
          <t>Generated work or software support file</t>
        </is>
      </c>
      <c r="I393" t="inlineStr">
        <is>
          <t>Filename screened</t>
        </is>
      </c>
      <c r="J393" t="inlineStr">
        <is>
          <t>No owner production trial log found</t>
        </is>
      </c>
      <c r="K393" t="inlineStr">
        <is>
          <t>Not established / non-text</t>
        </is>
      </c>
      <c r="L393" t="inlineStr">
        <is>
          <t>No explicit version established; modified date is file metadata only</t>
        </is>
      </c>
      <c r="M393" t="inlineStr">
        <is>
          <t xml:space="preserve"> extracted pages/blocks/rows;  recipe keyword signals (not recipe count)</t>
        </is>
      </c>
    </row>
    <row r="394">
      <c r="B394" t="inlineStr">
        <is>
          <t>page-044.png</t>
        </is>
      </c>
      <c r="C394" t="inlineStr">
        <is>
          <t>E:\ohada saas\Focused projects\stoquify\what-next\bakery-booklet-2026-10-03\work\pages\page-044.png</t>
        </is>
      </c>
      <c r="D394" t="inlineStr">
        <is>
          <t>.png</t>
        </is>
      </c>
      <c r="E394" t="inlineStr">
        <is>
          <t>2026-10-03T15:02:27.747957+00:00</t>
        </is>
      </c>
      <c r="F394" t="inlineStr">
        <is>
          <t>208170</t>
        </is>
      </c>
      <c r="H394" t="inlineStr">
        <is>
          <t>Generated work or software support file</t>
        </is>
      </c>
      <c r="I394" t="inlineStr">
        <is>
          <t>Filename screened</t>
        </is>
      </c>
      <c r="J394" t="inlineStr">
        <is>
          <t>No owner production trial log found</t>
        </is>
      </c>
      <c r="K394" t="inlineStr">
        <is>
          <t>Not established / non-text</t>
        </is>
      </c>
      <c r="L394" t="inlineStr">
        <is>
          <t>No explicit version established; modified date is file metadata only</t>
        </is>
      </c>
      <c r="M394" t="inlineStr">
        <is>
          <t xml:space="preserve"> extracted pages/blocks/rows;  recipe keyword signals (not recipe count)</t>
        </is>
      </c>
    </row>
    <row r="395">
      <c r="B395" t="inlineStr">
        <is>
          <t>page-045.png</t>
        </is>
      </c>
      <c r="C395" t="inlineStr">
        <is>
          <t>E:\ohada saas\Focused projects\stoquify\what-next\bakery-booklet-2026-10-03\work\pages\page-045.png</t>
        </is>
      </c>
      <c r="D395" t="inlineStr">
        <is>
          <t>.png</t>
        </is>
      </c>
      <c r="E395" t="inlineStr">
        <is>
          <t>2026-10-03T15:02:28.108210+00:00</t>
        </is>
      </c>
      <c r="F395" t="inlineStr">
        <is>
          <t>183979</t>
        </is>
      </c>
      <c r="H395" t="inlineStr">
        <is>
          <t>Generated work or software support file</t>
        </is>
      </c>
      <c r="I395" t="inlineStr">
        <is>
          <t>Filename screened</t>
        </is>
      </c>
      <c r="J395" t="inlineStr">
        <is>
          <t>No owner production trial log found</t>
        </is>
      </c>
      <c r="K395" t="inlineStr">
        <is>
          <t>Not established / non-text</t>
        </is>
      </c>
      <c r="L395" t="inlineStr">
        <is>
          <t>No explicit version established; modified date is file metadata only</t>
        </is>
      </c>
      <c r="M395" t="inlineStr">
        <is>
          <t xml:space="preserve"> extracted pages/blocks/rows;  recipe keyword signals (not recipe count)</t>
        </is>
      </c>
    </row>
    <row r="396">
      <c r="B396" t="inlineStr">
        <is>
          <t>page-046.png</t>
        </is>
      </c>
      <c r="C396" t="inlineStr">
        <is>
          <t>E:\ohada saas\Focused projects\stoquify\what-next\bakery-booklet-2026-10-03\work\pages\page-046.png</t>
        </is>
      </c>
      <c r="D396" t="inlineStr">
        <is>
          <t>.png</t>
        </is>
      </c>
      <c r="E396" t="inlineStr">
        <is>
          <t>2026-10-03T15:02:28.335921+00:00</t>
        </is>
      </c>
      <c r="F396" t="inlineStr">
        <is>
          <t>220710</t>
        </is>
      </c>
      <c r="H396" t="inlineStr">
        <is>
          <t>Generated work or software support file</t>
        </is>
      </c>
      <c r="I396" t="inlineStr">
        <is>
          <t>Filename screened</t>
        </is>
      </c>
      <c r="J396" t="inlineStr">
        <is>
          <t>No owner production trial log found</t>
        </is>
      </c>
      <c r="K396" t="inlineStr">
        <is>
          <t>Not established / non-text</t>
        </is>
      </c>
      <c r="L396" t="inlineStr">
        <is>
          <t>No explicit version established; modified date is file metadata only</t>
        </is>
      </c>
      <c r="M396" t="inlineStr">
        <is>
          <t xml:space="preserve"> extracted pages/blocks/rows;  recipe keyword signals (not recipe count)</t>
        </is>
      </c>
    </row>
    <row r="397">
      <c r="B397" t="inlineStr">
        <is>
          <t>page-047.png</t>
        </is>
      </c>
      <c r="C397" t="inlineStr">
        <is>
          <t>E:\ohada saas\Focused projects\stoquify\what-next\bakery-booklet-2026-10-03\work\pages\page-047.png</t>
        </is>
      </c>
      <c r="D397" t="inlineStr">
        <is>
          <t>.png</t>
        </is>
      </c>
      <c r="E397" t="inlineStr">
        <is>
          <t>2026-10-03T15:02:28.489815+00:00</t>
        </is>
      </c>
      <c r="F397" t="inlineStr">
        <is>
          <t>192329</t>
        </is>
      </c>
      <c r="H397" t="inlineStr">
        <is>
          <t>Generated work or software support file</t>
        </is>
      </c>
      <c r="I397" t="inlineStr">
        <is>
          <t>Filename screened</t>
        </is>
      </c>
      <c r="J397" t="inlineStr">
        <is>
          <t>No owner production trial log found</t>
        </is>
      </c>
      <c r="K397" t="inlineStr">
        <is>
          <t>Not established / non-text</t>
        </is>
      </c>
      <c r="L397" t="inlineStr">
        <is>
          <t>No explicit version established; modified date is file metadata only</t>
        </is>
      </c>
      <c r="M397" t="inlineStr">
        <is>
          <t xml:space="preserve"> extracted pages/blocks/rows;  recipe keyword signals (not recipe count)</t>
        </is>
      </c>
    </row>
    <row r="398">
      <c r="B398" t="inlineStr">
        <is>
          <t>page-048.png</t>
        </is>
      </c>
      <c r="C398" t="inlineStr">
        <is>
          <t>E:\ohada saas\Focused projects\stoquify\what-next\bakery-booklet-2026-10-03\work\pages\page-048.png</t>
        </is>
      </c>
      <c r="D398" t="inlineStr">
        <is>
          <t>.png</t>
        </is>
      </c>
      <c r="E398" t="inlineStr">
        <is>
          <t>2026-10-03T15:02:28.650841+00:00</t>
        </is>
      </c>
      <c r="F398" t="inlineStr">
        <is>
          <t>219096</t>
        </is>
      </c>
      <c r="H398" t="inlineStr">
        <is>
          <t>Generated work or software support file</t>
        </is>
      </c>
      <c r="I398" t="inlineStr">
        <is>
          <t>Filename screened</t>
        </is>
      </c>
      <c r="J398" t="inlineStr">
        <is>
          <t>No owner production trial log found</t>
        </is>
      </c>
      <c r="K398" t="inlineStr">
        <is>
          <t>Not established / non-text</t>
        </is>
      </c>
      <c r="L398" t="inlineStr">
        <is>
          <t>No explicit version established; modified date is file metadata only</t>
        </is>
      </c>
      <c r="M398" t="inlineStr">
        <is>
          <t xml:space="preserve"> extracted pages/blocks/rows;  recipe keyword signals (not recipe count)</t>
        </is>
      </c>
    </row>
    <row r="399">
      <c r="B399" t="inlineStr">
        <is>
          <t>page-049.png</t>
        </is>
      </c>
      <c r="C399" t="inlineStr">
        <is>
          <t>E:\ohada saas\Focused projects\stoquify\what-next\bakery-booklet-2026-10-03\work\pages\page-049.png</t>
        </is>
      </c>
      <c r="D399" t="inlineStr">
        <is>
          <t>.png</t>
        </is>
      </c>
      <c r="E399" t="inlineStr">
        <is>
          <t>2026-10-03T15:02:28.800625+00:00</t>
        </is>
      </c>
      <c r="F399" t="inlineStr">
        <is>
          <t>189559</t>
        </is>
      </c>
      <c r="H399" t="inlineStr">
        <is>
          <t>Generated work or software support file</t>
        </is>
      </c>
      <c r="I399" t="inlineStr">
        <is>
          <t>Filename screened</t>
        </is>
      </c>
      <c r="J399" t="inlineStr">
        <is>
          <t>No owner production trial log found</t>
        </is>
      </c>
      <c r="K399" t="inlineStr">
        <is>
          <t>Not established / non-text</t>
        </is>
      </c>
      <c r="L399" t="inlineStr">
        <is>
          <t>No explicit version established; modified date is file metadata only</t>
        </is>
      </c>
      <c r="M399" t="inlineStr">
        <is>
          <t xml:space="preserve"> extracted pages/blocks/rows;  recipe keyword signals (not recipe count)</t>
        </is>
      </c>
    </row>
    <row r="400">
      <c r="B400" t="inlineStr">
        <is>
          <t>page-050.png</t>
        </is>
      </c>
      <c r="C400" t="inlineStr">
        <is>
          <t>E:\ohada saas\Focused projects\stoquify\what-next\bakery-booklet-2026-10-03\work\pages\page-050.png</t>
        </is>
      </c>
      <c r="D400" t="inlineStr">
        <is>
          <t>.png</t>
        </is>
      </c>
      <c r="E400" t="inlineStr">
        <is>
          <t>2026-10-03T15:02:29.050679+00:00</t>
        </is>
      </c>
      <c r="F400" t="inlineStr">
        <is>
          <t>210664</t>
        </is>
      </c>
      <c r="H400" t="inlineStr">
        <is>
          <t>Generated work or software support file</t>
        </is>
      </c>
      <c r="I400" t="inlineStr">
        <is>
          <t>Filename screened</t>
        </is>
      </c>
      <c r="J400" t="inlineStr">
        <is>
          <t>No owner production trial log found</t>
        </is>
      </c>
      <c r="K400" t="inlineStr">
        <is>
          <t>Not established / non-text</t>
        </is>
      </c>
      <c r="L400" t="inlineStr">
        <is>
          <t>No explicit version established; modified date is file metadata only</t>
        </is>
      </c>
      <c r="M400" t="inlineStr">
        <is>
          <t xml:space="preserve"> extracted pages/blocks/rows;  recipe keyword signals (not recipe count)</t>
        </is>
      </c>
    </row>
    <row r="401">
      <c r="B401" t="inlineStr">
        <is>
          <t>page-051.png</t>
        </is>
      </c>
      <c r="C401" t="inlineStr">
        <is>
          <t>E:\ohada saas\Focused projects\stoquify\what-next\bakery-booklet-2026-10-03\work\pages\page-051.png</t>
        </is>
      </c>
      <c r="D401" t="inlineStr">
        <is>
          <t>.png</t>
        </is>
      </c>
      <c r="E401" t="inlineStr">
        <is>
          <t>2026-10-03T15:02:29.276376+00:00</t>
        </is>
      </c>
      <c r="F401" t="inlineStr">
        <is>
          <t>202162</t>
        </is>
      </c>
      <c r="H401" t="inlineStr">
        <is>
          <t>Generated work or software support file</t>
        </is>
      </c>
      <c r="I401" t="inlineStr">
        <is>
          <t>Filename screened</t>
        </is>
      </c>
      <c r="J401" t="inlineStr">
        <is>
          <t>No owner production trial log found</t>
        </is>
      </c>
      <c r="K401" t="inlineStr">
        <is>
          <t>Not established / non-text</t>
        </is>
      </c>
      <c r="L401" t="inlineStr">
        <is>
          <t>No explicit version established; modified date is file metadata only</t>
        </is>
      </c>
      <c r="M401" t="inlineStr">
        <is>
          <t xml:space="preserve"> extracted pages/blocks/rows;  recipe keyword signals (not recipe count)</t>
        </is>
      </c>
    </row>
    <row r="402">
      <c r="B402" t="inlineStr">
        <is>
          <t>page-052.png</t>
        </is>
      </c>
      <c r="C402" t="inlineStr">
        <is>
          <t>E:\ohada saas\Focused projects\stoquify\what-next\bakery-booklet-2026-10-03\work\pages\page-052.png</t>
        </is>
      </c>
      <c r="D402" t="inlineStr">
        <is>
          <t>.png</t>
        </is>
      </c>
      <c r="E402" t="inlineStr">
        <is>
          <t>2026-10-03T15:02:29.433784+00:00</t>
        </is>
      </c>
      <c r="F402" t="inlineStr">
        <is>
          <t>200740</t>
        </is>
      </c>
      <c r="H402" t="inlineStr">
        <is>
          <t>Generated work or software support file</t>
        </is>
      </c>
      <c r="I402" t="inlineStr">
        <is>
          <t>Filename screened</t>
        </is>
      </c>
      <c r="J402" t="inlineStr">
        <is>
          <t>No owner production trial log found</t>
        </is>
      </c>
      <c r="K402" t="inlineStr">
        <is>
          <t>Not established / non-text</t>
        </is>
      </c>
      <c r="L402" t="inlineStr">
        <is>
          <t>No explicit version established; modified date is file metadata only</t>
        </is>
      </c>
      <c r="M402" t="inlineStr">
        <is>
          <t xml:space="preserve"> extracted pages/blocks/rows;  recipe keyword signals (not recipe count)</t>
        </is>
      </c>
    </row>
    <row r="403">
      <c r="B403" t="inlineStr">
        <is>
          <t>page-053.png</t>
        </is>
      </c>
      <c r="C403" t="inlineStr">
        <is>
          <t>E:\ohada saas\Focused projects\stoquify\what-next\bakery-booklet-2026-10-03\work\pages\page-053.png</t>
        </is>
      </c>
      <c r="D403" t="inlineStr">
        <is>
          <t>.png</t>
        </is>
      </c>
      <c r="E403" t="inlineStr">
        <is>
          <t>2026-10-03T15:02:29.714834+00:00</t>
        </is>
      </c>
      <c r="F403" t="inlineStr">
        <is>
          <t>167953</t>
        </is>
      </c>
      <c r="H403" t="inlineStr">
        <is>
          <t>Generated work or software support file</t>
        </is>
      </c>
      <c r="I403" t="inlineStr">
        <is>
          <t>Filename screened</t>
        </is>
      </c>
      <c r="J403" t="inlineStr">
        <is>
          <t>No owner production trial log found</t>
        </is>
      </c>
      <c r="K403" t="inlineStr">
        <is>
          <t>Not established / non-text</t>
        </is>
      </c>
      <c r="L403" t="inlineStr">
        <is>
          <t>No explicit version established; modified date is file metadata only</t>
        </is>
      </c>
      <c r="M403" t="inlineStr">
        <is>
          <t xml:space="preserve"> extracted pages/blocks/rows;  recipe keyword signals (not recipe count)</t>
        </is>
      </c>
    </row>
    <row r="404">
      <c r="B404" t="inlineStr">
        <is>
          <t>page-054.png</t>
        </is>
      </c>
      <c r="C404" t="inlineStr">
        <is>
          <t>E:\ohada saas\Focused projects\stoquify\what-next\bakery-booklet-2026-10-03\work\pages\page-054.png</t>
        </is>
      </c>
      <c r="D404" t="inlineStr">
        <is>
          <t>.png</t>
        </is>
      </c>
      <c r="E404" t="inlineStr">
        <is>
          <t>2026-10-03T15:02:29.867860+00:00</t>
        </is>
      </c>
      <c r="F404" t="inlineStr">
        <is>
          <t>199515</t>
        </is>
      </c>
      <c r="H404" t="inlineStr">
        <is>
          <t>Generated work or software support file</t>
        </is>
      </c>
      <c r="I404" t="inlineStr">
        <is>
          <t>Filename screened</t>
        </is>
      </c>
      <c r="J404" t="inlineStr">
        <is>
          <t>No owner production trial log found</t>
        </is>
      </c>
      <c r="K404" t="inlineStr">
        <is>
          <t>Not established / non-text</t>
        </is>
      </c>
      <c r="L404" t="inlineStr">
        <is>
          <t>No explicit version established; modified date is file metadata only</t>
        </is>
      </c>
      <c r="M404" t="inlineStr">
        <is>
          <t xml:space="preserve"> extracted pages/blocks/rows;  recipe keyword signals (not recipe count)</t>
        </is>
      </c>
    </row>
    <row r="405">
      <c r="B405" t="inlineStr">
        <is>
          <t>page-055.png</t>
        </is>
      </c>
      <c r="C405" t="inlineStr">
        <is>
          <t>E:\ohada saas\Focused projects\stoquify\what-next\bakery-booklet-2026-10-03\work\pages\page-055.png</t>
        </is>
      </c>
      <c r="D405" t="inlineStr">
        <is>
          <t>.png</t>
        </is>
      </c>
      <c r="E405" t="inlineStr">
        <is>
          <t>2026-10-03T15:02:30.042634+00:00</t>
        </is>
      </c>
      <c r="F405" t="inlineStr">
        <is>
          <t>201289</t>
        </is>
      </c>
      <c r="H405" t="inlineStr">
        <is>
          <t>Generated work or software support file</t>
        </is>
      </c>
      <c r="I405" t="inlineStr">
        <is>
          <t>Filename screened</t>
        </is>
      </c>
      <c r="J405" t="inlineStr">
        <is>
          <t>No owner production trial log found</t>
        </is>
      </c>
      <c r="K405" t="inlineStr">
        <is>
          <t>Not established / non-text</t>
        </is>
      </c>
      <c r="L405" t="inlineStr">
        <is>
          <t>No explicit version established; modified date is file metadata only</t>
        </is>
      </c>
      <c r="M405" t="inlineStr">
        <is>
          <t xml:space="preserve"> extracted pages/blocks/rows;  recipe keyword signals (not recipe count)</t>
        </is>
      </c>
    </row>
    <row r="406">
      <c r="B406" t="inlineStr">
        <is>
          <t>page-056.png</t>
        </is>
      </c>
      <c r="C406" t="inlineStr">
        <is>
          <t>E:\ohada saas\Focused projects\stoquify\what-next\bakery-booklet-2026-10-03\work\pages\page-056.png</t>
        </is>
      </c>
      <c r="D406" t="inlineStr">
        <is>
          <t>.png</t>
        </is>
      </c>
      <c r="E406" t="inlineStr">
        <is>
          <t>2026-10-03T15:02:30.199328+00:00</t>
        </is>
      </c>
      <c r="F406" t="inlineStr">
        <is>
          <t>194152</t>
        </is>
      </c>
      <c r="H406" t="inlineStr">
        <is>
          <t>Generated work or software support file</t>
        </is>
      </c>
      <c r="I406" t="inlineStr">
        <is>
          <t>Filename screened</t>
        </is>
      </c>
      <c r="J406" t="inlineStr">
        <is>
          <t>No owner production trial log found</t>
        </is>
      </c>
      <c r="K406" t="inlineStr">
        <is>
          <t>Not established / non-text</t>
        </is>
      </c>
      <c r="L406" t="inlineStr">
        <is>
          <t>No explicit version established; modified date is file metadata only</t>
        </is>
      </c>
      <c r="M406" t="inlineStr">
        <is>
          <t xml:space="preserve"> extracted pages/blocks/rows;  recipe keyword signals (not recipe count)</t>
        </is>
      </c>
    </row>
    <row r="407">
      <c r="B407" t="inlineStr">
        <is>
          <t>page-057.png</t>
        </is>
      </c>
      <c r="C407" t="inlineStr">
        <is>
          <t>E:\ohada saas\Focused projects\stoquify\what-next\bakery-booklet-2026-10-03\work\pages\page-057.png</t>
        </is>
      </c>
      <c r="D407" t="inlineStr">
        <is>
          <t>.png</t>
        </is>
      </c>
      <c r="E407" t="inlineStr">
        <is>
          <t>2026-10-03T15:02:30.377171+00:00</t>
        </is>
      </c>
      <c r="F407" t="inlineStr">
        <is>
          <t>182283</t>
        </is>
      </c>
      <c r="H407" t="inlineStr">
        <is>
          <t>Generated work or software support file</t>
        </is>
      </c>
      <c r="I407" t="inlineStr">
        <is>
          <t>Filename screened</t>
        </is>
      </c>
      <c r="J407" t="inlineStr">
        <is>
          <t>No owner production trial log found</t>
        </is>
      </c>
      <c r="K407" t="inlineStr">
        <is>
          <t>Not established / non-text</t>
        </is>
      </c>
      <c r="L407" t="inlineStr">
        <is>
          <t>No explicit version established; modified date is file metadata only</t>
        </is>
      </c>
      <c r="M407" t="inlineStr">
        <is>
          <t xml:space="preserve"> extracted pages/blocks/rows;  recipe keyword signals (not recipe count)</t>
        </is>
      </c>
    </row>
    <row r="408">
      <c r="B408" t="inlineStr">
        <is>
          <t>page-058.png</t>
        </is>
      </c>
      <c r="C408" t="inlineStr">
        <is>
          <t>E:\ohada saas\Focused projects\stoquify\what-next\bakery-booklet-2026-10-03\work\pages\page-058.png</t>
        </is>
      </c>
      <c r="D408" t="inlineStr">
        <is>
          <t>.png</t>
        </is>
      </c>
      <c r="E408" t="inlineStr">
        <is>
          <t>2026-10-03T15:02:30.573729+00:00</t>
        </is>
      </c>
      <c r="F408" t="inlineStr">
        <is>
          <t>167902</t>
        </is>
      </c>
      <c r="H408" t="inlineStr">
        <is>
          <t>Generated work or software support file</t>
        </is>
      </c>
      <c r="I408" t="inlineStr">
        <is>
          <t>Filename screened</t>
        </is>
      </c>
      <c r="J408" t="inlineStr">
        <is>
          <t>No owner production trial log found</t>
        </is>
      </c>
      <c r="K408" t="inlineStr">
        <is>
          <t>Not established / non-text</t>
        </is>
      </c>
      <c r="L408" t="inlineStr">
        <is>
          <t>No explicit version established; modified date is file metadata only</t>
        </is>
      </c>
      <c r="M408" t="inlineStr">
        <is>
          <t xml:space="preserve"> extracted pages/blocks/rows;  recipe keyword signals (not recipe count)</t>
        </is>
      </c>
    </row>
    <row r="409">
      <c r="B409" t="inlineStr">
        <is>
          <t>page-059.png</t>
        </is>
      </c>
      <c r="C409" t="inlineStr">
        <is>
          <t>E:\ohada saas\Focused projects\stoquify\what-next\bakery-booklet-2026-10-03\work\pages\page-059.png</t>
        </is>
      </c>
      <c r="D409" t="inlineStr">
        <is>
          <t>.png</t>
        </is>
      </c>
      <c r="E409" t="inlineStr">
        <is>
          <t>2026-10-03T15:02:30.692214+00:00</t>
        </is>
      </c>
      <c r="F409" t="inlineStr">
        <is>
          <t>120320</t>
        </is>
      </c>
      <c r="H409" t="inlineStr">
        <is>
          <t>Generated work or software support file</t>
        </is>
      </c>
      <c r="I409" t="inlineStr">
        <is>
          <t>Filename screened</t>
        </is>
      </c>
      <c r="J409" t="inlineStr">
        <is>
          <t>No owner production trial log found</t>
        </is>
      </c>
      <c r="K409" t="inlineStr">
        <is>
          <t>Not established / non-text</t>
        </is>
      </c>
      <c r="L409" t="inlineStr">
        <is>
          <t>No explicit version established; modified date is file metadata only</t>
        </is>
      </c>
      <c r="M409" t="inlineStr">
        <is>
          <t xml:space="preserve"> extracted pages/blocks/rows;  recipe keyword signals (not recipe count)</t>
        </is>
      </c>
    </row>
    <row r="410">
      <c r="B410" t="inlineStr">
        <is>
          <t>page-060.png</t>
        </is>
      </c>
      <c r="C410" t="inlineStr">
        <is>
          <t>E:\ohada saas\Focused projects\stoquify\what-next\bakery-booklet-2026-10-03\work\pages\page-060.png</t>
        </is>
      </c>
      <c r="D410" t="inlineStr">
        <is>
          <t>.png</t>
        </is>
      </c>
      <c r="E410" t="inlineStr">
        <is>
          <t>2026-10-03T15:02:30.859810+00:00</t>
        </is>
      </c>
      <c r="F410" t="inlineStr">
        <is>
          <t>196688</t>
        </is>
      </c>
      <c r="H410" t="inlineStr">
        <is>
          <t>Generated work or software support file</t>
        </is>
      </c>
      <c r="I410" t="inlineStr">
        <is>
          <t>Filename screened</t>
        </is>
      </c>
      <c r="J410" t="inlineStr">
        <is>
          <t>No owner production trial log found</t>
        </is>
      </c>
      <c r="K410" t="inlineStr">
        <is>
          <t>Not established / non-text</t>
        </is>
      </c>
      <c r="L410" t="inlineStr">
        <is>
          <t>No explicit version established; modified date is file metadata only</t>
        </is>
      </c>
      <c r="M410" t="inlineStr">
        <is>
          <t xml:space="preserve"> extracted pages/blocks/rows;  recipe keyword signals (not recipe count)</t>
        </is>
      </c>
    </row>
    <row r="411">
      <c r="B411" t="inlineStr">
        <is>
          <t>page-061.png</t>
        </is>
      </c>
      <c r="C411" t="inlineStr">
        <is>
          <t>E:\ohada saas\Focused projects\stoquify\what-next\bakery-booklet-2026-10-03\work\pages\page-061.png</t>
        </is>
      </c>
      <c r="D411" t="inlineStr">
        <is>
          <t>.png</t>
        </is>
      </c>
      <c r="E411" t="inlineStr">
        <is>
          <t>2026-10-03T15:02:31.125947+00:00</t>
        </is>
      </c>
      <c r="F411" t="inlineStr">
        <is>
          <t>238588</t>
        </is>
      </c>
      <c r="H411" t="inlineStr">
        <is>
          <t>Generated work or software support file</t>
        </is>
      </c>
      <c r="I411" t="inlineStr">
        <is>
          <t>Filename screened</t>
        </is>
      </c>
      <c r="J411" t="inlineStr">
        <is>
          <t>No owner production trial log found</t>
        </is>
      </c>
      <c r="K411" t="inlineStr">
        <is>
          <t>Not established / non-text</t>
        </is>
      </c>
      <c r="L411" t="inlineStr">
        <is>
          <t>No explicit version established; modified date is file metadata only</t>
        </is>
      </c>
      <c r="M411" t="inlineStr">
        <is>
          <t xml:space="preserve"> extracted pages/blocks/rows;  recipe keyword signals (not recipe count)</t>
        </is>
      </c>
    </row>
    <row r="412">
      <c r="B412" t="inlineStr">
        <is>
          <t>page-062.png</t>
        </is>
      </c>
      <c r="C412" t="inlineStr">
        <is>
          <t>E:\ohada saas\Focused projects\stoquify\what-next\bakery-booklet-2026-10-03\work\pages\page-062.png</t>
        </is>
      </c>
      <c r="D412" t="inlineStr">
        <is>
          <t>.png</t>
        </is>
      </c>
      <c r="E412" t="inlineStr">
        <is>
          <t>2026-10-03T15:02:31.321150+00:00</t>
        </is>
      </c>
      <c r="F412" t="inlineStr">
        <is>
          <t>239375</t>
        </is>
      </c>
      <c r="H412" t="inlineStr">
        <is>
          <t>Generated work or software support file</t>
        </is>
      </c>
      <c r="I412" t="inlineStr">
        <is>
          <t>Filename screened</t>
        </is>
      </c>
      <c r="J412" t="inlineStr">
        <is>
          <t>No owner production trial log found</t>
        </is>
      </c>
      <c r="K412" t="inlineStr">
        <is>
          <t>Not established / non-text</t>
        </is>
      </c>
      <c r="L412" t="inlineStr">
        <is>
          <t>No explicit version established; modified date is file metadata only</t>
        </is>
      </c>
      <c r="M412" t="inlineStr">
        <is>
          <t xml:space="preserve"> extracted pages/blocks/rows;  recipe keyword signals (not recipe count)</t>
        </is>
      </c>
    </row>
    <row r="413">
      <c r="B413" t="inlineStr">
        <is>
          <t>page-063.png</t>
        </is>
      </c>
      <c r="C413" t="inlineStr">
        <is>
          <t>E:\ohada saas\Focused projects\stoquify\what-next\bakery-booklet-2026-10-03\work\pages\page-063.png</t>
        </is>
      </c>
      <c r="D413" t="inlineStr">
        <is>
          <t>.png</t>
        </is>
      </c>
      <c r="E413" t="inlineStr">
        <is>
          <t>2026-10-03T15:02:31.578360+00:00</t>
        </is>
      </c>
      <c r="F413" t="inlineStr">
        <is>
          <t>307153</t>
        </is>
      </c>
      <c r="H413" t="inlineStr">
        <is>
          <t>Generated work or software support file</t>
        </is>
      </c>
      <c r="I413" t="inlineStr">
        <is>
          <t>Filename screened</t>
        </is>
      </c>
      <c r="J413" t="inlineStr">
        <is>
          <t>No owner production trial log found</t>
        </is>
      </c>
      <c r="K413" t="inlineStr">
        <is>
          <t>Not established / non-text</t>
        </is>
      </c>
      <c r="L413" t="inlineStr">
        <is>
          <t>No explicit version established; modified date is file metadata only</t>
        </is>
      </c>
      <c r="M413" t="inlineStr">
        <is>
          <t xml:space="preserve"> extracted pages/blocks/rows;  recipe keyword signals (not recipe count)</t>
        </is>
      </c>
    </row>
    <row r="414">
      <c r="B414" t="inlineStr">
        <is>
          <t>page-064.png</t>
        </is>
      </c>
      <c r="C414" t="inlineStr">
        <is>
          <t>E:\ohada saas\Focused projects\stoquify\what-next\bakery-booklet-2026-10-03\work\pages\page-064.png</t>
        </is>
      </c>
      <c r="D414" t="inlineStr">
        <is>
          <t>.png</t>
        </is>
      </c>
      <c r="E414" t="inlineStr">
        <is>
          <t>2026-10-03T15:02:31.763566+00:00</t>
        </is>
      </c>
      <c r="F414" t="inlineStr">
        <is>
          <t>294593</t>
        </is>
      </c>
      <c r="H414" t="inlineStr">
        <is>
          <t>Generated work or software support file</t>
        </is>
      </c>
      <c r="I414" t="inlineStr">
        <is>
          <t>Filename screened</t>
        </is>
      </c>
      <c r="J414" t="inlineStr">
        <is>
          <t>No owner production trial log found</t>
        </is>
      </c>
      <c r="K414" t="inlineStr">
        <is>
          <t>Not established / non-text</t>
        </is>
      </c>
      <c r="L414" t="inlineStr">
        <is>
          <t>No explicit version established; modified date is file metadata only</t>
        </is>
      </c>
      <c r="M414" t="inlineStr">
        <is>
          <t xml:space="preserve"> extracted pages/blocks/rows;  recipe keyword signals (not recipe count)</t>
        </is>
      </c>
    </row>
    <row r="415">
      <c r="B415" t="inlineStr">
        <is>
          <t>page-065.png</t>
        </is>
      </c>
      <c r="C415" t="inlineStr">
        <is>
          <t>E:\ohada saas\Focused projects\stoquify\what-next\bakery-booklet-2026-10-03\work\pages\page-065.png</t>
        </is>
      </c>
      <c r="D415" t="inlineStr">
        <is>
          <t>.png</t>
        </is>
      </c>
      <c r="E415" t="inlineStr">
        <is>
          <t>2026-10-03T15:02:31.930609+00:00</t>
        </is>
      </c>
      <c r="F415" t="inlineStr">
        <is>
          <t>216303</t>
        </is>
      </c>
      <c r="H415" t="inlineStr">
        <is>
          <t>Generated work or software support file</t>
        </is>
      </c>
      <c r="I415" t="inlineStr">
        <is>
          <t>Filename screened</t>
        </is>
      </c>
      <c r="J415" t="inlineStr">
        <is>
          <t>No owner production trial log found</t>
        </is>
      </c>
      <c r="K415" t="inlineStr">
        <is>
          <t>Not established / non-text</t>
        </is>
      </c>
      <c r="L415" t="inlineStr">
        <is>
          <t>No explicit version established; modified date is file metadata only</t>
        </is>
      </c>
      <c r="M415" t="inlineStr">
        <is>
          <t xml:space="preserve"> extracted pages/blocks/rows;  recipe keyword signals (not recipe count)</t>
        </is>
      </c>
    </row>
    <row r="416">
      <c r="B416" t="inlineStr">
        <is>
          <t>page-066.png</t>
        </is>
      </c>
      <c r="C416" t="inlineStr">
        <is>
          <t>E:\ohada saas\Focused projects\stoquify\what-next\bakery-booklet-2026-10-03\work\pages\page-066.png</t>
        </is>
      </c>
      <c r="D416" t="inlineStr">
        <is>
          <t>.png</t>
        </is>
      </c>
      <c r="E416" t="inlineStr">
        <is>
          <t>2026-10-03T15:02:32.075196+00:00</t>
        </is>
      </c>
      <c r="F416" t="inlineStr">
        <is>
          <t>97279</t>
        </is>
      </c>
      <c r="H416" t="inlineStr">
        <is>
          <t>Generated work or software support file</t>
        </is>
      </c>
      <c r="I416" t="inlineStr">
        <is>
          <t>Filename screened</t>
        </is>
      </c>
      <c r="J416" t="inlineStr">
        <is>
          <t>No owner production trial log found</t>
        </is>
      </c>
      <c r="K416" t="inlineStr">
        <is>
          <t>Not established / non-text</t>
        </is>
      </c>
      <c r="L416" t="inlineStr">
        <is>
          <t>No explicit version established; modified date is file metadata only</t>
        </is>
      </c>
      <c r="M416" t="inlineStr">
        <is>
          <t xml:space="preserve"> extracted pages/blocks/rows;  recipe keyword signals (not recipe count)</t>
        </is>
      </c>
    </row>
    <row r="417">
      <c r="B417" t="inlineStr">
        <is>
          <t>page-067.png</t>
        </is>
      </c>
      <c r="C417" t="inlineStr">
        <is>
          <t>E:\ohada saas\Focused projects\stoquify\what-next\bakery-booklet-2026-10-03\work\pages\page-067.png</t>
        </is>
      </c>
      <c r="D417" t="inlineStr">
        <is>
          <t>.png</t>
        </is>
      </c>
      <c r="E417" t="inlineStr">
        <is>
          <t>2026-10-03T15:02:32.325256+00:00</t>
        </is>
      </c>
      <c r="F417" t="inlineStr">
        <is>
          <t>228905</t>
        </is>
      </c>
      <c r="H417" t="inlineStr">
        <is>
          <t>Generated work or software support file</t>
        </is>
      </c>
      <c r="I417" t="inlineStr">
        <is>
          <t>Filename screened</t>
        </is>
      </c>
      <c r="J417" t="inlineStr">
        <is>
          <t>No owner production trial log found</t>
        </is>
      </c>
      <c r="K417" t="inlineStr">
        <is>
          <t>Not established / non-text</t>
        </is>
      </c>
      <c r="L417" t="inlineStr">
        <is>
          <t>No explicit version established; modified date is file metadata only</t>
        </is>
      </c>
      <c r="M417" t="inlineStr">
        <is>
          <t xml:space="preserve"> extracted pages/blocks/rows;  recipe keyword signals (not recipe count)</t>
        </is>
      </c>
    </row>
    <row r="418">
      <c r="B418" t="inlineStr">
        <is>
          <t>page-068.png</t>
        </is>
      </c>
      <c r="C418" t="inlineStr">
        <is>
          <t>E:\ohada saas\Focused projects\stoquify\what-next\bakery-booklet-2026-10-03\work\pages\page-068.png</t>
        </is>
      </c>
      <c r="D418" t="inlineStr">
        <is>
          <t>.png</t>
        </is>
      </c>
      <c r="E418" t="inlineStr">
        <is>
          <t>2026-10-03T15:02:32.606820+00:00</t>
        </is>
      </c>
      <c r="F418" t="inlineStr">
        <is>
          <t>227335</t>
        </is>
      </c>
      <c r="H418" t="inlineStr">
        <is>
          <t>Generated work or software support file</t>
        </is>
      </c>
      <c r="I418" t="inlineStr">
        <is>
          <t>Filename screened</t>
        </is>
      </c>
      <c r="J418" t="inlineStr">
        <is>
          <t>No owner production trial log found</t>
        </is>
      </c>
      <c r="K418" t="inlineStr">
        <is>
          <t>Not established / non-text</t>
        </is>
      </c>
      <c r="L418" t="inlineStr">
        <is>
          <t>No explicit version established; modified date is file metadata only</t>
        </is>
      </c>
      <c r="M418" t="inlineStr">
        <is>
          <t xml:space="preserve"> extracted pages/blocks/rows;  recipe keyword signals (not recipe count)</t>
        </is>
      </c>
    </row>
    <row r="419">
      <c r="B419" t="inlineStr">
        <is>
          <t>page-069.png</t>
        </is>
      </c>
      <c r="C419" t="inlineStr">
        <is>
          <t>E:\ohada saas\Focused projects\stoquify\what-next\bakery-booklet-2026-10-03\work\pages\page-069.png</t>
        </is>
      </c>
      <c r="D419" t="inlineStr">
        <is>
          <t>.png</t>
        </is>
      </c>
      <c r="E419" t="inlineStr">
        <is>
          <t>2026-10-03T15:02:32.864250+00:00</t>
        </is>
      </c>
      <c r="F419" t="inlineStr">
        <is>
          <t>199192</t>
        </is>
      </c>
      <c r="H419" t="inlineStr">
        <is>
          <t>Generated work or software support file</t>
        </is>
      </c>
      <c r="I419" t="inlineStr">
        <is>
          <t>Filename screened</t>
        </is>
      </c>
      <c r="J419" t="inlineStr">
        <is>
          <t>No owner production trial log found</t>
        </is>
      </c>
      <c r="K419" t="inlineStr">
        <is>
          <t>Not established / non-text</t>
        </is>
      </c>
      <c r="L419" t="inlineStr">
        <is>
          <t>No explicit version established; modified date is file metadata only</t>
        </is>
      </c>
      <c r="M419" t="inlineStr">
        <is>
          <t xml:space="preserve"> extracted pages/blocks/rows;  recipe keyword signals (not recipe count)</t>
        </is>
      </c>
    </row>
    <row r="420">
      <c r="B420" t="inlineStr">
        <is>
          <t>page-070.png</t>
        </is>
      </c>
      <c r="C420" t="inlineStr">
        <is>
          <t>E:\ohada saas\Focused projects\stoquify\what-next\bakery-booklet-2026-10-03\work\pages\page-070.png</t>
        </is>
      </c>
      <c r="D420" t="inlineStr">
        <is>
          <t>.png</t>
        </is>
      </c>
      <c r="E420" t="inlineStr">
        <is>
          <t>2026-10-03T15:02:33.066764+00:00</t>
        </is>
      </c>
      <c r="F420" t="inlineStr">
        <is>
          <t>172774</t>
        </is>
      </c>
      <c r="H420" t="inlineStr">
        <is>
          <t>Generated work or software support file</t>
        </is>
      </c>
      <c r="I420" t="inlineStr">
        <is>
          <t>Filename screened</t>
        </is>
      </c>
      <c r="J420" t="inlineStr">
        <is>
          <t>No owner production trial log found</t>
        </is>
      </c>
      <c r="K420" t="inlineStr">
        <is>
          <t>Not established / non-text</t>
        </is>
      </c>
      <c r="L420" t="inlineStr">
        <is>
          <t>No explicit version established; modified date is file metadata only</t>
        </is>
      </c>
      <c r="M420" t="inlineStr">
        <is>
          <t xml:space="preserve"> extracted pages/blocks/rows;  recipe keyword signals (not recipe count)</t>
        </is>
      </c>
    </row>
    <row r="421">
      <c r="B421" t="inlineStr">
        <is>
          <t>page-071.png</t>
        </is>
      </c>
      <c r="C421" t="inlineStr">
        <is>
          <t>E:\ohada saas\Focused projects\stoquify\what-next\bakery-booklet-2026-10-03\work\pages\page-071.png</t>
        </is>
      </c>
      <c r="D421" t="inlineStr">
        <is>
          <t>.png</t>
        </is>
      </c>
      <c r="E421" t="inlineStr">
        <is>
          <t>2026-10-03T15:02:33.453885+00:00</t>
        </is>
      </c>
      <c r="F421" t="inlineStr">
        <is>
          <t>192304</t>
        </is>
      </c>
      <c r="H421" t="inlineStr">
        <is>
          <t>Generated work or software support file</t>
        </is>
      </c>
      <c r="I421" t="inlineStr">
        <is>
          <t>Filename screened</t>
        </is>
      </c>
      <c r="J421" t="inlineStr">
        <is>
          <t>No owner production trial log found</t>
        </is>
      </c>
      <c r="K421" t="inlineStr">
        <is>
          <t>Not established / non-text</t>
        </is>
      </c>
      <c r="L421" t="inlineStr">
        <is>
          <t>No explicit version established; modified date is file metadata only</t>
        </is>
      </c>
      <c r="M421" t="inlineStr">
        <is>
          <t xml:space="preserve"> extracted pages/blocks/rows;  recipe keyword signals (not recipe count)</t>
        </is>
      </c>
    </row>
    <row r="422">
      <c r="B422" t="inlineStr">
        <is>
          <t>page-072.png</t>
        </is>
      </c>
      <c r="C422" t="inlineStr">
        <is>
          <t>E:\ohada saas\Focused projects\stoquify\what-next\bakery-booklet-2026-10-03\work\pages\page-072.png</t>
        </is>
      </c>
      <c r="D422" t="inlineStr">
        <is>
          <t>.png</t>
        </is>
      </c>
      <c r="E422" t="inlineStr">
        <is>
          <t>2026-10-03T15:02:33.735141+00:00</t>
        </is>
      </c>
      <c r="F422" t="inlineStr">
        <is>
          <t>176007</t>
        </is>
      </c>
      <c r="H422" t="inlineStr">
        <is>
          <t>Generated work or software support file</t>
        </is>
      </c>
      <c r="I422" t="inlineStr">
        <is>
          <t>Filename screened</t>
        </is>
      </c>
      <c r="J422" t="inlineStr">
        <is>
          <t>No owner production trial log found</t>
        </is>
      </c>
      <c r="K422" t="inlineStr">
        <is>
          <t>Not established / non-text</t>
        </is>
      </c>
      <c r="L422" t="inlineStr">
        <is>
          <t>No explicit version established; modified date is file metadata only</t>
        </is>
      </c>
      <c r="M422" t="inlineStr">
        <is>
          <t xml:space="preserve"> extracted pages/blocks/rows;  recipe keyword signals (not recipe count)</t>
        </is>
      </c>
    </row>
    <row r="423">
      <c r="B423" t="inlineStr">
        <is>
          <t>page-073.png</t>
        </is>
      </c>
      <c r="C423" t="inlineStr">
        <is>
          <t>E:\ohada saas\Focused projects\stoquify\what-next\bakery-booklet-2026-10-03\work\pages\page-073.png</t>
        </is>
      </c>
      <c r="D423" t="inlineStr">
        <is>
          <t>.png</t>
        </is>
      </c>
      <c r="E423" t="inlineStr">
        <is>
          <t>2026-10-03T15:02:33.900474+00:00</t>
        </is>
      </c>
      <c r="F423" t="inlineStr">
        <is>
          <t>211704</t>
        </is>
      </c>
      <c r="H423" t="inlineStr">
        <is>
          <t>Generated work or software support file</t>
        </is>
      </c>
      <c r="I423" t="inlineStr">
        <is>
          <t>Filename screened</t>
        </is>
      </c>
      <c r="J423" t="inlineStr">
        <is>
          <t>No owner production trial log found</t>
        </is>
      </c>
      <c r="K423" t="inlineStr">
        <is>
          <t>Not established / non-text</t>
        </is>
      </c>
      <c r="L423" t="inlineStr">
        <is>
          <t>No explicit version established; modified date is file metadata only</t>
        </is>
      </c>
      <c r="M423" t="inlineStr">
        <is>
          <t xml:space="preserve"> extracted pages/blocks/rows;  recipe keyword signals (not recipe count)</t>
        </is>
      </c>
    </row>
    <row r="424">
      <c r="B424" t="inlineStr">
        <is>
          <t>page-074.png</t>
        </is>
      </c>
      <c r="C424" t="inlineStr">
        <is>
          <t>E:\ohada saas\Focused projects\stoquify\what-next\bakery-booklet-2026-10-03\work\pages\page-074.png</t>
        </is>
      </c>
      <c r="D424" t="inlineStr">
        <is>
          <t>.png</t>
        </is>
      </c>
      <c r="E424" t="inlineStr">
        <is>
          <t>2026-10-03T15:02:34.082991+00:00</t>
        </is>
      </c>
      <c r="F424" t="inlineStr">
        <is>
          <t>200757</t>
        </is>
      </c>
      <c r="H424" t="inlineStr">
        <is>
          <t>Generated work or software support file</t>
        </is>
      </c>
      <c r="I424" t="inlineStr">
        <is>
          <t>Filename screened</t>
        </is>
      </c>
      <c r="J424" t="inlineStr">
        <is>
          <t>No owner production trial log found</t>
        </is>
      </c>
      <c r="K424" t="inlineStr">
        <is>
          <t>Not established / non-text</t>
        </is>
      </c>
      <c r="L424" t="inlineStr">
        <is>
          <t>No explicit version established; modified date is file metadata only</t>
        </is>
      </c>
      <c r="M424" t="inlineStr">
        <is>
          <t xml:space="preserve"> extracted pages/blocks/rows;  recipe keyword signals (not recipe count)</t>
        </is>
      </c>
    </row>
    <row r="425">
      <c r="B425" t="inlineStr">
        <is>
          <t>page-075.png</t>
        </is>
      </c>
      <c r="C425" t="inlineStr">
        <is>
          <t>E:\ohada saas\Focused projects\stoquify\what-next\bakery-booklet-2026-10-03\work\pages\page-075.png</t>
        </is>
      </c>
      <c r="D425" t="inlineStr">
        <is>
          <t>.png</t>
        </is>
      </c>
      <c r="E425" t="inlineStr">
        <is>
          <t>2026-10-03T15:02:34.297379+00:00</t>
        </is>
      </c>
      <c r="F425" t="inlineStr">
        <is>
          <t>207149</t>
        </is>
      </c>
      <c r="H425" t="inlineStr">
        <is>
          <t>Generated work or software support file</t>
        </is>
      </c>
      <c r="I425" t="inlineStr">
        <is>
          <t>Filename screened</t>
        </is>
      </c>
      <c r="J425" t="inlineStr">
        <is>
          <t>No owner production trial log found</t>
        </is>
      </c>
      <c r="K425" t="inlineStr">
        <is>
          <t>Not established / non-text</t>
        </is>
      </c>
      <c r="L425" t="inlineStr">
        <is>
          <t>No explicit version established; modified date is file metadata only</t>
        </is>
      </c>
      <c r="M425" t="inlineStr">
        <is>
          <t xml:space="preserve"> extracted pages/blocks/rows;  recipe keyword signals (not recipe count)</t>
        </is>
      </c>
    </row>
    <row r="426">
      <c r="B426" t="inlineStr">
        <is>
          <t>page-076.png</t>
        </is>
      </c>
      <c r="C426" t="inlineStr">
        <is>
          <t>E:\ohada saas\Focused projects\stoquify\what-next\bakery-booklet-2026-10-03\work\pages\page-076.png</t>
        </is>
      </c>
      <c r="D426" t="inlineStr">
        <is>
          <t>.png</t>
        </is>
      </c>
      <c r="E426" t="inlineStr">
        <is>
          <t>2026-10-03T15:02:34.586290+00:00</t>
        </is>
      </c>
      <c r="F426" t="inlineStr">
        <is>
          <t>228628</t>
        </is>
      </c>
      <c r="H426" t="inlineStr">
        <is>
          <t>Generated work or software support file</t>
        </is>
      </c>
      <c r="I426" t="inlineStr">
        <is>
          <t>Filename screened</t>
        </is>
      </c>
      <c r="J426" t="inlineStr">
        <is>
          <t>No owner production trial log found</t>
        </is>
      </c>
      <c r="K426" t="inlineStr">
        <is>
          <t>Not established / non-text</t>
        </is>
      </c>
      <c r="L426" t="inlineStr">
        <is>
          <t>No explicit version established; modified date is file metadata only</t>
        </is>
      </c>
      <c r="M426" t="inlineStr">
        <is>
          <t xml:space="preserve"> extracted pages/blocks/rows;  recipe keyword signals (not recipe count)</t>
        </is>
      </c>
    </row>
    <row r="427">
      <c r="B427" t="inlineStr">
        <is>
          <t>page-077.png</t>
        </is>
      </c>
      <c r="C427" t="inlineStr">
        <is>
          <t>E:\ohada saas\Focused projects\stoquify\what-next\bakery-booklet-2026-10-03\work\pages\page-077.png</t>
        </is>
      </c>
      <c r="D427" t="inlineStr">
        <is>
          <t>.png</t>
        </is>
      </c>
      <c r="E427" t="inlineStr">
        <is>
          <t>2026-10-03T15:02:34.749304+00:00</t>
        </is>
      </c>
      <c r="F427" t="inlineStr">
        <is>
          <t>217349</t>
        </is>
      </c>
      <c r="H427" t="inlineStr">
        <is>
          <t>Generated work or software support file</t>
        </is>
      </c>
      <c r="I427" t="inlineStr">
        <is>
          <t>Filename screened</t>
        </is>
      </c>
      <c r="J427" t="inlineStr">
        <is>
          <t>No owner production trial log found</t>
        </is>
      </c>
      <c r="K427" t="inlineStr">
        <is>
          <t>Not established / non-text</t>
        </is>
      </c>
      <c r="L427" t="inlineStr">
        <is>
          <t>No explicit version established; modified date is file metadata only</t>
        </is>
      </c>
      <c r="M427" t="inlineStr">
        <is>
          <t xml:space="preserve"> extracted pages/blocks/rows;  recipe keyword signals (not recipe count)</t>
        </is>
      </c>
    </row>
    <row r="428">
      <c r="B428" t="inlineStr">
        <is>
          <t>page-078.png</t>
        </is>
      </c>
      <c r="C428" t="inlineStr">
        <is>
          <t>E:\ohada saas\Focused projects\stoquify\what-next\bakery-booklet-2026-10-03\work\pages\page-078.png</t>
        </is>
      </c>
      <c r="D428" t="inlineStr">
        <is>
          <t>.png</t>
        </is>
      </c>
      <c r="E428" t="inlineStr">
        <is>
          <t>2026-10-03T15:02:34.870995+00:00</t>
        </is>
      </c>
      <c r="F428" t="inlineStr">
        <is>
          <t>134993</t>
        </is>
      </c>
      <c r="H428" t="inlineStr">
        <is>
          <t>Generated work or software support file</t>
        </is>
      </c>
      <c r="I428" t="inlineStr">
        <is>
          <t>Filename screened</t>
        </is>
      </c>
      <c r="J428" t="inlineStr">
        <is>
          <t>No owner production trial log found</t>
        </is>
      </c>
      <c r="K428" t="inlineStr">
        <is>
          <t>Not established / non-text</t>
        </is>
      </c>
      <c r="L428" t="inlineStr">
        <is>
          <t>No explicit version established; modified date is file metadata only</t>
        </is>
      </c>
      <c r="M428" t="inlineStr">
        <is>
          <t xml:space="preserve"> extracted pages/blocks/rows;  recipe keyword signals (not recipe count)</t>
        </is>
      </c>
    </row>
    <row r="429">
      <c r="B429" t="inlineStr">
        <is>
          <t>page-079.png</t>
        </is>
      </c>
      <c r="C429" t="inlineStr">
        <is>
          <t>E:\ohada saas\Focused projects\stoquify\what-next\bakery-booklet-2026-10-03\work\pages\page-079.png</t>
        </is>
      </c>
      <c r="D429" t="inlineStr">
        <is>
          <t>.png</t>
        </is>
      </c>
      <c r="E429" t="inlineStr">
        <is>
          <t>2026-10-03T15:02:35.059779+00:00</t>
        </is>
      </c>
      <c r="F429" t="inlineStr">
        <is>
          <t>219590</t>
        </is>
      </c>
      <c r="H429" t="inlineStr">
        <is>
          <t>Generated work or software support file</t>
        </is>
      </c>
      <c r="I429" t="inlineStr">
        <is>
          <t>Filename screened</t>
        </is>
      </c>
      <c r="J429" t="inlineStr">
        <is>
          <t>No owner production trial log found</t>
        </is>
      </c>
      <c r="K429" t="inlineStr">
        <is>
          <t>Not established / non-text</t>
        </is>
      </c>
      <c r="L429" t="inlineStr">
        <is>
          <t>No explicit version established; modified date is file metadata only</t>
        </is>
      </c>
      <c r="M429" t="inlineStr">
        <is>
          <t xml:space="preserve"> extracted pages/blocks/rows;  recipe keyword signals (not recipe count)</t>
        </is>
      </c>
    </row>
    <row r="430">
      <c r="B430" t="inlineStr">
        <is>
          <t>page-080.png</t>
        </is>
      </c>
      <c r="C430" t="inlineStr">
        <is>
          <t>E:\ohada saas\Focused projects\stoquify\what-next\bakery-booklet-2026-10-03\work\pages\page-080.png</t>
        </is>
      </c>
      <c r="D430" t="inlineStr">
        <is>
          <t>.png</t>
        </is>
      </c>
      <c r="E430" t="inlineStr">
        <is>
          <t>2026-10-03T15:02:35.257914+00:00</t>
        </is>
      </c>
      <c r="F430" t="inlineStr">
        <is>
          <t>225979</t>
        </is>
      </c>
      <c r="H430" t="inlineStr">
        <is>
          <t>Generated work or software support file</t>
        </is>
      </c>
      <c r="I430" t="inlineStr">
        <is>
          <t>Filename screened</t>
        </is>
      </c>
      <c r="J430" t="inlineStr">
        <is>
          <t>No owner production trial log found</t>
        </is>
      </c>
      <c r="K430" t="inlineStr">
        <is>
          <t>Not established / non-text</t>
        </is>
      </c>
      <c r="L430" t="inlineStr">
        <is>
          <t>No explicit version established; modified date is file metadata only</t>
        </is>
      </c>
      <c r="M430" t="inlineStr">
        <is>
          <t xml:space="preserve"> extracted pages/blocks/rows;  recipe keyword signals (not recipe count)</t>
        </is>
      </c>
    </row>
    <row r="431">
      <c r="B431" t="inlineStr">
        <is>
          <t>page-081.png</t>
        </is>
      </c>
      <c r="C431" t="inlineStr">
        <is>
          <t>E:\ohada saas\Focused projects\stoquify\what-next\bakery-booklet-2026-10-03\work\pages\page-081.png</t>
        </is>
      </c>
      <c r="D431" t="inlineStr">
        <is>
          <t>.png</t>
        </is>
      </c>
      <c r="E431" t="inlineStr">
        <is>
          <t>2026-10-03T15:02:35.415581+00:00</t>
        </is>
      </c>
      <c r="F431" t="inlineStr">
        <is>
          <t>210673</t>
        </is>
      </c>
      <c r="H431" t="inlineStr">
        <is>
          <t>Generated work or software support file</t>
        </is>
      </c>
      <c r="I431" t="inlineStr">
        <is>
          <t>Filename screened</t>
        </is>
      </c>
      <c r="J431" t="inlineStr">
        <is>
          <t>No owner production trial log found</t>
        </is>
      </c>
      <c r="K431" t="inlineStr">
        <is>
          <t>Not established / non-text</t>
        </is>
      </c>
      <c r="L431" t="inlineStr">
        <is>
          <t>No explicit version established; modified date is file metadata only</t>
        </is>
      </c>
      <c r="M431" t="inlineStr">
        <is>
          <t xml:space="preserve"> extracted pages/blocks/rows;  recipe keyword signals (not recipe count)</t>
        </is>
      </c>
    </row>
    <row r="432">
      <c r="B432" t="inlineStr">
        <is>
          <t>page-082.png</t>
        </is>
      </c>
      <c r="C432" t="inlineStr">
        <is>
          <t>E:\ohada saas\Focused projects\stoquify\what-next\bakery-booklet-2026-10-03\work\pages\page-082.png</t>
        </is>
      </c>
      <c r="D432" t="inlineStr">
        <is>
          <t>.png</t>
        </is>
      </c>
      <c r="E432" t="inlineStr">
        <is>
          <t>2026-10-03T15:02:35.585614+00:00</t>
        </is>
      </c>
      <c r="F432" t="inlineStr">
        <is>
          <t>192744</t>
        </is>
      </c>
      <c r="H432" t="inlineStr">
        <is>
          <t>Generated work or software support file</t>
        </is>
      </c>
      <c r="I432" t="inlineStr">
        <is>
          <t>Filename screened</t>
        </is>
      </c>
      <c r="J432" t="inlineStr">
        <is>
          <t>No owner production trial log found</t>
        </is>
      </c>
      <c r="K432" t="inlineStr">
        <is>
          <t>Not established / non-text</t>
        </is>
      </c>
      <c r="L432" t="inlineStr">
        <is>
          <t>No explicit version established; modified date is file metadata only</t>
        </is>
      </c>
      <c r="M432" t="inlineStr">
        <is>
          <t xml:space="preserve"> extracted pages/blocks/rows;  recipe keyword signals (not recipe count)</t>
        </is>
      </c>
    </row>
    <row r="433">
      <c r="B433" t="inlineStr">
        <is>
          <t>page-083.png</t>
        </is>
      </c>
      <c r="C433" t="inlineStr">
        <is>
          <t>E:\ohada saas\Focused projects\stoquify\what-next\bakery-booklet-2026-10-03\work\pages\page-083.png</t>
        </is>
      </c>
      <c r="D433" t="inlineStr">
        <is>
          <t>.png</t>
        </is>
      </c>
      <c r="E433" t="inlineStr">
        <is>
          <t>2026-10-03T15:02:35.892900+00:00</t>
        </is>
      </c>
      <c r="F433" t="inlineStr">
        <is>
          <t>190432</t>
        </is>
      </c>
      <c r="H433" t="inlineStr">
        <is>
          <t>Generated work or software support file</t>
        </is>
      </c>
      <c r="I433" t="inlineStr">
        <is>
          <t>Filename screened</t>
        </is>
      </c>
      <c r="J433" t="inlineStr">
        <is>
          <t>No owner production trial log found</t>
        </is>
      </c>
      <c r="K433" t="inlineStr">
        <is>
          <t>Not established / non-text</t>
        </is>
      </c>
      <c r="L433" t="inlineStr">
        <is>
          <t>No explicit version established; modified date is file metadata only</t>
        </is>
      </c>
      <c r="M433" t="inlineStr">
        <is>
          <t xml:space="preserve"> extracted pages/blocks/rows;  recipe keyword signals (not recipe count)</t>
        </is>
      </c>
    </row>
    <row r="434">
      <c r="B434" t="inlineStr">
        <is>
          <t>page-084.png</t>
        </is>
      </c>
      <c r="C434" t="inlineStr">
        <is>
          <t>E:\ohada saas\Focused projects\stoquify\what-next\bakery-booklet-2026-10-03\work\pages\page-084.png</t>
        </is>
      </c>
      <c r="D434" t="inlineStr">
        <is>
          <t>.png</t>
        </is>
      </c>
      <c r="E434" t="inlineStr">
        <is>
          <t>2026-10-03T15:02:36.135210+00:00</t>
        </is>
      </c>
      <c r="F434" t="inlineStr">
        <is>
          <t>223076</t>
        </is>
      </c>
      <c r="H434" t="inlineStr">
        <is>
          <t>Generated work or software support file</t>
        </is>
      </c>
      <c r="I434" t="inlineStr">
        <is>
          <t>Filename screened</t>
        </is>
      </c>
      <c r="J434" t="inlineStr">
        <is>
          <t>No owner production trial log found</t>
        </is>
      </c>
      <c r="K434" t="inlineStr">
        <is>
          <t>Not established / non-text</t>
        </is>
      </c>
      <c r="L434" t="inlineStr">
        <is>
          <t>No explicit version established; modified date is file metadata only</t>
        </is>
      </c>
      <c r="M434" t="inlineStr">
        <is>
          <t xml:space="preserve"> extracted pages/blocks/rows;  recipe keyword signals (not recipe count)</t>
        </is>
      </c>
    </row>
    <row r="435">
      <c r="B435" t="inlineStr">
        <is>
          <t>page-085.png</t>
        </is>
      </c>
      <c r="C435" t="inlineStr">
        <is>
          <t>E:\ohada saas\Focused projects\stoquify\what-next\bakery-booklet-2026-10-03\work\pages\page-085.png</t>
        </is>
      </c>
      <c r="D435" t="inlineStr">
        <is>
          <t>.png</t>
        </is>
      </c>
      <c r="E435" t="inlineStr">
        <is>
          <t>2026-10-03T15:02:36.321968+00:00</t>
        </is>
      </c>
      <c r="F435" t="inlineStr">
        <is>
          <t>183561</t>
        </is>
      </c>
      <c r="H435" t="inlineStr">
        <is>
          <t>Generated work or software support file</t>
        </is>
      </c>
      <c r="I435" t="inlineStr">
        <is>
          <t>Filename screened</t>
        </is>
      </c>
      <c r="J435" t="inlineStr">
        <is>
          <t>No owner production trial log found</t>
        </is>
      </c>
      <c r="K435" t="inlineStr">
        <is>
          <t>Not established / non-text</t>
        </is>
      </c>
      <c r="L435" t="inlineStr">
        <is>
          <t>No explicit version established; modified date is file metadata only</t>
        </is>
      </c>
      <c r="M435" t="inlineStr">
        <is>
          <t xml:space="preserve"> extracted pages/blocks/rows;  recipe keyword signals (not recipe count)</t>
        </is>
      </c>
    </row>
    <row r="436">
      <c r="B436" t="inlineStr">
        <is>
          <t>page-086.png</t>
        </is>
      </c>
      <c r="C436" t="inlineStr">
        <is>
          <t>E:\ohada saas\Focused projects\stoquify\what-next\bakery-booklet-2026-10-03\work\pages\page-086.png</t>
        </is>
      </c>
      <c r="D436" t="inlineStr">
        <is>
          <t>.png</t>
        </is>
      </c>
      <c r="E436" t="inlineStr">
        <is>
          <t>2026-10-03T15:02:36.505375+00:00</t>
        </is>
      </c>
      <c r="F436" t="inlineStr">
        <is>
          <t>176942</t>
        </is>
      </c>
      <c r="H436" t="inlineStr">
        <is>
          <t>Generated work or software support file</t>
        </is>
      </c>
      <c r="I436" t="inlineStr">
        <is>
          <t>Filename screened</t>
        </is>
      </c>
      <c r="J436" t="inlineStr">
        <is>
          <t>No owner production trial log found</t>
        </is>
      </c>
      <c r="K436" t="inlineStr">
        <is>
          <t>Not established / non-text</t>
        </is>
      </c>
      <c r="L436" t="inlineStr">
        <is>
          <t>No explicit version established; modified date is file metadata only</t>
        </is>
      </c>
      <c r="M436" t="inlineStr">
        <is>
          <t xml:space="preserve"> extracted pages/blocks/rows;  recipe keyword signals (not recipe count)</t>
        </is>
      </c>
    </row>
    <row r="437">
      <c r="B437" t="inlineStr">
        <is>
          <t>page-087.png</t>
        </is>
      </c>
      <c r="C437" t="inlineStr">
        <is>
          <t>E:\ohada saas\Focused projects\stoquify\what-next\bakery-booklet-2026-10-03\work\pages\page-087.png</t>
        </is>
      </c>
      <c r="D437" t="inlineStr">
        <is>
          <t>.png</t>
        </is>
      </c>
      <c r="E437" t="inlineStr">
        <is>
          <t>2026-10-03T15:02:36.745866+00:00</t>
        </is>
      </c>
      <c r="F437" t="inlineStr">
        <is>
          <t>248177</t>
        </is>
      </c>
      <c r="H437" t="inlineStr">
        <is>
          <t>Generated work or software support file</t>
        </is>
      </c>
      <c r="I437" t="inlineStr">
        <is>
          <t>Filename screened</t>
        </is>
      </c>
      <c r="J437" t="inlineStr">
        <is>
          <t>No owner production trial log found</t>
        </is>
      </c>
      <c r="K437" t="inlineStr">
        <is>
          <t>Not established / non-text</t>
        </is>
      </c>
      <c r="L437" t="inlineStr">
        <is>
          <t>No explicit version established; modified date is file metadata only</t>
        </is>
      </c>
      <c r="M437" t="inlineStr">
        <is>
          <t xml:space="preserve"> extracted pages/blocks/rows;  recipe keyword signals (not recipe count)</t>
        </is>
      </c>
    </row>
    <row r="438">
      <c r="B438" t="inlineStr">
        <is>
          <t>page-088.png</t>
        </is>
      </c>
      <c r="C438" t="inlineStr">
        <is>
          <t>E:\ohada saas\Focused projects\stoquify\what-next\bakery-booklet-2026-10-03\work\pages\page-088.png</t>
        </is>
      </c>
      <c r="D438" t="inlineStr">
        <is>
          <t>.png</t>
        </is>
      </c>
      <c r="E438" t="inlineStr">
        <is>
          <t>2026-10-03T15:02:36.930736+00:00</t>
        </is>
      </c>
      <c r="F438" t="inlineStr">
        <is>
          <t>200962</t>
        </is>
      </c>
      <c r="H438" t="inlineStr">
        <is>
          <t>Generated work or software support file</t>
        </is>
      </c>
      <c r="I438" t="inlineStr">
        <is>
          <t>Filename screened</t>
        </is>
      </c>
      <c r="J438" t="inlineStr">
        <is>
          <t>No owner production trial log found</t>
        </is>
      </c>
      <c r="K438" t="inlineStr">
        <is>
          <t>Not established / non-text</t>
        </is>
      </c>
      <c r="L438" t="inlineStr">
        <is>
          <t>No explicit version established; modified date is file metadata only</t>
        </is>
      </c>
      <c r="M438" t="inlineStr">
        <is>
          <t xml:space="preserve"> extracted pages/blocks/rows;  recipe keyword signals (not recipe count)</t>
        </is>
      </c>
    </row>
    <row r="439">
      <c r="B439" t="inlineStr">
        <is>
          <t>page-089.png</t>
        </is>
      </c>
      <c r="C439" t="inlineStr">
        <is>
          <t>E:\ohada saas\Focused projects\stoquify\what-next\bakery-booklet-2026-10-03\work\pages\page-089.png</t>
        </is>
      </c>
      <c r="D439" t="inlineStr">
        <is>
          <t>.png</t>
        </is>
      </c>
      <c r="E439" t="inlineStr">
        <is>
          <t>2026-10-03T15:02:37.136648+00:00</t>
        </is>
      </c>
      <c r="F439" t="inlineStr">
        <is>
          <t>186118</t>
        </is>
      </c>
      <c r="H439" t="inlineStr">
        <is>
          <t>Generated work or software support file</t>
        </is>
      </c>
      <c r="I439" t="inlineStr">
        <is>
          <t>Filename screened</t>
        </is>
      </c>
      <c r="J439" t="inlineStr">
        <is>
          <t>No owner production trial log found</t>
        </is>
      </c>
      <c r="K439" t="inlineStr">
        <is>
          <t>Not established / non-text</t>
        </is>
      </c>
      <c r="L439" t="inlineStr">
        <is>
          <t>No explicit version established; modified date is file metadata only</t>
        </is>
      </c>
      <c r="M439" t="inlineStr">
        <is>
          <t xml:space="preserve"> extracted pages/blocks/rows;  recipe keyword signals (not recipe count)</t>
        </is>
      </c>
    </row>
    <row r="440">
      <c r="B440" t="inlineStr">
        <is>
          <t>page-090.png</t>
        </is>
      </c>
      <c r="C440" t="inlineStr">
        <is>
          <t>E:\ohada saas\Focused projects\stoquify\what-next\bakery-booklet-2026-10-03\work\pages\page-090.png</t>
        </is>
      </c>
      <c r="D440" t="inlineStr">
        <is>
          <t>.png</t>
        </is>
      </c>
      <c r="E440" t="inlineStr">
        <is>
          <t>2026-10-03T15:02:37.429286+00:00</t>
        </is>
      </c>
      <c r="F440" t="inlineStr">
        <is>
          <t>219407</t>
        </is>
      </c>
      <c r="H440" t="inlineStr">
        <is>
          <t>Generated work or software support file</t>
        </is>
      </c>
      <c r="I440" t="inlineStr">
        <is>
          <t>Filename screened</t>
        </is>
      </c>
      <c r="J440" t="inlineStr">
        <is>
          <t>No owner production trial log found</t>
        </is>
      </c>
      <c r="K440" t="inlineStr">
        <is>
          <t>Not established / non-text</t>
        </is>
      </c>
      <c r="L440" t="inlineStr">
        <is>
          <t>No explicit version established; modified date is file metadata only</t>
        </is>
      </c>
      <c r="M440" t="inlineStr">
        <is>
          <t xml:space="preserve"> extracted pages/blocks/rows;  recipe keyword signals (not recipe count)</t>
        </is>
      </c>
    </row>
    <row r="441">
      <c r="B441" t="inlineStr">
        <is>
          <t>page-091.png</t>
        </is>
      </c>
      <c r="C441" t="inlineStr">
        <is>
          <t>E:\ohada saas\Focused projects\stoquify\what-next\bakery-booklet-2026-10-03\work\pages\page-091.png</t>
        </is>
      </c>
      <c r="D441" t="inlineStr">
        <is>
          <t>.png</t>
        </is>
      </c>
      <c r="E441" t="inlineStr">
        <is>
          <t>2026-10-03T15:02:37.629826+00:00</t>
        </is>
      </c>
      <c r="F441" t="inlineStr">
        <is>
          <t>207596</t>
        </is>
      </c>
      <c r="H441" t="inlineStr">
        <is>
          <t>Generated work or software support file</t>
        </is>
      </c>
      <c r="I441" t="inlineStr">
        <is>
          <t>Filename screened</t>
        </is>
      </c>
      <c r="J441" t="inlineStr">
        <is>
          <t>No owner production trial log found</t>
        </is>
      </c>
      <c r="K441" t="inlineStr">
        <is>
          <t>Not established / non-text</t>
        </is>
      </c>
      <c r="L441" t="inlineStr">
        <is>
          <t>No explicit version established; modified date is file metadata only</t>
        </is>
      </c>
      <c r="M441" t="inlineStr">
        <is>
          <t xml:space="preserve"> extracted pages/blocks/rows;  recipe keyword signals (not recipe count)</t>
        </is>
      </c>
    </row>
    <row r="442">
      <c r="B442" t="inlineStr">
        <is>
          <t>page-092.png</t>
        </is>
      </c>
      <c r="C442" t="inlineStr">
        <is>
          <t>E:\ohada saas\Focused projects\stoquify\what-next\bakery-booklet-2026-10-03\work\pages\page-092.png</t>
        </is>
      </c>
      <c r="D442" t="inlineStr">
        <is>
          <t>.png</t>
        </is>
      </c>
      <c r="E442" t="inlineStr">
        <is>
          <t>2026-10-03T15:02:37.805036+00:00</t>
        </is>
      </c>
      <c r="F442" t="inlineStr">
        <is>
          <t>203464</t>
        </is>
      </c>
      <c r="H442" t="inlineStr">
        <is>
          <t>Generated work or software support file</t>
        </is>
      </c>
      <c r="I442" t="inlineStr">
        <is>
          <t>Filename screened</t>
        </is>
      </c>
      <c r="J442" t="inlineStr">
        <is>
          <t>No owner production trial log found</t>
        </is>
      </c>
      <c r="K442" t="inlineStr">
        <is>
          <t>Not established / non-text</t>
        </is>
      </c>
      <c r="L442" t="inlineStr">
        <is>
          <t>No explicit version established; modified date is file metadata only</t>
        </is>
      </c>
      <c r="M442" t="inlineStr">
        <is>
          <t xml:space="preserve"> extracted pages/blocks/rows;  recipe keyword signals (not recipe count)</t>
        </is>
      </c>
    </row>
    <row r="443">
      <c r="B443" t="inlineStr">
        <is>
          <t>page-093.png</t>
        </is>
      </c>
      <c r="C443" t="inlineStr">
        <is>
          <t>E:\ohada saas\Focused projects\stoquify\what-next\bakery-booklet-2026-10-03\work\pages\page-093.png</t>
        </is>
      </c>
      <c r="D443" t="inlineStr">
        <is>
          <t>.png</t>
        </is>
      </c>
      <c r="E443" t="inlineStr">
        <is>
          <t>2026-10-03T15:02:38.010693+00:00</t>
        </is>
      </c>
      <c r="F443" t="inlineStr">
        <is>
          <t>155575</t>
        </is>
      </c>
      <c r="H443" t="inlineStr">
        <is>
          <t>Generated work or software support file</t>
        </is>
      </c>
      <c r="I443" t="inlineStr">
        <is>
          <t>Filename screened</t>
        </is>
      </c>
      <c r="J443" t="inlineStr">
        <is>
          <t>No owner production trial log found</t>
        </is>
      </c>
      <c r="K443" t="inlineStr">
        <is>
          <t>Not established / non-text</t>
        </is>
      </c>
      <c r="L443" t="inlineStr">
        <is>
          <t>No explicit version established; modified date is file metadata only</t>
        </is>
      </c>
      <c r="M443" t="inlineStr">
        <is>
          <t xml:space="preserve"> extracted pages/blocks/rows;  recipe keyword signals (not recipe count)</t>
        </is>
      </c>
    </row>
    <row r="444">
      <c r="B444" t="inlineStr">
        <is>
          <t>page-094.png</t>
        </is>
      </c>
      <c r="C444" t="inlineStr">
        <is>
          <t>E:\ohada saas\Focused projects\stoquify\what-next\bakery-booklet-2026-10-03\work\pages\page-094.png</t>
        </is>
      </c>
      <c r="D444" t="inlineStr">
        <is>
          <t>.png</t>
        </is>
      </c>
      <c r="E444" t="inlineStr">
        <is>
          <t>2026-10-03T15:02:38.335742+00:00</t>
        </is>
      </c>
      <c r="F444" t="inlineStr">
        <is>
          <t>222192</t>
        </is>
      </c>
      <c r="H444" t="inlineStr">
        <is>
          <t>Generated work or software support file</t>
        </is>
      </c>
      <c r="I444" t="inlineStr">
        <is>
          <t>Filename screened</t>
        </is>
      </c>
      <c r="J444" t="inlineStr">
        <is>
          <t>No owner production trial log found</t>
        </is>
      </c>
      <c r="K444" t="inlineStr">
        <is>
          <t>Not established / non-text</t>
        </is>
      </c>
      <c r="L444" t="inlineStr">
        <is>
          <t>No explicit version established; modified date is file metadata only</t>
        </is>
      </c>
      <c r="M444" t="inlineStr">
        <is>
          <t xml:space="preserve"> extracted pages/blocks/rows;  recipe keyword signals (not recipe count)</t>
        </is>
      </c>
    </row>
    <row r="445">
      <c r="B445" t="inlineStr">
        <is>
          <t>page-095.png</t>
        </is>
      </c>
      <c r="C445" t="inlineStr">
        <is>
          <t>E:\ohada saas\Focused projects\stoquify\what-next\bakery-booklet-2026-10-03\work\pages\page-095.png</t>
        </is>
      </c>
      <c r="D445" t="inlineStr">
        <is>
          <t>.png</t>
        </is>
      </c>
      <c r="E445" t="inlineStr">
        <is>
          <t>2026-10-03T15:02:38.509251+00:00</t>
        </is>
      </c>
      <c r="F445" t="inlineStr">
        <is>
          <t>192034</t>
        </is>
      </c>
      <c r="H445" t="inlineStr">
        <is>
          <t>Generated work or software support file</t>
        </is>
      </c>
      <c r="I445" t="inlineStr">
        <is>
          <t>Filename screened</t>
        </is>
      </c>
      <c r="J445" t="inlineStr">
        <is>
          <t>No owner production trial log found</t>
        </is>
      </c>
      <c r="K445" t="inlineStr">
        <is>
          <t>Not established / non-text</t>
        </is>
      </c>
      <c r="L445" t="inlineStr">
        <is>
          <t>No explicit version established; modified date is file metadata only</t>
        </is>
      </c>
      <c r="M445" t="inlineStr">
        <is>
          <t xml:space="preserve"> extracted pages/blocks/rows;  recipe keyword signals (not recipe count)</t>
        </is>
      </c>
    </row>
    <row r="446">
      <c r="B446" t="inlineStr">
        <is>
          <t>page-096.png</t>
        </is>
      </c>
      <c r="C446" t="inlineStr">
        <is>
          <t>E:\ohada saas\Focused projects\stoquify\what-next\bakery-booklet-2026-10-03\work\pages\page-096.png</t>
        </is>
      </c>
      <c r="D446" t="inlineStr">
        <is>
          <t>.png</t>
        </is>
      </c>
      <c r="E446" t="inlineStr">
        <is>
          <t>2026-10-03T15:02:38.817800+00:00</t>
        </is>
      </c>
      <c r="F446" t="inlineStr">
        <is>
          <t>158690</t>
        </is>
      </c>
      <c r="H446" t="inlineStr">
        <is>
          <t>Generated work or software support file</t>
        </is>
      </c>
      <c r="I446" t="inlineStr">
        <is>
          <t>Filename screened</t>
        </is>
      </c>
      <c r="J446" t="inlineStr">
        <is>
          <t>No owner production trial log found</t>
        </is>
      </c>
      <c r="K446" t="inlineStr">
        <is>
          <t>Not established / non-text</t>
        </is>
      </c>
      <c r="L446" t="inlineStr">
        <is>
          <t>No explicit version established; modified date is file metadata only</t>
        </is>
      </c>
      <c r="M446" t="inlineStr">
        <is>
          <t xml:space="preserve"> extracted pages/blocks/rows;  recipe keyword signals (not recipe count)</t>
        </is>
      </c>
    </row>
    <row r="447">
      <c r="B447" t="inlineStr">
        <is>
          <t>page-097.png</t>
        </is>
      </c>
      <c r="C447" t="inlineStr">
        <is>
          <t>E:\ohada saas\Focused projects\stoquify\what-next\bakery-booklet-2026-10-03\work\pages\page-097.png</t>
        </is>
      </c>
      <c r="D447" t="inlineStr">
        <is>
          <t>.png</t>
        </is>
      </c>
      <c r="E447" t="inlineStr">
        <is>
          <t>2026-10-03T15:02:39.030911+00:00</t>
        </is>
      </c>
      <c r="F447" t="inlineStr">
        <is>
          <t>245479</t>
        </is>
      </c>
      <c r="H447" t="inlineStr">
        <is>
          <t>Generated work or software support file</t>
        </is>
      </c>
      <c r="I447" t="inlineStr">
        <is>
          <t>Filename screened</t>
        </is>
      </c>
      <c r="J447" t="inlineStr">
        <is>
          <t>No owner production trial log found</t>
        </is>
      </c>
      <c r="K447" t="inlineStr">
        <is>
          <t>Not established / non-text</t>
        </is>
      </c>
      <c r="L447" t="inlineStr">
        <is>
          <t>No explicit version established; modified date is file metadata only</t>
        </is>
      </c>
      <c r="M447" t="inlineStr">
        <is>
          <t xml:space="preserve"> extracted pages/blocks/rows;  recipe keyword signals (not recipe count)</t>
        </is>
      </c>
    </row>
    <row r="448">
      <c r="B448" t="inlineStr">
        <is>
          <t>page-098.png</t>
        </is>
      </c>
      <c r="C448" t="inlineStr">
        <is>
          <t>E:\ohada saas\Focused projects\stoquify\what-next\bakery-booklet-2026-10-03\work\pages\page-098.png</t>
        </is>
      </c>
      <c r="D448" t="inlineStr">
        <is>
          <t>.png</t>
        </is>
      </c>
      <c r="E448" t="inlineStr">
        <is>
          <t>2026-10-03T15:02:39.192210+00:00</t>
        </is>
      </c>
      <c r="F448" t="inlineStr">
        <is>
          <t>168292</t>
        </is>
      </c>
      <c r="H448" t="inlineStr">
        <is>
          <t>Generated work or software support file</t>
        </is>
      </c>
      <c r="I448" t="inlineStr">
        <is>
          <t>Filename screened</t>
        </is>
      </c>
      <c r="J448" t="inlineStr">
        <is>
          <t>No owner production trial log found</t>
        </is>
      </c>
      <c r="K448" t="inlineStr">
        <is>
          <t>Not established / non-text</t>
        </is>
      </c>
      <c r="L448" t="inlineStr">
        <is>
          <t>No explicit version established; modified date is file metadata only</t>
        </is>
      </c>
      <c r="M448" t="inlineStr">
        <is>
          <t xml:space="preserve"> extracted pages/blocks/rows;  recipe keyword signals (not recipe count)</t>
        </is>
      </c>
    </row>
    <row r="449">
      <c r="B449" t="inlineStr">
        <is>
          <t>page-099.png</t>
        </is>
      </c>
      <c r="C449" t="inlineStr">
        <is>
          <t>E:\ohada saas\Focused projects\stoquify\what-next\bakery-booklet-2026-10-03\work\pages\page-099.png</t>
        </is>
      </c>
      <c r="D449" t="inlineStr">
        <is>
          <t>.png</t>
        </is>
      </c>
      <c r="E449" t="inlineStr">
        <is>
          <t>2026-10-03T15:02:39.373496+00:00</t>
        </is>
      </c>
      <c r="F449" t="inlineStr">
        <is>
          <t>207605</t>
        </is>
      </c>
      <c r="H449" t="inlineStr">
        <is>
          <t>Generated work or software support file</t>
        </is>
      </c>
      <c r="I449" t="inlineStr">
        <is>
          <t>Filename screened</t>
        </is>
      </c>
      <c r="J449" t="inlineStr">
        <is>
          <t>No owner production trial log found</t>
        </is>
      </c>
      <c r="K449" t="inlineStr">
        <is>
          <t>Not established / non-text</t>
        </is>
      </c>
      <c r="L449" t="inlineStr">
        <is>
          <t>No explicit version established; modified date is file metadata only</t>
        </is>
      </c>
      <c r="M449" t="inlineStr">
        <is>
          <t xml:space="preserve"> extracted pages/blocks/rows;  recipe keyword signals (not recipe count)</t>
        </is>
      </c>
    </row>
    <row r="450">
      <c r="B450" t="inlineStr">
        <is>
          <t>page-100.png</t>
        </is>
      </c>
      <c r="C450" t="inlineStr">
        <is>
          <t>E:\ohada saas\Focused projects\stoquify\what-next\bakery-booklet-2026-10-03\work\pages\page-100.png</t>
        </is>
      </c>
      <c r="D450" t="inlineStr">
        <is>
          <t>.png</t>
        </is>
      </c>
      <c r="E450" t="inlineStr">
        <is>
          <t>2026-10-03T15:02:39.545244+00:00</t>
        </is>
      </c>
      <c r="F450" t="inlineStr">
        <is>
          <t>146934</t>
        </is>
      </c>
      <c r="H450" t="inlineStr">
        <is>
          <t>Generated work or software support file</t>
        </is>
      </c>
      <c r="I450" t="inlineStr">
        <is>
          <t>Filename screened</t>
        </is>
      </c>
      <c r="J450" t="inlineStr">
        <is>
          <t>No owner production trial log found</t>
        </is>
      </c>
      <c r="K450" t="inlineStr">
        <is>
          <t>Not established / non-text</t>
        </is>
      </c>
      <c r="L450" t="inlineStr">
        <is>
          <t>No explicit version established; modified date is file metadata only</t>
        </is>
      </c>
      <c r="M450" t="inlineStr">
        <is>
          <t xml:space="preserve"> extracted pages/blocks/rows;  recipe keyword signals (not recipe count)</t>
        </is>
      </c>
    </row>
    <row r="451">
      <c r="B451" t="inlineStr">
        <is>
          <t>page-101.png</t>
        </is>
      </c>
      <c r="C451" t="inlineStr">
        <is>
          <t>E:\ohada saas\Focused projects\stoquify\what-next\bakery-booklet-2026-10-03\work\pages\page-101.png</t>
        </is>
      </c>
      <c r="D451" t="inlineStr">
        <is>
          <t>.png</t>
        </is>
      </c>
      <c r="E451" t="inlineStr">
        <is>
          <t>2026-10-03T15:02:39.715033+00:00</t>
        </is>
      </c>
      <c r="F451" t="inlineStr">
        <is>
          <t>190375</t>
        </is>
      </c>
      <c r="H451" t="inlineStr">
        <is>
          <t>Generated work or software support file</t>
        </is>
      </c>
      <c r="I451" t="inlineStr">
        <is>
          <t>Filename screened</t>
        </is>
      </c>
      <c r="J451" t="inlineStr">
        <is>
          <t>No owner production trial log found</t>
        </is>
      </c>
      <c r="K451" t="inlineStr">
        <is>
          <t>Not established / non-text</t>
        </is>
      </c>
      <c r="L451" t="inlineStr">
        <is>
          <t>No explicit version established; modified date is file metadata only</t>
        </is>
      </c>
      <c r="M451" t="inlineStr">
        <is>
          <t xml:space="preserve"> extracted pages/blocks/rows;  recipe keyword signals (not recipe count)</t>
        </is>
      </c>
    </row>
    <row r="452">
      <c r="B452" t="inlineStr">
        <is>
          <t>page-102.png</t>
        </is>
      </c>
      <c r="C452" t="inlineStr">
        <is>
          <t>E:\ohada saas\Focused projects\stoquify\what-next\bakery-booklet-2026-10-03\work\pages\page-102.png</t>
        </is>
      </c>
      <c r="D452" t="inlineStr">
        <is>
          <t>.png</t>
        </is>
      </c>
      <c r="E452" t="inlineStr">
        <is>
          <t>2026-10-03T15:02:39.876444+00:00</t>
        </is>
      </c>
      <c r="F452" t="inlineStr">
        <is>
          <t>204401</t>
        </is>
      </c>
      <c r="H452" t="inlineStr">
        <is>
          <t>Generated work or software support file</t>
        </is>
      </c>
      <c r="I452" t="inlineStr">
        <is>
          <t>Filename screened</t>
        </is>
      </c>
      <c r="J452" t="inlineStr">
        <is>
          <t>No owner production trial log found</t>
        </is>
      </c>
      <c r="K452" t="inlineStr">
        <is>
          <t>Not established / non-text</t>
        </is>
      </c>
      <c r="L452" t="inlineStr">
        <is>
          <t>No explicit version established; modified date is file metadata only</t>
        </is>
      </c>
      <c r="M452" t="inlineStr">
        <is>
          <t xml:space="preserve"> extracted pages/blocks/rows;  recipe keyword signals (not recipe count)</t>
        </is>
      </c>
    </row>
    <row r="453">
      <c r="B453" t="inlineStr">
        <is>
          <t>page-103.png</t>
        </is>
      </c>
      <c r="C453" t="inlineStr">
        <is>
          <t>E:\ohada saas\Focused projects\stoquify\what-next\bakery-booklet-2026-10-03\work\pages\page-103.png</t>
        </is>
      </c>
      <c r="D453" t="inlineStr">
        <is>
          <t>.png</t>
        </is>
      </c>
      <c r="E453" t="inlineStr">
        <is>
          <t>2026-10-03T15:02:40.033055+00:00</t>
        </is>
      </c>
      <c r="F453" t="inlineStr">
        <is>
          <t>160380</t>
        </is>
      </c>
      <c r="H453" t="inlineStr">
        <is>
          <t>Generated work or software support file</t>
        </is>
      </c>
      <c r="I453" t="inlineStr">
        <is>
          <t>Filename screened</t>
        </is>
      </c>
      <c r="J453" t="inlineStr">
        <is>
          <t>No owner production trial log found</t>
        </is>
      </c>
      <c r="K453" t="inlineStr">
        <is>
          <t>Not established / non-text</t>
        </is>
      </c>
      <c r="L453" t="inlineStr">
        <is>
          <t>No explicit version established; modified date is file metadata only</t>
        </is>
      </c>
      <c r="M453" t="inlineStr">
        <is>
          <t xml:space="preserve"> extracted pages/blocks/rows;  recipe keyword signals (not recipe count)</t>
        </is>
      </c>
    </row>
    <row r="454">
      <c r="B454" t="inlineStr">
        <is>
          <t>page-104.png</t>
        </is>
      </c>
      <c r="C454" t="inlineStr">
        <is>
          <t>E:\ohada saas\Focused projects\stoquify\what-next\bakery-booklet-2026-10-03\work\pages\page-104.png</t>
        </is>
      </c>
      <c r="D454" t="inlineStr">
        <is>
          <t>.png</t>
        </is>
      </c>
      <c r="E454" t="inlineStr">
        <is>
          <t>2026-10-03T15:02:40.358707+00:00</t>
        </is>
      </c>
      <c r="F454" t="inlineStr">
        <is>
          <t>190398</t>
        </is>
      </c>
      <c r="H454" t="inlineStr">
        <is>
          <t>Generated work or software support file</t>
        </is>
      </c>
      <c r="I454" t="inlineStr">
        <is>
          <t>Filename screened</t>
        </is>
      </c>
      <c r="J454" t="inlineStr">
        <is>
          <t>No owner production trial log found</t>
        </is>
      </c>
      <c r="K454" t="inlineStr">
        <is>
          <t>Not established / non-text</t>
        </is>
      </c>
      <c r="L454" t="inlineStr">
        <is>
          <t>No explicit version established; modified date is file metadata only</t>
        </is>
      </c>
      <c r="M454" t="inlineStr">
        <is>
          <t xml:space="preserve"> extracted pages/blocks/rows;  recipe keyword signals (not recipe count)</t>
        </is>
      </c>
    </row>
    <row r="455">
      <c r="B455" t="inlineStr">
        <is>
          <t>page-105.png</t>
        </is>
      </c>
      <c r="C455" t="inlineStr">
        <is>
          <t>E:\ohada saas\Focused projects\stoquify\what-next\bakery-booklet-2026-10-03\work\pages\page-105.png</t>
        </is>
      </c>
      <c r="D455" t="inlineStr">
        <is>
          <t>.png</t>
        </is>
      </c>
      <c r="E455" t="inlineStr">
        <is>
          <t>2026-10-03T15:02:40.510804+00:00</t>
        </is>
      </c>
      <c r="F455" t="inlineStr">
        <is>
          <t>138340</t>
        </is>
      </c>
      <c r="H455" t="inlineStr">
        <is>
          <t>Generated work or software support file</t>
        </is>
      </c>
      <c r="I455" t="inlineStr">
        <is>
          <t>Filename screened</t>
        </is>
      </c>
      <c r="J455" t="inlineStr">
        <is>
          <t>No owner production trial log found</t>
        </is>
      </c>
      <c r="K455" t="inlineStr">
        <is>
          <t>Not established / non-text</t>
        </is>
      </c>
      <c r="L455" t="inlineStr">
        <is>
          <t>No explicit version established; modified date is file metadata only</t>
        </is>
      </c>
      <c r="M455" t="inlineStr">
        <is>
          <t xml:space="preserve"> extracted pages/blocks/rows;  recipe keyword signals (not recipe count)</t>
        </is>
      </c>
    </row>
    <row r="456">
      <c r="B456" t="inlineStr">
        <is>
          <t>page-106.png</t>
        </is>
      </c>
      <c r="C456" t="inlineStr">
        <is>
          <t>E:\ohada saas\Focused projects\stoquify\what-next\bakery-booklet-2026-10-03\work\pages\page-106.png</t>
        </is>
      </c>
      <c r="D456" t="inlineStr">
        <is>
          <t>.png</t>
        </is>
      </c>
      <c r="E456" t="inlineStr">
        <is>
          <t>2026-10-03T15:02:40.682936+00:00</t>
        </is>
      </c>
      <c r="F456" t="inlineStr">
        <is>
          <t>216676</t>
        </is>
      </c>
      <c r="H456" t="inlineStr">
        <is>
          <t>Generated work or software support file</t>
        </is>
      </c>
      <c r="I456" t="inlineStr">
        <is>
          <t>Filename screened</t>
        </is>
      </c>
      <c r="J456" t="inlineStr">
        <is>
          <t>No owner production trial log found</t>
        </is>
      </c>
      <c r="K456" t="inlineStr">
        <is>
          <t>Not established / non-text</t>
        </is>
      </c>
      <c r="L456" t="inlineStr">
        <is>
          <t>No explicit version established; modified date is file metadata only</t>
        </is>
      </c>
      <c r="M456" t="inlineStr">
        <is>
          <t xml:space="preserve"> extracted pages/blocks/rows;  recipe keyword signals (not recipe count)</t>
        </is>
      </c>
    </row>
    <row r="457">
      <c r="B457" t="inlineStr">
        <is>
          <t>page-107.png</t>
        </is>
      </c>
      <c r="C457" t="inlineStr">
        <is>
          <t>E:\ohada saas\Focused projects\stoquify\what-next\bakery-booklet-2026-10-03\work\pages\page-107.png</t>
        </is>
      </c>
      <c r="D457" t="inlineStr">
        <is>
          <t>.png</t>
        </is>
      </c>
      <c r="E457" t="inlineStr">
        <is>
          <t>2026-10-03T15:02:40.824627+00:00</t>
        </is>
      </c>
      <c r="F457" t="inlineStr">
        <is>
          <t>152999</t>
        </is>
      </c>
      <c r="H457" t="inlineStr">
        <is>
          <t>Generated work or software support file</t>
        </is>
      </c>
      <c r="I457" t="inlineStr">
        <is>
          <t>Filename screened</t>
        </is>
      </c>
      <c r="J457" t="inlineStr">
        <is>
          <t>No owner production trial log found</t>
        </is>
      </c>
      <c r="K457" t="inlineStr">
        <is>
          <t>Not established / non-text</t>
        </is>
      </c>
      <c r="L457" t="inlineStr">
        <is>
          <t>No explicit version established; modified date is file metadata only</t>
        </is>
      </c>
      <c r="M457" t="inlineStr">
        <is>
          <t xml:space="preserve"> extracted pages/blocks/rows;  recipe keyword signals (not recipe count)</t>
        </is>
      </c>
    </row>
    <row r="458">
      <c r="B458" t="inlineStr">
        <is>
          <t>page-108.png</t>
        </is>
      </c>
      <c r="C458" t="inlineStr">
        <is>
          <t>E:\ohada saas\Focused projects\stoquify\what-next\bakery-booklet-2026-10-03\work\pages\page-108.png</t>
        </is>
      </c>
      <c r="D458" t="inlineStr">
        <is>
          <t>.png</t>
        </is>
      </c>
      <c r="E458" t="inlineStr">
        <is>
          <t>2026-10-03T15:02:40.963055+00:00</t>
        </is>
      </c>
      <c r="F458" t="inlineStr">
        <is>
          <t>146122</t>
        </is>
      </c>
      <c r="H458" t="inlineStr">
        <is>
          <t>Generated work or software support file</t>
        </is>
      </c>
      <c r="I458" t="inlineStr">
        <is>
          <t>Filename screened</t>
        </is>
      </c>
      <c r="J458" t="inlineStr">
        <is>
          <t>No owner production trial log found</t>
        </is>
      </c>
      <c r="K458" t="inlineStr">
        <is>
          <t>Not established / non-text</t>
        </is>
      </c>
      <c r="L458" t="inlineStr">
        <is>
          <t>No explicit version established; modified date is file metadata only</t>
        </is>
      </c>
      <c r="M458" t="inlineStr">
        <is>
          <t xml:space="preserve"> extracted pages/blocks/rows;  recipe keyword signals (not recipe count)</t>
        </is>
      </c>
    </row>
    <row r="459">
      <c r="B459" t="inlineStr">
        <is>
          <t>page-109.png</t>
        </is>
      </c>
      <c r="C459" t="inlineStr">
        <is>
          <t>E:\ohada saas\Focused projects\stoquify\what-next\bakery-booklet-2026-10-03\work\pages\page-109.png</t>
        </is>
      </c>
      <c r="D459" t="inlineStr">
        <is>
          <t>.png</t>
        </is>
      </c>
      <c r="E459" t="inlineStr">
        <is>
          <t>2026-10-03T15:02:41.147490+00:00</t>
        </is>
      </c>
      <c r="F459" t="inlineStr">
        <is>
          <t>246679</t>
        </is>
      </c>
      <c r="H459" t="inlineStr">
        <is>
          <t>Generated work or software support file</t>
        </is>
      </c>
      <c r="I459" t="inlineStr">
        <is>
          <t>Filename screened</t>
        </is>
      </c>
      <c r="J459" t="inlineStr">
        <is>
          <t>No owner production trial log found</t>
        </is>
      </c>
      <c r="K459" t="inlineStr">
        <is>
          <t>Not established / non-text</t>
        </is>
      </c>
      <c r="L459" t="inlineStr">
        <is>
          <t>No explicit version established; modified date is file metadata only</t>
        </is>
      </c>
      <c r="M459" t="inlineStr">
        <is>
          <t xml:space="preserve"> extracted pages/blocks/rows;  recipe keyword signals (not recipe count)</t>
        </is>
      </c>
    </row>
    <row r="460">
      <c r="B460" t="inlineStr">
        <is>
          <t>page-110.png</t>
        </is>
      </c>
      <c r="C460" t="inlineStr">
        <is>
          <t>E:\ohada saas\Focused projects\stoquify\what-next\bakery-booklet-2026-10-03\work\pages\page-110.png</t>
        </is>
      </c>
      <c r="D460" t="inlineStr">
        <is>
          <t>.png</t>
        </is>
      </c>
      <c r="E460" t="inlineStr">
        <is>
          <t>2026-10-03T15:02:41.300688+00:00</t>
        </is>
      </c>
      <c r="F460" t="inlineStr">
        <is>
          <t>145091</t>
        </is>
      </c>
      <c r="H460" t="inlineStr">
        <is>
          <t>Generated work or software support file</t>
        </is>
      </c>
      <c r="I460" t="inlineStr">
        <is>
          <t>Filename screened</t>
        </is>
      </c>
      <c r="J460" t="inlineStr">
        <is>
          <t>No owner production trial log found</t>
        </is>
      </c>
      <c r="K460" t="inlineStr">
        <is>
          <t>Not established / non-text</t>
        </is>
      </c>
      <c r="L460" t="inlineStr">
        <is>
          <t>No explicit version established; modified date is file metadata only</t>
        </is>
      </c>
      <c r="M460" t="inlineStr">
        <is>
          <t xml:space="preserve"> extracted pages/blocks/rows;  recipe keyword signals (not recipe count)</t>
        </is>
      </c>
    </row>
    <row r="461">
      <c r="B461" t="inlineStr">
        <is>
          <t>page-111.png</t>
        </is>
      </c>
      <c r="C461" t="inlineStr">
        <is>
          <t>E:\ohada saas\Focused projects\stoquify\what-next\bakery-booklet-2026-10-03\work\pages\page-111.png</t>
        </is>
      </c>
      <c r="D461" t="inlineStr">
        <is>
          <t>.png</t>
        </is>
      </c>
      <c r="E461" t="inlineStr">
        <is>
          <t>2026-10-03T15:02:41.567189+00:00</t>
        </is>
      </c>
      <c r="F461" t="inlineStr">
        <is>
          <t>216970</t>
        </is>
      </c>
      <c r="H461" t="inlineStr">
        <is>
          <t>Generated work or software support file</t>
        </is>
      </c>
      <c r="I461" t="inlineStr">
        <is>
          <t>Filename screened</t>
        </is>
      </c>
      <c r="J461" t="inlineStr">
        <is>
          <t>No owner production trial log found</t>
        </is>
      </c>
      <c r="K461" t="inlineStr">
        <is>
          <t>Not established / non-text</t>
        </is>
      </c>
      <c r="L461" t="inlineStr">
        <is>
          <t>No explicit version established; modified date is file metadata only</t>
        </is>
      </c>
      <c r="M461" t="inlineStr">
        <is>
          <t xml:space="preserve"> extracted pages/blocks/rows;  recipe keyword signals (not recipe count)</t>
        </is>
      </c>
    </row>
    <row r="462">
      <c r="B462" t="inlineStr">
        <is>
          <t>page-112.png</t>
        </is>
      </c>
      <c r="C462" t="inlineStr">
        <is>
          <t>E:\ohada saas\Focused projects\stoquify\what-next\bakery-booklet-2026-10-03\work\pages\page-112.png</t>
        </is>
      </c>
      <c r="D462" t="inlineStr">
        <is>
          <t>.png</t>
        </is>
      </c>
      <c r="E462" t="inlineStr">
        <is>
          <t>2026-10-03T15:02:41.747807+00:00</t>
        </is>
      </c>
      <c r="F462" t="inlineStr">
        <is>
          <t>149301</t>
        </is>
      </c>
      <c r="H462" t="inlineStr">
        <is>
          <t>Generated work or software support file</t>
        </is>
      </c>
      <c r="I462" t="inlineStr">
        <is>
          <t>Filename screened</t>
        </is>
      </c>
      <c r="J462" t="inlineStr">
        <is>
          <t>No owner production trial log found</t>
        </is>
      </c>
      <c r="K462" t="inlineStr">
        <is>
          <t>Not established / non-text</t>
        </is>
      </c>
      <c r="L462" t="inlineStr">
        <is>
          <t>No explicit version established; modified date is file metadata only</t>
        </is>
      </c>
      <c r="M462" t="inlineStr">
        <is>
          <t xml:space="preserve"> extracted pages/blocks/rows;  recipe keyword signals (not recipe count)</t>
        </is>
      </c>
    </row>
    <row r="463">
      <c r="B463" t="inlineStr">
        <is>
          <t>page-113.png</t>
        </is>
      </c>
      <c r="C463" t="inlineStr">
        <is>
          <t>E:\ohada saas\Focused projects\stoquify\what-next\bakery-booklet-2026-10-03\work\pages\page-113.png</t>
        </is>
      </c>
      <c r="D463" t="inlineStr">
        <is>
          <t>.png</t>
        </is>
      </c>
      <c r="E463" t="inlineStr">
        <is>
          <t>2026-10-03T15:02:41.918936+00:00</t>
        </is>
      </c>
      <c r="F463" t="inlineStr">
        <is>
          <t>152752</t>
        </is>
      </c>
      <c r="H463" t="inlineStr">
        <is>
          <t>Generated work or software support file</t>
        </is>
      </c>
      <c r="I463" t="inlineStr">
        <is>
          <t>Filename screened</t>
        </is>
      </c>
      <c r="J463" t="inlineStr">
        <is>
          <t>No owner production trial log found</t>
        </is>
      </c>
      <c r="K463" t="inlineStr">
        <is>
          <t>Not established / non-text</t>
        </is>
      </c>
      <c r="L463" t="inlineStr">
        <is>
          <t>No explicit version established; modified date is file metadata only</t>
        </is>
      </c>
      <c r="M463" t="inlineStr">
        <is>
          <t xml:space="preserve"> extracted pages/blocks/rows;  recipe keyword signals (not recipe count)</t>
        </is>
      </c>
    </row>
    <row r="464">
      <c r="B464" t="inlineStr">
        <is>
          <t>page-114.png</t>
        </is>
      </c>
      <c r="C464" t="inlineStr">
        <is>
          <t>E:\ohada saas\Focused projects\stoquify\what-next\bakery-booklet-2026-10-03\work\pages\page-114.png</t>
        </is>
      </c>
      <c r="D464" t="inlineStr">
        <is>
          <t>.png</t>
        </is>
      </c>
      <c r="E464" t="inlineStr">
        <is>
          <t>2026-10-03T15:02:42.098923+00:00</t>
        </is>
      </c>
      <c r="F464" t="inlineStr">
        <is>
          <t>219216</t>
        </is>
      </c>
      <c r="H464" t="inlineStr">
        <is>
          <t>Generated work or software support file</t>
        </is>
      </c>
      <c r="I464" t="inlineStr">
        <is>
          <t>Filename screened</t>
        </is>
      </c>
      <c r="J464" t="inlineStr">
        <is>
          <t>No owner production trial log found</t>
        </is>
      </c>
      <c r="K464" t="inlineStr">
        <is>
          <t>Not established / non-text</t>
        </is>
      </c>
      <c r="L464" t="inlineStr">
        <is>
          <t>No explicit version established; modified date is file metadata only</t>
        </is>
      </c>
      <c r="M464" t="inlineStr">
        <is>
          <t xml:space="preserve"> extracted pages/blocks/rows;  recipe keyword signals (not recipe count)</t>
        </is>
      </c>
    </row>
    <row r="465">
      <c r="B465" t="inlineStr">
        <is>
          <t>page-115.png</t>
        </is>
      </c>
      <c r="C465" t="inlineStr">
        <is>
          <t>E:\ohada saas\Focused projects\stoquify\what-next\bakery-booklet-2026-10-03\work\pages\page-115.png</t>
        </is>
      </c>
      <c r="D465" t="inlineStr">
        <is>
          <t>.png</t>
        </is>
      </c>
      <c r="E465" t="inlineStr">
        <is>
          <t>2026-10-03T15:02:42.270800+00:00</t>
        </is>
      </c>
      <c r="F465" t="inlineStr">
        <is>
          <t>174624</t>
        </is>
      </c>
      <c r="H465" t="inlineStr">
        <is>
          <t>Generated work or software support file</t>
        </is>
      </c>
      <c r="I465" t="inlineStr">
        <is>
          <t>Filename screened</t>
        </is>
      </c>
      <c r="J465" t="inlineStr">
        <is>
          <t>No owner production trial log found</t>
        </is>
      </c>
      <c r="K465" t="inlineStr">
        <is>
          <t>Not established / non-text</t>
        </is>
      </c>
      <c r="L465" t="inlineStr">
        <is>
          <t>No explicit version established; modified date is file metadata only</t>
        </is>
      </c>
      <c r="M465" t="inlineStr">
        <is>
          <t xml:space="preserve"> extracted pages/blocks/rows;  recipe keyword signals (not recipe count)</t>
        </is>
      </c>
    </row>
    <row r="466">
      <c r="B466" t="inlineStr">
        <is>
          <t>page-116.png</t>
        </is>
      </c>
      <c r="C466" t="inlineStr">
        <is>
          <t>E:\ohada saas\Focused projects\stoquify\what-next\bakery-booklet-2026-10-03\work\pages\page-116.png</t>
        </is>
      </c>
      <c r="D466" t="inlineStr">
        <is>
          <t>.png</t>
        </is>
      </c>
      <c r="E466" t="inlineStr">
        <is>
          <t>2026-10-03T15:02:42.497878+00:00</t>
        </is>
      </c>
      <c r="F466" t="inlineStr">
        <is>
          <t>226508</t>
        </is>
      </c>
      <c r="H466" t="inlineStr">
        <is>
          <t>Generated work or software support file</t>
        </is>
      </c>
      <c r="I466" t="inlineStr">
        <is>
          <t>Filename screened</t>
        </is>
      </c>
      <c r="J466" t="inlineStr">
        <is>
          <t>No owner production trial log found</t>
        </is>
      </c>
      <c r="K466" t="inlineStr">
        <is>
          <t>Not established / non-text</t>
        </is>
      </c>
      <c r="L466" t="inlineStr">
        <is>
          <t>No explicit version established; modified date is file metadata only</t>
        </is>
      </c>
      <c r="M466" t="inlineStr">
        <is>
          <t xml:space="preserve"> extracted pages/blocks/rows;  recipe keyword signals (not recipe count)</t>
        </is>
      </c>
    </row>
    <row r="467">
      <c r="B467" t="inlineStr">
        <is>
          <t>page-117.png</t>
        </is>
      </c>
      <c r="C467" t="inlineStr">
        <is>
          <t>E:\ohada saas\Focused projects\stoquify\what-next\bakery-booklet-2026-10-03\work\pages\page-117.png</t>
        </is>
      </c>
      <c r="D467" t="inlineStr">
        <is>
          <t>.png</t>
        </is>
      </c>
      <c r="E467" t="inlineStr">
        <is>
          <t>2026-10-03T15:02:42.748091+00:00</t>
        </is>
      </c>
      <c r="F467" t="inlineStr">
        <is>
          <t>202676</t>
        </is>
      </c>
      <c r="H467" t="inlineStr">
        <is>
          <t>Generated work or software support file</t>
        </is>
      </c>
      <c r="I467" t="inlineStr">
        <is>
          <t>Filename screened</t>
        </is>
      </c>
      <c r="J467" t="inlineStr">
        <is>
          <t>No owner production trial log found</t>
        </is>
      </c>
      <c r="K467" t="inlineStr">
        <is>
          <t>Not established / non-text</t>
        </is>
      </c>
      <c r="L467" t="inlineStr">
        <is>
          <t>No explicit version established; modified date is file metadata only</t>
        </is>
      </c>
      <c r="M467" t="inlineStr">
        <is>
          <t xml:space="preserve"> extracted pages/blocks/rows;  recipe keyword signals (not recipe count)</t>
        </is>
      </c>
    </row>
    <row r="468">
      <c r="B468" t="inlineStr">
        <is>
          <t>page-118.png</t>
        </is>
      </c>
      <c r="C468" t="inlineStr">
        <is>
          <t>E:\ohada saas\Focused projects\stoquify\what-next\bakery-booklet-2026-10-03\work\pages\page-118.png</t>
        </is>
      </c>
      <c r="D468" t="inlineStr">
        <is>
          <t>.png</t>
        </is>
      </c>
      <c r="E468" t="inlineStr">
        <is>
          <t>2026-10-03T15:02:42.951007+00:00</t>
        </is>
      </c>
      <c r="F468" t="inlineStr">
        <is>
          <t>172685</t>
        </is>
      </c>
      <c r="H468" t="inlineStr">
        <is>
          <t>Generated work or software support file</t>
        </is>
      </c>
      <c r="I468" t="inlineStr">
        <is>
          <t>Filename screened</t>
        </is>
      </c>
      <c r="J468" t="inlineStr">
        <is>
          <t>No owner production trial log found</t>
        </is>
      </c>
      <c r="K468" t="inlineStr">
        <is>
          <t>Not established / non-text</t>
        </is>
      </c>
      <c r="L468" t="inlineStr">
        <is>
          <t>No explicit version established; modified date is file metadata only</t>
        </is>
      </c>
      <c r="M468" t="inlineStr">
        <is>
          <t xml:space="preserve"> extracted pages/blocks/rows;  recipe keyword signals (not recipe count)</t>
        </is>
      </c>
    </row>
    <row r="469">
      <c r="B469" t="inlineStr">
        <is>
          <t>page-119.png</t>
        </is>
      </c>
      <c r="C469" t="inlineStr">
        <is>
          <t>E:\ohada saas\Focused projects\stoquify\what-next\bakery-booklet-2026-10-03\work\pages\page-119.png</t>
        </is>
      </c>
      <c r="D469" t="inlineStr">
        <is>
          <t>.png</t>
        </is>
      </c>
      <c r="E469" t="inlineStr">
        <is>
          <t>2026-10-03T15:02:43.327437+00:00</t>
        </is>
      </c>
      <c r="F469" t="inlineStr">
        <is>
          <t>259142</t>
        </is>
      </c>
      <c r="H469" t="inlineStr">
        <is>
          <t>Generated work or software support file</t>
        </is>
      </c>
      <c r="I469" t="inlineStr">
        <is>
          <t>Filename screened</t>
        </is>
      </c>
      <c r="J469" t="inlineStr">
        <is>
          <t>No owner production trial log found</t>
        </is>
      </c>
      <c r="K469" t="inlineStr">
        <is>
          <t>Not established / non-text</t>
        </is>
      </c>
      <c r="L469" t="inlineStr">
        <is>
          <t>No explicit version established; modified date is file metadata only</t>
        </is>
      </c>
      <c r="M469" t="inlineStr">
        <is>
          <t xml:space="preserve"> extracted pages/blocks/rows;  recipe keyword signals (not recipe count)</t>
        </is>
      </c>
    </row>
    <row r="470">
      <c r="B470" t="inlineStr">
        <is>
          <t>page-120.png</t>
        </is>
      </c>
      <c r="C470" t="inlineStr">
        <is>
          <t>E:\ohada saas\Focused projects\stoquify\what-next\bakery-booklet-2026-10-03\work\pages\page-120.png</t>
        </is>
      </c>
      <c r="D470" t="inlineStr">
        <is>
          <t>.png</t>
        </is>
      </c>
      <c r="E470" t="inlineStr">
        <is>
          <t>2026-10-03T15:02:43.519068+00:00</t>
        </is>
      </c>
      <c r="F470" t="inlineStr">
        <is>
          <t>198856</t>
        </is>
      </c>
      <c r="H470" t="inlineStr">
        <is>
          <t>Generated work or software support file</t>
        </is>
      </c>
      <c r="I470" t="inlineStr">
        <is>
          <t>Filename screened</t>
        </is>
      </c>
      <c r="J470" t="inlineStr">
        <is>
          <t>No owner production trial log found</t>
        </is>
      </c>
      <c r="K470" t="inlineStr">
        <is>
          <t>Not established / non-text</t>
        </is>
      </c>
      <c r="L470" t="inlineStr">
        <is>
          <t>No explicit version established; modified date is file metadata only</t>
        </is>
      </c>
      <c r="M470" t="inlineStr">
        <is>
          <t xml:space="preserve"> extracted pages/blocks/rows;  recipe keyword signals (not recipe count)</t>
        </is>
      </c>
    </row>
    <row r="471">
      <c r="B471" t="inlineStr">
        <is>
          <t>page-121.png</t>
        </is>
      </c>
      <c r="C471" t="inlineStr">
        <is>
          <t>E:\ohada saas\Focused projects\stoquify\what-next\bakery-booklet-2026-10-03\work\pages\page-121.png</t>
        </is>
      </c>
      <c r="D471" t="inlineStr">
        <is>
          <t>.png</t>
        </is>
      </c>
      <c r="E471" t="inlineStr">
        <is>
          <t>2026-10-03T15:02:43.799033+00:00</t>
        </is>
      </c>
      <c r="F471" t="inlineStr">
        <is>
          <t>189987</t>
        </is>
      </c>
      <c r="H471" t="inlineStr">
        <is>
          <t>Generated work or software support file</t>
        </is>
      </c>
      <c r="I471" t="inlineStr">
        <is>
          <t>Filename screened</t>
        </is>
      </c>
      <c r="J471" t="inlineStr">
        <is>
          <t>No owner production trial log found</t>
        </is>
      </c>
      <c r="K471" t="inlineStr">
        <is>
          <t>Not established / non-text</t>
        </is>
      </c>
      <c r="L471" t="inlineStr">
        <is>
          <t>No explicit version established; modified date is file metadata only</t>
        </is>
      </c>
      <c r="M471" t="inlineStr">
        <is>
          <t xml:space="preserve"> extracted pages/blocks/rows;  recipe keyword signals (not recipe count)</t>
        </is>
      </c>
    </row>
    <row r="472">
      <c r="B472" t="inlineStr">
        <is>
          <t>page-122.png</t>
        </is>
      </c>
      <c r="C472" t="inlineStr">
        <is>
          <t>E:\ohada saas\Focused projects\stoquify\what-next\bakery-booklet-2026-10-03\work\pages\page-122.png</t>
        </is>
      </c>
      <c r="D472" t="inlineStr">
        <is>
          <t>.png</t>
        </is>
      </c>
      <c r="E472" t="inlineStr">
        <is>
          <t>2026-10-03T15:02:43.985294+00:00</t>
        </is>
      </c>
      <c r="F472" t="inlineStr">
        <is>
          <t>214997</t>
        </is>
      </c>
      <c r="H472" t="inlineStr">
        <is>
          <t>Generated work or software support file</t>
        </is>
      </c>
      <c r="I472" t="inlineStr">
        <is>
          <t>Filename screened</t>
        </is>
      </c>
      <c r="J472" t="inlineStr">
        <is>
          <t>No owner production trial log found</t>
        </is>
      </c>
      <c r="K472" t="inlineStr">
        <is>
          <t>Not established / non-text</t>
        </is>
      </c>
      <c r="L472" t="inlineStr">
        <is>
          <t>No explicit version established; modified date is file metadata only</t>
        </is>
      </c>
      <c r="M472" t="inlineStr">
        <is>
          <t xml:space="preserve"> extracted pages/blocks/rows;  recipe keyword signals (not recipe count)</t>
        </is>
      </c>
    </row>
    <row r="473">
      <c r="B473" t="inlineStr">
        <is>
          <t>page-123.png</t>
        </is>
      </c>
      <c r="C473" t="inlineStr">
        <is>
          <t>E:\ohada saas\Focused projects\stoquify\what-next\bakery-booklet-2026-10-03\work\pages\page-123.png</t>
        </is>
      </c>
      <c r="D473" t="inlineStr">
        <is>
          <t>.png</t>
        </is>
      </c>
      <c r="E473" t="inlineStr">
        <is>
          <t>2026-10-03T15:02:44.148965+00:00</t>
        </is>
      </c>
      <c r="F473" t="inlineStr">
        <is>
          <t>162446</t>
        </is>
      </c>
      <c r="H473" t="inlineStr">
        <is>
          <t>Generated work or software support file</t>
        </is>
      </c>
      <c r="I473" t="inlineStr">
        <is>
          <t>Filename screened</t>
        </is>
      </c>
      <c r="J473" t="inlineStr">
        <is>
          <t>No owner production trial log found</t>
        </is>
      </c>
      <c r="K473" t="inlineStr">
        <is>
          <t>Not established / non-text</t>
        </is>
      </c>
      <c r="L473" t="inlineStr">
        <is>
          <t>No explicit version established; modified date is file metadata only</t>
        </is>
      </c>
      <c r="M473" t="inlineStr">
        <is>
          <t xml:space="preserve"> extracted pages/blocks/rows;  recipe keyword signals (not recipe count)</t>
        </is>
      </c>
    </row>
    <row r="474">
      <c r="B474" t="inlineStr">
        <is>
          <t>page-124.png</t>
        </is>
      </c>
      <c r="C474" t="inlineStr">
        <is>
          <t>E:\ohada saas\Focused projects\stoquify\what-next\bakery-booklet-2026-10-03\work\pages\page-124.png</t>
        </is>
      </c>
      <c r="D474" t="inlineStr">
        <is>
          <t>.png</t>
        </is>
      </c>
      <c r="E474" t="inlineStr">
        <is>
          <t>2026-10-03T15:02:44.400954+00:00</t>
        </is>
      </c>
      <c r="F474" t="inlineStr">
        <is>
          <t>253239</t>
        </is>
      </c>
      <c r="H474" t="inlineStr">
        <is>
          <t>Generated work or software support file</t>
        </is>
      </c>
      <c r="I474" t="inlineStr">
        <is>
          <t>Filename screened</t>
        </is>
      </c>
      <c r="J474" t="inlineStr">
        <is>
          <t>No owner production trial log found</t>
        </is>
      </c>
      <c r="K474" t="inlineStr">
        <is>
          <t>Not established / non-text</t>
        </is>
      </c>
      <c r="L474" t="inlineStr">
        <is>
          <t>No explicit version established; modified date is file metadata only</t>
        </is>
      </c>
      <c r="M474" t="inlineStr">
        <is>
          <t xml:space="preserve"> extracted pages/blocks/rows;  recipe keyword signals (not recipe count)</t>
        </is>
      </c>
    </row>
    <row r="475">
      <c r="B475" t="inlineStr">
        <is>
          <t>page-125.png</t>
        </is>
      </c>
      <c r="C475" t="inlineStr">
        <is>
          <t>E:\ohada saas\Focused projects\stoquify\what-next\bakery-booklet-2026-10-03\work\pages\page-125.png</t>
        </is>
      </c>
      <c r="D475" t="inlineStr">
        <is>
          <t>.png</t>
        </is>
      </c>
      <c r="E475" t="inlineStr">
        <is>
          <t>2026-10-03T15:02:44.643195+00:00</t>
        </is>
      </c>
      <c r="F475" t="inlineStr">
        <is>
          <t>232469</t>
        </is>
      </c>
      <c r="H475" t="inlineStr">
        <is>
          <t>Generated work or software support file</t>
        </is>
      </c>
      <c r="I475" t="inlineStr">
        <is>
          <t>Filename screened</t>
        </is>
      </c>
      <c r="J475" t="inlineStr">
        <is>
          <t>No owner production trial log found</t>
        </is>
      </c>
      <c r="K475" t="inlineStr">
        <is>
          <t>Not established / non-text</t>
        </is>
      </c>
      <c r="L475" t="inlineStr">
        <is>
          <t>No explicit version established; modified date is file metadata only</t>
        </is>
      </c>
      <c r="M475" t="inlineStr">
        <is>
          <t xml:space="preserve"> extracted pages/blocks/rows;  recipe keyword signals (not recipe count)</t>
        </is>
      </c>
    </row>
    <row r="476">
      <c r="B476" t="inlineStr">
        <is>
          <t>page-126.png</t>
        </is>
      </c>
      <c r="C476" t="inlineStr">
        <is>
          <t>E:\ohada saas\Focused projects\stoquify\what-next\bakery-booklet-2026-10-03\work\pages\page-126.png</t>
        </is>
      </c>
      <c r="D476" t="inlineStr">
        <is>
          <t>.png</t>
        </is>
      </c>
      <c r="E476" t="inlineStr">
        <is>
          <t>2026-10-03T15:02:44.826812+00:00</t>
        </is>
      </c>
      <c r="F476" t="inlineStr">
        <is>
          <t>218700</t>
        </is>
      </c>
      <c r="H476" t="inlineStr">
        <is>
          <t>Generated work or software support file</t>
        </is>
      </c>
      <c r="I476" t="inlineStr">
        <is>
          <t>Filename screened</t>
        </is>
      </c>
      <c r="J476" t="inlineStr">
        <is>
          <t>No owner production trial log found</t>
        </is>
      </c>
      <c r="K476" t="inlineStr">
        <is>
          <t>Not established / non-text</t>
        </is>
      </c>
      <c r="L476" t="inlineStr">
        <is>
          <t>No explicit version established; modified date is file metadata only</t>
        </is>
      </c>
      <c r="M476" t="inlineStr">
        <is>
          <t xml:space="preserve"> extracted pages/blocks/rows;  recipe keyword signals (not recipe count)</t>
        </is>
      </c>
    </row>
    <row r="477">
      <c r="B477" t="inlineStr">
        <is>
          <t>page-127.png</t>
        </is>
      </c>
      <c r="C477" t="inlineStr">
        <is>
          <t>E:\ohada saas\Focused projects\stoquify\what-next\bakery-booklet-2026-10-03\work\pages\page-127.png</t>
        </is>
      </c>
      <c r="D477" t="inlineStr">
        <is>
          <t>.png</t>
        </is>
      </c>
      <c r="E477" t="inlineStr">
        <is>
          <t>2026-10-03T15:02:45.004352+00:00</t>
        </is>
      </c>
      <c r="F477" t="inlineStr">
        <is>
          <t>215224</t>
        </is>
      </c>
      <c r="H477" t="inlineStr">
        <is>
          <t>Generated work or software support file</t>
        </is>
      </c>
      <c r="I477" t="inlineStr">
        <is>
          <t>Filename screened</t>
        </is>
      </c>
      <c r="J477" t="inlineStr">
        <is>
          <t>No owner production trial log found</t>
        </is>
      </c>
      <c r="K477" t="inlineStr">
        <is>
          <t>Not established / non-text</t>
        </is>
      </c>
      <c r="L477" t="inlineStr">
        <is>
          <t>No explicit version established; modified date is file metadata only</t>
        </is>
      </c>
      <c r="M477" t="inlineStr">
        <is>
          <t xml:space="preserve"> extracted pages/blocks/rows;  recipe keyword signals (not recipe count)</t>
        </is>
      </c>
    </row>
    <row r="478">
      <c r="B478" t="inlineStr">
        <is>
          <t>page-128.png</t>
        </is>
      </c>
      <c r="C478" t="inlineStr">
        <is>
          <t>E:\ohada saas\Focused projects\stoquify\what-next\bakery-booklet-2026-10-03\work\pages\page-128.png</t>
        </is>
      </c>
      <c r="D478" t="inlineStr">
        <is>
          <t>.png</t>
        </is>
      </c>
      <c r="E478" t="inlineStr">
        <is>
          <t>2026-10-03T15:02:45.277747+00:00</t>
        </is>
      </c>
      <c r="F478" t="inlineStr">
        <is>
          <t>188949</t>
        </is>
      </c>
      <c r="H478" t="inlineStr">
        <is>
          <t>Generated work or software support file</t>
        </is>
      </c>
      <c r="I478" t="inlineStr">
        <is>
          <t>Filename screened</t>
        </is>
      </c>
      <c r="J478" t="inlineStr">
        <is>
          <t>No owner production trial log found</t>
        </is>
      </c>
      <c r="K478" t="inlineStr">
        <is>
          <t>Not established / non-text</t>
        </is>
      </c>
      <c r="L478" t="inlineStr">
        <is>
          <t>No explicit version established; modified date is file metadata only</t>
        </is>
      </c>
      <c r="M478" t="inlineStr">
        <is>
          <t xml:space="preserve"> extracted pages/blocks/rows;  recipe keyword signals (not recipe count)</t>
        </is>
      </c>
    </row>
    <row r="479">
      <c r="B479" t="inlineStr">
        <is>
          <t>page-129.png</t>
        </is>
      </c>
      <c r="C479" t="inlineStr">
        <is>
          <t>E:\ohada saas\Focused projects\stoquify\what-next\bakery-booklet-2026-10-03\work\pages\page-129.png</t>
        </is>
      </c>
      <c r="D479" t="inlineStr">
        <is>
          <t>.png</t>
        </is>
      </c>
      <c r="E479" t="inlineStr">
        <is>
          <t>2026-10-03T15:02:45.447162+00:00</t>
        </is>
      </c>
      <c r="F479" t="inlineStr">
        <is>
          <t>220568</t>
        </is>
      </c>
      <c r="H479" t="inlineStr">
        <is>
          <t>Generated work or software support file</t>
        </is>
      </c>
      <c r="I479" t="inlineStr">
        <is>
          <t>Filename screened</t>
        </is>
      </c>
      <c r="J479" t="inlineStr">
        <is>
          <t>No owner production trial log found</t>
        </is>
      </c>
      <c r="K479" t="inlineStr">
        <is>
          <t>Not established / non-text</t>
        </is>
      </c>
      <c r="L479" t="inlineStr">
        <is>
          <t>No explicit version established; modified date is file metadata only</t>
        </is>
      </c>
      <c r="M479" t="inlineStr">
        <is>
          <t xml:space="preserve"> extracted pages/blocks/rows;  recipe keyword signals (not recipe count)</t>
        </is>
      </c>
    </row>
    <row r="480">
      <c r="B480" t="inlineStr">
        <is>
          <t>page-130.png</t>
        </is>
      </c>
      <c r="C480" t="inlineStr">
        <is>
          <t>E:\ohada saas\Focused projects\stoquify\what-next\bakery-booklet-2026-10-03\work\pages\page-130.png</t>
        </is>
      </c>
      <c r="D480" t="inlineStr">
        <is>
          <t>.png</t>
        </is>
      </c>
      <c r="E480" t="inlineStr">
        <is>
          <t>2026-10-03T15:02:45.596171+00:00</t>
        </is>
      </c>
      <c r="F480" t="inlineStr">
        <is>
          <t>194285</t>
        </is>
      </c>
      <c r="H480" t="inlineStr">
        <is>
          <t>Generated work or software support file</t>
        </is>
      </c>
      <c r="I480" t="inlineStr">
        <is>
          <t>Filename screened</t>
        </is>
      </c>
      <c r="J480" t="inlineStr">
        <is>
          <t>No owner production trial log found</t>
        </is>
      </c>
      <c r="K480" t="inlineStr">
        <is>
          <t>Not established / non-text</t>
        </is>
      </c>
      <c r="L480" t="inlineStr">
        <is>
          <t>No explicit version established; modified date is file metadata only</t>
        </is>
      </c>
      <c r="M480" t="inlineStr">
        <is>
          <t xml:space="preserve"> extracted pages/blocks/rows;  recipe keyword signals (not recipe count)</t>
        </is>
      </c>
    </row>
    <row r="481">
      <c r="B481" t="inlineStr">
        <is>
          <t>page-131.png</t>
        </is>
      </c>
      <c r="C481" t="inlineStr">
        <is>
          <t>E:\ohada saas\Focused projects\stoquify\what-next\bakery-booklet-2026-10-03\work\pages\page-131.png</t>
        </is>
      </c>
      <c r="D481" t="inlineStr">
        <is>
          <t>.png</t>
        </is>
      </c>
      <c r="E481" t="inlineStr">
        <is>
          <t>2026-10-03T15:02:45.743508+00:00</t>
        </is>
      </c>
      <c r="F481" t="inlineStr">
        <is>
          <t>217771</t>
        </is>
      </c>
      <c r="H481" t="inlineStr">
        <is>
          <t>Generated work or software support file</t>
        </is>
      </c>
      <c r="I481" t="inlineStr">
        <is>
          <t>Filename screened</t>
        </is>
      </c>
      <c r="J481" t="inlineStr">
        <is>
          <t>No owner production trial log found</t>
        </is>
      </c>
      <c r="K481" t="inlineStr">
        <is>
          <t>Not established / non-text</t>
        </is>
      </c>
      <c r="L481" t="inlineStr">
        <is>
          <t>No explicit version established; modified date is file metadata only</t>
        </is>
      </c>
      <c r="M481" t="inlineStr">
        <is>
          <t xml:space="preserve"> extracted pages/blocks/rows;  recipe keyword signals (not recipe count)</t>
        </is>
      </c>
    </row>
    <row r="482">
      <c r="B482" t="inlineStr">
        <is>
          <t>page-132.png</t>
        </is>
      </c>
      <c r="C482" t="inlineStr">
        <is>
          <t>E:\ohada saas\Focused projects\stoquify\what-next\bakery-booklet-2026-10-03\work\pages\page-132.png</t>
        </is>
      </c>
      <c r="D482" t="inlineStr">
        <is>
          <t>.png</t>
        </is>
      </c>
      <c r="E482" t="inlineStr">
        <is>
          <t>2026-10-03T15:02:45.890447+00:00</t>
        </is>
      </c>
      <c r="F482" t="inlineStr">
        <is>
          <t>232388</t>
        </is>
      </c>
      <c r="H482" t="inlineStr">
        <is>
          <t>Generated work or software support file</t>
        </is>
      </c>
      <c r="I482" t="inlineStr">
        <is>
          <t>Filename screened</t>
        </is>
      </c>
      <c r="J482" t="inlineStr">
        <is>
          <t>No owner production trial log found</t>
        </is>
      </c>
      <c r="K482" t="inlineStr">
        <is>
          <t>Not established / non-text</t>
        </is>
      </c>
      <c r="L482" t="inlineStr">
        <is>
          <t>No explicit version established; modified date is file metadata only</t>
        </is>
      </c>
      <c r="M482" t="inlineStr">
        <is>
          <t xml:space="preserve"> extracted pages/blocks/rows;  recipe keyword signals (not recipe count)</t>
        </is>
      </c>
    </row>
    <row r="483">
      <c r="B483" t="inlineStr">
        <is>
          <t>page-133.png</t>
        </is>
      </c>
      <c r="C483" t="inlineStr">
        <is>
          <t>E:\ohada saas\Focused projects\stoquify\what-next\bakery-booklet-2026-10-03\work\pages\page-133.png</t>
        </is>
      </c>
      <c r="D483" t="inlineStr">
        <is>
          <t>.png</t>
        </is>
      </c>
      <c r="E483" t="inlineStr">
        <is>
          <t>2026-10-03T15:02:45.988191+00:00</t>
        </is>
      </c>
      <c r="F483" t="inlineStr">
        <is>
          <t>85254</t>
        </is>
      </c>
      <c r="H483" t="inlineStr">
        <is>
          <t>Generated work or software support file</t>
        </is>
      </c>
      <c r="I483" t="inlineStr">
        <is>
          <t>Filename screened</t>
        </is>
      </c>
      <c r="J483" t="inlineStr">
        <is>
          <t>No owner production trial log found</t>
        </is>
      </c>
      <c r="K483" t="inlineStr">
        <is>
          <t>Not established / non-text</t>
        </is>
      </c>
      <c r="L483" t="inlineStr">
        <is>
          <t>No explicit version established; modified date is file metadata only</t>
        </is>
      </c>
      <c r="M483" t="inlineStr">
        <is>
          <t xml:space="preserve"> extracted pages/blocks/rows;  recipe keyword signals (not recipe count)</t>
        </is>
      </c>
    </row>
    <row r="484">
      <c r="B484" t="inlineStr">
        <is>
          <t>page-134.png</t>
        </is>
      </c>
      <c r="C484" t="inlineStr">
        <is>
          <t>E:\ohada saas\Focused projects\stoquify\what-next\bakery-booklet-2026-10-03\work\pages\page-134.png</t>
        </is>
      </c>
      <c r="D484" t="inlineStr">
        <is>
          <t>.png</t>
        </is>
      </c>
      <c r="E484" t="inlineStr">
        <is>
          <t>2026-10-03T15:02:46.174624+00:00</t>
        </is>
      </c>
      <c r="F484" t="inlineStr">
        <is>
          <t>172677</t>
        </is>
      </c>
      <c r="H484" t="inlineStr">
        <is>
          <t>Generated work or software support file</t>
        </is>
      </c>
      <c r="I484" t="inlineStr">
        <is>
          <t>Filename screened</t>
        </is>
      </c>
      <c r="J484" t="inlineStr">
        <is>
          <t>No owner production trial log found</t>
        </is>
      </c>
      <c r="K484" t="inlineStr">
        <is>
          <t>Not established / non-text</t>
        </is>
      </c>
      <c r="L484" t="inlineStr">
        <is>
          <t>No explicit version established; modified date is file metadata only</t>
        </is>
      </c>
      <c r="M484" t="inlineStr">
        <is>
          <t xml:space="preserve"> extracted pages/blocks/rows;  recipe keyword signals (not recipe count)</t>
        </is>
      </c>
    </row>
    <row r="485">
      <c r="B485" t="inlineStr">
        <is>
          <t>page-135.png</t>
        </is>
      </c>
      <c r="C485" t="inlineStr">
        <is>
          <t>E:\ohada saas\Focused projects\stoquify\what-next\bakery-booklet-2026-10-03\work\pages\page-135.png</t>
        </is>
      </c>
      <c r="D485" t="inlineStr">
        <is>
          <t>.png</t>
        </is>
      </c>
      <c r="E485" t="inlineStr">
        <is>
          <t>2026-10-03T15:02:46.455725+00:00</t>
        </is>
      </c>
      <c r="F485" t="inlineStr">
        <is>
          <t>264130</t>
        </is>
      </c>
      <c r="H485" t="inlineStr">
        <is>
          <t>Generated work or software support file</t>
        </is>
      </c>
      <c r="I485" t="inlineStr">
        <is>
          <t>Filename screened</t>
        </is>
      </c>
      <c r="J485" t="inlineStr">
        <is>
          <t>No owner production trial log found</t>
        </is>
      </c>
      <c r="K485" t="inlineStr">
        <is>
          <t>Not established / non-text</t>
        </is>
      </c>
      <c r="L485" t="inlineStr">
        <is>
          <t>No explicit version established; modified date is file metadata only</t>
        </is>
      </c>
      <c r="M485" t="inlineStr">
        <is>
          <t xml:space="preserve"> extracted pages/blocks/rows;  recipe keyword signals (not recipe count)</t>
        </is>
      </c>
    </row>
    <row r="486">
      <c r="B486" t="inlineStr">
        <is>
          <t>page-136.png</t>
        </is>
      </c>
      <c r="C486" t="inlineStr">
        <is>
          <t>E:\ohada saas\Focused projects\stoquify\what-next\bakery-booklet-2026-10-03\work\pages\page-136.png</t>
        </is>
      </c>
      <c r="D486" t="inlineStr">
        <is>
          <t>.png</t>
        </is>
      </c>
      <c r="E486" t="inlineStr">
        <is>
          <t>2026-10-03T15:02:46.714652+00:00</t>
        </is>
      </c>
      <c r="F486" t="inlineStr">
        <is>
          <t>195815</t>
        </is>
      </c>
      <c r="H486" t="inlineStr">
        <is>
          <t>Generated work or software support file</t>
        </is>
      </c>
      <c r="I486" t="inlineStr">
        <is>
          <t>Filename screened</t>
        </is>
      </c>
      <c r="J486" t="inlineStr">
        <is>
          <t>No owner production trial log found</t>
        </is>
      </c>
      <c r="K486" t="inlineStr">
        <is>
          <t>Not established / non-text</t>
        </is>
      </c>
      <c r="L486" t="inlineStr">
        <is>
          <t>No explicit version established; modified date is file metadata only</t>
        </is>
      </c>
      <c r="M486" t="inlineStr">
        <is>
          <t xml:space="preserve"> extracted pages/blocks/rows;  recipe keyword signals (not recipe count)</t>
        </is>
      </c>
    </row>
    <row r="487">
      <c r="B487" t="inlineStr">
        <is>
          <t>page-137.png</t>
        </is>
      </c>
      <c r="C487" t="inlineStr">
        <is>
          <t>E:\ohada saas\Focused projects\stoquify\what-next\bakery-booklet-2026-10-03\work\pages\page-137.png</t>
        </is>
      </c>
      <c r="D487" t="inlineStr">
        <is>
          <t>.png</t>
        </is>
      </c>
      <c r="E487" t="inlineStr">
        <is>
          <t>2026-10-03T15:02:46.860706+00:00</t>
        </is>
      </c>
      <c r="F487" t="inlineStr">
        <is>
          <t>224314</t>
        </is>
      </c>
      <c r="H487" t="inlineStr">
        <is>
          <t>Generated work or software support file</t>
        </is>
      </c>
      <c r="I487" t="inlineStr">
        <is>
          <t>Filename screened</t>
        </is>
      </c>
      <c r="J487" t="inlineStr">
        <is>
          <t>No owner production trial log found</t>
        </is>
      </c>
      <c r="K487" t="inlineStr">
        <is>
          <t>Not established / non-text</t>
        </is>
      </c>
      <c r="L487" t="inlineStr">
        <is>
          <t>No explicit version established; modified date is file metadata only</t>
        </is>
      </c>
      <c r="M487" t="inlineStr">
        <is>
          <t xml:space="preserve"> extracted pages/blocks/rows;  recipe keyword signals (not recipe count)</t>
        </is>
      </c>
    </row>
    <row r="488">
      <c r="B488" t="inlineStr">
        <is>
          <t>page-138.png</t>
        </is>
      </c>
      <c r="C488" t="inlineStr">
        <is>
          <t>E:\ohada saas\Focused projects\stoquify\what-next\bakery-booklet-2026-10-03\work\pages\page-138.png</t>
        </is>
      </c>
      <c r="D488" t="inlineStr">
        <is>
          <t>.png</t>
        </is>
      </c>
      <c r="E488" t="inlineStr">
        <is>
          <t>2026-10-03T15:02:46.996922+00:00</t>
        </is>
      </c>
      <c r="F488" t="inlineStr">
        <is>
          <t>198553</t>
        </is>
      </c>
      <c r="H488" t="inlineStr">
        <is>
          <t>Generated work or software support file</t>
        </is>
      </c>
      <c r="I488" t="inlineStr">
        <is>
          <t>Filename screened</t>
        </is>
      </c>
      <c r="J488" t="inlineStr">
        <is>
          <t>No owner production trial log found</t>
        </is>
      </c>
      <c r="K488" t="inlineStr">
        <is>
          <t>Not established / non-text</t>
        </is>
      </c>
      <c r="L488" t="inlineStr">
        <is>
          <t>No explicit version established; modified date is file metadata only</t>
        </is>
      </c>
      <c r="M488" t="inlineStr">
        <is>
          <t xml:space="preserve"> extracted pages/blocks/rows;  recipe keyword signals (not recipe count)</t>
        </is>
      </c>
    </row>
    <row r="489">
      <c r="B489" t="inlineStr">
        <is>
          <t>page-139.png</t>
        </is>
      </c>
      <c r="C489" t="inlineStr">
        <is>
          <t>E:\ohada saas\Focused projects\stoquify\what-next\bakery-booklet-2026-10-03\work\pages\page-139.png</t>
        </is>
      </c>
      <c r="D489" t="inlineStr">
        <is>
          <t>.png</t>
        </is>
      </c>
      <c r="E489" t="inlineStr">
        <is>
          <t>2026-10-03T15:02:47.151740+00:00</t>
        </is>
      </c>
      <c r="F489" t="inlineStr">
        <is>
          <t>192078</t>
        </is>
      </c>
      <c r="H489" t="inlineStr">
        <is>
          <t>Generated work or software support file</t>
        </is>
      </c>
      <c r="I489" t="inlineStr">
        <is>
          <t>Filename screened</t>
        </is>
      </c>
      <c r="J489" t="inlineStr">
        <is>
          <t>No owner production trial log found</t>
        </is>
      </c>
      <c r="K489" t="inlineStr">
        <is>
          <t>Not established / non-text</t>
        </is>
      </c>
      <c r="L489" t="inlineStr">
        <is>
          <t>No explicit version established; modified date is file metadata only</t>
        </is>
      </c>
      <c r="M489" t="inlineStr">
        <is>
          <t xml:space="preserve"> extracted pages/blocks/rows;  recipe keyword signals (not recipe count)</t>
        </is>
      </c>
    </row>
    <row r="490">
      <c r="B490" t="inlineStr">
        <is>
          <t>page-140.png</t>
        </is>
      </c>
      <c r="C490" t="inlineStr">
        <is>
          <t>E:\ohada saas\Focused projects\stoquify\what-next\bakery-booklet-2026-10-03\work\pages\page-140.png</t>
        </is>
      </c>
      <c r="D490" t="inlineStr">
        <is>
          <t>.png</t>
        </is>
      </c>
      <c r="E490" t="inlineStr">
        <is>
          <t>2026-10-03T15:02:47.317598+00:00</t>
        </is>
      </c>
      <c r="F490" t="inlineStr">
        <is>
          <t>190563</t>
        </is>
      </c>
      <c r="H490" t="inlineStr">
        <is>
          <t>Generated work or software support file</t>
        </is>
      </c>
      <c r="I490" t="inlineStr">
        <is>
          <t>Filename screened</t>
        </is>
      </c>
      <c r="J490" t="inlineStr">
        <is>
          <t>No owner production trial log found</t>
        </is>
      </c>
      <c r="K490" t="inlineStr">
        <is>
          <t>Not established / non-text</t>
        </is>
      </c>
      <c r="L490" t="inlineStr">
        <is>
          <t>No explicit version established; modified date is file metadata only</t>
        </is>
      </c>
      <c r="M490" t="inlineStr">
        <is>
          <t xml:space="preserve"> extracted pages/blocks/rows;  recipe keyword signals (not recipe count)</t>
        </is>
      </c>
    </row>
    <row r="491">
      <c r="B491" t="inlineStr">
        <is>
          <t>page-141.png</t>
        </is>
      </c>
      <c r="C491" t="inlineStr">
        <is>
          <t>E:\ohada saas\Focused projects\stoquify\what-next\bakery-booklet-2026-10-03\work\pages\page-141.png</t>
        </is>
      </c>
      <c r="D491" t="inlineStr">
        <is>
          <t>.png</t>
        </is>
      </c>
      <c r="E491" t="inlineStr">
        <is>
          <t>2026-10-03T15:02:47.469421+00:00</t>
        </is>
      </c>
      <c r="F491" t="inlineStr">
        <is>
          <t>197897</t>
        </is>
      </c>
      <c r="H491" t="inlineStr">
        <is>
          <t>Generated work or software support file</t>
        </is>
      </c>
      <c r="I491" t="inlineStr">
        <is>
          <t>Filename screened</t>
        </is>
      </c>
      <c r="J491" t="inlineStr">
        <is>
          <t>No owner production trial log found</t>
        </is>
      </c>
      <c r="K491" t="inlineStr">
        <is>
          <t>Not established / non-text</t>
        </is>
      </c>
      <c r="L491" t="inlineStr">
        <is>
          <t>No explicit version established; modified date is file metadata only</t>
        </is>
      </c>
      <c r="M491" t="inlineStr">
        <is>
          <t xml:space="preserve"> extracted pages/blocks/rows;  recipe keyword signals (not recipe count)</t>
        </is>
      </c>
    </row>
    <row r="492">
      <c r="B492" t="inlineStr">
        <is>
          <t>page-142.png</t>
        </is>
      </c>
      <c r="C492" t="inlineStr">
        <is>
          <t>E:\ohada saas\Focused projects\stoquify\what-next\bakery-booklet-2026-10-03\work\pages\page-142.png</t>
        </is>
      </c>
      <c r="D492" t="inlineStr">
        <is>
          <t>.png</t>
        </is>
      </c>
      <c r="E492" t="inlineStr">
        <is>
          <t>2026-10-03T15:02:47.617553+00:00</t>
        </is>
      </c>
      <c r="F492" t="inlineStr">
        <is>
          <t>190706</t>
        </is>
      </c>
      <c r="H492" t="inlineStr">
        <is>
          <t>Generated work or software support file</t>
        </is>
      </c>
      <c r="I492" t="inlineStr">
        <is>
          <t>Filename screened</t>
        </is>
      </c>
      <c r="J492" t="inlineStr">
        <is>
          <t>No owner production trial log found</t>
        </is>
      </c>
      <c r="K492" t="inlineStr">
        <is>
          <t>Not established / non-text</t>
        </is>
      </c>
      <c r="L492" t="inlineStr">
        <is>
          <t>No explicit version established; modified date is file metadata only</t>
        </is>
      </c>
      <c r="M492" t="inlineStr">
        <is>
          <t xml:space="preserve"> extracted pages/blocks/rows;  recipe keyword signals (not recipe count)</t>
        </is>
      </c>
    </row>
    <row r="493">
      <c r="B493" t="inlineStr">
        <is>
          <t>page-143.png</t>
        </is>
      </c>
      <c r="C493" t="inlineStr">
        <is>
          <t>E:\ohada saas\Focused projects\stoquify\what-next\bakery-booklet-2026-10-03\work\pages\page-143.png</t>
        </is>
      </c>
      <c r="D493" t="inlineStr">
        <is>
          <t>.png</t>
        </is>
      </c>
      <c r="E493" t="inlineStr">
        <is>
          <t>2026-10-03T15:02:47.815903+00:00</t>
        </is>
      </c>
      <c r="F493" t="inlineStr">
        <is>
          <t>167925</t>
        </is>
      </c>
      <c r="H493" t="inlineStr">
        <is>
          <t>Generated work or software support file</t>
        </is>
      </c>
      <c r="I493" t="inlineStr">
        <is>
          <t>Filename screened</t>
        </is>
      </c>
      <c r="J493" t="inlineStr">
        <is>
          <t>No owner production trial log found</t>
        </is>
      </c>
      <c r="K493" t="inlineStr">
        <is>
          <t>Not established / non-text</t>
        </is>
      </c>
      <c r="L493" t="inlineStr">
        <is>
          <t>No explicit version established; modified date is file metadata only</t>
        </is>
      </c>
      <c r="M493" t="inlineStr">
        <is>
          <t xml:space="preserve"> extracted pages/blocks/rows;  recipe keyword signals (not recipe count)</t>
        </is>
      </c>
    </row>
    <row r="494">
      <c r="B494" t="inlineStr">
        <is>
          <t>page-144.png</t>
        </is>
      </c>
      <c r="C494" t="inlineStr">
        <is>
          <t>E:\ohada saas\Focused projects\stoquify\what-next\bakery-booklet-2026-10-03\work\pages\page-144.png</t>
        </is>
      </c>
      <c r="D494" t="inlineStr">
        <is>
          <t>.png</t>
        </is>
      </c>
      <c r="E494" t="inlineStr">
        <is>
          <t>2026-10-03T15:02:47.972155+00:00</t>
        </is>
      </c>
      <c r="F494" t="inlineStr">
        <is>
          <t>152565</t>
        </is>
      </c>
      <c r="H494" t="inlineStr">
        <is>
          <t>Generated work or software support file</t>
        </is>
      </c>
      <c r="I494" t="inlineStr">
        <is>
          <t>Filename screened</t>
        </is>
      </c>
      <c r="J494" t="inlineStr">
        <is>
          <t>No owner production trial log found</t>
        </is>
      </c>
      <c r="K494" t="inlineStr">
        <is>
          <t>Not established / non-text</t>
        </is>
      </c>
      <c r="L494" t="inlineStr">
        <is>
          <t>No explicit version established; modified date is file metadata only</t>
        </is>
      </c>
      <c r="M494" t="inlineStr">
        <is>
          <t xml:space="preserve"> extracted pages/blocks/rows;  recipe keyword signals (not recipe count)</t>
        </is>
      </c>
    </row>
    <row r="495">
      <c r="B495" t="inlineStr">
        <is>
          <t>page-145.png</t>
        </is>
      </c>
      <c r="C495" t="inlineStr">
        <is>
          <t>E:\ohada saas\Focused projects\stoquify\what-next\bakery-booklet-2026-10-03\work\pages\page-145.png</t>
        </is>
      </c>
      <c r="D495" t="inlineStr">
        <is>
          <t>.png</t>
        </is>
      </c>
      <c r="E495" t="inlineStr">
        <is>
          <t>2026-10-03T15:02:48.118260+00:00</t>
        </is>
      </c>
      <c r="F495" t="inlineStr">
        <is>
          <t>177888</t>
        </is>
      </c>
      <c r="H495" t="inlineStr">
        <is>
          <t>Generated work or software support file</t>
        </is>
      </c>
      <c r="I495" t="inlineStr">
        <is>
          <t>Filename screened</t>
        </is>
      </c>
      <c r="J495" t="inlineStr">
        <is>
          <t>No owner production trial log found</t>
        </is>
      </c>
      <c r="K495" t="inlineStr">
        <is>
          <t>Not established / non-text</t>
        </is>
      </c>
      <c r="L495" t="inlineStr">
        <is>
          <t>No explicit version established; modified date is file metadata only</t>
        </is>
      </c>
      <c r="M495" t="inlineStr">
        <is>
          <t xml:space="preserve"> extracted pages/blocks/rows;  recipe keyword signals (not recipe count)</t>
        </is>
      </c>
    </row>
    <row r="496">
      <c r="B496" t="inlineStr">
        <is>
          <t>page-146.png</t>
        </is>
      </c>
      <c r="C496" t="inlineStr">
        <is>
          <t>E:\ohada saas\Focused projects\stoquify\what-next\bakery-booklet-2026-10-03\work\pages\page-146.png</t>
        </is>
      </c>
      <c r="D496" t="inlineStr">
        <is>
          <t>.png</t>
        </is>
      </c>
      <c r="E496" t="inlineStr">
        <is>
          <t>2026-10-03T15:02:48.278325+00:00</t>
        </is>
      </c>
      <c r="F496" t="inlineStr">
        <is>
          <t>148250</t>
        </is>
      </c>
      <c r="H496" t="inlineStr">
        <is>
          <t>Generated work or software support file</t>
        </is>
      </c>
      <c r="I496" t="inlineStr">
        <is>
          <t>Filename screened</t>
        </is>
      </c>
      <c r="J496" t="inlineStr">
        <is>
          <t>No owner production trial log found</t>
        </is>
      </c>
      <c r="K496" t="inlineStr">
        <is>
          <t>Not established / non-text</t>
        </is>
      </c>
      <c r="L496" t="inlineStr">
        <is>
          <t>No explicit version established; modified date is file metadata only</t>
        </is>
      </c>
      <c r="M496" t="inlineStr">
        <is>
          <t xml:space="preserve"> extracted pages/blocks/rows;  recipe keyword signals (not recipe count)</t>
        </is>
      </c>
    </row>
    <row r="497">
      <c r="B497" t="inlineStr">
        <is>
          <t>page-147.png</t>
        </is>
      </c>
      <c r="C497" t="inlineStr">
        <is>
          <t>E:\ohada saas\Focused projects\stoquify\what-next\bakery-booklet-2026-10-03\work\pages\page-147.png</t>
        </is>
      </c>
      <c r="D497" t="inlineStr">
        <is>
          <t>.png</t>
        </is>
      </c>
      <c r="E497" t="inlineStr">
        <is>
          <t>2026-10-03T15:02:48.377567+00:00</t>
        </is>
      </c>
      <c r="F497" t="inlineStr">
        <is>
          <t>111652</t>
        </is>
      </c>
      <c r="H497" t="inlineStr">
        <is>
          <t>Generated work or software support file</t>
        </is>
      </c>
      <c r="I497" t="inlineStr">
        <is>
          <t>Filename screened</t>
        </is>
      </c>
      <c r="J497" t="inlineStr">
        <is>
          <t>No owner production trial log found</t>
        </is>
      </c>
      <c r="K497" t="inlineStr">
        <is>
          <t>Not established / non-text</t>
        </is>
      </c>
      <c r="L497" t="inlineStr">
        <is>
          <t>No explicit version established; modified date is file metadata only</t>
        </is>
      </c>
      <c r="M497" t="inlineStr">
        <is>
          <t xml:space="preserve"> extracted pages/blocks/rows;  recipe keyword signals (not recipe count)</t>
        </is>
      </c>
    </row>
    <row r="498">
      <c r="B498" t="inlineStr">
        <is>
          <t>page-148.png</t>
        </is>
      </c>
      <c r="C498" t="inlineStr">
        <is>
          <t>E:\ohada saas\Focused projects\stoquify\what-next\bakery-booklet-2026-10-03\work\pages\page-148.png</t>
        </is>
      </c>
      <c r="D498" t="inlineStr">
        <is>
          <t>.png</t>
        </is>
      </c>
      <c r="E498" t="inlineStr">
        <is>
          <t>2026-10-03T15:02:48.507522+00:00</t>
        </is>
      </c>
      <c r="F498" t="inlineStr">
        <is>
          <t>183788</t>
        </is>
      </c>
      <c r="H498" t="inlineStr">
        <is>
          <t>Generated work or software support file</t>
        </is>
      </c>
      <c r="I498" t="inlineStr">
        <is>
          <t>Filename screened</t>
        </is>
      </c>
      <c r="J498" t="inlineStr">
        <is>
          <t>No owner production trial log found</t>
        </is>
      </c>
      <c r="K498" t="inlineStr">
        <is>
          <t>Not established / non-text</t>
        </is>
      </c>
      <c r="L498" t="inlineStr">
        <is>
          <t>No explicit version established; modified date is file metadata only</t>
        </is>
      </c>
      <c r="M498" t="inlineStr">
        <is>
          <t xml:space="preserve"> extracted pages/blocks/rows;  recipe keyword signals (not recipe count)</t>
        </is>
      </c>
    </row>
    <row r="499">
      <c r="B499" t="inlineStr">
        <is>
          <t>page-149.png</t>
        </is>
      </c>
      <c r="C499" t="inlineStr">
        <is>
          <t>E:\ohada saas\Focused projects\stoquify\what-next\bakery-booklet-2026-10-03\work\pages\page-149.png</t>
        </is>
      </c>
      <c r="D499" t="inlineStr">
        <is>
          <t>.png</t>
        </is>
      </c>
      <c r="E499" t="inlineStr">
        <is>
          <t>2026-10-03T15:02:48.629070+00:00</t>
        </is>
      </c>
      <c r="F499" t="inlineStr">
        <is>
          <t>153315</t>
        </is>
      </c>
      <c r="H499" t="inlineStr">
        <is>
          <t>Generated work or software support file</t>
        </is>
      </c>
      <c r="I499" t="inlineStr">
        <is>
          <t>Filename screened</t>
        </is>
      </c>
      <c r="J499" t="inlineStr">
        <is>
          <t>No owner production trial log found</t>
        </is>
      </c>
      <c r="K499" t="inlineStr">
        <is>
          <t>Not established / non-text</t>
        </is>
      </c>
      <c r="L499" t="inlineStr">
        <is>
          <t>No explicit version established; modified date is file metadata only</t>
        </is>
      </c>
      <c r="M499" t="inlineStr">
        <is>
          <t xml:space="preserve"> extracted pages/blocks/rows;  recipe keyword signals (not recipe count)</t>
        </is>
      </c>
    </row>
    <row r="500">
      <c r="B500" t="inlineStr">
        <is>
          <t>page-150.png</t>
        </is>
      </c>
      <c r="C500" t="inlineStr">
        <is>
          <t>E:\ohada saas\Focused projects\stoquify\what-next\bakery-booklet-2026-10-03\work\pages\page-150.png</t>
        </is>
      </c>
      <c r="D500" t="inlineStr">
        <is>
          <t>.png</t>
        </is>
      </c>
      <c r="E500" t="inlineStr">
        <is>
          <t>2026-10-03T15:02:48.798618+00:00</t>
        </is>
      </c>
      <c r="F500" t="inlineStr">
        <is>
          <t>264957</t>
        </is>
      </c>
      <c r="H500" t="inlineStr">
        <is>
          <t>Generated work or software support file</t>
        </is>
      </c>
      <c r="I500" t="inlineStr">
        <is>
          <t>Filename screened</t>
        </is>
      </c>
      <c r="J500" t="inlineStr">
        <is>
          <t>No owner production trial log found</t>
        </is>
      </c>
      <c r="K500" t="inlineStr">
        <is>
          <t>Not established / non-text</t>
        </is>
      </c>
      <c r="L500" t="inlineStr">
        <is>
          <t>No explicit version established; modified date is file metadata only</t>
        </is>
      </c>
      <c r="M500" t="inlineStr">
        <is>
          <t xml:space="preserve"> extracted pages/blocks/rows;  recipe keyword signals (not recipe count)</t>
        </is>
      </c>
    </row>
    <row r="501">
      <c r="B501" t="inlineStr">
        <is>
          <t>page-151.png</t>
        </is>
      </c>
      <c r="C501" t="inlineStr">
        <is>
          <t>E:\ohada saas\Focused projects\stoquify\what-next\bakery-booklet-2026-10-03\work\pages\page-151.png</t>
        </is>
      </c>
      <c r="D501" t="inlineStr">
        <is>
          <t>.png</t>
        </is>
      </c>
      <c r="E501" t="inlineStr">
        <is>
          <t>2026-10-03T15:02:49.045090+00:00</t>
        </is>
      </c>
      <c r="F501" t="inlineStr">
        <is>
          <t>225510</t>
        </is>
      </c>
      <c r="H501" t="inlineStr">
        <is>
          <t>Generated work or software support file</t>
        </is>
      </c>
      <c r="I501" t="inlineStr">
        <is>
          <t>Filename screened</t>
        </is>
      </c>
      <c r="J501" t="inlineStr">
        <is>
          <t>No owner production trial log found</t>
        </is>
      </c>
      <c r="K501" t="inlineStr">
        <is>
          <t>Not established / non-text</t>
        </is>
      </c>
      <c r="L501" t="inlineStr">
        <is>
          <t>No explicit version established; modified date is file metadata only</t>
        </is>
      </c>
      <c r="M501" t="inlineStr">
        <is>
          <t xml:space="preserve"> extracted pages/blocks/rows;  recipe keyword signals (not recipe count)</t>
        </is>
      </c>
    </row>
    <row r="502">
      <c r="B502" t="inlineStr">
        <is>
          <t>page-152.png</t>
        </is>
      </c>
      <c r="C502" t="inlineStr">
        <is>
          <t>E:\ohada saas\Focused projects\stoquify\what-next\bakery-booklet-2026-10-03\work\pages\page-152.png</t>
        </is>
      </c>
      <c r="D502" t="inlineStr">
        <is>
          <t>.png</t>
        </is>
      </c>
      <c r="E502" t="inlineStr">
        <is>
          <t>2026-10-03T15:02:49.248051+00:00</t>
        </is>
      </c>
      <c r="F502" t="inlineStr">
        <is>
          <t>121396</t>
        </is>
      </c>
      <c r="H502" t="inlineStr">
        <is>
          <t>Generated work or software support file</t>
        </is>
      </c>
      <c r="I502" t="inlineStr">
        <is>
          <t>Filename screened</t>
        </is>
      </c>
      <c r="J502" t="inlineStr">
        <is>
          <t>No owner production trial log found</t>
        </is>
      </c>
      <c r="K502" t="inlineStr">
        <is>
          <t>Not established / non-text</t>
        </is>
      </c>
      <c r="L502" t="inlineStr">
        <is>
          <t>No explicit version established; modified date is file metadata only</t>
        </is>
      </c>
      <c r="M502" t="inlineStr">
        <is>
          <t xml:space="preserve"> extracted pages/blocks/rows;  recipe keyword signals (not recipe count)</t>
        </is>
      </c>
    </row>
    <row r="503">
      <c r="B503" t="inlineStr">
        <is>
          <t>page-153.png</t>
        </is>
      </c>
      <c r="C503" t="inlineStr">
        <is>
          <t>E:\ohada saas\Focused projects\stoquify\what-next\bakery-booklet-2026-10-03\work\pages\page-153.png</t>
        </is>
      </c>
      <c r="D503" t="inlineStr">
        <is>
          <t>.png</t>
        </is>
      </c>
      <c r="E503" t="inlineStr">
        <is>
          <t>2026-10-03T15:02:49.468027+00:00</t>
        </is>
      </c>
      <c r="F503" t="inlineStr">
        <is>
          <t>204441</t>
        </is>
      </c>
      <c r="H503" t="inlineStr">
        <is>
          <t>Generated work or software support file</t>
        </is>
      </c>
      <c r="I503" t="inlineStr">
        <is>
          <t>Filename screened</t>
        </is>
      </c>
      <c r="J503" t="inlineStr">
        <is>
          <t>No owner production trial log found</t>
        </is>
      </c>
      <c r="K503" t="inlineStr">
        <is>
          <t>Not established / non-text</t>
        </is>
      </c>
      <c r="L503" t="inlineStr">
        <is>
          <t>No explicit version established; modified date is file metadata only</t>
        </is>
      </c>
      <c r="M503" t="inlineStr">
        <is>
          <t xml:space="preserve"> extracted pages/blocks/rows;  recipe keyword signals (not recipe count)</t>
        </is>
      </c>
    </row>
    <row r="504">
      <c r="B504" t="inlineStr">
        <is>
          <t>page-154.png</t>
        </is>
      </c>
      <c r="C504" t="inlineStr">
        <is>
          <t>E:\ohada saas\Focused projects\stoquify\what-next\bakery-booklet-2026-10-03\work\pages\page-154.png</t>
        </is>
      </c>
      <c r="D504" t="inlineStr">
        <is>
          <t>.png</t>
        </is>
      </c>
      <c r="E504" t="inlineStr">
        <is>
          <t>2026-10-03T15:02:49.605546+00:00</t>
        </is>
      </c>
      <c r="F504" t="inlineStr">
        <is>
          <t>175911</t>
        </is>
      </c>
      <c r="H504" t="inlineStr">
        <is>
          <t>Generated work or software support file</t>
        </is>
      </c>
      <c r="I504" t="inlineStr">
        <is>
          <t>Filename screened</t>
        </is>
      </c>
      <c r="J504" t="inlineStr">
        <is>
          <t>No owner production trial log found</t>
        </is>
      </c>
      <c r="K504" t="inlineStr">
        <is>
          <t>Not established / non-text</t>
        </is>
      </c>
      <c r="L504" t="inlineStr">
        <is>
          <t>No explicit version established; modified date is file metadata only</t>
        </is>
      </c>
      <c r="M504" t="inlineStr">
        <is>
          <t xml:space="preserve"> extracted pages/blocks/rows;  recipe keyword signals (not recipe count)</t>
        </is>
      </c>
    </row>
    <row r="505">
      <c r="B505" t="inlineStr">
        <is>
          <t>page-155.png</t>
        </is>
      </c>
      <c r="C505" t="inlineStr">
        <is>
          <t>E:\ohada saas\Focused projects\stoquify\what-next\bakery-booklet-2026-10-03\work\pages\page-155.png</t>
        </is>
      </c>
      <c r="D505" t="inlineStr">
        <is>
          <t>.png</t>
        </is>
      </c>
      <c r="E505" t="inlineStr">
        <is>
          <t>2026-10-03T15:02:49.780585+00:00</t>
        </is>
      </c>
      <c r="F505" t="inlineStr">
        <is>
          <t>222031</t>
        </is>
      </c>
      <c r="H505" t="inlineStr">
        <is>
          <t>Generated work or software support file</t>
        </is>
      </c>
      <c r="I505" t="inlineStr">
        <is>
          <t>Filename screened</t>
        </is>
      </c>
      <c r="J505" t="inlineStr">
        <is>
          <t>No owner production trial log found</t>
        </is>
      </c>
      <c r="K505" t="inlineStr">
        <is>
          <t>Not established / non-text</t>
        </is>
      </c>
      <c r="L505" t="inlineStr">
        <is>
          <t>No explicit version established; modified date is file metadata only</t>
        </is>
      </c>
      <c r="M505" t="inlineStr">
        <is>
          <t xml:space="preserve"> extracted pages/blocks/rows;  recipe keyword signals (not recipe count)</t>
        </is>
      </c>
    </row>
    <row r="506">
      <c r="B506" t="inlineStr">
        <is>
          <t>page-156.png</t>
        </is>
      </c>
      <c r="C506" t="inlineStr">
        <is>
          <t>E:\ohada saas\Focused projects\stoquify\what-next\bakery-booklet-2026-10-03\work\pages\page-156.png</t>
        </is>
      </c>
      <c r="D506" t="inlineStr">
        <is>
          <t>.png</t>
        </is>
      </c>
      <c r="E506" t="inlineStr">
        <is>
          <t>2026-10-03T15:02:49.987435+00:00</t>
        </is>
      </c>
      <c r="F506" t="inlineStr">
        <is>
          <t>238089</t>
        </is>
      </c>
      <c r="H506" t="inlineStr">
        <is>
          <t>Generated work or software support file</t>
        </is>
      </c>
      <c r="I506" t="inlineStr">
        <is>
          <t>Filename screened</t>
        </is>
      </c>
      <c r="J506" t="inlineStr">
        <is>
          <t>No owner production trial log found</t>
        </is>
      </c>
      <c r="K506" t="inlineStr">
        <is>
          <t>Not established / non-text</t>
        </is>
      </c>
      <c r="L506" t="inlineStr">
        <is>
          <t>No explicit version established; modified date is file metadata only</t>
        </is>
      </c>
      <c r="M506" t="inlineStr">
        <is>
          <t xml:space="preserve"> extracted pages/blocks/rows;  recipe keyword signals (not recipe count)</t>
        </is>
      </c>
    </row>
    <row r="507">
      <c r="B507" t="inlineStr">
        <is>
          <t>page-157.png</t>
        </is>
      </c>
      <c r="C507" t="inlineStr">
        <is>
          <t>E:\ohada saas\Focused projects\stoquify\what-next\bakery-booklet-2026-10-03\work\pages\page-157.png</t>
        </is>
      </c>
      <c r="D507" t="inlineStr">
        <is>
          <t>.png</t>
        </is>
      </c>
      <c r="E507" t="inlineStr">
        <is>
          <t>2026-10-03T15:02:50.121892+00:00</t>
        </is>
      </c>
      <c r="F507" t="inlineStr">
        <is>
          <t>108901</t>
        </is>
      </c>
      <c r="H507" t="inlineStr">
        <is>
          <t>Generated work or software support file</t>
        </is>
      </c>
      <c r="I507" t="inlineStr">
        <is>
          <t>Filename screened</t>
        </is>
      </c>
      <c r="J507" t="inlineStr">
        <is>
          <t>No owner production trial log found</t>
        </is>
      </c>
      <c r="K507" t="inlineStr">
        <is>
          <t>Not established / non-text</t>
        </is>
      </c>
      <c r="L507" t="inlineStr">
        <is>
          <t>No explicit version established; modified date is file metadata only</t>
        </is>
      </c>
      <c r="M507" t="inlineStr">
        <is>
          <t xml:space="preserve"> extracted pages/blocks/rows;  recipe keyword signals (not recipe count)</t>
        </is>
      </c>
    </row>
    <row r="508">
      <c r="B508" t="inlineStr">
        <is>
          <t>page-158.png</t>
        </is>
      </c>
      <c r="C508" t="inlineStr">
        <is>
          <t>E:\ohada saas\Focused projects\stoquify\what-next\bakery-booklet-2026-10-03\work\pages\page-158.png</t>
        </is>
      </c>
      <c r="D508" t="inlineStr">
        <is>
          <t>.png</t>
        </is>
      </c>
      <c r="E508" t="inlineStr">
        <is>
          <t>2026-10-03T15:02:50.258485+00:00</t>
        </is>
      </c>
      <c r="F508" t="inlineStr">
        <is>
          <t>104186</t>
        </is>
      </c>
      <c r="H508" t="inlineStr">
        <is>
          <t>Generated work or software support file</t>
        </is>
      </c>
      <c r="I508" t="inlineStr">
        <is>
          <t>Filename screened</t>
        </is>
      </c>
      <c r="J508" t="inlineStr">
        <is>
          <t>No owner production trial log found</t>
        </is>
      </c>
      <c r="K508" t="inlineStr">
        <is>
          <t>Not established / non-text</t>
        </is>
      </c>
      <c r="L508" t="inlineStr">
        <is>
          <t>No explicit version established; modified date is file metadata only</t>
        </is>
      </c>
      <c r="M508" t="inlineStr">
        <is>
          <t xml:space="preserve"> extracted pages/blocks/rows;  recipe keyword signals (not recipe count)</t>
        </is>
      </c>
    </row>
    <row r="509">
      <c r="B509" t="inlineStr">
        <is>
          <t>page-159.png</t>
        </is>
      </c>
      <c r="C509" t="inlineStr">
        <is>
          <t>E:\ohada saas\Focused projects\stoquify\what-next\bakery-booklet-2026-10-03\work\pages\page-159.png</t>
        </is>
      </c>
      <c r="D509" t="inlineStr">
        <is>
          <t>.png</t>
        </is>
      </c>
      <c r="E509" t="inlineStr">
        <is>
          <t>2026-10-03T15:02:50.495968+00:00</t>
        </is>
      </c>
      <c r="F509" t="inlineStr">
        <is>
          <t>262955</t>
        </is>
      </c>
      <c r="H509" t="inlineStr">
        <is>
          <t>Generated work or software support file</t>
        </is>
      </c>
      <c r="I509" t="inlineStr">
        <is>
          <t>Filename screened</t>
        </is>
      </c>
      <c r="J509" t="inlineStr">
        <is>
          <t>No owner production trial log found</t>
        </is>
      </c>
      <c r="K509" t="inlineStr">
        <is>
          <t>Not established / non-text</t>
        </is>
      </c>
      <c r="L509" t="inlineStr">
        <is>
          <t>No explicit version established; modified date is file metadata only</t>
        </is>
      </c>
      <c r="M509" t="inlineStr">
        <is>
          <t xml:space="preserve"> extracted pages/blocks/rows;  recipe keyword signals (not recipe count)</t>
        </is>
      </c>
    </row>
    <row r="510">
      <c r="B510" t="inlineStr">
        <is>
          <t>page-160.png</t>
        </is>
      </c>
      <c r="C510" t="inlineStr">
        <is>
          <t>E:\ohada saas\Focused projects\stoquify\what-next\bakery-booklet-2026-10-03\work\pages\page-160.png</t>
        </is>
      </c>
      <c r="D510" t="inlineStr">
        <is>
          <t>.png</t>
        </is>
      </c>
      <c r="E510" t="inlineStr">
        <is>
          <t>2026-10-03T15:02:50.670489+00:00</t>
        </is>
      </c>
      <c r="F510" t="inlineStr">
        <is>
          <t>207235</t>
        </is>
      </c>
      <c r="H510" t="inlineStr">
        <is>
          <t>Generated work or software support file</t>
        </is>
      </c>
      <c r="I510" t="inlineStr">
        <is>
          <t>Filename screened</t>
        </is>
      </c>
      <c r="J510" t="inlineStr">
        <is>
          <t>No owner production trial log found</t>
        </is>
      </c>
      <c r="K510" t="inlineStr">
        <is>
          <t>Not established / non-text</t>
        </is>
      </c>
      <c r="L510" t="inlineStr">
        <is>
          <t>No explicit version established; modified date is file metadata only</t>
        </is>
      </c>
      <c r="M510" t="inlineStr">
        <is>
          <t xml:space="preserve"> extracted pages/blocks/rows;  recipe keyword signals (not recipe count)</t>
        </is>
      </c>
    </row>
    <row r="511">
      <c r="B511" t="inlineStr">
        <is>
          <t>page-161.png</t>
        </is>
      </c>
      <c r="C511" t="inlineStr">
        <is>
          <t>E:\ohada saas\Focused projects\stoquify\what-next\bakery-booklet-2026-10-03\work\pages\page-161.png</t>
        </is>
      </c>
      <c r="D511" t="inlineStr">
        <is>
          <t>.png</t>
        </is>
      </c>
      <c r="E511" t="inlineStr">
        <is>
          <t>2026-10-03T15:02:50.948020+00:00</t>
        </is>
      </c>
      <c r="F511" t="inlineStr">
        <is>
          <t>206771</t>
        </is>
      </c>
      <c r="H511" t="inlineStr">
        <is>
          <t>Generated work or software support file</t>
        </is>
      </c>
      <c r="I511" t="inlineStr">
        <is>
          <t>Filename screened</t>
        </is>
      </c>
      <c r="J511" t="inlineStr">
        <is>
          <t>No owner production trial log found</t>
        </is>
      </c>
      <c r="K511" t="inlineStr">
        <is>
          <t>Not established / non-text</t>
        </is>
      </c>
      <c r="L511" t="inlineStr">
        <is>
          <t>No explicit version established; modified date is file metadata only</t>
        </is>
      </c>
      <c r="M511" t="inlineStr">
        <is>
          <t xml:space="preserve"> extracted pages/blocks/rows;  recipe keyword signals (not recipe count)</t>
        </is>
      </c>
    </row>
    <row r="512">
      <c r="B512" t="inlineStr">
        <is>
          <t>page-162.png</t>
        </is>
      </c>
      <c r="C512" t="inlineStr">
        <is>
          <t>E:\ohada saas\Focused projects\stoquify\what-next\bakery-booklet-2026-10-03\work\pages\page-162.png</t>
        </is>
      </c>
      <c r="D512" t="inlineStr">
        <is>
          <t>.png</t>
        </is>
      </c>
      <c r="E512" t="inlineStr">
        <is>
          <t>2026-10-03T15:02:51.107975+00:00</t>
        </is>
      </c>
      <c r="F512" t="inlineStr">
        <is>
          <t>197133</t>
        </is>
      </c>
      <c r="H512" t="inlineStr">
        <is>
          <t>Generated work or software support file</t>
        </is>
      </c>
      <c r="I512" t="inlineStr">
        <is>
          <t>Filename screened</t>
        </is>
      </c>
      <c r="J512" t="inlineStr">
        <is>
          <t>No owner production trial log found</t>
        </is>
      </c>
      <c r="K512" t="inlineStr">
        <is>
          <t>Not established / non-text</t>
        </is>
      </c>
      <c r="L512" t="inlineStr">
        <is>
          <t>No explicit version established; modified date is file metadata only</t>
        </is>
      </c>
      <c r="M512" t="inlineStr">
        <is>
          <t xml:space="preserve"> extracted pages/blocks/rows;  recipe keyword signals (not recipe count)</t>
        </is>
      </c>
    </row>
    <row r="513">
      <c r="B513" t="inlineStr">
        <is>
          <t>page-163.png</t>
        </is>
      </c>
      <c r="C513" t="inlineStr">
        <is>
          <t>E:\ohada saas\Focused projects\stoquify\what-next\bakery-booklet-2026-10-03\work\pages\page-163.png</t>
        </is>
      </c>
      <c r="D513" t="inlineStr">
        <is>
          <t>.png</t>
        </is>
      </c>
      <c r="E513" t="inlineStr">
        <is>
          <t>2026-10-03T15:02:51.375874+00:00</t>
        </is>
      </c>
      <c r="F513" t="inlineStr">
        <is>
          <t>222195</t>
        </is>
      </c>
      <c r="H513" t="inlineStr">
        <is>
          <t>Generated work or software support file</t>
        </is>
      </c>
      <c r="I513" t="inlineStr">
        <is>
          <t>Filename screened</t>
        </is>
      </c>
      <c r="J513" t="inlineStr">
        <is>
          <t>No owner production trial log found</t>
        </is>
      </c>
      <c r="K513" t="inlineStr">
        <is>
          <t>Not established / non-text</t>
        </is>
      </c>
      <c r="L513" t="inlineStr">
        <is>
          <t>No explicit version established; modified date is file metadata only</t>
        </is>
      </c>
      <c r="M513" t="inlineStr">
        <is>
          <t xml:space="preserve"> extracted pages/blocks/rows;  recipe keyword signals (not recipe count)</t>
        </is>
      </c>
    </row>
    <row r="514">
      <c r="B514" t="inlineStr">
        <is>
          <t>page-164.png</t>
        </is>
      </c>
      <c r="C514" t="inlineStr">
        <is>
          <t>E:\ohada saas\Focused projects\stoquify\what-next\bakery-booklet-2026-10-03\work\pages\page-164.png</t>
        </is>
      </c>
      <c r="D514" t="inlineStr">
        <is>
          <t>.png</t>
        </is>
      </c>
      <c r="E514" t="inlineStr">
        <is>
          <t>2026-10-03T15:02:51.554908+00:00</t>
        </is>
      </c>
      <c r="F514" t="inlineStr">
        <is>
          <t>220744</t>
        </is>
      </c>
      <c r="H514" t="inlineStr">
        <is>
          <t>Generated work or software support file</t>
        </is>
      </c>
      <c r="I514" t="inlineStr">
        <is>
          <t>Filename screened</t>
        </is>
      </c>
      <c r="J514" t="inlineStr">
        <is>
          <t>No owner production trial log found</t>
        </is>
      </c>
      <c r="K514" t="inlineStr">
        <is>
          <t>Not established / non-text</t>
        </is>
      </c>
      <c r="L514" t="inlineStr">
        <is>
          <t>No explicit version established; modified date is file metadata only</t>
        </is>
      </c>
      <c r="M514" t="inlineStr">
        <is>
          <t xml:space="preserve"> extracted pages/blocks/rows;  recipe keyword signals (not recipe count)</t>
        </is>
      </c>
    </row>
    <row r="515">
      <c r="B515" t="inlineStr">
        <is>
          <t>page-165.png</t>
        </is>
      </c>
      <c r="C515" t="inlineStr">
        <is>
          <t>E:\ohada saas\Focused projects\stoquify\what-next\bakery-booklet-2026-10-03\work\pages\page-165.png</t>
        </is>
      </c>
      <c r="D515" t="inlineStr">
        <is>
          <t>.png</t>
        </is>
      </c>
      <c r="E515" t="inlineStr">
        <is>
          <t>2026-10-03T15:02:51.651339+00:00</t>
        </is>
      </c>
      <c r="F515" t="inlineStr">
        <is>
          <t>72904</t>
        </is>
      </c>
      <c r="H515" t="inlineStr">
        <is>
          <t>Generated work or software support file</t>
        </is>
      </c>
      <c r="I515" t="inlineStr">
        <is>
          <t>Filename screened</t>
        </is>
      </c>
      <c r="J515" t="inlineStr">
        <is>
          <t>No owner production trial log found</t>
        </is>
      </c>
      <c r="K515" t="inlineStr">
        <is>
          <t>Not established / non-text</t>
        </is>
      </c>
      <c r="L515" t="inlineStr">
        <is>
          <t>No explicit version established; modified date is file metadata only</t>
        </is>
      </c>
      <c r="M515" t="inlineStr">
        <is>
          <t xml:space="preserve"> extracted pages/blocks/rows;  recipe keyword signals (not recipe count)</t>
        </is>
      </c>
    </row>
    <row r="516">
      <c r="B516" t="inlineStr">
        <is>
          <t>preservation.md</t>
        </is>
      </c>
      <c r="C516" t="inlineStr">
        <is>
          <t>E:\ohada saas\Focused projects\stoquify\what-next\bakery-booklet-2026-10-03\work\preservation.md</t>
        </is>
      </c>
      <c r="D516" t="inlineStr">
        <is>
          <t>.md</t>
        </is>
      </c>
      <c r="E516" t="inlineStr">
        <is>
          <t>2026-10-03T14:53:02.284807+00:00</t>
        </is>
      </c>
      <c r="F516" t="inlineStr">
        <is>
          <t>9537</t>
        </is>
      </c>
      <c r="H516" t="inlineStr">
        <is>
          <t>Generated work or software support file</t>
        </is>
      </c>
      <c r="I516" t="inlineStr">
        <is>
          <t>Filename screened</t>
        </is>
      </c>
      <c r="J516" t="inlineStr">
        <is>
          <t>No owner production trial log found</t>
        </is>
      </c>
      <c r="K516" t="inlineStr">
        <is>
          <t>Not established / non-text</t>
        </is>
      </c>
      <c r="L516" t="inlineStr">
        <is>
          <t>No explicit version established; modified date is file metadata only</t>
        </is>
      </c>
      <c r="M516" t="inlineStr">
        <is>
          <t xml:space="preserve"> extracted pages/blocks/rows;  recipe keyword signals (not recipe count)</t>
        </is>
      </c>
    </row>
    <row r="517">
      <c r="B517" t="inlineStr">
        <is>
          <t>contact-01.jpg</t>
        </is>
      </c>
      <c r="C517" t="inlineStr">
        <is>
          <t>E:\ohada saas\Focused projects\stoquify\what-next\bakery-booklet-2026-10-03\work\published-review\contact-01.jpg</t>
        </is>
      </c>
      <c r="D517" t="inlineStr">
        <is>
          <t>.jpg</t>
        </is>
      </c>
      <c r="E517" t="inlineStr">
        <is>
          <t>2026-10-03T15:22:13.317208+00:00</t>
        </is>
      </c>
      <c r="F517" t="inlineStr">
        <is>
          <t>536493</t>
        </is>
      </c>
      <c r="H517" t="inlineStr">
        <is>
          <t>Generated work or software support file</t>
        </is>
      </c>
      <c r="I517" t="inlineStr">
        <is>
          <t>Filename screened</t>
        </is>
      </c>
      <c r="J517" t="inlineStr">
        <is>
          <t>No owner production trial log found</t>
        </is>
      </c>
      <c r="K517" t="inlineStr">
        <is>
          <t>Not established / non-text</t>
        </is>
      </c>
      <c r="L517" t="inlineStr">
        <is>
          <t>No explicit version established; modified date is file metadata only</t>
        </is>
      </c>
      <c r="M517" t="inlineStr">
        <is>
          <t xml:space="preserve"> extracted pages/blocks/rows;  recipe keyword signals (not recipe count)</t>
        </is>
      </c>
    </row>
    <row r="518">
      <c r="B518" t="inlineStr">
        <is>
          <t>contact-02.jpg</t>
        </is>
      </c>
      <c r="C518" t="inlineStr">
        <is>
          <t>E:\ohada saas\Focused projects\stoquify\what-next\bakery-booklet-2026-10-03\work\published-review\contact-02.jpg</t>
        </is>
      </c>
      <c r="D518" t="inlineStr">
        <is>
          <t>.jpg</t>
        </is>
      </c>
      <c r="E518" t="inlineStr">
        <is>
          <t>2026-10-03T15:22:13.373112+00:00</t>
        </is>
      </c>
      <c r="F518" t="inlineStr">
        <is>
          <t>534046</t>
        </is>
      </c>
      <c r="H518" t="inlineStr">
        <is>
          <t>Generated work or software support file</t>
        </is>
      </c>
      <c r="I518" t="inlineStr">
        <is>
          <t>Filename screened</t>
        </is>
      </c>
      <c r="J518" t="inlineStr">
        <is>
          <t>No owner production trial log found</t>
        </is>
      </c>
      <c r="K518" t="inlineStr">
        <is>
          <t>Not established / non-text</t>
        </is>
      </c>
      <c r="L518" t="inlineStr">
        <is>
          <t>No explicit version established; modified date is file metadata only</t>
        </is>
      </c>
      <c r="M518" t="inlineStr">
        <is>
          <t xml:space="preserve"> extracted pages/blocks/rows;  recipe keyword signals (not recipe count)</t>
        </is>
      </c>
    </row>
    <row r="519">
      <c r="B519" t="inlineStr">
        <is>
          <t>contact-03.jpg</t>
        </is>
      </c>
      <c r="C519" t="inlineStr">
        <is>
          <t>E:\ohada saas\Focused projects\stoquify\what-next\bakery-booklet-2026-10-03\work\published-review\contact-03.jpg</t>
        </is>
      </c>
      <c r="D519" t="inlineStr">
        <is>
          <t>.jpg</t>
        </is>
      </c>
      <c r="E519" t="inlineStr">
        <is>
          <t>2026-10-03T15:22:13.444983+00:00</t>
        </is>
      </c>
      <c r="F519" t="inlineStr">
        <is>
          <t>563867</t>
        </is>
      </c>
      <c r="H519" t="inlineStr">
        <is>
          <t>Generated work or software support file</t>
        </is>
      </c>
      <c r="I519" t="inlineStr">
        <is>
          <t>Filename screened</t>
        </is>
      </c>
      <c r="J519" t="inlineStr">
        <is>
          <t>No owner production trial log found</t>
        </is>
      </c>
      <c r="K519" t="inlineStr">
        <is>
          <t>Not established / non-text</t>
        </is>
      </c>
      <c r="L519" t="inlineStr">
        <is>
          <t>No explicit version established; modified date is file metadata only</t>
        </is>
      </c>
      <c r="M519" t="inlineStr">
        <is>
          <t xml:space="preserve"> extracted pages/blocks/rows;  recipe keyword signals (not recipe count)</t>
        </is>
      </c>
    </row>
    <row r="520">
      <c r="B520" t="inlineStr">
        <is>
          <t>contact-04.jpg</t>
        </is>
      </c>
      <c r="C520" t="inlineStr">
        <is>
          <t>E:\ohada saas\Focused projects\stoquify\what-next\bakery-booklet-2026-10-03\work\published-review\contact-04.jpg</t>
        </is>
      </c>
      <c r="D520" t="inlineStr">
        <is>
          <t>.jpg</t>
        </is>
      </c>
      <c r="E520" t="inlineStr">
        <is>
          <t>2026-10-03T15:22:13.501534+00:00</t>
        </is>
      </c>
      <c r="F520" t="inlineStr">
        <is>
          <t>522740</t>
        </is>
      </c>
      <c r="H520" t="inlineStr">
        <is>
          <t>Generated work or software support file</t>
        </is>
      </c>
      <c r="I520" t="inlineStr">
        <is>
          <t>Filename screened</t>
        </is>
      </c>
      <c r="J520" t="inlineStr">
        <is>
          <t>No owner production trial log found</t>
        </is>
      </c>
      <c r="K520" t="inlineStr">
        <is>
          <t>Not established / non-text</t>
        </is>
      </c>
      <c r="L520" t="inlineStr">
        <is>
          <t>No explicit version established; modified date is file metadata only</t>
        </is>
      </c>
      <c r="M520" t="inlineStr">
        <is>
          <t xml:space="preserve"> extracted pages/blocks/rows;  recipe keyword signals (not recipe count)</t>
        </is>
      </c>
    </row>
    <row r="521">
      <c r="B521" t="inlineStr">
        <is>
          <t>contact-05.jpg</t>
        </is>
      </c>
      <c r="C521" t="inlineStr">
        <is>
          <t>E:\ohada saas\Focused projects\stoquify\what-next\bakery-booklet-2026-10-03\work\published-review\contact-05.jpg</t>
        </is>
      </c>
      <c r="D521" t="inlineStr">
        <is>
          <t>.jpg</t>
        </is>
      </c>
      <c r="E521" t="inlineStr">
        <is>
          <t>2026-10-03T15:22:13.724679+00:00</t>
        </is>
      </c>
      <c r="F521" t="inlineStr">
        <is>
          <t>532990</t>
        </is>
      </c>
      <c r="H521" t="inlineStr">
        <is>
          <t>Generated work or software support file</t>
        </is>
      </c>
      <c r="I521" t="inlineStr">
        <is>
          <t>Filename screened</t>
        </is>
      </c>
      <c r="J521" t="inlineStr">
        <is>
          <t>No owner production trial log found</t>
        </is>
      </c>
      <c r="K521" t="inlineStr">
        <is>
          <t>Not established / non-text</t>
        </is>
      </c>
      <c r="L521" t="inlineStr">
        <is>
          <t>No explicit version established; modified date is file metadata only</t>
        </is>
      </c>
      <c r="M521" t="inlineStr">
        <is>
          <t xml:space="preserve"> extracted pages/blocks/rows;  recipe keyword signals (not recipe count)</t>
        </is>
      </c>
    </row>
    <row r="522">
      <c r="B522" t="inlineStr">
        <is>
          <t>contact-06.jpg</t>
        </is>
      </c>
      <c r="C522" t="inlineStr">
        <is>
          <t>E:\ohada saas\Focused projects\stoquify\what-next\bakery-booklet-2026-10-03\work\published-review\contact-06.jpg</t>
        </is>
      </c>
      <c r="D522" t="inlineStr">
        <is>
          <t>.jpg</t>
        </is>
      </c>
      <c r="E522" t="inlineStr">
        <is>
          <t>2026-10-03T15:22:13.786787+00:00</t>
        </is>
      </c>
      <c r="F522" t="inlineStr">
        <is>
          <t>568755</t>
        </is>
      </c>
      <c r="H522" t="inlineStr">
        <is>
          <t>Generated work or software support file</t>
        </is>
      </c>
      <c r="I522" t="inlineStr">
        <is>
          <t>Filename screened</t>
        </is>
      </c>
      <c r="J522" t="inlineStr">
        <is>
          <t>No owner production trial log found</t>
        </is>
      </c>
      <c r="K522" t="inlineStr">
        <is>
          <t>Not established / non-text</t>
        </is>
      </c>
      <c r="L522" t="inlineStr">
        <is>
          <t>No explicit version established; modified date is file metadata only</t>
        </is>
      </c>
      <c r="M522" t="inlineStr">
        <is>
          <t xml:space="preserve"> extracted pages/blocks/rows;  recipe keyword signals (not recipe count)</t>
        </is>
      </c>
    </row>
    <row r="523">
      <c r="B523" t="inlineStr">
        <is>
          <t>contact-07.jpg</t>
        </is>
      </c>
      <c r="C523" t="inlineStr">
        <is>
          <t>E:\ohada saas\Focused projects\stoquify\what-next\bakery-booklet-2026-10-03\work\published-review\contact-07.jpg</t>
        </is>
      </c>
      <c r="D523" t="inlineStr">
        <is>
          <t>.jpg</t>
        </is>
      </c>
      <c r="E523" t="inlineStr">
        <is>
          <t>2026-10-03T15:22:13.831028+00:00</t>
        </is>
      </c>
      <c r="F523" t="inlineStr">
        <is>
          <t>248243</t>
        </is>
      </c>
      <c r="H523" t="inlineStr">
        <is>
          <t>Generated work or software support file</t>
        </is>
      </c>
      <c r="I523" t="inlineStr">
        <is>
          <t>Filename screened</t>
        </is>
      </c>
      <c r="J523" t="inlineStr">
        <is>
          <t>No owner production trial log found</t>
        </is>
      </c>
      <c r="K523" t="inlineStr">
        <is>
          <t>Not established / non-text</t>
        </is>
      </c>
      <c r="L523" t="inlineStr">
        <is>
          <t>No explicit version established; modified date is file metadata only</t>
        </is>
      </c>
      <c r="M523" t="inlineStr">
        <is>
          <t xml:space="preserve"> extracted pages/blocks/rows;  recipe keyword signals (not recipe count)</t>
        </is>
      </c>
    </row>
    <row r="524">
      <c r="B524" t="inlineStr">
        <is>
          <t>page-001.png</t>
        </is>
      </c>
      <c r="C524" t="inlineStr">
        <is>
          <t>E:\ohada saas\Focused projects\stoquify\what-next\bakery-booklet-2026-10-03\work\published-review\page-001.png</t>
        </is>
      </c>
      <c r="D524" t="inlineStr">
        <is>
          <t>.png</t>
        </is>
      </c>
      <c r="E524" t="inlineStr">
        <is>
          <t>2026-10-03T15:22:05.191641+00:00</t>
        </is>
      </c>
      <c r="F524" t="inlineStr">
        <is>
          <t>204468</t>
        </is>
      </c>
      <c r="H524" t="inlineStr">
        <is>
          <t>Generated work or software support file</t>
        </is>
      </c>
      <c r="I524" t="inlineStr">
        <is>
          <t>Filename screened</t>
        </is>
      </c>
      <c r="J524" t="inlineStr">
        <is>
          <t>No owner production trial log found</t>
        </is>
      </c>
      <c r="K524" t="inlineStr">
        <is>
          <t>Not established / non-text</t>
        </is>
      </c>
      <c r="L524" t="inlineStr">
        <is>
          <t>No explicit version established; modified date is file metadata only</t>
        </is>
      </c>
      <c r="M524" t="inlineStr">
        <is>
          <t xml:space="preserve"> extracted pages/blocks/rows;  recipe keyword signals (not recipe count)</t>
        </is>
      </c>
    </row>
    <row r="525">
      <c r="B525" t="inlineStr">
        <is>
          <t>page-136.png</t>
        </is>
      </c>
      <c r="C525" t="inlineStr">
        <is>
          <t>E:\ohada saas\Focused projects\stoquify\what-next\bakery-booklet-2026-10-03\work\published-review\page-136.png</t>
        </is>
      </c>
      <c r="D525" t="inlineStr">
        <is>
          <t>.png</t>
        </is>
      </c>
      <c r="E525" t="inlineStr">
        <is>
          <t>2026-10-03T15:22:11.649065+00:00</t>
        </is>
      </c>
      <c r="F525" t="inlineStr">
        <is>
          <t>299961</t>
        </is>
      </c>
      <c r="H525" t="inlineStr">
        <is>
          <t>Generated work or software support file</t>
        </is>
      </c>
      <c r="I525" t="inlineStr">
        <is>
          <t>Filename screened</t>
        </is>
      </c>
      <c r="J525" t="inlineStr">
        <is>
          <t>No owner production trial log found</t>
        </is>
      </c>
      <c r="K525" t="inlineStr">
        <is>
          <t>Not established / non-text</t>
        </is>
      </c>
      <c r="L525" t="inlineStr">
        <is>
          <t>No explicit version established; modified date is file metadata only</t>
        </is>
      </c>
      <c r="M525" t="inlineStr">
        <is>
          <t xml:space="preserve"> extracted pages/blocks/rows;  recipe keyword signals (not recipe count)</t>
        </is>
      </c>
    </row>
    <row r="526">
      <c r="B526" t="inlineStr">
        <is>
          <t>page-137.png</t>
        </is>
      </c>
      <c r="C526" t="inlineStr">
        <is>
          <t>E:\ohada saas\Focused projects\stoquify\what-next\bakery-booklet-2026-10-03\work\published-review\page-137.png</t>
        </is>
      </c>
      <c r="D526" t="inlineStr">
        <is>
          <t>.png</t>
        </is>
      </c>
      <c r="E526" t="inlineStr">
        <is>
          <t>2026-10-03T15:22:11.859313+00:00</t>
        </is>
      </c>
      <c r="F526" t="inlineStr">
        <is>
          <t>226468</t>
        </is>
      </c>
      <c r="H526" t="inlineStr">
        <is>
          <t>Generated work or software support file</t>
        </is>
      </c>
      <c r="I526" t="inlineStr">
        <is>
          <t>Filename screened</t>
        </is>
      </c>
      <c r="J526" t="inlineStr">
        <is>
          <t>No owner production trial log found</t>
        </is>
      </c>
      <c r="K526" t="inlineStr">
        <is>
          <t>Not established / non-text</t>
        </is>
      </c>
      <c r="L526" t="inlineStr">
        <is>
          <t>No explicit version established; modified date is file metadata only</t>
        </is>
      </c>
      <c r="M526" t="inlineStr">
        <is>
          <t xml:space="preserve"> extracted pages/blocks/rows;  recipe keyword signals (not recipe count)</t>
        </is>
      </c>
    </row>
    <row r="527">
      <c r="B527" t="inlineStr">
        <is>
          <t>page-138.png</t>
        </is>
      </c>
      <c r="C527" t="inlineStr">
        <is>
          <t>E:\ohada saas\Focused projects\stoquify\what-next\bakery-booklet-2026-10-03\work\published-review\page-138.png</t>
        </is>
      </c>
      <c r="D527" t="inlineStr">
        <is>
          <t>.png</t>
        </is>
      </c>
      <c r="E527" t="inlineStr">
        <is>
          <t>2026-10-03T15:22:12.075987+00:00</t>
        </is>
      </c>
      <c r="F527" t="inlineStr">
        <is>
          <t>263594</t>
        </is>
      </c>
      <c r="H527" t="inlineStr">
        <is>
          <t>Generated work or software support file</t>
        </is>
      </c>
      <c r="I527" t="inlineStr">
        <is>
          <t>Filename screened</t>
        </is>
      </c>
      <c r="J527" t="inlineStr">
        <is>
          <t>No owner production trial log found</t>
        </is>
      </c>
      <c r="K527" t="inlineStr">
        <is>
          <t>Not established / non-text</t>
        </is>
      </c>
      <c r="L527" t="inlineStr">
        <is>
          <t>No explicit version established; modified date is file metadata only</t>
        </is>
      </c>
      <c r="M527" t="inlineStr">
        <is>
          <t xml:space="preserve"> extracted pages/blocks/rows;  recipe keyword signals (not recipe count)</t>
        </is>
      </c>
    </row>
    <row r="528">
      <c r="B528" t="inlineStr">
        <is>
          <t>page-139.png</t>
        </is>
      </c>
      <c r="C528" t="inlineStr">
        <is>
          <t>E:\ohada saas\Focused projects\stoquify\what-next\bakery-booklet-2026-10-03\work\published-review\page-139.png</t>
        </is>
      </c>
      <c r="D528" t="inlineStr">
        <is>
          <t>.png</t>
        </is>
      </c>
      <c r="E528" t="inlineStr">
        <is>
          <t>2026-10-03T15:22:12.301102+00:00</t>
        </is>
      </c>
      <c r="F528" t="inlineStr">
        <is>
          <t>302508</t>
        </is>
      </c>
      <c r="H528" t="inlineStr">
        <is>
          <t>Generated work or software support file</t>
        </is>
      </c>
      <c r="I528" t="inlineStr">
        <is>
          <t>Filename screened</t>
        </is>
      </c>
      <c r="J528" t="inlineStr">
        <is>
          <t>No owner production trial log found</t>
        </is>
      </c>
      <c r="K528" t="inlineStr">
        <is>
          <t>Not established / non-text</t>
        </is>
      </c>
      <c r="L528" t="inlineStr">
        <is>
          <t>No explicit version established; modified date is file metadata only</t>
        </is>
      </c>
      <c r="M528" t="inlineStr">
        <is>
          <t xml:space="preserve"> extracted pages/blocks/rows;  recipe keyword signals (not recipe count)</t>
        </is>
      </c>
    </row>
    <row r="529">
      <c r="B529" t="inlineStr">
        <is>
          <t>page-140.png</t>
        </is>
      </c>
      <c r="C529" t="inlineStr">
        <is>
          <t>E:\ohada saas\Focused projects\stoquify\what-next\bakery-booklet-2026-10-03\work\published-review\page-140.png</t>
        </is>
      </c>
      <c r="D529" t="inlineStr">
        <is>
          <t>.png</t>
        </is>
      </c>
      <c r="E529" t="inlineStr">
        <is>
          <t>2026-10-03T15:22:12.524753+00:00</t>
        </is>
      </c>
      <c r="F529" t="inlineStr">
        <is>
          <t>272040</t>
        </is>
      </c>
      <c r="H529" t="inlineStr">
        <is>
          <t>Generated work or software support file</t>
        </is>
      </c>
      <c r="I529" t="inlineStr">
        <is>
          <t>Filename screened</t>
        </is>
      </c>
      <c r="J529" t="inlineStr">
        <is>
          <t>No owner production trial log found</t>
        </is>
      </c>
      <c r="K529" t="inlineStr">
        <is>
          <t>Not established / non-text</t>
        </is>
      </c>
      <c r="L529" t="inlineStr">
        <is>
          <t>No explicit version established; modified date is file metadata only</t>
        </is>
      </c>
      <c r="M529" t="inlineStr">
        <is>
          <t xml:space="preserve"> extracted pages/blocks/rows;  recipe keyword signals (not recipe count)</t>
        </is>
      </c>
    </row>
    <row r="530">
      <c r="B530" t="inlineStr">
        <is>
          <t>SRC02.txt</t>
        </is>
      </c>
      <c r="C530" t="inlineStr">
        <is>
          <t>E:\ohada saas\Focused projects\stoquify\what-next\bakery-booklet-2026-10-03\work\SRC02.txt</t>
        </is>
      </c>
      <c r="D530" t="inlineStr">
        <is>
          <t>.txt</t>
        </is>
      </c>
      <c r="E530" t="inlineStr">
        <is>
          <t>2026-10-03T14:43:31.508841+00:00</t>
        </is>
      </c>
      <c r="F530" t="inlineStr">
        <is>
          <t>196073</t>
        </is>
      </c>
      <c r="H530" t="inlineStr">
        <is>
          <t>Generated work or software support file</t>
        </is>
      </c>
      <c r="I530" t="inlineStr">
        <is>
          <t>Filename screened</t>
        </is>
      </c>
      <c r="J530" t="inlineStr">
        <is>
          <t>No owner production trial log found</t>
        </is>
      </c>
      <c r="K530" t="inlineStr">
        <is>
          <t>Not established / non-text</t>
        </is>
      </c>
      <c r="L530" t="inlineStr">
        <is>
          <t>No explicit version established; modified date is file metadata only</t>
        </is>
      </c>
      <c r="M530" t="inlineStr">
        <is>
          <t xml:space="preserve"> extracted pages/blocks/rows;  recipe keyword signals (not recipe count)</t>
        </is>
      </c>
    </row>
    <row r="531">
      <c r="B531" t="inlineStr">
        <is>
          <t>SRC04.txt</t>
        </is>
      </c>
      <c r="C531" t="inlineStr">
        <is>
          <t>E:\ohada saas\Focused projects\stoquify\what-next\bakery-booklet-2026-10-03\work\SRC04.txt</t>
        </is>
      </c>
      <c r="D531" t="inlineStr">
        <is>
          <t>.txt</t>
        </is>
      </c>
      <c r="E531" t="inlineStr">
        <is>
          <t>2026-10-03T14:43:32.403296+00:00</t>
        </is>
      </c>
      <c r="F531" t="inlineStr">
        <is>
          <t>27029</t>
        </is>
      </c>
      <c r="H531" t="inlineStr">
        <is>
          <t>Generated work or software support file</t>
        </is>
      </c>
      <c r="I531" t="inlineStr">
        <is>
          <t>Filename screened</t>
        </is>
      </c>
      <c r="J531" t="inlineStr">
        <is>
          <t>No owner production trial log found</t>
        </is>
      </c>
      <c r="K531" t="inlineStr">
        <is>
          <t>Not established / non-text</t>
        </is>
      </c>
      <c r="L531" t="inlineStr">
        <is>
          <t>No explicit version established; modified date is file metadata only</t>
        </is>
      </c>
      <c r="M531" t="inlineStr">
        <is>
          <t xml:space="preserve"> extracted pages/blocks/rows;  recipe keyword signals (not recipe count)</t>
        </is>
      </c>
    </row>
    <row r="532">
      <c r="B532" t="inlineStr">
        <is>
          <t>SRC06.txt</t>
        </is>
      </c>
      <c r="C532" t="inlineStr">
        <is>
          <t>E:\ohada saas\Focused projects\stoquify\what-next\bakery-booklet-2026-10-03\work\SRC06.txt</t>
        </is>
      </c>
      <c r="D532" t="inlineStr">
        <is>
          <t>.txt</t>
        </is>
      </c>
      <c r="E532" t="inlineStr">
        <is>
          <t>2026-10-03T14:43:35.472664+00:00</t>
        </is>
      </c>
      <c r="F532" t="inlineStr">
        <is>
          <t>86864</t>
        </is>
      </c>
      <c r="H532" t="inlineStr">
        <is>
          <t>Generated work or software support file</t>
        </is>
      </c>
      <c r="I532" t="inlineStr">
        <is>
          <t>Filename screened</t>
        </is>
      </c>
      <c r="J532" t="inlineStr">
        <is>
          <t>No owner production trial log found</t>
        </is>
      </c>
      <c r="K532" t="inlineStr">
        <is>
          <t>Not established / non-text</t>
        </is>
      </c>
      <c r="L532" t="inlineStr">
        <is>
          <t>No explicit version established; modified date is file metadata only</t>
        </is>
      </c>
      <c r="M532" t="inlineStr">
        <is>
          <t xml:space="preserve"> extracted pages/blocks/rows;  recipe keyword signals (not recipe count)</t>
        </is>
      </c>
    </row>
    <row r="533">
      <c r="B533" t="inlineStr">
        <is>
          <t>SRC09.txt</t>
        </is>
      </c>
      <c r="C533" t="inlineStr">
        <is>
          <t>E:\ohada saas\Focused projects\stoquify\what-next\bakery-booklet-2026-10-03\work\SRC09.txt</t>
        </is>
      </c>
      <c r="D533" t="inlineStr">
        <is>
          <t>.txt</t>
        </is>
      </c>
      <c r="E533" t="inlineStr">
        <is>
          <t>2026-10-03T14:43:44.054678+00:00</t>
        </is>
      </c>
      <c r="F533" t="inlineStr">
        <is>
          <t>218956</t>
        </is>
      </c>
      <c r="H533" t="inlineStr">
        <is>
          <t>Generated work or software support file</t>
        </is>
      </c>
      <c r="I533" t="inlineStr">
        <is>
          <t>Filename screened</t>
        </is>
      </c>
      <c r="J533" t="inlineStr">
        <is>
          <t>No owner production trial log found</t>
        </is>
      </c>
      <c r="K533" t="inlineStr">
        <is>
          <t>Not established / non-text</t>
        </is>
      </c>
      <c r="L533" t="inlineStr">
        <is>
          <t>No explicit version established; modified date is file metadata only</t>
        </is>
      </c>
      <c r="M533" t="inlineStr">
        <is>
          <t xml:space="preserve"> extracted pages/blocks/rows;  recipe keyword signals (not recipe count)</t>
        </is>
      </c>
    </row>
    <row r="534">
      <c r="B534" t="inlineStr">
        <is>
          <t>SRC13.txt</t>
        </is>
      </c>
      <c r="C534" t="inlineStr">
        <is>
          <t>E:\ohada saas\Focused projects\stoquify\what-next\bakery-booklet-2026-10-03\work\SRC13.txt</t>
        </is>
      </c>
      <c r="D534" t="inlineStr">
        <is>
          <t>.txt</t>
        </is>
      </c>
      <c r="E534" t="inlineStr">
        <is>
          <t>2026-10-03T14:43:44.853686+00:00</t>
        </is>
      </c>
      <c r="F534" t="inlineStr">
        <is>
          <t>42292</t>
        </is>
      </c>
      <c r="H534" t="inlineStr">
        <is>
          <t>Generated work or software support file</t>
        </is>
      </c>
      <c r="I534" t="inlineStr">
        <is>
          <t>Filename screened</t>
        </is>
      </c>
      <c r="J534" t="inlineStr">
        <is>
          <t>No owner production trial log found</t>
        </is>
      </c>
      <c r="K534" t="inlineStr">
        <is>
          <t>Not established / non-text</t>
        </is>
      </c>
      <c r="L534" t="inlineStr">
        <is>
          <t>No explicit version established; modified date is file metadata only</t>
        </is>
      </c>
      <c r="M534" t="inlineStr">
        <is>
          <t xml:space="preserve"> extracted pages/blocks/rows;  recipe keyword signals (not recipe count)</t>
        </is>
      </c>
    </row>
    <row r="535">
      <c r="B535" t="inlineStr">
        <is>
          <t>SRC15.txt</t>
        </is>
      </c>
      <c r="C535" t="inlineStr">
        <is>
          <t>E:\ohada saas\Focused projects\stoquify\what-next\bakery-booklet-2026-10-03\work\SRC15.txt</t>
        </is>
      </c>
      <c r="D535" t="inlineStr">
        <is>
          <t>.txt</t>
        </is>
      </c>
      <c r="E535" t="inlineStr">
        <is>
          <t>2026-10-03T14:43:45.264395+00:00</t>
        </is>
      </c>
      <c r="F535" t="inlineStr">
        <is>
          <t>8825</t>
        </is>
      </c>
      <c r="H535" t="inlineStr">
        <is>
          <t>Generated work or software support file</t>
        </is>
      </c>
      <c r="I535" t="inlineStr">
        <is>
          <t>Filename screened</t>
        </is>
      </c>
      <c r="J535" t="inlineStr">
        <is>
          <t>No owner production trial log found</t>
        </is>
      </c>
      <c r="K535" t="inlineStr">
        <is>
          <t>Not established / non-text</t>
        </is>
      </c>
      <c r="L535" t="inlineStr">
        <is>
          <t>No explicit version established; modified date is file metadata only</t>
        </is>
      </c>
      <c r="M535" t="inlineStr">
        <is>
          <t xml:space="preserve"> extracted pages/blocks/rows;  recipe keyword signals (not recipe count)</t>
        </is>
      </c>
    </row>
    <row r="536">
      <c r="B536" t="inlineStr">
        <is>
          <t>SRC16.txt</t>
        </is>
      </c>
      <c r="C536" t="inlineStr">
        <is>
          <t>E:\ohada saas\Focused projects\stoquify\what-next\bakery-booklet-2026-10-03\work\SRC16.txt</t>
        </is>
      </c>
      <c r="D536" t="inlineStr">
        <is>
          <t>.txt</t>
        </is>
      </c>
      <c r="E536" t="inlineStr">
        <is>
          <t>2026-10-03T14:43:45.890734+00:00</t>
        </is>
      </c>
      <c r="F536" t="inlineStr">
        <is>
          <t>29010</t>
        </is>
      </c>
      <c r="H536" t="inlineStr">
        <is>
          <t>Generated work or software support file</t>
        </is>
      </c>
      <c r="I536" t="inlineStr">
        <is>
          <t>Filename screened</t>
        </is>
      </c>
      <c r="J536" t="inlineStr">
        <is>
          <t>No owner production trial log found</t>
        </is>
      </c>
      <c r="K536" t="inlineStr">
        <is>
          <t>Not established / non-text</t>
        </is>
      </c>
      <c r="L536" t="inlineStr">
        <is>
          <t>No explicit version established; modified date is file metadata only</t>
        </is>
      </c>
      <c r="M536" t="inlineStr">
        <is>
          <t xml:space="preserve"> extracted pages/blocks/rows;  recipe keyword signals (not recipe count)</t>
        </is>
      </c>
    </row>
    <row r="537">
      <c r="B537" t="inlineStr">
        <is>
          <t>SRC18.txt</t>
        </is>
      </c>
      <c r="C537" t="inlineStr">
        <is>
          <t>E:\ohada saas\Focused projects\stoquify\what-next\bakery-booklet-2026-10-03\work\SRC18.txt</t>
        </is>
      </c>
      <c r="D537" t="inlineStr">
        <is>
          <t>.txt</t>
        </is>
      </c>
      <c r="E537" t="inlineStr">
        <is>
          <t>2026-10-03T14:43:46.306810+00:00</t>
        </is>
      </c>
      <c r="F537" t="inlineStr">
        <is>
          <t>8216</t>
        </is>
      </c>
      <c r="H537" t="inlineStr">
        <is>
          <t>Generated work or software support file</t>
        </is>
      </c>
      <c r="I537" t="inlineStr">
        <is>
          <t>Filename screened</t>
        </is>
      </c>
      <c r="J537" t="inlineStr">
        <is>
          <t>No owner production trial log found</t>
        </is>
      </c>
      <c r="K537" t="inlineStr">
        <is>
          <t>Not established / non-text</t>
        </is>
      </c>
      <c r="L537" t="inlineStr">
        <is>
          <t>No explicit version established; modified date is file metadata only</t>
        </is>
      </c>
      <c r="M537" t="inlineStr">
        <is>
          <t xml:space="preserve"> extracted pages/blocks/rows;  recipe keyword signals (not recipe count)</t>
        </is>
      </c>
    </row>
    <row r="538">
      <c r="B538" t="inlineStr">
        <is>
          <t>SRC19.txt</t>
        </is>
      </c>
      <c r="C538" t="inlineStr">
        <is>
          <t>E:\ohada saas\Focused projects\stoquify\what-next\bakery-booklet-2026-10-03\work\SRC19.txt</t>
        </is>
      </c>
      <c r="D538" t="inlineStr">
        <is>
          <t>.txt</t>
        </is>
      </c>
      <c r="E538" t="inlineStr">
        <is>
          <t>2026-10-03T14:43:46.816431+00:00</t>
        </is>
      </c>
      <c r="F538" t="inlineStr">
        <is>
          <t>19179</t>
        </is>
      </c>
      <c r="H538" t="inlineStr">
        <is>
          <t>Generated work or software support file</t>
        </is>
      </c>
      <c r="I538" t="inlineStr">
        <is>
          <t>Filename screened</t>
        </is>
      </c>
      <c r="J538" t="inlineStr">
        <is>
          <t>No owner production trial log found</t>
        </is>
      </c>
      <c r="K538" t="inlineStr">
        <is>
          <t>Not established / non-text</t>
        </is>
      </c>
      <c r="L538" t="inlineStr">
        <is>
          <t>No explicit version established; modified date is file metadata only</t>
        </is>
      </c>
      <c r="M538" t="inlineStr">
        <is>
          <t xml:space="preserve"> extracted pages/blocks/rows;  recipe keyword signals (not recipe count)</t>
        </is>
      </c>
    </row>
    <row r="539">
      <c r="B539" t="inlineStr">
        <is>
          <t>SRC20.txt</t>
        </is>
      </c>
      <c r="C539" t="inlineStr">
        <is>
          <t>E:\ohada saas\Focused projects\stoquify\what-next\bakery-booklet-2026-10-03\work\SRC20.txt</t>
        </is>
      </c>
      <c r="D539" t="inlineStr">
        <is>
          <t>.txt</t>
        </is>
      </c>
      <c r="E539" t="inlineStr">
        <is>
          <t>2026-10-03T14:43:47.352221+00:00</t>
        </is>
      </c>
      <c r="F539" t="inlineStr">
        <is>
          <t>10869</t>
        </is>
      </c>
      <c r="H539" t="inlineStr">
        <is>
          <t>Generated work or software support file</t>
        </is>
      </c>
      <c r="I539" t="inlineStr">
        <is>
          <t>Filename screened</t>
        </is>
      </c>
      <c r="J539" t="inlineStr">
        <is>
          <t>No owner production trial log found</t>
        </is>
      </c>
      <c r="K539" t="inlineStr">
        <is>
          <t>Not established / non-text</t>
        </is>
      </c>
      <c r="L539" t="inlineStr">
        <is>
          <t>No explicit version established; modified date is file metadata only</t>
        </is>
      </c>
      <c r="M539" t="inlineStr">
        <is>
          <t xml:space="preserve"> extracted pages/blocks/rows;  recipe keyword signals (not recipe count)</t>
        </is>
      </c>
    </row>
    <row r="540">
      <c r="B540" t="inlineStr">
        <is>
          <t>SRC21.txt</t>
        </is>
      </c>
      <c r="C540" t="inlineStr">
        <is>
          <t>E:\ohada saas\Focused projects\stoquify\what-next\bakery-booklet-2026-10-03\work\SRC21.txt</t>
        </is>
      </c>
      <c r="D540" t="inlineStr">
        <is>
          <t>.txt</t>
        </is>
      </c>
      <c r="E540" t="inlineStr">
        <is>
          <t>2026-10-03T14:43:47.503993+00:00</t>
        </is>
      </c>
      <c r="F540" t="inlineStr">
        <is>
          <t>3427</t>
        </is>
      </c>
      <c r="H540" t="inlineStr">
        <is>
          <t>Generated work or software support file</t>
        </is>
      </c>
      <c r="I540" t="inlineStr">
        <is>
          <t>Filename screened</t>
        </is>
      </c>
      <c r="J540" t="inlineStr">
        <is>
          <t>No owner production trial log found</t>
        </is>
      </c>
      <c r="K540" t="inlineStr">
        <is>
          <t>Not established / non-text</t>
        </is>
      </c>
      <c r="L540" t="inlineStr">
        <is>
          <t>No explicit version established; modified date is file metadata only</t>
        </is>
      </c>
      <c r="M540" t="inlineStr">
        <is>
          <t xml:space="preserve"> extracted pages/blocks/rows;  recipe keyword signals (not recipe count)</t>
        </is>
      </c>
    </row>
    <row r="541">
      <c r="B541" t="inlineStr">
        <is>
          <t>SRC22.txt</t>
        </is>
      </c>
      <c r="C541" t="inlineStr">
        <is>
          <t>E:\ohada saas\Focused projects\stoquify\what-next\bakery-booklet-2026-10-03\work\SRC22.txt</t>
        </is>
      </c>
      <c r="D541" t="inlineStr">
        <is>
          <t>.txt</t>
        </is>
      </c>
      <c r="E541" t="inlineStr">
        <is>
          <t>2026-10-03T14:43:48.343018+00:00</t>
        </is>
      </c>
      <c r="F541" t="inlineStr">
        <is>
          <t>15666</t>
        </is>
      </c>
      <c r="H541" t="inlineStr">
        <is>
          <t>Generated work or software support file</t>
        </is>
      </c>
      <c r="I541" t="inlineStr">
        <is>
          <t>Filename screened</t>
        </is>
      </c>
      <c r="J541" t="inlineStr">
        <is>
          <t>No owner production trial log found</t>
        </is>
      </c>
      <c r="K541" t="inlineStr">
        <is>
          <t>Not established / non-text</t>
        </is>
      </c>
      <c r="L541" t="inlineStr">
        <is>
          <t>No explicit version established; modified date is file metadata only</t>
        </is>
      </c>
      <c r="M541" t="inlineStr">
        <is>
          <t xml:space="preserve"> extracted pages/blocks/rows;  recipe keyword signals (not recipe count)</t>
        </is>
      </c>
    </row>
    <row r="542">
      <c r="B542" t="inlineStr">
        <is>
          <t>SRC23.txt</t>
        </is>
      </c>
      <c r="C542" t="inlineStr">
        <is>
          <t>E:\ohada saas\Focused projects\stoquify\what-next\bakery-booklet-2026-10-03\work\SRC23.txt</t>
        </is>
      </c>
      <c r="D542" t="inlineStr">
        <is>
          <t>.txt</t>
        </is>
      </c>
      <c r="E542" t="inlineStr">
        <is>
          <t>2026-10-03T14:43:49.183508+00:00</t>
        </is>
      </c>
      <c r="F542" t="inlineStr">
        <is>
          <t>15666</t>
        </is>
      </c>
      <c r="H542" t="inlineStr">
        <is>
          <t>Generated work or software support file</t>
        </is>
      </c>
      <c r="I542" t="inlineStr">
        <is>
          <t>Filename screened</t>
        </is>
      </c>
      <c r="J542" t="inlineStr">
        <is>
          <t>No owner production trial log found</t>
        </is>
      </c>
      <c r="K542" t="inlineStr">
        <is>
          <t>Not established / non-text</t>
        </is>
      </c>
      <c r="L542" t="inlineStr">
        <is>
          <t>No explicit version established; modified date is file metadata only</t>
        </is>
      </c>
      <c r="M542" t="inlineStr">
        <is>
          <t xml:space="preserve"> extracted pages/blocks/rows;  recipe keyword signals (not recipe count)</t>
        </is>
      </c>
    </row>
    <row r="543">
      <c r="B543" t="inlineStr">
        <is>
          <t>SRC24.txt</t>
        </is>
      </c>
      <c r="C543" t="inlineStr">
        <is>
          <t>E:\ohada saas\Focused projects\stoquify\what-next\bakery-booklet-2026-10-03\work\SRC24.txt</t>
        </is>
      </c>
      <c r="D543" t="inlineStr">
        <is>
          <t>.txt</t>
        </is>
      </c>
      <c r="E543" t="inlineStr">
        <is>
          <t>2026-10-03T14:43:49.288274+00:00</t>
        </is>
      </c>
      <c r="F543" t="inlineStr">
        <is>
          <t>2491</t>
        </is>
      </c>
      <c r="H543" t="inlineStr">
        <is>
          <t>Generated work or software support file</t>
        </is>
      </c>
      <c r="I543" t="inlineStr">
        <is>
          <t>Filename screened</t>
        </is>
      </c>
      <c r="J543" t="inlineStr">
        <is>
          <t>No owner production trial log found</t>
        </is>
      </c>
      <c r="K543" t="inlineStr">
        <is>
          <t>Not established / non-text</t>
        </is>
      </c>
      <c r="L543" t="inlineStr">
        <is>
          <t>No explicit version established; modified date is file metadata only</t>
        </is>
      </c>
      <c r="M543" t="inlineStr">
        <is>
          <t xml:space="preserve"> extracted pages/blocks/rows;  recipe keyword signals (not recipe count)</t>
        </is>
      </c>
    </row>
    <row r="544">
      <c r="B544" t="inlineStr">
        <is>
          <t>SRC25.txt</t>
        </is>
      </c>
      <c r="C544" t="inlineStr">
        <is>
          <t>E:\ohada saas\Focused projects\stoquify\what-next\bakery-booklet-2026-10-03\work\SRC25.txt</t>
        </is>
      </c>
      <c r="D544" t="inlineStr">
        <is>
          <t>.txt</t>
        </is>
      </c>
      <c r="E544" t="inlineStr">
        <is>
          <t>2026-10-03T14:43:49.470000+00:00</t>
        </is>
      </c>
      <c r="F544" t="inlineStr">
        <is>
          <t>9424</t>
        </is>
      </c>
      <c r="H544" t="inlineStr">
        <is>
          <t>Generated work or software support file</t>
        </is>
      </c>
      <c r="I544" t="inlineStr">
        <is>
          <t>Filename screened</t>
        </is>
      </c>
      <c r="J544" t="inlineStr">
        <is>
          <t>No owner production trial log found</t>
        </is>
      </c>
      <c r="K544" t="inlineStr">
        <is>
          <t>Not established / non-text</t>
        </is>
      </c>
      <c r="L544" t="inlineStr">
        <is>
          <t>No explicit version established; modified date is file metadata only</t>
        </is>
      </c>
      <c r="M544" t="inlineStr">
        <is>
          <t xml:space="preserve"> extracted pages/blocks/rows;  recipe keyword signals (not recipe count)</t>
        </is>
      </c>
    </row>
    <row r="545">
      <c r="B545" t="inlineStr">
        <is>
          <t>SRC27.txt</t>
        </is>
      </c>
      <c r="C545" t="inlineStr">
        <is>
          <t>E:\ohada saas\Focused projects\stoquify\what-next\bakery-booklet-2026-10-03\work\SRC27.txt</t>
        </is>
      </c>
      <c r="D545" t="inlineStr">
        <is>
          <t>.txt</t>
        </is>
      </c>
      <c r="E545" t="inlineStr">
        <is>
          <t>2026-10-03T14:43:49.652050+00:00</t>
        </is>
      </c>
      <c r="F545" t="inlineStr">
        <is>
          <t>3819</t>
        </is>
      </c>
      <c r="H545" t="inlineStr">
        <is>
          <t>Generated work or software support file</t>
        </is>
      </c>
      <c r="I545" t="inlineStr">
        <is>
          <t>Filename screened</t>
        </is>
      </c>
      <c r="J545" t="inlineStr">
        <is>
          <t>No owner production trial log found</t>
        </is>
      </c>
      <c r="K545" t="inlineStr">
        <is>
          <t>Not established / non-text</t>
        </is>
      </c>
      <c r="L545" t="inlineStr">
        <is>
          <t>No explicit version established; modified date is file metadata only</t>
        </is>
      </c>
      <c r="M545" t="inlineStr">
        <is>
          <t xml:space="preserve"> extracted pages/blocks/rows;  recipe keyword signals (not recipe count)</t>
        </is>
      </c>
    </row>
    <row r="546">
      <c r="B546" t="inlineStr">
        <is>
          <t>variants.md</t>
        </is>
      </c>
      <c r="C546" t="inlineStr">
        <is>
          <t>E:\ohada saas\Focused projects\stoquify\what-next\bakery-booklet-2026-10-03\work\variants.md</t>
        </is>
      </c>
      <c r="D546" t="inlineStr">
        <is>
          <t>.md</t>
        </is>
      </c>
      <c r="E546" t="inlineStr">
        <is>
          <t>2026-10-03T14:58:32.090878+00:00</t>
        </is>
      </c>
      <c r="F546" t="inlineStr">
        <is>
          <t>22688</t>
        </is>
      </c>
      <c r="H546" t="inlineStr">
        <is>
          <t>Generated work or software support file</t>
        </is>
      </c>
      <c r="I546" t="inlineStr">
        <is>
          <t>Filename screened</t>
        </is>
      </c>
      <c r="J546" t="inlineStr">
        <is>
          <t>No owner production trial log found</t>
        </is>
      </c>
      <c r="K546" t="inlineStr">
        <is>
          <t>Not established / non-text</t>
        </is>
      </c>
      <c r="L546" t="inlineStr">
        <is>
          <t>No explicit version established; modified date is file metadata only</t>
        </is>
      </c>
      <c r="M546" t="inlineStr">
        <is>
          <t xml:space="preserve"> extracted pages/blocks/rows;  recipe keyword signals (not recipe count)</t>
        </is>
      </c>
    </row>
    <row r="547">
      <c r="A547" t="inlineStr">
        <is>
          <t>S170</t>
        </is>
      </c>
      <c r="B547" t="inlineStr">
        <is>
          <t>compact.txt</t>
        </is>
      </c>
      <c r="C547" t="inlineStr">
        <is>
          <t>E:\ohada saas\Focused projects\stoquify\what-next\bakery-profitability-2026-10-03\compact.txt</t>
        </is>
      </c>
      <c r="D547" t="inlineStr">
        <is>
          <t>.txt</t>
        </is>
      </c>
      <c r="E547" t="inlineStr">
        <is>
          <t>2026-10-03T16:35:08.681135+00:00</t>
        </is>
      </c>
      <c r="F547" t="inlineStr">
        <is>
          <t>85533</t>
        </is>
      </c>
      <c r="G547" t="inlineStr">
        <is>
          <t>60c451b7324657f2fd1cd8ed28812b17e7eeed69892051093a4a788fbc2aec6a</t>
        </is>
      </c>
      <c r="H547" t="inlineStr">
        <is>
          <t>Excluded: unrelated administrative, software or purchasing material</t>
        </is>
      </c>
      <c r="I547" t="inlineStr">
        <is>
          <t>Not a food recipe</t>
        </is>
      </c>
      <c r="J547" t="inlineStr">
        <is>
          <t>No owner production trial log found</t>
        </is>
      </c>
      <c r="K547" t="inlineStr">
        <is>
          <t>English (text screening)</t>
        </is>
      </c>
      <c r="L547" t="inlineStr">
        <is>
          <t>No explicit version established; modified date is file metadata only</t>
        </is>
      </c>
      <c r="M547" t="inlineStr">
        <is>
          <t>846 extracted pages/blocks/rows; 52 recipe keyword signals (not recipe count)</t>
        </is>
      </c>
    </row>
    <row r="548">
      <c r="A548" t="inlineStr">
        <is>
          <t>S171</t>
        </is>
      </c>
      <c r="B548" t="inlineStr">
        <is>
          <t>formula-check.txt</t>
        </is>
      </c>
      <c r="C548" t="inlineStr">
        <is>
          <t>E:\ohada saas\Focused projects\stoquify\what-next\bakery-profitability-2026-10-03\formula-check.txt</t>
        </is>
      </c>
      <c r="D548" t="inlineStr">
        <is>
          <t>.txt</t>
        </is>
      </c>
      <c r="E548" t="inlineStr">
        <is>
          <t>2026-10-03T16:51:39.336954+00:00</t>
        </is>
      </c>
      <c r="F548" t="inlineStr">
        <is>
          <t>60</t>
        </is>
      </c>
      <c r="G548" t="inlineStr">
        <is>
          <t>acc0111e19cf44d2753fc9ecd164bf1b27fbd65597463a25cf48bd1c65e90146</t>
        </is>
      </c>
      <c r="H548" t="inlineStr">
        <is>
          <t>Excluded: unrelated administrative, software or purchasing material</t>
        </is>
      </c>
      <c r="I548" t="inlineStr">
        <is>
          <t>Not a food recipe</t>
        </is>
      </c>
      <c r="J548" t="inlineStr">
        <is>
          <t>No owner production trial log found</t>
        </is>
      </c>
      <c r="K548" t="inlineStr">
        <is>
          <t>Not established / non-text</t>
        </is>
      </c>
      <c r="L548" t="inlineStr">
        <is>
          <t>No explicit version established; modified date is file metadata only</t>
        </is>
      </c>
      <c r="M548" t="inlineStr">
        <is>
          <t>1 extracted pages/blocks/rows; 0 recipe keyword signals (not recipe count)</t>
        </is>
      </c>
    </row>
    <row r="549">
      <c r="B549" t="inlineStr">
        <is>
          <t>preview-1.png</t>
        </is>
      </c>
      <c r="C549" t="inlineStr">
        <is>
          <t>E:\ohada saas\Focused projects\stoquify\what-next\bakery-profitability-2026-10-03\preview-1.png</t>
        </is>
      </c>
      <c r="D549" t="inlineStr">
        <is>
          <t>.png</t>
        </is>
      </c>
      <c r="E549" t="inlineStr">
        <is>
          <t>2026-10-03T16:51:41.819115+00:00</t>
        </is>
      </c>
      <c r="F549" t="inlineStr">
        <is>
          <t>162208</t>
        </is>
      </c>
      <c r="H549" t="inlineStr">
        <is>
          <t>Generated work or software support file</t>
        </is>
      </c>
      <c r="I549" t="inlineStr">
        <is>
          <t>Filename screened</t>
        </is>
      </c>
      <c r="J549" t="inlineStr">
        <is>
          <t>No owner production trial log found</t>
        </is>
      </c>
      <c r="K549" t="inlineStr">
        <is>
          <t>Not established / non-text</t>
        </is>
      </c>
      <c r="L549" t="inlineStr">
        <is>
          <t>No explicit version established; modified date is file metadata only</t>
        </is>
      </c>
      <c r="M549" t="inlineStr">
        <is>
          <t xml:space="preserve"> extracted pages/blocks/rows;  recipe keyword signals (not recipe count)</t>
        </is>
      </c>
    </row>
    <row r="550">
      <c r="B550" t="inlineStr">
        <is>
          <t>preview-2.png</t>
        </is>
      </c>
      <c r="C550" t="inlineStr">
        <is>
          <t>E:\ohada saas\Focused projects\stoquify\what-next\bakery-profitability-2026-10-03\preview-2.png</t>
        </is>
      </c>
      <c r="D550" t="inlineStr">
        <is>
          <t>.png</t>
        </is>
      </c>
      <c r="E550" t="inlineStr">
        <is>
          <t>2026-10-03T16:51:42.922368+00:00</t>
        </is>
      </c>
      <c r="F550" t="inlineStr">
        <is>
          <t>133633</t>
        </is>
      </c>
      <c r="H550" t="inlineStr">
        <is>
          <t>Generated work or software support file</t>
        </is>
      </c>
      <c r="I550" t="inlineStr">
        <is>
          <t>Filename screened</t>
        </is>
      </c>
      <c r="J550" t="inlineStr">
        <is>
          <t>No owner production trial log found</t>
        </is>
      </c>
      <c r="K550" t="inlineStr">
        <is>
          <t>Not established / non-text</t>
        </is>
      </c>
      <c r="L550" t="inlineStr">
        <is>
          <t>No explicit version established; modified date is file metadata only</t>
        </is>
      </c>
      <c r="M550" t="inlineStr">
        <is>
          <t xml:space="preserve"> extracted pages/blocks/rows;  recipe keyword signals (not recipe count)</t>
        </is>
      </c>
    </row>
    <row r="551">
      <c r="B551" t="inlineStr">
        <is>
          <t>preview-3.png</t>
        </is>
      </c>
      <c r="C551" t="inlineStr">
        <is>
          <t>E:\ohada saas\Focused projects\stoquify\what-next\bakery-profitability-2026-10-03\preview-3.png</t>
        </is>
      </c>
      <c r="D551" t="inlineStr">
        <is>
          <t>.png</t>
        </is>
      </c>
      <c r="E551" t="inlineStr">
        <is>
          <t>2026-10-03T16:51:43.715136+00:00</t>
        </is>
      </c>
      <c r="F551" t="inlineStr">
        <is>
          <t>105399</t>
        </is>
      </c>
      <c r="H551" t="inlineStr">
        <is>
          <t>Generated work or software support file</t>
        </is>
      </c>
      <c r="I551" t="inlineStr">
        <is>
          <t>Filename screened</t>
        </is>
      </c>
      <c r="J551" t="inlineStr">
        <is>
          <t>No owner production trial log found</t>
        </is>
      </c>
      <c r="K551" t="inlineStr">
        <is>
          <t>Not established / non-text</t>
        </is>
      </c>
      <c r="L551" t="inlineStr">
        <is>
          <t>No explicit version established; modified date is file metadata only</t>
        </is>
      </c>
      <c r="M551" t="inlineStr">
        <is>
          <t xml:space="preserve"> extracted pages/blocks/rows;  recipe keyword signals (not recipe count)</t>
        </is>
      </c>
    </row>
    <row r="552">
      <c r="B552" t="inlineStr">
        <is>
          <t>preview-4.png</t>
        </is>
      </c>
      <c r="C552" t="inlineStr">
        <is>
          <t>E:\ohada saas\Focused projects\stoquify\what-next\bakery-profitability-2026-10-03\preview-4.png</t>
        </is>
      </c>
      <c r="D552" t="inlineStr">
        <is>
          <t>.png</t>
        </is>
      </c>
      <c r="E552" t="inlineStr">
        <is>
          <t>2026-10-03T16:51:44.396166+00:00</t>
        </is>
      </c>
      <c r="F552" t="inlineStr">
        <is>
          <t>90890</t>
        </is>
      </c>
      <c r="H552" t="inlineStr">
        <is>
          <t>Generated work or software support file</t>
        </is>
      </c>
      <c r="I552" t="inlineStr">
        <is>
          <t>Filename screened</t>
        </is>
      </c>
      <c r="J552" t="inlineStr">
        <is>
          <t>No owner production trial log found</t>
        </is>
      </c>
      <c r="K552" t="inlineStr">
        <is>
          <t>Not established / non-text</t>
        </is>
      </c>
      <c r="L552" t="inlineStr">
        <is>
          <t>No explicit version established; modified date is file metadata only</t>
        </is>
      </c>
      <c r="M552" t="inlineStr">
        <is>
          <t xml:space="preserve"> extracted pages/blocks/rows;  recipe keyword signals (not recipe count)</t>
        </is>
      </c>
    </row>
    <row r="553">
      <c r="B553" t="inlineStr">
        <is>
          <t>preview-5.png</t>
        </is>
      </c>
      <c r="C553" t="inlineStr">
        <is>
          <t>E:\ohada saas\Focused projects\stoquify\what-next\bakery-profitability-2026-10-03\preview-5.png</t>
        </is>
      </c>
      <c r="D553" t="inlineStr">
        <is>
          <t>.png</t>
        </is>
      </c>
      <c r="E553" t="inlineStr">
        <is>
          <t>2026-10-03T16:51:44.896276+00:00</t>
        </is>
      </c>
      <c r="F553" t="inlineStr">
        <is>
          <t>38241</t>
        </is>
      </c>
      <c r="H553" t="inlineStr">
        <is>
          <t>Generated work or software support file</t>
        </is>
      </c>
      <c r="I553" t="inlineStr">
        <is>
          <t>Filename screened</t>
        </is>
      </c>
      <c r="J553" t="inlineStr">
        <is>
          <t>No owner production trial log found</t>
        </is>
      </c>
      <c r="K553" t="inlineStr">
        <is>
          <t>Not established / non-text</t>
        </is>
      </c>
      <c r="L553" t="inlineStr">
        <is>
          <t>No explicit version established; modified date is file metadata only</t>
        </is>
      </c>
      <c r="M553" t="inlineStr">
        <is>
          <t xml:space="preserve"> extracted pages/blocks/rows;  recipe keyword signals (not recipe count)</t>
        </is>
      </c>
    </row>
    <row r="554">
      <c r="B554" t="inlineStr">
        <is>
          <t>preview-6.png</t>
        </is>
      </c>
      <c r="C554" t="inlineStr">
        <is>
          <t>E:\ohada saas\Focused projects\stoquify\what-next\bakery-profitability-2026-10-03\preview-6.png</t>
        </is>
      </c>
      <c r="D554" t="inlineStr">
        <is>
          <t>.png</t>
        </is>
      </c>
      <c r="E554" t="inlineStr">
        <is>
          <t>2026-10-03T16:51:45.682303+00:00</t>
        </is>
      </c>
      <c r="F554" t="inlineStr">
        <is>
          <t>139866</t>
        </is>
      </c>
      <c r="H554" t="inlineStr">
        <is>
          <t>Generated work or software support file</t>
        </is>
      </c>
      <c r="I554" t="inlineStr">
        <is>
          <t>Filename screened</t>
        </is>
      </c>
      <c r="J554" t="inlineStr">
        <is>
          <t>No owner production trial log found</t>
        </is>
      </c>
      <c r="K554" t="inlineStr">
        <is>
          <t>Not established / non-text</t>
        </is>
      </c>
      <c r="L554" t="inlineStr">
        <is>
          <t>No explicit version established; modified date is file metadata only</t>
        </is>
      </c>
      <c r="M554" t="inlineStr">
        <is>
          <t xml:space="preserve"> extracted pages/blocks/rows;  recipe keyword signals (not recipe count)</t>
        </is>
      </c>
    </row>
    <row r="555">
      <c r="B555" t="inlineStr">
        <is>
          <t>preview-7.png</t>
        </is>
      </c>
      <c r="C555" t="inlineStr">
        <is>
          <t>E:\ohada saas\Focused projects\stoquify\what-next\bakery-profitability-2026-10-03\preview-7.png</t>
        </is>
      </c>
      <c r="D555" t="inlineStr">
        <is>
          <t>.png</t>
        </is>
      </c>
      <c r="E555" t="inlineStr">
        <is>
          <t>2026-10-03T16:51:46.452702+00:00</t>
        </is>
      </c>
      <c r="F555" t="inlineStr">
        <is>
          <t>151926</t>
        </is>
      </c>
      <c r="H555" t="inlineStr">
        <is>
          <t>Generated work or software support file</t>
        </is>
      </c>
      <c r="I555" t="inlineStr">
        <is>
          <t>Filename screened</t>
        </is>
      </c>
      <c r="J555" t="inlineStr">
        <is>
          <t>No owner production trial log found</t>
        </is>
      </c>
      <c r="K555" t="inlineStr">
        <is>
          <t>Not established / non-text</t>
        </is>
      </c>
      <c r="L555" t="inlineStr">
        <is>
          <t>No explicit version established; modified date is file metadata only</t>
        </is>
      </c>
      <c r="M555" t="inlineStr">
        <is>
          <t xml:space="preserve"> extracted pages/blocks/rows;  recipe keyword signals (not recipe count)</t>
        </is>
      </c>
    </row>
    <row r="556">
      <c r="B556" t="inlineStr">
        <is>
          <t>contact-1.jpg</t>
        </is>
      </c>
      <c r="C556" t="inlineStr">
        <is>
          <t>E:\ohada saas\Focused projects\stoquify\what-next\bakery-profitability-2026-10-03\review\contact-1.jpg</t>
        </is>
      </c>
      <c r="D556" t="inlineStr">
        <is>
          <t>.jpg</t>
        </is>
      </c>
      <c r="E556" t="inlineStr">
        <is>
          <t>2026-10-03T16:52:20.959593+00:00</t>
        </is>
      </c>
      <c r="F556" t="inlineStr">
        <is>
          <t>752090</t>
        </is>
      </c>
      <c r="H556" t="inlineStr">
        <is>
          <t>Generated work or software support file</t>
        </is>
      </c>
      <c r="I556" t="inlineStr">
        <is>
          <t>Filename screened</t>
        </is>
      </c>
      <c r="J556" t="inlineStr">
        <is>
          <t>No owner production trial log found</t>
        </is>
      </c>
      <c r="K556" t="inlineStr">
        <is>
          <t>Not established / non-text</t>
        </is>
      </c>
      <c r="L556" t="inlineStr">
        <is>
          <t>No explicit version established; modified date is file metadata only</t>
        </is>
      </c>
      <c r="M556" t="inlineStr">
        <is>
          <t xml:space="preserve"> extracted pages/blocks/rows;  recipe keyword signals (not recipe count)</t>
        </is>
      </c>
    </row>
    <row r="557">
      <c r="B557" t="inlineStr">
        <is>
          <t>contact-2.jpg</t>
        </is>
      </c>
      <c r="C557" t="inlineStr">
        <is>
          <t>E:\ohada saas\Focused projects\stoquify\what-next\bakery-profitability-2026-10-03\review\contact-2.jpg</t>
        </is>
      </c>
      <c r="D557" t="inlineStr">
        <is>
          <t>.jpg</t>
        </is>
      </c>
      <c r="E557" t="inlineStr">
        <is>
          <t>2026-10-03T16:52:21.005527+00:00</t>
        </is>
      </c>
      <c r="F557" t="inlineStr">
        <is>
          <t>681490</t>
        </is>
      </c>
      <c r="H557" t="inlineStr">
        <is>
          <t>Generated work or software support file</t>
        </is>
      </c>
      <c r="I557" t="inlineStr">
        <is>
          <t>Filename screened</t>
        </is>
      </c>
      <c r="J557" t="inlineStr">
        <is>
          <t>No owner production trial log found</t>
        </is>
      </c>
      <c r="K557" t="inlineStr">
        <is>
          <t>Not established / non-text</t>
        </is>
      </c>
      <c r="L557" t="inlineStr">
        <is>
          <t>No explicit version established; modified date is file metadata only</t>
        </is>
      </c>
      <c r="M557" t="inlineStr">
        <is>
          <t xml:space="preserve"> extracted pages/blocks/rows;  recipe keyword signals (not recipe count)</t>
        </is>
      </c>
    </row>
    <row r="558">
      <c r="B558" t="inlineStr">
        <is>
          <t>contact-3.jpg</t>
        </is>
      </c>
      <c r="C558" t="inlineStr">
        <is>
          <t>E:\ohada saas\Focused projects\stoquify\what-next\bakery-profitability-2026-10-03\review\contact-3.jpg</t>
        </is>
      </c>
      <c r="D558" t="inlineStr">
        <is>
          <t>.jpg</t>
        </is>
      </c>
      <c r="E558" t="inlineStr">
        <is>
          <t>2026-10-03T16:52:21.017886+00:00</t>
        </is>
      </c>
      <c r="F558" t="inlineStr">
        <is>
          <t>191164</t>
        </is>
      </c>
      <c r="H558" t="inlineStr">
        <is>
          <t>Generated work or software support file</t>
        </is>
      </c>
      <c r="I558" t="inlineStr">
        <is>
          <t>Filename screened</t>
        </is>
      </c>
      <c r="J558" t="inlineStr">
        <is>
          <t>No owner production trial log found</t>
        </is>
      </c>
      <c r="K558" t="inlineStr">
        <is>
          <t>Not established / non-text</t>
        </is>
      </c>
      <c r="L558" t="inlineStr">
        <is>
          <t>No explicit version established; modified date is file metadata only</t>
        </is>
      </c>
      <c r="M558" t="inlineStr">
        <is>
          <t xml:space="preserve"> extracted pages/blocks/rows;  recipe keyword signals (not recipe count)</t>
        </is>
      </c>
    </row>
    <row r="559">
      <c r="B559" t="inlineStr">
        <is>
          <t>page-1.png</t>
        </is>
      </c>
      <c r="C559" t="inlineStr">
        <is>
          <t>E:\ohada saas\Focused projects\stoquify\what-next\bakery-profitability-2026-10-03\review\page-1.png</t>
        </is>
      </c>
      <c r="D559" t="inlineStr">
        <is>
          <t>.png</t>
        </is>
      </c>
      <c r="E559" t="inlineStr">
        <is>
          <t>2026-10-03T16:52:21.151890+00:00</t>
        </is>
      </c>
      <c r="F559" t="inlineStr">
        <is>
          <t>238253</t>
        </is>
      </c>
      <c r="H559" t="inlineStr">
        <is>
          <t>Generated work or software support file</t>
        </is>
      </c>
      <c r="I559" t="inlineStr">
        <is>
          <t>Filename screened</t>
        </is>
      </c>
      <c r="J559" t="inlineStr">
        <is>
          <t>No owner production trial log found</t>
        </is>
      </c>
      <c r="K559" t="inlineStr">
        <is>
          <t>Not established / non-text</t>
        </is>
      </c>
      <c r="L559" t="inlineStr">
        <is>
          <t>No explicit version established; modified date is file metadata only</t>
        </is>
      </c>
      <c r="M559" t="inlineStr">
        <is>
          <t xml:space="preserve"> extracted pages/blocks/rows;  recipe keyword signals (not recipe count)</t>
        </is>
      </c>
    </row>
    <row r="560">
      <c r="B560" t="inlineStr">
        <is>
          <t>page-2.png</t>
        </is>
      </c>
      <c r="C560" t="inlineStr">
        <is>
          <t>E:\ohada saas\Focused projects\stoquify\what-next\bakery-profitability-2026-10-03\review\page-2.png</t>
        </is>
      </c>
      <c r="D560" t="inlineStr">
        <is>
          <t>.png</t>
        </is>
      </c>
      <c r="E560" t="inlineStr">
        <is>
          <t>2026-10-03T16:52:21.282817+00:00</t>
        </is>
      </c>
      <c r="F560" t="inlineStr">
        <is>
          <t>275387</t>
        </is>
      </c>
      <c r="H560" t="inlineStr">
        <is>
          <t>Generated work or software support file</t>
        </is>
      </c>
      <c r="I560" t="inlineStr">
        <is>
          <t>Filename screened</t>
        </is>
      </c>
      <c r="J560" t="inlineStr">
        <is>
          <t>No owner production trial log found</t>
        </is>
      </c>
      <c r="K560" t="inlineStr">
        <is>
          <t>Not established / non-text</t>
        </is>
      </c>
      <c r="L560" t="inlineStr">
        <is>
          <t>No explicit version established; modified date is file metadata only</t>
        </is>
      </c>
      <c r="M560" t="inlineStr">
        <is>
          <t xml:space="preserve"> extracted pages/blocks/rows;  recipe keyword signals (not recipe count)</t>
        </is>
      </c>
    </row>
    <row r="561">
      <c r="B561" t="inlineStr">
        <is>
          <t>page-27.png</t>
        </is>
      </c>
      <c r="C561" t="inlineStr">
        <is>
          <t>E:\ohada saas\Focused projects\stoquify\what-next\bakery-profitability-2026-10-03\review\page-27.png</t>
        </is>
      </c>
      <c r="D561" t="inlineStr">
        <is>
          <t>.png</t>
        </is>
      </c>
      <c r="E561" t="inlineStr">
        <is>
          <t>2026-10-03T16:52:21.546444+00:00</t>
        </is>
      </c>
      <c r="F561" t="inlineStr">
        <is>
          <t>225889</t>
        </is>
      </c>
      <c r="H561" t="inlineStr">
        <is>
          <t>Generated work or software support file</t>
        </is>
      </c>
      <c r="I561" t="inlineStr">
        <is>
          <t>Filename screened</t>
        </is>
      </c>
      <c r="J561" t="inlineStr">
        <is>
          <t>No owner production trial log found</t>
        </is>
      </c>
      <c r="K561" t="inlineStr">
        <is>
          <t>Not established / non-text</t>
        </is>
      </c>
      <c r="L561" t="inlineStr">
        <is>
          <t>No explicit version established; modified date is file metadata only</t>
        </is>
      </c>
      <c r="M561" t="inlineStr">
        <is>
          <t xml:space="preserve"> extracted pages/blocks/rows;  recipe keyword signals (not recipe count)</t>
        </is>
      </c>
    </row>
    <row r="562">
      <c r="B562" t="inlineStr">
        <is>
          <t>page-4.png</t>
        </is>
      </c>
      <c r="C562" t="inlineStr">
        <is>
          <t>E:\ohada saas\Focused projects\stoquify\what-next\bakery-profitability-2026-10-03\review\page-4.png</t>
        </is>
      </c>
      <c r="D562" t="inlineStr">
        <is>
          <t>.png</t>
        </is>
      </c>
      <c r="E562" t="inlineStr">
        <is>
          <t>2026-10-03T16:52:21.441508+00:00</t>
        </is>
      </c>
      <c r="F562" t="inlineStr">
        <is>
          <t>245970</t>
        </is>
      </c>
      <c r="H562" t="inlineStr">
        <is>
          <t>Generated work or software support file</t>
        </is>
      </c>
      <c r="I562" t="inlineStr">
        <is>
          <t>Filename screened</t>
        </is>
      </c>
      <c r="J562" t="inlineStr">
        <is>
          <t>No owner production trial log found</t>
        </is>
      </c>
      <c r="K562" t="inlineStr">
        <is>
          <t>Not established / non-text</t>
        </is>
      </c>
      <c r="L562" t="inlineStr">
        <is>
          <t>No explicit version established; modified date is file metadata only</t>
        </is>
      </c>
      <c r="M562" t="inlineStr">
        <is>
          <t xml:space="preserve"> extracted pages/blocks/rows;  recipe keyword signals (not recipe count)</t>
        </is>
      </c>
    </row>
    <row r="563">
      <c r="A563" t="inlineStr">
        <is>
          <t>S172</t>
        </is>
      </c>
      <c r="B563" t="inlineStr">
        <is>
          <t>source_cells.txt</t>
        </is>
      </c>
      <c r="C563" t="inlineStr">
        <is>
          <t>E:\ohada saas\Focused projects\stoquify\what-next\bakery-profitability-2026-10-03\source_cells.txt</t>
        </is>
      </c>
      <c r="D563" t="inlineStr">
        <is>
          <t>.txt</t>
        </is>
      </c>
      <c r="E563" t="inlineStr">
        <is>
          <t>2026-10-03T16:34:07.865307+00:00</t>
        </is>
      </c>
      <c r="F563" t="inlineStr">
        <is>
          <t>168758</t>
        </is>
      </c>
      <c r="G563" t="inlineStr">
        <is>
          <t>537cb9255d7f3d914f8ec108c624351b312b7335d6f96901d92f641643e2a650</t>
        </is>
      </c>
      <c r="H563" t="inlineStr">
        <is>
          <t>Excluded: unrelated administrative, software or purchasing material</t>
        </is>
      </c>
      <c r="I563" t="inlineStr">
        <is>
          <t>Not a food recipe</t>
        </is>
      </c>
      <c r="J563" t="inlineStr">
        <is>
          <t>No owner production trial log found</t>
        </is>
      </c>
      <c r="K563" t="inlineStr">
        <is>
          <t>English (text screening)</t>
        </is>
      </c>
      <c r="L563" t="inlineStr">
        <is>
          <t>No explicit version established; modified date is file metadata only</t>
        </is>
      </c>
      <c r="M563" t="inlineStr">
        <is>
          <t>1261 extracted pages/blocks/rows; 54 recipe keyword signals (not recipe count)</t>
        </is>
      </c>
    </row>
    <row r="564">
      <c r="B564" t="inlineStr">
        <is>
          <t>AQSTOQFLOW_HR_PAYROLL_COUNTRY_PACK_APPROVAL_BREADTH_GATE_REPORT_2026-07-01.md</t>
        </is>
      </c>
      <c r="C564" t="inlineStr">
        <is>
          <t>E:\ohada saas\Focused projects\stoquify\what-next\payroll\AQSTOQFLOW_HR_PAYROLL_COUNTRY_PACK_APPROVAL_BREADTH_GATE_REPORT_2026-07-01.md</t>
        </is>
      </c>
      <c r="D564" t="inlineStr">
        <is>
          <t>.md</t>
        </is>
      </c>
      <c r="E564" t="inlineStr">
        <is>
          <t>2026-07-02T04:58:58.916755+00:00</t>
        </is>
      </c>
      <c r="F564" t="inlineStr">
        <is>
          <t>5537</t>
        </is>
      </c>
      <c r="H564" t="inlineStr">
        <is>
          <t>Software document, not a food recipe</t>
        </is>
      </c>
      <c r="I564" t="inlineStr">
        <is>
          <t>Filename screened</t>
        </is>
      </c>
      <c r="J564" t="inlineStr">
        <is>
          <t>No owner production trial log found</t>
        </is>
      </c>
      <c r="K564" t="inlineStr">
        <is>
          <t>Not established / non-text</t>
        </is>
      </c>
      <c r="L564" t="inlineStr">
        <is>
          <t>No explicit version established; modified date is file metadata only</t>
        </is>
      </c>
      <c r="M564" t="inlineStr">
        <is>
          <t xml:space="preserve"> extracted pages/blocks/rows;  recipe keyword signals (not recipe count)</t>
        </is>
      </c>
    </row>
    <row r="565">
      <c r="B565" t="inlineStr">
        <is>
          <t>AQSTOQFLOW_HR_PAYROLL_WAVE_1_CNPS_EXECUTABLE_FIXTURE_BREADTH_REPORT_2026-06-28.md</t>
        </is>
      </c>
      <c r="C565" t="inlineStr">
        <is>
          <t>E:\ohada saas\Focused projects\stoquify\what-next\payroll\AQSTOQFLOW_HR_PAYROLL_WAVE_1_CNPS_EXECUTABLE_FIXTURE_BREADTH_REPORT_2026-06-28.md</t>
        </is>
      </c>
      <c r="D565" t="inlineStr">
        <is>
          <t>.md</t>
        </is>
      </c>
      <c r="E565" t="inlineStr">
        <is>
          <t>2026-07-02T04:58:58.994093+00:00</t>
        </is>
      </c>
      <c r="F565" t="inlineStr">
        <is>
          <t>4470</t>
        </is>
      </c>
      <c r="H565" t="inlineStr">
        <is>
          <t>Software document, not a food recipe</t>
        </is>
      </c>
      <c r="I565" t="inlineStr">
        <is>
          <t>Filename screened</t>
        </is>
      </c>
      <c r="J565" t="inlineStr">
        <is>
          <t>No owner production trial log found</t>
        </is>
      </c>
      <c r="K565" t="inlineStr">
        <is>
          <t>Not established / non-text</t>
        </is>
      </c>
      <c r="L565" t="inlineStr">
        <is>
          <t>No explicit version established; modified date is file metadata only</t>
        </is>
      </c>
      <c r="M565" t="inlineStr">
        <is>
          <t xml:space="preserve"> extracted pages/blocks/rows;  recipe keyword signals (not recipe count)</t>
        </is>
      </c>
    </row>
    <row r="566">
      <c r="B566" t="inlineStr">
        <is>
          <t>AQSTOQFLOW_HR_PAYROLL_COUNTRY_PACK_APPROVAL_BREADTH_GATE_REPORT_2026-07-01.md</t>
        </is>
      </c>
      <c r="C566" t="inlineStr">
        <is>
          <t>E:\ohada saas\Focused projects\stoquify\what-next\transaction-history\runs\th-inventory-history-release-policy-isolated-20260716-021\isolated-workspace\source-min\what-next\payroll\AQSTOQFLOW_HR_PAYROLL_COUNTRY_PACK_APPROVAL_BREADTH_GATE_REPORT_2026-07-01.md</t>
        </is>
      </c>
      <c r="D566" t="inlineStr">
        <is>
          <t>.md</t>
        </is>
      </c>
      <c r="E566" t="inlineStr">
        <is>
          <t>2026-07-02T04:58:58.916755+00:00</t>
        </is>
      </c>
      <c r="F566" t="inlineStr">
        <is>
          <t>5537</t>
        </is>
      </c>
      <c r="H566" t="inlineStr">
        <is>
          <t>Software document, not a food recipe</t>
        </is>
      </c>
      <c r="I566" t="inlineStr">
        <is>
          <t>Filename screened</t>
        </is>
      </c>
      <c r="J566" t="inlineStr">
        <is>
          <t>No owner production trial log found</t>
        </is>
      </c>
      <c r="K566" t="inlineStr">
        <is>
          <t>Not established / non-text</t>
        </is>
      </c>
      <c r="L566" t="inlineStr">
        <is>
          <t>No explicit version established; modified date is file metadata only</t>
        </is>
      </c>
      <c r="M566" t="inlineStr">
        <is>
          <t xml:space="preserve"> extracted pages/blocks/rows;  recipe keyword signals (not recipe count)</t>
        </is>
      </c>
    </row>
    <row r="567">
      <c r="B567" t="inlineStr">
        <is>
          <t>COMPREHENSIVE_TECHNOLOGY_RECOMMENDATIONS_FOR_BAKERY_MANAGEMENT_SYSTEM.md</t>
        </is>
      </c>
      <c r="C567" t="inlineStr">
        <is>
          <t>E:\ohada saas\Focused projects\stoquify\what-next\transaction-history\runs\th-inventory-history-release-policy-isolated-20260716-021\isolated-workspace\source\docs\product\strategy\COMPREHENSIVE_TECHNOLOGY_RECOMMENDATIONS_FOR_BAKERY_MANAGEMENT_SYSTEM.md</t>
        </is>
      </c>
      <c r="D567" t="inlineStr">
        <is>
          <t>.md</t>
        </is>
      </c>
      <c r="E567" t="inlineStr">
        <is>
          <t>2026-07-02T04:58:57.195939+00:00</t>
        </is>
      </c>
      <c r="F567" t="inlineStr">
        <is>
          <t>19252</t>
        </is>
      </c>
      <c r="H567" t="inlineStr">
        <is>
          <t>Software document, not a food recipe</t>
        </is>
      </c>
      <c r="I567" t="inlineStr">
        <is>
          <t>Filename screened</t>
        </is>
      </c>
      <c r="J567" t="inlineStr">
        <is>
          <t>No owner production trial log found</t>
        </is>
      </c>
      <c r="K567" t="inlineStr">
        <is>
          <t>Not established / non-text</t>
        </is>
      </c>
      <c r="L567" t="inlineStr">
        <is>
          <t>No explicit version established; modified date is file metadata only</t>
        </is>
      </c>
      <c r="M567" t="inlineStr">
        <is>
          <t xml:space="preserve"> extracted pages/blocks/rows;  recipe keyword signals (not recipe count)</t>
        </is>
      </c>
    </row>
    <row r="568">
      <c r="B568" t="inlineStr">
        <is>
          <t>AQSTOQFLOW_HR_PAYROLL_COUNTRY_PACK_APPROVAL_BREADTH_GATE_REPORT_2026-07-01.md</t>
        </is>
      </c>
      <c r="C568" t="inlineStr">
        <is>
          <t>E:\ohada saas\Focused projects\stoquify\what-next\transaction-history\runs\th-inventory-history-release-policy-isolated-20260716-021\isolated-workspace\source\what-next\payroll\AQSTOQFLOW_HR_PAYROLL_COUNTRY_PACK_APPROVAL_BREADTH_GATE_REPORT_2026-07-01.md</t>
        </is>
      </c>
      <c r="D568" t="inlineStr">
        <is>
          <t>.md</t>
        </is>
      </c>
      <c r="E568" t="inlineStr">
        <is>
          <t>2026-07-02T04:58:58.916755+00:00</t>
        </is>
      </c>
      <c r="F568" t="inlineStr">
        <is>
          <t>5537</t>
        </is>
      </c>
      <c r="H568" t="inlineStr">
        <is>
          <t>Software document, not a food recipe</t>
        </is>
      </c>
      <c r="I568" t="inlineStr">
        <is>
          <t>Filename screened</t>
        </is>
      </c>
      <c r="J568" t="inlineStr">
        <is>
          <t>No owner production trial log found</t>
        </is>
      </c>
      <c r="K568" t="inlineStr">
        <is>
          <t>Not established / non-text</t>
        </is>
      </c>
      <c r="L568" t="inlineStr">
        <is>
          <t>No explicit version established; modified date is file metadata only</t>
        </is>
      </c>
      <c r="M568" t="inlineStr">
        <is>
          <t xml:space="preserve"> extracted pages/blocks/rows;  recipe keyword signals (not recipe count)</t>
        </is>
      </c>
    </row>
    <row r="569">
      <c r="B569" t="inlineStr">
        <is>
          <t>AQSTOQFLOW_HR_PAYROLL_WAVE_1_CNPS_EXECUTABLE_FIXTURE_BREADTH_REPORT_2026-06-28.md</t>
        </is>
      </c>
      <c r="C569" t="inlineStr">
        <is>
          <t>E:\ohada saas\Focused projects\stoquify\what-next\transaction-history\runs\th-inventory-history-release-policy-isolated-20260716-021\isolated-workspace\source\what-next\payroll\AQSTOQFLOW_HR_PAYROLL_WAVE_1_CNPS_EXECUTABLE_FIXTURE_BREADTH_REPORT_2026-06-28.md</t>
        </is>
      </c>
      <c r="D569" t="inlineStr">
        <is>
          <t>.md</t>
        </is>
      </c>
      <c r="E569" t="inlineStr">
        <is>
          <t>2026-07-02T04:58:58.994093+00:00</t>
        </is>
      </c>
      <c r="F569" t="inlineStr">
        <is>
          <t>4470</t>
        </is>
      </c>
      <c r="H569" t="inlineStr">
        <is>
          <t>Software document, not a food recipe</t>
        </is>
      </c>
      <c r="I569" t="inlineStr">
        <is>
          <t>Filename screened</t>
        </is>
      </c>
      <c r="J569" t="inlineStr">
        <is>
          <t>No owner production trial log found</t>
        </is>
      </c>
      <c r="K569" t="inlineStr">
        <is>
          <t>Not established / non-text</t>
        </is>
      </c>
      <c r="L569" t="inlineStr">
        <is>
          <t>No explicit version established; modified date is file metadata only</t>
        </is>
      </c>
      <c r="M569" t="inlineStr">
        <is>
          <t xml:space="preserve"> extracted pages/blocks/rows;  recipe keyword signals (not recipe count)</t>
        </is>
      </c>
    </row>
    <row r="570">
      <c r="A570" t="inlineStr">
        <is>
          <t>S173</t>
        </is>
      </c>
      <c r="B570" t="inlineStr">
        <is>
          <t>inventory-reversal-independent-review-2026-10-01-settlement-runtime-recipe.md</t>
        </is>
      </c>
      <c r="C570" t="inlineStr">
        <is>
          <t>E:\ohada saas\Focused projects\stoquify\what-next\workflow-modernization\2026-09-05-run-01\evidence\inventory-reversal-independent-review-2026-10-01-settlement-runtime-recipe.md</t>
        </is>
      </c>
      <c r="D570" t="inlineStr">
        <is>
          <t>.md</t>
        </is>
      </c>
      <c r="E570" t="inlineStr">
        <is>
          <t>2026-10-01T06:55:44.814479+00:00</t>
        </is>
      </c>
      <c r="F570" t="inlineStr">
        <is>
          <t>5957</t>
        </is>
      </c>
      <c r="G570" t="inlineStr">
        <is>
          <t>f0025bd703d2903428693d5444b2123d00dcc4bf550ab8a5310c56dbe2e0e7bf</t>
        </is>
      </c>
      <c r="H570" t="inlineStr">
        <is>
          <t>Excluded: unrelated administrative, software or purchasing material</t>
        </is>
      </c>
      <c r="I570" t="inlineStr">
        <is>
          <t>Not a food recipe</t>
        </is>
      </c>
      <c r="J570" t="inlineStr">
        <is>
          <t>No owner production trial log found</t>
        </is>
      </c>
      <c r="K570" t="inlineStr">
        <is>
          <t>Not established / non-text</t>
        </is>
      </c>
      <c r="L570" t="inlineStr">
        <is>
          <t>No explicit version established; modified date is file metadata only</t>
        </is>
      </c>
      <c r="M570" t="inlineStr">
        <is>
          <t>39 extracted pages/blocks/rows; 0 recipe keyword signals (not recipe count)</t>
        </is>
      </c>
    </row>
    <row r="571">
      <c r="B571" t="inlineStr">
        <is>
          <t>COMPREHENSIVE_TECHNOLOGY_RECOMMENDATIONS_FOR_BAKERY_MANAGEMENT_SYSTEM.md</t>
        </is>
      </c>
      <c r="C571" t="inlineStr">
        <is>
          <t>E:\ohada saas\newStockFlow\aqstoqflow\docs\product\strategy\COMPREHENSIVE_TECHNOLOGY_RECOMMENDATIONS_FOR_BAKERY_MANAGEMENT_SYSTEM.md</t>
        </is>
      </c>
      <c r="D571" t="inlineStr">
        <is>
          <t>.md</t>
        </is>
      </c>
      <c r="E571" t="inlineStr">
        <is>
          <t>2026-02-25T05:05:09.917839+00:00</t>
        </is>
      </c>
      <c r="F571" t="inlineStr">
        <is>
          <t>19252</t>
        </is>
      </c>
      <c r="H571" t="inlineStr">
        <is>
          <t>Software document, not a food recipe</t>
        </is>
      </c>
      <c r="I571" t="inlineStr">
        <is>
          <t>Filename screened</t>
        </is>
      </c>
      <c r="J571" t="inlineStr">
        <is>
          <t>No owner production trial log found</t>
        </is>
      </c>
      <c r="K571" t="inlineStr">
        <is>
          <t>Not established / non-text</t>
        </is>
      </c>
      <c r="L571" t="inlineStr">
        <is>
          <t>No explicit version established; modified date is file metadata only</t>
        </is>
      </c>
      <c r="M571" t="inlineStr">
        <is>
          <t xml:space="preserve"> extracted pages/blocks/rows;  recipe keyword signals (not recipe count)</t>
        </is>
      </c>
    </row>
    <row r="572">
      <c r="B572" t="inlineStr">
        <is>
          <t>AQSTOQFLOW_HR_PAYROLL_COUNTRY_PACK_APPROVAL_BREADTH_GATE_REPORT_2026-07-01.md</t>
        </is>
      </c>
      <c r="C572" t="inlineStr">
        <is>
          <t>E:\ohada saas\newStockFlow\aqstoqflow\what-next\payroll\AQSTOQFLOW_HR_PAYROLL_COUNTRY_PACK_APPROVAL_BREADTH_GATE_REPORT_2026-07-01.md</t>
        </is>
      </c>
      <c r="D572" t="inlineStr">
        <is>
          <t>.md</t>
        </is>
      </c>
      <c r="E572" t="inlineStr">
        <is>
          <t>2026-07-01T16:36:15.747289+00:00</t>
        </is>
      </c>
      <c r="F572" t="inlineStr">
        <is>
          <t>5537</t>
        </is>
      </c>
      <c r="H572" t="inlineStr">
        <is>
          <t>Software document, not a food recipe</t>
        </is>
      </c>
      <c r="I572" t="inlineStr">
        <is>
          <t>Filename screened</t>
        </is>
      </c>
      <c r="J572" t="inlineStr">
        <is>
          <t>No owner production trial log found</t>
        </is>
      </c>
      <c r="K572" t="inlineStr">
        <is>
          <t>Not established / non-text</t>
        </is>
      </c>
      <c r="L572" t="inlineStr">
        <is>
          <t>No explicit version established; modified date is file metadata only</t>
        </is>
      </c>
      <c r="M572" t="inlineStr">
        <is>
          <t xml:space="preserve"> extracted pages/blocks/rows;  recipe keyword signals (not recipe count)</t>
        </is>
      </c>
    </row>
    <row r="573">
      <c r="B573" t="inlineStr">
        <is>
          <t>AQSTOQFLOW_HR_PAYROLL_WAVE_1_ADAPTER_AUTOMATION_PROOF_BREADTH_REPORT_2026-07-05.md</t>
        </is>
      </c>
      <c r="C573" t="inlineStr">
        <is>
          <t>E:\ohada saas\newStockFlow\aqstoqflow\what-next\payroll\AQSTOQFLOW_HR_PAYROLL_WAVE_1_ADAPTER_AUTOMATION_PROOF_BREADTH_REPORT_2026-07-05.md</t>
        </is>
      </c>
      <c r="D573" t="inlineStr">
        <is>
          <t>.md</t>
        </is>
      </c>
      <c r="E573" t="inlineStr">
        <is>
          <t>2026-07-05T17:52:26.246102+00:00</t>
        </is>
      </c>
      <c r="F573" t="inlineStr">
        <is>
          <t>3575</t>
        </is>
      </c>
      <c r="H573" t="inlineStr">
        <is>
          <t>Software document, not a food recipe</t>
        </is>
      </c>
      <c r="I573" t="inlineStr">
        <is>
          <t>Filename screened</t>
        </is>
      </c>
      <c r="J573" t="inlineStr">
        <is>
          <t>No owner production trial log found</t>
        </is>
      </c>
      <c r="K573" t="inlineStr">
        <is>
          <t>Not established / non-text</t>
        </is>
      </c>
      <c r="L573" t="inlineStr">
        <is>
          <t>No explicit version established; modified date is file metadata only</t>
        </is>
      </c>
      <c r="M573" t="inlineStr">
        <is>
          <t xml:space="preserve"> extracted pages/blocks/rows;  recipe keyword signals (not recipe count)</t>
        </is>
      </c>
    </row>
    <row r="574">
      <c r="B574" t="inlineStr">
        <is>
          <t>AQSTOQFLOW_HR_PAYROLL_WAVE_1_CNPS_AND_FIXTURE_REVIEW_TOPIC_BREADTH_REPORT_2026-07-05.md</t>
        </is>
      </c>
      <c r="C574" t="inlineStr">
        <is>
          <t>E:\ohada saas\newStockFlow\aqstoqflow\what-next\payroll\AQSTOQFLOW_HR_PAYROLL_WAVE_1_CNPS_AND_FIXTURE_REVIEW_TOPIC_BREADTH_REPORT_2026-07-05.md</t>
        </is>
      </c>
      <c r="D574" t="inlineStr">
        <is>
          <t>.md</t>
        </is>
      </c>
      <c r="E574" t="inlineStr">
        <is>
          <t>2026-07-05T11:07:48.595349+00:00</t>
        </is>
      </c>
      <c r="F574" t="inlineStr">
        <is>
          <t>4828</t>
        </is>
      </c>
      <c r="H574" t="inlineStr">
        <is>
          <t>Software document, not a food recipe</t>
        </is>
      </c>
      <c r="I574" t="inlineStr">
        <is>
          <t>Filename screened</t>
        </is>
      </c>
      <c r="J574" t="inlineStr">
        <is>
          <t>No owner production trial log found</t>
        </is>
      </c>
      <c r="K574" t="inlineStr">
        <is>
          <t>Not established / non-text</t>
        </is>
      </c>
      <c r="L574" t="inlineStr">
        <is>
          <t>No explicit version established; modified date is file metadata only</t>
        </is>
      </c>
      <c r="M574" t="inlineStr">
        <is>
          <t xml:space="preserve"> extracted pages/blocks/rows;  recipe keyword signals (not recipe count)</t>
        </is>
      </c>
    </row>
    <row r="575">
      <c r="B575" t="inlineStr">
        <is>
          <t>AQSTOQFLOW_HR_PAYROLL_WAVE_1_CNPS_EXECUTABLE_FIXTURE_BREADTH_REPORT_2026-06-28.md</t>
        </is>
      </c>
      <c r="C575" t="inlineStr">
        <is>
          <t>E:\ohada saas\newStockFlow\aqstoqflow\what-next\payroll\AQSTOQFLOW_HR_PAYROLL_WAVE_1_CNPS_EXECUTABLE_FIXTURE_BREADTH_REPORT_2026-06-28.md</t>
        </is>
      </c>
      <c r="D575" t="inlineStr">
        <is>
          <t>.md</t>
        </is>
      </c>
      <c r="E575" t="inlineStr">
        <is>
          <t>2026-06-28T09:03:25.384027+00:00</t>
        </is>
      </c>
      <c r="F575" t="inlineStr">
        <is>
          <t>4470</t>
        </is>
      </c>
      <c r="H575" t="inlineStr">
        <is>
          <t>Software document, not a food recipe</t>
        </is>
      </c>
      <c r="I575" t="inlineStr">
        <is>
          <t>Filename screened</t>
        </is>
      </c>
      <c r="J575" t="inlineStr">
        <is>
          <t>No owner production trial log found</t>
        </is>
      </c>
      <c r="K575" t="inlineStr">
        <is>
          <t>Not established / non-text</t>
        </is>
      </c>
      <c r="L575" t="inlineStr">
        <is>
          <t>No explicit version established; modified date is file metadata only</t>
        </is>
      </c>
      <c r="M575" t="inlineStr">
        <is>
          <t xml:space="preserve"> extracted pages/blocks/rows;  recipe keyword signals (not recipe count)</t>
        </is>
      </c>
    </row>
    <row r="576">
      <c r="B576" t="inlineStr">
        <is>
          <t>COMPREHENSIVE_TECHNOLOGY_RECOMMENDATIONS_FOR_BAKERY_MANAGEMENT_SYSTEM.md</t>
        </is>
      </c>
      <c r="C576" t="inlineStr">
        <is>
          <t>E:\ohada saas\smb management\stoquify\docs\COMPREHENSIVE_TECHNOLOGY_RECOMMENDATIONS_FOR_BAKERY_MANAGEMENT_SYSTEM.md</t>
        </is>
      </c>
      <c r="D576" t="inlineStr">
        <is>
          <t>.md</t>
        </is>
      </c>
      <c r="E576" t="inlineStr">
        <is>
          <t>2026-07-01T17:21:16.756841+00:00</t>
        </is>
      </c>
      <c r="F576" t="inlineStr">
        <is>
          <t>19252</t>
        </is>
      </c>
      <c r="H576" t="inlineStr">
        <is>
          <t>Software document, not a food recipe</t>
        </is>
      </c>
      <c r="I576" t="inlineStr">
        <is>
          <t>Filename screened</t>
        </is>
      </c>
      <c r="J576" t="inlineStr">
        <is>
          <t>No owner production trial log found</t>
        </is>
      </c>
      <c r="K576" t="inlineStr">
        <is>
          <t>Not established / non-text</t>
        </is>
      </c>
      <c r="L576" t="inlineStr">
        <is>
          <t>No explicit version established; modified date is file metadata only</t>
        </is>
      </c>
      <c r="M576" t="inlineStr">
        <is>
          <t xml:space="preserve"> extracted pages/blocks/rows;  recipe keyword signals (not recipe count)</t>
        </is>
      </c>
    </row>
    <row r="577">
      <c r="B577" t="inlineStr">
        <is>
          <t>COMPREHENSIVE_TECHNOLOGY_RECOMMENDATIONS_FOR_BAKERY_MANAGEMENT_SYSTEM.md</t>
        </is>
      </c>
      <c r="C577" t="inlineStr">
        <is>
          <t>E:\professional management systems\stockflow\.codex-tmp\aqstoqflow-curated-20260608-042924\docs\COMPREHENSIVE_TECHNOLOGY_RECOMMENDATIONS_FOR_BAKERY_MANAGEMENT_SYSTEM.md</t>
        </is>
      </c>
      <c r="D577" t="inlineStr">
        <is>
          <t>.md</t>
        </is>
      </c>
      <c r="E577" t="inlineStr">
        <is>
          <t>2026-02-25T05:05:09.917839+00:00</t>
        </is>
      </c>
      <c r="F577" t="inlineStr">
        <is>
          <t>19252</t>
        </is>
      </c>
      <c r="H577" t="inlineStr">
        <is>
          <t>Generated work or software support file</t>
        </is>
      </c>
      <c r="I577" t="inlineStr">
        <is>
          <t>Filename screened</t>
        </is>
      </c>
      <c r="J577" t="inlineStr">
        <is>
          <t>No owner production trial log found</t>
        </is>
      </c>
      <c r="K577" t="inlineStr">
        <is>
          <t>Not established / non-text</t>
        </is>
      </c>
      <c r="L577" t="inlineStr">
        <is>
          <t>No explicit version established; modified date is file metadata only</t>
        </is>
      </c>
      <c r="M577" t="inlineStr">
        <is>
          <t xml:space="preserve"> extracted pages/blocks/rows;  recipe keyword signals (not recipe count)</t>
        </is>
      </c>
    </row>
    <row r="578">
      <c r="A578" t="inlineStr">
        <is>
          <t>S174</t>
        </is>
      </c>
      <c r="B578" t="inlineStr">
        <is>
          <t>bakery_comprehensive_recipe_book.md</t>
        </is>
      </c>
      <c r="C578" t="inlineStr">
        <is>
          <t>E:\professional management systems\stockflow\bakery_comprehensive_recipe_book.md</t>
        </is>
      </c>
      <c r="D578" t="inlineStr">
        <is>
          <t>.md</t>
        </is>
      </c>
      <c r="E578" t="inlineStr">
        <is>
          <t>2026-05-31T15:12:36.836715+00:00</t>
        </is>
      </c>
      <c r="F578" t="inlineStr">
        <is>
          <t>174814</t>
        </is>
      </c>
      <c r="G578" t="inlineStr">
        <is>
          <t>fcf6a95d0e8bc549c1d24da60d64e8b6ff2616c628bed260fedc7b062b71bebe</t>
        </is>
      </c>
      <c r="H578" t="inlineStr">
        <is>
          <t>Extracted text</t>
        </is>
      </c>
      <c r="I578" t="inlineStr">
        <is>
          <t>Related edition, supporting context or superseded source; no independent trial inferred</t>
        </is>
      </c>
      <c r="J578" t="inlineStr">
        <is>
          <t>No owner production trial log found</t>
        </is>
      </c>
      <c r="K578" t="inlineStr">
        <is>
          <t>English (text screening)</t>
        </is>
      </c>
      <c r="L578" t="inlineStr">
        <is>
          <t>No explicit version established; modified date is file metadata only</t>
        </is>
      </c>
      <c r="M578" t="inlineStr">
        <is>
          <t>2119 extracted pages/blocks/rows; 710 recipe keyword signals (not recipe count)</t>
        </is>
      </c>
    </row>
    <row r="579">
      <c r="A579" t="inlineStr">
        <is>
          <t>S175</t>
        </is>
      </c>
      <c r="B579" t="inlineStr">
        <is>
          <t>bakery_profitability_recipe_health_audit.md</t>
        </is>
      </c>
      <c r="C579" t="inlineStr">
        <is>
          <t>E:\professional management systems\stockflow\bakery_profitability_recipe_health_audit.md</t>
        </is>
      </c>
      <c r="D579" t="inlineStr">
        <is>
          <t>.md</t>
        </is>
      </c>
      <c r="E579" t="inlineStr">
        <is>
          <t>2026-05-31T14:44:53.034324+00:00</t>
        </is>
      </c>
      <c r="F579" t="inlineStr">
        <is>
          <t>125422</t>
        </is>
      </c>
      <c r="G579" t="inlineStr">
        <is>
          <t>87e104dacbd66807bfc3ef2a8992abe1a545033c881aaee6c99921230af68972</t>
        </is>
      </c>
      <c r="H579" t="inlineStr">
        <is>
          <t>Extracted text</t>
        </is>
      </c>
      <c r="I579" t="inlineStr">
        <is>
          <t>Related edition, supporting context or superseded source; no independent trial inferred</t>
        </is>
      </c>
      <c r="J579" t="inlineStr">
        <is>
          <t>No owner production trial log found</t>
        </is>
      </c>
      <c r="K579" t="inlineStr">
        <is>
          <t>English (text screening)</t>
        </is>
      </c>
      <c r="L579" t="inlineStr">
        <is>
          <t>No explicit version established; modified date is file metadata only</t>
        </is>
      </c>
      <c r="M579" t="inlineStr">
        <is>
          <t>1385 extracted pages/blocks/rows; 625 recipe keyword signals (not recipe count)</t>
        </is>
      </c>
    </row>
    <row r="580">
      <c r="B580" t="inlineStr">
        <is>
          <t>COMPREHENSIVE_TECHNOLOGY_RECOMMENDATIONS_FOR_BAKERY_MANAGEMENT_SYSTEM.md</t>
        </is>
      </c>
      <c r="C580" t="inlineStr">
        <is>
          <t>E:\professional management systems\stockflow\docs\COMPREHENSIVE_TECHNOLOGY_RECOMMENDATIONS_FOR_BAKERY_MANAGEMENT_SYSTEM.md</t>
        </is>
      </c>
      <c r="D580" t="inlineStr">
        <is>
          <t>.md</t>
        </is>
      </c>
      <c r="E580" t="inlineStr">
        <is>
          <t>2026-02-25T05:05:09.917839+00:00</t>
        </is>
      </c>
      <c r="F580" t="inlineStr">
        <is>
          <t>19252</t>
        </is>
      </c>
      <c r="H580" t="inlineStr">
        <is>
          <t>Software document, not a food recipe</t>
        </is>
      </c>
      <c r="I580" t="inlineStr">
        <is>
          <t>Filename screened</t>
        </is>
      </c>
      <c r="J580" t="inlineStr">
        <is>
          <t>No owner production trial log found</t>
        </is>
      </c>
      <c r="K580" t="inlineStr">
        <is>
          <t>Not established / non-text</t>
        </is>
      </c>
      <c r="L580" t="inlineStr">
        <is>
          <t>No explicit version established; modified date is file metadata only</t>
        </is>
      </c>
      <c r="M580" t="inlineStr">
        <is>
          <t xml:space="preserve"> extracted pages/blocks/rows;  recipe keyword signals (not recipe count)</t>
        </is>
      </c>
    </row>
    <row r="581">
      <c r="B581" t="inlineStr">
        <is>
          <t>melto_bakery_comprehensive_recipe_book_0d702e6c.md</t>
        </is>
      </c>
      <c r="C581" t="inlineStr">
        <is>
          <t>E:\professional management systems\stockflow\graphify-out\converted\melto_bakery_comprehensive_recipe_book_0d702e6c.md</t>
        </is>
      </c>
      <c r="D581" t="inlineStr">
        <is>
          <t>.md</t>
        </is>
      </c>
      <c r="E581" t="inlineStr">
        <is>
          <t>2026-06-03T08:34:47.340083+00:00</t>
        </is>
      </c>
      <c r="F581" t="inlineStr">
        <is>
          <t>182129</t>
        </is>
      </c>
      <c r="H581" t="inlineStr">
        <is>
          <t>Generated work or software support file</t>
        </is>
      </c>
      <c r="I581" t="inlineStr">
        <is>
          <t>Filename screened</t>
        </is>
      </c>
      <c r="J581" t="inlineStr">
        <is>
          <t>No owner production trial log found</t>
        </is>
      </c>
      <c r="K581" t="inlineStr">
        <is>
          <t>Not established / non-text</t>
        </is>
      </c>
      <c r="L581" t="inlineStr">
        <is>
          <t>No explicit version established; modified date is file metadata only</t>
        </is>
      </c>
      <c r="M581" t="inlineStr">
        <is>
          <t xml:space="preserve"> extracted pages/blocks/rows;  recipe keyword signals (not recipe count)</t>
        </is>
      </c>
    </row>
    <row r="582">
      <c r="B582" t="inlineStr">
        <is>
          <t>melto_bakery_comprehensive_recipe_book_8cc450b8.md</t>
        </is>
      </c>
      <c r="C582" t="inlineStr">
        <is>
          <t>E:\professional management systems\stockflow\graphify-out\converted\melto_bakery_comprehensive_recipe_book_8cc450b8.md</t>
        </is>
      </c>
      <c r="D582" t="inlineStr">
        <is>
          <t>.md</t>
        </is>
      </c>
      <c r="E582" t="inlineStr">
        <is>
          <t>2026-06-03T08:34:47.731752+00:00</t>
        </is>
      </c>
      <c r="F582" t="inlineStr">
        <is>
          <t>182129</t>
        </is>
      </c>
      <c r="H582" t="inlineStr">
        <is>
          <t>Generated work or software support file</t>
        </is>
      </c>
      <c r="I582" t="inlineStr">
        <is>
          <t>Filename screened</t>
        </is>
      </c>
      <c r="J582" t="inlineStr">
        <is>
          <t>No owner production trial log found</t>
        </is>
      </c>
      <c r="K582" t="inlineStr">
        <is>
          <t>Not established / non-text</t>
        </is>
      </c>
      <c r="L582" t="inlineStr">
        <is>
          <t>No explicit version established; modified date is file metadata only</t>
        </is>
      </c>
      <c r="M582" t="inlineStr">
        <is>
          <t xml:space="preserve"> extracted pages/blocks/rows;  recipe keyword signals (not recipe count)</t>
        </is>
      </c>
    </row>
    <row r="583">
      <c r="A583" t="inlineStr">
        <is>
          <t>S136</t>
        </is>
      </c>
      <c r="B583" t="inlineStr">
        <is>
          <t>melto_bakery_comprehensive_recipe_book.xlsx</t>
        </is>
      </c>
      <c r="C583" t="inlineStr">
        <is>
          <t>E:\professional management systems\stockflow\outputs\melto_bakery_comprehensive_recipe_book.xlsx</t>
        </is>
      </c>
      <c r="D583" t="inlineStr">
        <is>
          <t>.xlsx</t>
        </is>
      </c>
      <c r="E583" t="inlineStr">
        <is>
          <t>2026-05-31T15:37:14.625100+00:00</t>
        </is>
      </c>
      <c r="F583" t="inlineStr">
        <is>
          <t>148044</t>
        </is>
      </c>
      <c r="G583" t="inlineStr">
        <is>
          <t>12a8b0669721f0c5d36d8e0970088a4b2386541c6a89a567ecd6cbb2851a244f</t>
        </is>
      </c>
      <c r="H583" t="inlineStr">
        <is>
          <t>Exact duplicate</t>
        </is>
      </c>
      <c r="I583" t="inlineStr">
        <is>
          <t>Recipe source or technical context included</t>
        </is>
      </c>
      <c r="J583" t="inlineStr">
        <is>
          <t>No owner production trial log found</t>
        </is>
      </c>
      <c r="K583" t="inlineStr">
        <is>
          <t>English (text screening)</t>
        </is>
      </c>
      <c r="L583" t="inlineStr">
        <is>
          <t>No explicit version established; modified date is file metadata only</t>
        </is>
      </c>
      <c r="M583" t="inlineStr">
        <is>
          <t xml:space="preserve"> extracted pages/blocks/rows;  recipe keyword signals (not recipe count)</t>
        </is>
      </c>
    </row>
    <row r="584">
      <c r="A584" t="inlineStr">
        <is>
          <t>S136</t>
        </is>
      </c>
      <c r="B584" t="inlineStr">
        <is>
          <t>melto_bakery_comprehensive_recipe_book.xlsx</t>
        </is>
      </c>
      <c r="C584" t="inlineStr">
        <is>
          <t>E:\professional management systems\stockflow\outputs\xlsx_builder\melto_bakery_comprehensive_recipe_book.xlsx</t>
        </is>
      </c>
      <c r="D584" t="inlineStr">
        <is>
          <t>.xlsx</t>
        </is>
      </c>
      <c r="E584" t="inlineStr">
        <is>
          <t>2026-05-31T15:37:14.625100+00:00</t>
        </is>
      </c>
      <c r="F584" t="inlineStr">
        <is>
          <t>148044</t>
        </is>
      </c>
      <c r="G584" t="inlineStr">
        <is>
          <t>12a8b0669721f0c5d36d8e0970088a4b2386541c6a89a567ecd6cbb2851a244f</t>
        </is>
      </c>
      <c r="H584" t="inlineStr">
        <is>
          <t>Exact duplicate</t>
        </is>
      </c>
      <c r="I584" t="inlineStr">
        <is>
          <t>Recipe source or technical context included</t>
        </is>
      </c>
      <c r="J584" t="inlineStr">
        <is>
          <t>No owner production trial log found</t>
        </is>
      </c>
      <c r="K584" t="inlineStr">
        <is>
          <t>English (text screening)</t>
        </is>
      </c>
      <c r="L584" t="inlineStr">
        <is>
          <t>No explicit version established; modified date is file metadata only</t>
        </is>
      </c>
      <c r="M584" t="inlineStr">
        <is>
          <t xml:space="preserve"> extracted pages/blocks/rows;  recipe keyword signals (not recipe count)</t>
        </is>
      </c>
    </row>
    <row r="585">
      <c r="A585" t="inlineStr">
        <is>
          <t>S132</t>
        </is>
      </c>
      <c r="B585" t="inlineStr">
        <is>
          <t>Bakery recipes   melto 2026.xlsx</t>
        </is>
      </c>
      <c r="C585" t="inlineStr">
        <is>
          <t>E:\retail management systems\Bakery recipes   melto 2026.xlsx</t>
        </is>
      </c>
      <c r="D585" t="inlineStr">
        <is>
          <t>.xlsx</t>
        </is>
      </c>
      <c r="E585" t="inlineStr">
        <is>
          <t>2026-10-07T11:41:24.755287+00:00</t>
        </is>
      </c>
      <c r="F585" t="inlineStr">
        <is>
          <t>136354</t>
        </is>
      </c>
      <c r="G585" t="inlineStr">
        <is>
          <t>490d02185a7c06723e11518d018b847caab9fc63c7c224d07cdbd281a1d57a09</t>
        </is>
      </c>
      <c r="H585" t="inlineStr">
        <is>
          <t>Exact duplicate</t>
        </is>
      </c>
      <c r="I585" t="inlineStr">
        <is>
          <t>Recipe source or technical context included</t>
        </is>
      </c>
      <c r="J585" t="inlineStr">
        <is>
          <t>No owner production trial log found</t>
        </is>
      </c>
      <c r="K585" t="inlineStr">
        <is>
          <t>English (text screening)</t>
        </is>
      </c>
      <c r="L585" t="inlineStr">
        <is>
          <t>No explicit version established; modified date is file metadata only</t>
        </is>
      </c>
      <c r="M585" t="inlineStr">
        <is>
          <t xml:space="preserve"> extracted pages/blocks/rows;  recipe keyword signals (not recipe count)</t>
        </is>
      </c>
    </row>
    <row r="586">
      <c r="A586" t="inlineStr">
        <is>
          <t>S176</t>
        </is>
      </c>
      <c r="B586" t="inlineStr">
        <is>
          <t>BAKERY_RECIPE_BOOK_2026.md</t>
        </is>
      </c>
      <c r="C586" t="inlineStr">
        <is>
          <t>E:\retail management systems\BAKERY_RECIPE_BOOK_2026.md</t>
        </is>
      </c>
      <c r="D586" t="inlineStr">
        <is>
          <t>.md</t>
        </is>
      </c>
      <c r="E586" t="inlineStr">
        <is>
          <t>2026-05-31T16:02:59.901664+00:00</t>
        </is>
      </c>
      <c r="F586" t="inlineStr">
        <is>
          <t>85453</t>
        </is>
      </c>
      <c r="G586" t="inlineStr">
        <is>
          <t>e97b81c8c53cd6e8da03ed90bd8d03e4d3f853364ce783cdc5b6fcd9e5377d1b</t>
        </is>
      </c>
      <c r="H586" t="inlineStr">
        <is>
          <t>Extracted text</t>
        </is>
      </c>
      <c r="I586" t="inlineStr">
        <is>
          <t>Related edition, supporting context or superseded source; no independent trial inferred</t>
        </is>
      </c>
      <c r="J586" t="inlineStr">
        <is>
          <t>No owner production trial log found</t>
        </is>
      </c>
      <c r="K586" t="inlineStr">
        <is>
          <t>English (text screening)</t>
        </is>
      </c>
      <c r="L586" t="inlineStr">
        <is>
          <t>No explicit version established; modified date is file metadata only</t>
        </is>
      </c>
      <c r="M586" t="inlineStr">
        <is>
          <t>2327 extracted pages/blocks/rows; 171 recipe keyword signals (not recipe count)</t>
        </is>
      </c>
    </row>
    <row r="587">
      <c r="A587" t="inlineStr">
        <is>
          <t>S177</t>
        </is>
      </c>
      <c r="B587" t="inlineStr">
        <is>
          <t>BAKERY_RECIPE_PROFITABILITY_REPORT_2026-05-31.md</t>
        </is>
      </c>
      <c r="C587" t="inlineStr">
        <is>
          <t>E:\retail management systems\BAKERY_RECIPE_PROFITABILITY_REPORT_2026-05-31.md</t>
        </is>
      </c>
      <c r="D587" t="inlineStr">
        <is>
          <t>.md</t>
        </is>
      </c>
      <c r="E587" t="inlineStr">
        <is>
          <t>2026-05-31T14:45:55.995851+00:00</t>
        </is>
      </c>
      <c r="F587" t="inlineStr">
        <is>
          <t>15915</t>
        </is>
      </c>
      <c r="G587" t="inlineStr">
        <is>
          <t>390973245bb99f0f0a71eaffdbfe5685b8ab6211610fca76255a70bf5f81a221</t>
        </is>
      </c>
      <c r="H587" t="inlineStr">
        <is>
          <t>Extracted text</t>
        </is>
      </c>
      <c r="I587" t="inlineStr">
        <is>
          <t>Related edition, supporting context or superseded source; no independent trial inferred</t>
        </is>
      </c>
      <c r="J587" t="inlineStr">
        <is>
          <t>No owner production trial log found</t>
        </is>
      </c>
      <c r="K587" t="inlineStr">
        <is>
          <t>English (text screening)</t>
        </is>
      </c>
      <c r="L587" t="inlineStr">
        <is>
          <t>No explicit version established; modified date is file metadata only</t>
        </is>
      </c>
      <c r="M587" t="inlineStr">
        <is>
          <t>246 extracted pages/blocks/rows; 44 recipe keyword signals (not recipe count)</t>
        </is>
      </c>
    </row>
    <row r="588">
      <c r="B588" t="inlineStr">
        <is>
          <t>COMPREHENSIVE_TECHNOLOGY_RECOMMENDATIONS_FOR_BAKERY_MANAGEMENT_SYSTEM.md</t>
        </is>
      </c>
      <c r="C588" t="inlineStr">
        <is>
          <t>E:\retail management systems\stockflow\docs\COMPREHENSIVE_TECHNOLOGY_RECOMMENDATIONS_FOR_BAKERY_MANAGEMENT_SYSTEM.md</t>
        </is>
      </c>
      <c r="D588" t="inlineStr">
        <is>
          <t>.md</t>
        </is>
      </c>
      <c r="E588" t="inlineStr">
        <is>
          <t>2026-02-25T05:05:09.917839+00:00</t>
        </is>
      </c>
      <c r="F588" t="inlineStr">
        <is>
          <t>19252</t>
        </is>
      </c>
      <c r="H588" t="inlineStr">
        <is>
          <t>Software document, not a food recipe</t>
        </is>
      </c>
      <c r="I588" t="inlineStr">
        <is>
          <t>Filename screened</t>
        </is>
      </c>
      <c r="J588" t="inlineStr">
        <is>
          <t>No owner production trial log found</t>
        </is>
      </c>
      <c r="K588" t="inlineStr">
        <is>
          <t>Not established / non-text</t>
        </is>
      </c>
      <c r="L588" t="inlineStr">
        <is>
          <t>No explicit version established; modified date is file metadata only</t>
        </is>
      </c>
      <c r="M588" t="inlineStr">
        <is>
          <t xml:space="preserve"> extracted pages/blocks/rows;  recipe keyword signals (not recipe count)</t>
        </is>
      </c>
    </row>
    <row r="589">
      <c r="B589" t="inlineStr">
        <is>
          <t>~$Bakery recipes   melto 2026.xlsx</t>
        </is>
      </c>
      <c r="C589" t="inlineStr">
        <is>
          <t>E:\retail management systems\~$Bakery recipes   melto 2026.xlsx</t>
        </is>
      </c>
      <c r="D589" t="inlineStr">
        <is>
          <t>.xlsx</t>
        </is>
      </c>
      <c r="E589" t="inlineStr">
        <is>
          <t>2026-03-07T14:29:11.790435+00:00</t>
        </is>
      </c>
      <c r="F589" t="inlineStr">
        <is>
          <t>165</t>
        </is>
      </c>
      <c r="H589" t="inlineStr">
        <is>
          <t>Office lock file</t>
        </is>
      </c>
      <c r="I589" t="inlineStr">
        <is>
          <t>Filename screened</t>
        </is>
      </c>
      <c r="J589" t="inlineStr">
        <is>
          <t>No owner production trial log found</t>
        </is>
      </c>
      <c r="K589" t="inlineStr">
        <is>
          <t>Not established / non-text</t>
        </is>
      </c>
      <c r="L589" t="inlineStr">
        <is>
          <t>No explicit version established; modified date is file metadata only</t>
        </is>
      </c>
      <c r="M589" t="inlineStr">
        <is>
          <t xml:space="preserve"> extracted pages/blocks/rows;  recipe keyword signals (not recipe count)</t>
        </is>
      </c>
    </row>
    <row r="590">
      <c r="A590" t="inlineStr">
        <is>
          <t>S178</t>
        </is>
      </c>
      <c r="B590" t="inlineStr">
        <is>
          <t>give the pros and cons of using stabilizers in making yoghurt for small business from powdered milk and give a well know recipe that uses the stabilizers in the procedure all measurements in grams - Google Search.pdf</t>
        </is>
      </c>
      <c r="C590" t="inlineStr">
        <is>
          <t>E:\Yoghort production\give the pros and cons of using stabilizers in making yoghurt for small business from powdered milk and give a well know recipe that uses the stabilizers in the procedure all measurements in grams - Google Search.pdf</t>
        </is>
      </c>
      <c r="D590" t="inlineStr">
        <is>
          <t>.pdf</t>
        </is>
      </c>
      <c r="E590" t="inlineStr">
        <is>
          <t>2026-08-12T10:36:43.527009+00:00</t>
        </is>
      </c>
      <c r="F590" t="inlineStr">
        <is>
          <t>532554</t>
        </is>
      </c>
      <c r="G590" t="inlineStr">
        <is>
          <t>27ba177a9166eeb393a16b0d1ce7048a874efaba51733ad077455438c94d00ee</t>
        </is>
      </c>
      <c r="H590" t="inlineStr">
        <is>
          <t>Extracted text</t>
        </is>
      </c>
      <c r="I590" t="inlineStr">
        <is>
          <t>Related edition, supporting context or superseded source; no independent trial inferred</t>
        </is>
      </c>
      <c r="J590" t="inlineStr">
        <is>
          <t>No owner production trial log found</t>
        </is>
      </c>
      <c r="K590" t="inlineStr">
        <is>
          <t>English (text screening)</t>
        </is>
      </c>
      <c r="L590" t="inlineStr">
        <is>
          <t>No explicit version established; modified date is file metadata only</t>
        </is>
      </c>
      <c r="M590" t="inlineStr">
        <is>
          <t>6 extracted pages/blocks/rows; 6 recipe keyword signals (not recipe count)</t>
        </is>
      </c>
    </row>
    <row r="591">
      <c r="A591" t="inlineStr">
        <is>
          <t>S179</t>
        </is>
      </c>
      <c r="B591" t="inlineStr">
        <is>
          <t>Yoghurt-Book-by-CTCS.pdf</t>
        </is>
      </c>
      <c r="C591" t="inlineStr">
        <is>
          <t>E:\Yoghort production\Yoghurt-Book-by-CTCS.pdf</t>
        </is>
      </c>
      <c r="D591" t="inlineStr">
        <is>
          <t>.pdf</t>
        </is>
      </c>
      <c r="E591" t="inlineStr">
        <is>
          <t>2026-08-12T10:09:18.767197+00:00</t>
        </is>
      </c>
      <c r="F591" t="inlineStr">
        <is>
          <t>1139501</t>
        </is>
      </c>
      <c r="G591" t="inlineStr">
        <is>
          <t>e630eff0d6b2747fe403808010549c31b5c23e74af6eca3b2f024d675107eaa3</t>
        </is>
      </c>
      <c r="H591" t="inlineStr">
        <is>
          <t>Extracted text</t>
        </is>
      </c>
      <c r="I591" t="inlineStr">
        <is>
          <t>Recipe source or technical context included</t>
        </is>
      </c>
      <c r="J591" t="inlineStr">
        <is>
          <t>No owner production trial log found</t>
        </is>
      </c>
      <c r="K591" t="inlineStr">
        <is>
          <t>English (text screening)</t>
        </is>
      </c>
      <c r="L591" t="inlineStr">
        <is>
          <t>No explicit version established; modified date is file metadata only</t>
        </is>
      </c>
      <c r="M591" t="inlineStr">
        <is>
          <t>44 extracted pages/blocks/rows; 16 recipe keyword signals (not recipe count)</t>
        </is>
      </c>
    </row>
    <row r="592">
      <c r="A592" t="inlineStr">
        <is>
          <t>EXT-H2-01</t>
        </is>
      </c>
      <c r="B592" t="inlineStr">
        <is>
          <t>King Arthur professional sourdough baguettes</t>
        </is>
      </c>
      <c r="C592" t="inlineStr">
        <is>
          <t>https://www.kingarthurbaking.com/pro/formulas/sourdough-baguettes</t>
        </is>
      </c>
      <c r="D592" t="inlineStr">
        <is>
          <t>Web</t>
        </is>
      </c>
      <c r="E592" t="inlineStr">
        <is>
          <t>Accessed 8 October 2026</t>
        </is>
      </c>
      <c r="H592" t="inlineStr">
        <is>
          <t>Readable official technical reference</t>
        </is>
      </c>
      <c r="I592" t="inlineStr">
        <is>
          <t>Process context only; not validation of BAG-H2-01</t>
        </is>
      </c>
      <c r="K592" t="inlineStr">
        <is>
          <t>English</t>
        </is>
      </c>
      <c r="M592" t="inlineStr">
        <is>
          <t>Different fermentation system; formula not adopted</t>
        </is>
      </c>
    </row>
  </sheetData>
  <autoFilter ref="A1:M59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t="inlineStr">
        <is>
          <t>H3 supersedes the EDC interpretation in H1/H2</t>
        </is>
      </c>
    </row>
    <row r="2">
      <c r="A2" t="inlineStr">
        <is>
          <t>EDC is not butter and must not be treated or priced as margarine. Its identity, specification, permitted application, dose and purchase price remain unresolved. Keep EDC as a separate historical ingredient and hold affected formulas until it is identified. The earlier owner-workbook butter-to-margarine instruction remains separate; true dairy butter in independent recipes retains its specification. Milk tantalizer and improver remain omitted from revised recipes.</t>
        </is>
      </c>
    </row>
    <row r="3">
      <c r="A3" t="inlineStr">
        <is>
          <t>EDC identity remains unresolved. H05 and T01 are held. No EDC price or production dose is inferred.</t>
        </is>
      </c>
    </row>
    <row r="4">
      <c r="A4" t="inlineStr">
        <is>
          <t>L004</t>
        </is>
      </c>
      <c r="B4" t="inlineStr">
        <is>
          <t>Beignet soufle</t>
        </is>
      </c>
      <c r="C4" t="inlineStr">
        <is>
          <t>S132</t>
        </is>
      </c>
      <c r="D4" t="inlineStr">
        <is>
          <t>'Beignet soufle'!C14,D14</t>
        </is>
      </c>
      <c r="E4" t="n">
        <v>25</v>
      </c>
      <c r="F4" t="n">
        <v>2.5</v>
      </c>
      <c r="G4" t="n">
        <v>763.2777777777777</v>
      </c>
      <c r="H4" t="inlineStr">
        <is>
          <t>HOLD; identity and price unresolved</t>
        </is>
      </c>
    </row>
    <row r="5">
      <c r="A5" t="inlineStr">
        <is>
          <t>L005</t>
        </is>
      </c>
      <c r="B5" t="inlineStr">
        <is>
          <t>Beignet soufle</t>
        </is>
      </c>
      <c r="C5" t="inlineStr">
        <is>
          <t>S132</t>
        </is>
      </c>
      <c r="D5" t="inlineStr">
        <is>
          <t>'Beignet soufle'!C14,H14</t>
        </is>
      </c>
      <c r="E5" t="n">
        <v>83.3333332</v>
      </c>
      <c r="F5" t="n">
        <v>1.666666666666667</v>
      </c>
      <c r="G5" t="n">
        <v>717.0555555555555</v>
      </c>
      <c r="H5" t="inlineStr">
        <is>
          <t>HOLD; identity and price unresolved</t>
        </is>
      </c>
    </row>
    <row r="6">
      <c r="A6" t="inlineStr">
        <is>
          <t>L015</t>
        </is>
      </c>
      <c r="B6" t="inlineStr">
        <is>
          <t>Danisa biscuits</t>
        </is>
      </c>
      <c r="C6" t="inlineStr">
        <is>
          <t>S132</t>
        </is>
      </c>
      <c r="D6" t="inlineStr">
        <is>
          <t>'Danisa biscuits'!C12,D12</t>
        </is>
      </c>
      <c r="E6" t="n">
        <v>50</v>
      </c>
      <c r="F6" t="n">
        <v>2.777777777777778</v>
      </c>
      <c r="G6" t="n">
        <v>1425.524691358025</v>
      </c>
      <c r="H6" t="inlineStr">
        <is>
          <t>HOLD; identity and price unresolved</t>
        </is>
      </c>
    </row>
    <row r="7">
      <c r="A7" t="inlineStr">
        <is>
          <t>L016</t>
        </is>
      </c>
      <c r="B7" t="inlineStr">
        <is>
          <t>Delice</t>
        </is>
      </c>
      <c r="C7" t="inlineStr">
        <is>
          <t>S132</t>
        </is>
      </c>
      <c r="D7" t="inlineStr">
        <is>
          <t>'Delice'!C17,D17</t>
        </is>
      </c>
      <c r="E7" t="n">
        <v>50</v>
      </c>
      <c r="F7" t="n">
        <v>16.66666666666666</v>
      </c>
      <c r="G7" t="n">
        <v>725.1574074074074</v>
      </c>
      <c r="H7" t="inlineStr">
        <is>
          <t>HOLD; identity and price unresolved</t>
        </is>
      </c>
    </row>
    <row r="8">
      <c r="A8" t="inlineStr">
        <is>
          <t>L017</t>
        </is>
      </c>
      <c r="B8" t="inlineStr">
        <is>
          <t>Delice</t>
        </is>
      </c>
      <c r="C8" t="inlineStr">
        <is>
          <t>S132</t>
        </is>
      </c>
      <c r="D8" t="inlineStr">
        <is>
          <t>'Delice'!C17,H17</t>
        </is>
      </c>
      <c r="E8" t="n">
        <v>100</v>
      </c>
      <c r="F8" t="n">
        <v>50</v>
      </c>
      <c r="G8" t="n">
        <v>1468.333333333333</v>
      </c>
      <c r="H8" t="inlineStr">
        <is>
          <t>HOLD; identity and price unresolved</t>
        </is>
      </c>
    </row>
    <row r="9">
      <c r="A9" t="inlineStr">
        <is>
          <t>L021</t>
        </is>
      </c>
      <c r="B9" t="inlineStr">
        <is>
          <t>Galette</t>
        </is>
      </c>
      <c r="C9" t="inlineStr">
        <is>
          <t>S132</t>
        </is>
      </c>
      <c r="D9" t="inlineStr">
        <is>
          <t>'Galette'!C16,D16</t>
        </is>
      </c>
      <c r="E9" t="n">
        <v>75</v>
      </c>
      <c r="F9" t="n">
        <v>7.5</v>
      </c>
      <c r="G9" t="n">
        <v>632.8055555555555</v>
      </c>
      <c r="H9" t="inlineStr">
        <is>
          <t>HOLD; identity and price unresolved</t>
        </is>
      </c>
    </row>
    <row r="10">
      <c r="A10" t="inlineStr">
        <is>
          <t>L022</t>
        </is>
      </c>
      <c r="B10" t="inlineStr">
        <is>
          <t>Galette</t>
        </is>
      </c>
      <c r="C10" t="inlineStr">
        <is>
          <t>S132</t>
        </is>
      </c>
      <c r="D10" t="inlineStr">
        <is>
          <t>'Galette'!C16,H16</t>
        </is>
      </c>
      <c r="E10" t="n">
        <v>100</v>
      </c>
      <c r="F10" t="n">
        <v>20</v>
      </c>
      <c r="G10" t="n">
        <v>635.9444444444445</v>
      </c>
      <c r="H10" t="inlineStr">
        <is>
          <t>HOLD; identity and price unresolved</t>
        </is>
      </c>
    </row>
    <row r="11">
      <c r="A11" t="inlineStr">
        <is>
          <t>L023</t>
        </is>
      </c>
      <c r="B11" t="inlineStr">
        <is>
          <t>Hamburger buns</t>
        </is>
      </c>
      <c r="C11" t="inlineStr">
        <is>
          <t>S132</t>
        </is>
      </c>
      <c r="D11" t="inlineStr">
        <is>
          <t>'Hamburger buns'!C12,D12</t>
        </is>
      </c>
      <c r="E11" t="n">
        <v>20</v>
      </c>
      <c r="F11" t="n">
        <v>2</v>
      </c>
      <c r="G11" t="n">
        <v>491.9388888888889</v>
      </c>
      <c r="H11" t="inlineStr">
        <is>
          <t>HOLD; identity and price unresolved</t>
        </is>
      </c>
    </row>
    <row r="12">
      <c r="A12" t="inlineStr">
        <is>
          <t>L024</t>
        </is>
      </c>
      <c r="B12" t="inlineStr">
        <is>
          <t>Hamburger buns</t>
        </is>
      </c>
      <c r="C12" t="inlineStr">
        <is>
          <t>S132</t>
        </is>
      </c>
      <c r="D12" t="inlineStr">
        <is>
          <t>'Hamburger buns'!C12,F12</t>
        </is>
      </c>
      <c r="E12" t="n">
        <v>333.3333</v>
      </c>
      <c r="F12" t="n">
        <v>6.666666666666667</v>
      </c>
      <c r="G12" t="n">
        <v>511.5740740740742</v>
      </c>
      <c r="H12" t="inlineStr">
        <is>
          <t>HOLD; identity and price unresolved</t>
        </is>
      </c>
    </row>
    <row r="13">
      <c r="A13" t="inlineStr">
        <is>
          <t>L034</t>
        </is>
      </c>
      <c r="B13" t="inlineStr">
        <is>
          <t>NEW BRIOCHE</t>
        </is>
      </c>
      <c r="C13" t="inlineStr">
        <is>
          <t>S132</t>
        </is>
      </c>
      <c r="D13" t="inlineStr">
        <is>
          <t>'NEW BRIOCHE'!C15,D15</t>
        </is>
      </c>
      <c r="E13" t="n">
        <v>25</v>
      </c>
      <c r="F13" t="n">
        <v>2.5</v>
      </c>
      <c r="G13" t="n">
        <v>875</v>
      </c>
      <c r="H13" t="inlineStr">
        <is>
          <t>HOLD; identity and price unresolved</t>
        </is>
      </c>
    </row>
    <row r="14">
      <c r="A14" t="inlineStr">
        <is>
          <t>L039</t>
        </is>
      </c>
      <c r="B14" t="inlineStr">
        <is>
          <t>Pain au lait</t>
        </is>
      </c>
      <c r="C14" t="inlineStr">
        <is>
          <t>S132</t>
        </is>
      </c>
      <c r="D14" t="inlineStr">
        <is>
          <t>'Pain au lait'!C16,D16</t>
        </is>
      </c>
      <c r="E14" t="n">
        <v>25</v>
      </c>
      <c r="F14" t="n">
        <v>2.083333333333333</v>
      </c>
      <c r="G14" t="n">
        <v>637.5922906602254</v>
      </c>
      <c r="H14" t="inlineStr">
        <is>
          <t>HOLD; identity and price unresolved</t>
        </is>
      </c>
    </row>
    <row r="15">
      <c r="A15" t="inlineStr">
        <is>
          <t>L040</t>
        </is>
      </c>
      <c r="B15" t="inlineStr">
        <is>
          <t>Pain au lait</t>
        </is>
      </c>
      <c r="C15" t="inlineStr">
        <is>
          <t>S132</t>
        </is>
      </c>
      <c r="D15" t="inlineStr">
        <is>
          <t>'Pain au lait'!C16,L16</t>
        </is>
      </c>
      <c r="E15" t="n">
        <v>12.5</v>
      </c>
      <c r="F15" t="n">
        <v>1.785714285714286</v>
      </c>
      <c r="G15" t="n">
        <v>632.716011042098</v>
      </c>
      <c r="H15" t="inlineStr">
        <is>
          <t>HOLD; identity and price unresolved</t>
        </is>
      </c>
    </row>
    <row r="16">
      <c r="A16" t="inlineStr">
        <is>
          <t>L043</t>
        </is>
      </c>
      <c r="B16" t="inlineStr">
        <is>
          <t>Sheet3</t>
        </is>
      </c>
      <c r="C16" t="inlineStr">
        <is>
          <t>S132</t>
        </is>
      </c>
      <c r="D16" t="inlineStr">
        <is>
          <t>'Sheet3'!C15,D15</t>
        </is>
      </c>
      <c r="E16" t="n">
        <v>100</v>
      </c>
      <c r="F16" t="n">
        <v>10</v>
      </c>
      <c r="G16" t="n">
        <v>702.8550724637681</v>
      </c>
      <c r="H16" t="inlineStr">
        <is>
          <t>HOLD; identity and price unresolved</t>
        </is>
      </c>
    </row>
    <row r="17">
      <c r="A17" t="inlineStr">
        <is>
          <t>L044</t>
        </is>
      </c>
      <c r="B17" t="inlineStr">
        <is>
          <t>Sheet3</t>
        </is>
      </c>
      <c r="C17" t="inlineStr">
        <is>
          <t>S132</t>
        </is>
      </c>
      <c r="D17" t="inlineStr">
        <is>
          <t>'Sheet3'!C15,F15</t>
        </is>
      </c>
      <c r="E17" t="n">
        <v>25</v>
      </c>
      <c r="F17" t="n">
        <v>2.5</v>
      </c>
      <c r="G17" t="n">
        <v>740.3647342995168</v>
      </c>
      <c r="H17" t="inlineStr">
        <is>
          <t>HOLD; identity and price unresolved</t>
        </is>
      </c>
    </row>
    <row r="18">
      <c r="A18" t="inlineStr">
        <is>
          <t>L045</t>
        </is>
      </c>
      <c r="B18" t="inlineStr">
        <is>
          <t>Sheet3</t>
        </is>
      </c>
      <c r="C18" t="inlineStr">
        <is>
          <t>S132</t>
        </is>
      </c>
      <c r="D18" t="inlineStr">
        <is>
          <t>'Sheet3'!C15,H15</t>
        </is>
      </c>
      <c r="E18" t="n">
        <v>50</v>
      </c>
      <c r="F18" t="n">
        <v>10</v>
      </c>
      <c r="G18" t="n">
        <v>717.3942028985507</v>
      </c>
      <c r="H18" t="inlineStr">
        <is>
          <t>HOLD; identity and price unresolved</t>
        </is>
      </c>
    </row>
    <row r="19">
      <c r="A19" t="inlineStr">
        <is>
          <t>L046</t>
        </is>
      </c>
      <c r="B19" t="inlineStr">
        <is>
          <t>Sheet3</t>
        </is>
      </c>
      <c r="C19" t="inlineStr">
        <is>
          <t>S132</t>
        </is>
      </c>
      <c r="D19" t="inlineStr">
        <is>
          <t>'Sheet3'!C15,N15</t>
        </is>
      </c>
      <c r="E19" t="n">
        <v>12.5</v>
      </c>
      <c r="F19" t="n">
        <v>1.470588235294118</v>
      </c>
      <c r="G19" t="n">
        <v>642.306905370844</v>
      </c>
      <c r="H19" t="inlineStr">
        <is>
          <t>HOLD; identity and price unresolved</t>
        </is>
      </c>
    </row>
    <row r="20">
      <c r="A20" t="inlineStr">
        <is>
          <t>L051</t>
        </is>
      </c>
      <c r="B20" t="inlineStr">
        <is>
          <t>Taste it</t>
        </is>
      </c>
      <c r="C20" t="inlineStr">
        <is>
          <t>S132</t>
        </is>
      </c>
      <c r="D20" t="inlineStr">
        <is>
          <t>'Taste it'!C15,D15</t>
        </is>
      </c>
      <c r="E20" t="n">
        <v>75</v>
      </c>
      <c r="F20" t="n">
        <v>7.5</v>
      </c>
      <c r="G20" t="n">
        <v>632.8055555555555</v>
      </c>
      <c r="H20" t="inlineStr">
        <is>
          <t>HOLD; identity and price unresolved</t>
        </is>
      </c>
    </row>
    <row r="21">
      <c r="A21" t="inlineStr">
        <is>
          <t>L052</t>
        </is>
      </c>
      <c r="B21" t="inlineStr">
        <is>
          <t>Taste it</t>
        </is>
      </c>
      <c r="C21" t="inlineStr">
        <is>
          <t>S132</t>
        </is>
      </c>
      <c r="D21" t="inlineStr">
        <is>
          <t>'Taste it'!C15,H15</t>
        </is>
      </c>
      <c r="E21" t="n">
        <v>100</v>
      </c>
      <c r="F21" t="n">
        <v>20</v>
      </c>
      <c r="G21" t="n">
        <v>635.9444444444445</v>
      </c>
      <c r="H21" t="inlineStr">
        <is>
          <t>HOLD; identity and price unresolved</t>
        </is>
      </c>
    </row>
    <row r="22">
      <c r="A22" t="inlineStr">
        <is>
          <t>L055</t>
        </is>
      </c>
      <c r="B22" t="inlineStr">
        <is>
          <t>YUMMY BREAD</t>
        </is>
      </c>
      <c r="C22" t="inlineStr">
        <is>
          <t>S132</t>
        </is>
      </c>
      <c r="D22" t="inlineStr">
        <is>
          <t>'YUMMY BREAD'!C14,D14</t>
        </is>
      </c>
      <c r="E22" t="n">
        <v>100</v>
      </c>
      <c r="F22" t="n">
        <v>6.666666666666667</v>
      </c>
      <c r="G22" t="n">
        <v>636.6666666666666</v>
      </c>
      <c r="H22" t="inlineStr">
        <is>
          <t>HOLD; identity and price unresolved</t>
        </is>
      </c>
    </row>
    <row r="23">
      <c r="A23" t="inlineStr">
        <is>
          <t>L056</t>
        </is>
      </c>
      <c r="B23" t="inlineStr">
        <is>
          <t>YUMMY BREAD</t>
        </is>
      </c>
      <c r="C23" t="inlineStr">
        <is>
          <t>S132</t>
        </is>
      </c>
      <c r="D23" t="inlineStr">
        <is>
          <t>'YUMMY BREAD'!C14,F14</t>
        </is>
      </c>
      <c r="E23" t="n">
        <v>25</v>
      </c>
      <c r="F23" t="n">
        <v>2.380952380952381</v>
      </c>
      <c r="G23" t="n">
        <v>629.8148148148148</v>
      </c>
      <c r="H23" t="inlineStr">
        <is>
          <t>HOLD; identity and price unresolved</t>
        </is>
      </c>
    </row>
    <row r="24">
      <c r="A24" t="inlineStr">
        <is>
          <t>L057</t>
        </is>
      </c>
      <c r="B24" t="inlineStr">
        <is>
          <t>YUMMY BREAD</t>
        </is>
      </c>
      <c r="C24" t="inlineStr">
        <is>
          <t>S132</t>
        </is>
      </c>
      <c r="D24" t="inlineStr">
        <is>
          <t>'YUMMY BREAD'!C14,H14</t>
        </is>
      </c>
      <c r="E24" t="n">
        <v>50</v>
      </c>
      <c r="F24" t="n">
        <v>10</v>
      </c>
      <c r="G24" t="n">
        <v>635.9444444444445</v>
      </c>
      <c r="H24" t="inlineStr">
        <is>
          <t>HOLD; identity and price unresolved</t>
        </is>
      </c>
    </row>
    <row r="25">
      <c r="A25" t="inlineStr">
        <is>
          <t>L058</t>
        </is>
      </c>
      <c r="B25" t="inlineStr">
        <is>
          <t>YUMMY BREAD</t>
        </is>
      </c>
      <c r="C25" t="inlineStr">
        <is>
          <t>S132</t>
        </is>
      </c>
      <c r="D25" t="inlineStr">
        <is>
          <t>'YUMMY BREAD'!C14,N14</t>
        </is>
      </c>
      <c r="E25" t="n">
        <v>12.5</v>
      </c>
      <c r="F25" t="n">
        <v>1.470588235294118</v>
      </c>
      <c r="G25" t="n">
        <v>609.0588235294118</v>
      </c>
      <c r="H25" t="inlineStr">
        <is>
          <t>HOLD; identity and price unresolved</t>
        </is>
      </c>
    </row>
    <row r="26">
      <c r="A26" t="inlineStr">
        <is>
          <t>L059</t>
        </is>
      </c>
      <c r="B26" t="inlineStr">
        <is>
          <t>Zebree</t>
        </is>
      </c>
      <c r="C26" t="inlineStr">
        <is>
          <t>S132</t>
        </is>
      </c>
      <c r="D26" t="inlineStr">
        <is>
          <t>'Zebree'!C15,D15</t>
        </is>
      </c>
      <c r="E26" t="n">
        <v>75</v>
      </c>
      <c r="F26" t="n">
        <v>7.5</v>
      </c>
      <c r="G26" t="n">
        <v>633.6388888888889</v>
      </c>
      <c r="H26" t="inlineStr">
        <is>
          <t>HOLD; identity and price unresolved</t>
        </is>
      </c>
    </row>
    <row r="27">
      <c r="A27" t="inlineStr">
        <is>
          <t>L060</t>
        </is>
      </c>
      <c r="B27" t="inlineStr">
        <is>
          <t>Zebree</t>
        </is>
      </c>
      <c r="C27" t="inlineStr">
        <is>
          <t>S132</t>
        </is>
      </c>
      <c r="D27" t="inlineStr">
        <is>
          <t>'Zebree'!C15,F15</t>
        </is>
      </c>
      <c r="E27" t="n">
        <v>300</v>
      </c>
      <c r="F27" t="n">
        <v>6</v>
      </c>
      <c r="G27" t="n">
        <v>689.2777777777778</v>
      </c>
      <c r="H27" t="inlineStr">
        <is>
          <t>HOLD; identity and price unresolved</t>
        </is>
      </c>
    </row>
    <row r="28">
      <c r="A28" t="inlineStr">
        <is>
          <t>L062</t>
        </is>
      </c>
      <c r="B28" t="inlineStr">
        <is>
          <t>brioche</t>
        </is>
      </c>
      <c r="C28" t="inlineStr">
        <is>
          <t>S132</t>
        </is>
      </c>
      <c r="D28" t="inlineStr">
        <is>
          <t>'brioche'!C15,D15</t>
        </is>
      </c>
      <c r="E28" t="n">
        <v>25</v>
      </c>
      <c r="F28" t="n">
        <v>2.5</v>
      </c>
      <c r="G28" t="n">
        <v>875</v>
      </c>
      <c r="H28" t="inlineStr">
        <is>
          <t>HOLD; identity and price unresolved</t>
        </is>
      </c>
    </row>
    <row r="29">
      <c r="A29" t="inlineStr">
        <is>
          <t>L063</t>
        </is>
      </c>
      <c r="B29" t="inlineStr">
        <is>
          <t>buns new look</t>
        </is>
      </c>
      <c r="C29" t="inlineStr">
        <is>
          <t>S132</t>
        </is>
      </c>
      <c r="D29" t="inlineStr">
        <is>
          <t>'buns new look'!C14,H14</t>
        </is>
      </c>
      <c r="E29" t="n">
        <v>50</v>
      </c>
      <c r="F29" t="n">
        <v>10</v>
      </c>
      <c r="G29" t="n">
        <v>583.6777777777778</v>
      </c>
      <c r="H29" t="inlineStr">
        <is>
          <t>HOLD; identity and price unresolved</t>
        </is>
      </c>
    </row>
    <row r="30">
      <c r="A30" t="inlineStr">
        <is>
          <t>L068</t>
        </is>
      </c>
      <c r="B30" t="inlineStr">
        <is>
          <t>professinal Buns</t>
        </is>
      </c>
      <c r="C30" t="inlineStr">
        <is>
          <t>S132</t>
        </is>
      </c>
      <c r="D30" t="inlineStr">
        <is>
          <t>'professinal Buns'!C14,D14</t>
        </is>
      </c>
      <c r="E30" t="n">
        <v>25</v>
      </c>
      <c r="F30" t="n">
        <v>2.5</v>
      </c>
      <c r="G30" t="n">
        <v>666.6190821256039</v>
      </c>
      <c r="H30" t="inlineStr">
        <is>
          <t>HOLD; identity and price unresolved</t>
        </is>
      </c>
    </row>
    <row r="31">
      <c r="A31" t="inlineStr">
        <is>
          <t>L073</t>
        </is>
      </c>
      <c r="B31" t="inlineStr">
        <is>
          <t>GALETTE</t>
        </is>
      </c>
      <c r="C31" t="inlineStr">
        <is>
          <t>S044</t>
        </is>
      </c>
      <c r="D31" t="inlineStr">
        <is>
          <t>'GALETTE'!C16,D16</t>
        </is>
      </c>
      <c r="E31" t="n">
        <v>25</v>
      </c>
      <c r="F31" t="n">
        <v>2.5</v>
      </c>
      <c r="G31" t="n">
        <v>626.7944444444445</v>
      </c>
      <c r="H31" t="inlineStr">
        <is>
          <t>HOLD; identity and price unresolved</t>
        </is>
      </c>
    </row>
    <row r="32">
      <c r="A32" t="inlineStr">
        <is>
          <t>L074</t>
        </is>
      </c>
      <c r="B32" t="inlineStr">
        <is>
          <t>GALETTE</t>
        </is>
      </c>
      <c r="C32" t="inlineStr">
        <is>
          <t>S044</t>
        </is>
      </c>
      <c r="D32" t="inlineStr">
        <is>
          <t>'GALETTE'!C16,F16</t>
        </is>
      </c>
      <c r="E32" t="n">
        <v>214.332</v>
      </c>
      <c r="F32" t="n">
        <v>4.285714285714285</v>
      </c>
      <c r="G32" t="n">
        <v>650.6825396825396</v>
      </c>
      <c r="H32" t="inlineStr">
        <is>
          <t>HOLD; identity and price unresolved</t>
        </is>
      </c>
    </row>
    <row r="33">
      <c r="A33" t="inlineStr">
        <is>
          <t>L082</t>
        </is>
      </c>
      <c r="B33" t="inlineStr">
        <is>
          <t>YUMMY BREAD</t>
        </is>
      </c>
      <c r="C33" t="inlineStr">
        <is>
          <t>S044</t>
        </is>
      </c>
      <c r="D33" t="inlineStr">
        <is>
          <t>'YUMMY BREAD'!C15,D15</t>
        </is>
      </c>
      <c r="E33" t="n">
        <v>50</v>
      </c>
      <c r="F33" t="n">
        <v>3.333333333333333</v>
      </c>
      <c r="G33" t="n">
        <v>676.9589371980677</v>
      </c>
      <c r="H33" t="inlineStr">
        <is>
          <t>HOLD; identity and price unresolved</t>
        </is>
      </c>
    </row>
    <row r="34">
      <c r="A34" t="inlineStr">
        <is>
          <t>L083</t>
        </is>
      </c>
      <c r="B34" t="inlineStr">
        <is>
          <t>YUMMY BREAD</t>
        </is>
      </c>
      <c r="C34" t="inlineStr">
        <is>
          <t>S044</t>
        </is>
      </c>
      <c r="D34" t="inlineStr">
        <is>
          <t>'YUMMY BREAD'!C15,F15</t>
        </is>
      </c>
      <c r="E34" t="n">
        <v>25</v>
      </c>
      <c r="F34" t="n">
        <v>2.777777777777778</v>
      </c>
      <c r="G34" t="n">
        <v>694.7756307031669</v>
      </c>
      <c r="H34" t="inlineStr">
        <is>
          <t>HOLD; identity and price unresolved</t>
        </is>
      </c>
    </row>
    <row r="35">
      <c r="A35" t="inlineStr">
        <is>
          <t>L089</t>
        </is>
      </c>
      <c r="B35" t="inlineStr">
        <is>
          <t>Pain au lait</t>
        </is>
      </c>
      <c r="C35" t="inlineStr">
        <is>
          <t>S045</t>
        </is>
      </c>
      <c r="D35" t="inlineStr">
        <is>
          <t>'Pain au lait'!C15,D15</t>
        </is>
      </c>
      <c r="E35" t="n">
        <v>25</v>
      </c>
      <c r="F35" t="n">
        <v>2.083333333333333</v>
      </c>
      <c r="G35" t="n">
        <v>637.5922906602254</v>
      </c>
      <c r="H35" t="inlineStr">
        <is>
          <t>HOLD; identity and price unresolved</t>
        </is>
      </c>
    </row>
    <row r="36">
      <c r="A36" t="inlineStr">
        <is>
          <t>L090</t>
        </is>
      </c>
      <c r="B36" t="inlineStr">
        <is>
          <t>Pain au lait</t>
        </is>
      </c>
      <c r="C36" t="inlineStr">
        <is>
          <t>S045</t>
        </is>
      </c>
      <c r="D36" t="inlineStr">
        <is>
          <t>'Pain au lait'!C15,L15</t>
        </is>
      </c>
      <c r="E36" t="n">
        <v>12.5</v>
      </c>
      <c r="F36" t="n">
        <v>1.785714285714286</v>
      </c>
      <c r="G36" t="n">
        <v>632.716011042098</v>
      </c>
      <c r="H36" t="inlineStr">
        <is>
          <t>HOLD; identity and price unresolved</t>
        </is>
      </c>
    </row>
    <row r="37">
      <c r="A37" t="inlineStr">
        <is>
          <t>L091</t>
        </is>
      </c>
      <c r="B37" t="inlineStr">
        <is>
          <t>YUMMY BREAD</t>
        </is>
      </c>
      <c r="C37" t="inlineStr">
        <is>
          <t>S045</t>
        </is>
      </c>
      <c r="D37" t="inlineStr">
        <is>
          <t>'YUMMY BREAD'!C15,D15</t>
        </is>
      </c>
      <c r="E37" t="n">
        <v>50</v>
      </c>
      <c r="F37" t="n">
        <v>3.333333333333333</v>
      </c>
      <c r="G37" t="n">
        <v>677.2181964573269</v>
      </c>
      <c r="H37" t="inlineStr">
        <is>
          <t>HOLD; identity and price unresolved</t>
        </is>
      </c>
    </row>
    <row r="38">
      <c r="A38" t="inlineStr">
        <is>
          <t>L092</t>
        </is>
      </c>
      <c r="B38" t="inlineStr">
        <is>
          <t>YUMMY BREAD</t>
        </is>
      </c>
      <c r="C38" t="inlineStr">
        <is>
          <t>S045</t>
        </is>
      </c>
      <c r="D38" t="inlineStr">
        <is>
          <t>'YUMMY BREAD'!C15,F15</t>
        </is>
      </c>
      <c r="E38" t="n">
        <v>25</v>
      </c>
      <c r="F38" t="n">
        <v>2.083333333333333</v>
      </c>
      <c r="G38" t="n">
        <v>628.7993156199677</v>
      </c>
      <c r="H38" t="inlineStr">
        <is>
          <t>HOLD; identity and price unresolved</t>
        </is>
      </c>
    </row>
    <row r="39">
      <c r="A39" t="inlineStr">
        <is>
          <t>L096</t>
        </is>
      </c>
      <c r="B39" t="inlineStr">
        <is>
          <t>Brioche New Look</t>
        </is>
      </c>
      <c r="C39" t="inlineStr">
        <is>
          <t>S046</t>
        </is>
      </c>
      <c r="D39" t="inlineStr">
        <is>
          <t>'Brioche New Look'!C16,D16</t>
        </is>
      </c>
      <c r="E39" t="n">
        <v>50</v>
      </c>
      <c r="F39" t="n">
        <v>4.166666666666666</v>
      </c>
      <c r="G39" t="n">
        <v>928.1521739130435</v>
      </c>
      <c r="H39" t="inlineStr">
        <is>
          <t>HOLD; identity and price unresolved</t>
        </is>
      </c>
    </row>
    <row r="40">
      <c r="A40" t="inlineStr">
        <is>
          <t>L097</t>
        </is>
      </c>
      <c r="B40" t="inlineStr">
        <is>
          <t>Brioche New Look</t>
        </is>
      </c>
      <c r="C40" t="inlineStr">
        <is>
          <t>S046</t>
        </is>
      </c>
      <c r="D40" t="inlineStr">
        <is>
          <t>'Brioche New Look'!C16,F16</t>
        </is>
      </c>
      <c r="E40" t="n">
        <v>25</v>
      </c>
      <c r="F40" t="n">
        <v>2.777777777777778</v>
      </c>
      <c r="G40" t="n">
        <v>694.7756307031669</v>
      </c>
      <c r="H40" t="inlineStr">
        <is>
          <t>HOLD; identity and price unresolved</t>
        </is>
      </c>
    </row>
    <row r="41">
      <c r="A41" t="inlineStr">
        <is>
          <t>L098</t>
        </is>
      </c>
      <c r="B41" t="inlineStr">
        <is>
          <t>Brioche New Look</t>
        </is>
      </c>
      <c r="C41" t="inlineStr">
        <is>
          <t>S046</t>
        </is>
      </c>
      <c r="D41" t="inlineStr">
        <is>
          <t>'Brioche New Look'!C16,L16</t>
        </is>
      </c>
      <c r="E41" t="n">
        <v>12.5</v>
      </c>
      <c r="F41" t="n">
        <v>1.470588235294118</v>
      </c>
      <c r="G41" t="n">
        <v>642.306905370844</v>
      </c>
      <c r="H41" t="inlineStr">
        <is>
          <t>HOLD; identity and price unresolved</t>
        </is>
      </c>
    </row>
    <row r="42">
      <c r="A42" t="inlineStr">
        <is>
          <t>L100</t>
        </is>
      </c>
      <c r="B42" t="inlineStr">
        <is>
          <t>Delice</t>
        </is>
      </c>
      <c r="C42" t="inlineStr">
        <is>
          <t>S046</t>
        </is>
      </c>
      <c r="D42" t="inlineStr">
        <is>
          <t>'Delice'!C16,D16</t>
        </is>
      </c>
      <c r="E42" t="n">
        <v>25</v>
      </c>
      <c r="F42" t="n">
        <v>2.083333333333333</v>
      </c>
      <c r="G42" t="n">
        <v>660.7638888888889</v>
      </c>
      <c r="H42" t="inlineStr">
        <is>
          <t>HOLD; identity and price unresolved</t>
        </is>
      </c>
    </row>
    <row r="43">
      <c r="A43" t="inlineStr">
        <is>
          <t>L102</t>
        </is>
      </c>
      <c r="B43" t="inlineStr">
        <is>
          <t>Galette</t>
        </is>
      </c>
      <c r="C43" t="inlineStr">
        <is>
          <t>S046</t>
        </is>
      </c>
      <c r="D43" t="inlineStr">
        <is>
          <t>'Galette'!C16,D16</t>
        </is>
      </c>
      <c r="E43" t="n">
        <v>25</v>
      </c>
      <c r="F43" t="n">
        <v>2.083333333333333</v>
      </c>
      <c r="G43" t="n">
        <v>660.7638888888889</v>
      </c>
      <c r="H43" t="inlineStr">
        <is>
          <t>HOLD; identity and price unresolved</t>
        </is>
      </c>
    </row>
    <row r="44">
      <c r="A44" t="inlineStr">
        <is>
          <t>L103</t>
        </is>
      </c>
      <c r="B44" t="inlineStr">
        <is>
          <t>Galette</t>
        </is>
      </c>
      <c r="C44" t="inlineStr">
        <is>
          <t>S046</t>
        </is>
      </c>
      <c r="D44" t="inlineStr">
        <is>
          <t>'Galette'!C16,F16</t>
        </is>
      </c>
      <c r="E44" t="n">
        <v>183</v>
      </c>
      <c r="F44" t="n">
        <v>3.658536585365854</v>
      </c>
      <c r="G44" t="n">
        <v>633.1842818428186</v>
      </c>
      <c r="H44" t="inlineStr">
        <is>
          <t>HOLD; identity and price unresolved</t>
        </is>
      </c>
    </row>
    <row r="45">
      <c r="A45" t="inlineStr">
        <is>
          <t>L105</t>
        </is>
      </c>
      <c r="B45" t="inlineStr">
        <is>
          <t>Pain au lait</t>
        </is>
      </c>
      <c r="C45" t="inlineStr">
        <is>
          <t>S046</t>
        </is>
      </c>
      <c r="D45" t="inlineStr">
        <is>
          <t>'Pain au lait'!C16,D16</t>
        </is>
      </c>
      <c r="E45" t="n">
        <v>25</v>
      </c>
      <c r="F45" t="n">
        <v>2.083333333333333</v>
      </c>
      <c r="G45" t="n">
        <v>649.4325684380032</v>
      </c>
      <c r="H45" t="inlineStr">
        <is>
          <t>HOLD; identity and price unresolved</t>
        </is>
      </c>
    </row>
    <row r="46">
      <c r="A46" t="inlineStr">
        <is>
          <t>L106</t>
        </is>
      </c>
      <c r="B46" t="inlineStr">
        <is>
          <t>Pain au lait</t>
        </is>
      </c>
      <c r="C46" t="inlineStr">
        <is>
          <t>S046</t>
        </is>
      </c>
      <c r="D46" t="inlineStr">
        <is>
          <t>'Pain au lait'!C16,L16</t>
        </is>
      </c>
      <c r="E46" t="n">
        <v>12.5</v>
      </c>
      <c r="F46" t="n">
        <v>1.785714285714286</v>
      </c>
      <c r="G46" t="n">
        <v>632.716011042098</v>
      </c>
      <c r="H46" t="inlineStr">
        <is>
          <t>HOLD; identity and price unresolved</t>
        </is>
      </c>
    </row>
    <row r="47">
      <c r="A47" t="inlineStr">
        <is>
          <t>L109</t>
        </is>
      </c>
      <c r="B47" t="inlineStr">
        <is>
          <t>YUMMY BREAD</t>
        </is>
      </c>
      <c r="C47" t="inlineStr">
        <is>
          <t>S046</t>
        </is>
      </c>
      <c r="D47" t="inlineStr">
        <is>
          <t>'YUMMY BREAD'!C15,D15</t>
        </is>
      </c>
      <c r="E47" t="n">
        <v>50</v>
      </c>
      <c r="F47" t="n">
        <v>3.333333333333333</v>
      </c>
      <c r="G47" t="n">
        <v>664.9275362318841</v>
      </c>
      <c r="H47" t="inlineStr">
        <is>
          <t>HOLD; identity and price unresolved</t>
        </is>
      </c>
    </row>
    <row r="48">
      <c r="A48" t="inlineStr">
        <is>
          <t>L113</t>
        </is>
      </c>
      <c r="B48" t="inlineStr">
        <is>
          <t>brioche</t>
        </is>
      </c>
      <c r="C48" t="inlineStr">
        <is>
          <t>S046</t>
        </is>
      </c>
      <c r="D48" t="inlineStr">
        <is>
          <t>'brioche'!C16,D16</t>
        </is>
      </c>
      <c r="E48" t="n">
        <v>25</v>
      </c>
      <c r="F48" t="n">
        <v>2.5</v>
      </c>
      <c r="G48" t="n">
        <v>947.3188405797101</v>
      </c>
      <c r="H48" t="inlineStr">
        <is>
          <t>HOLD; identity and price unresolved</t>
        </is>
      </c>
    </row>
    <row r="49">
      <c r="A49" t="inlineStr">
        <is>
          <t>L121</t>
        </is>
      </c>
      <c r="B49" t="inlineStr">
        <is>
          <t>Galette</t>
        </is>
      </c>
      <c r="C49" t="inlineStr">
        <is>
          <t>S048</t>
        </is>
      </c>
      <c r="D49" t="inlineStr">
        <is>
          <t>'Galette'!C16,D16</t>
        </is>
      </c>
      <c r="E49" t="n">
        <v>25</v>
      </c>
      <c r="F49" t="n">
        <v>2.083333333333333</v>
      </c>
      <c r="G49" t="n">
        <v>660.7638888888889</v>
      </c>
      <c r="H49" t="inlineStr">
        <is>
          <t>HOLD; identity and price unresolved</t>
        </is>
      </c>
    </row>
    <row r="50">
      <c r="A50" t="inlineStr">
        <is>
          <t>L122</t>
        </is>
      </c>
      <c r="B50" t="inlineStr">
        <is>
          <t>Galette</t>
        </is>
      </c>
      <c r="C50" t="inlineStr">
        <is>
          <t>S048</t>
        </is>
      </c>
      <c r="D50" t="inlineStr">
        <is>
          <t>'Galette'!C16,F16</t>
        </is>
      </c>
      <c r="E50" t="n">
        <v>555.555556</v>
      </c>
      <c r="F50" t="n">
        <v>11.11111111111111</v>
      </c>
      <c r="G50" t="n">
        <v>662.8518518518518</v>
      </c>
      <c r="H50" t="inlineStr">
        <is>
          <t>HOLD; identity and price unresolved</t>
        </is>
      </c>
    </row>
    <row r="51">
      <c r="A51" t="inlineStr">
        <is>
          <t>L127</t>
        </is>
      </c>
      <c r="B51" t="inlineStr">
        <is>
          <t>YUMMY BREAD</t>
        </is>
      </c>
      <c r="C51" t="inlineStr">
        <is>
          <t>S048</t>
        </is>
      </c>
      <c r="D51" t="inlineStr">
        <is>
          <t>'YUMMY BREAD'!C15,D15</t>
        </is>
      </c>
      <c r="E51" t="n">
        <v>100</v>
      </c>
      <c r="F51" t="n">
        <v>7.142857142857142</v>
      </c>
      <c r="G51" t="n">
        <v>682.4223602484471</v>
      </c>
      <c r="H51" t="inlineStr">
        <is>
          <t>HOLD; identity and price unresolved</t>
        </is>
      </c>
    </row>
    <row r="52">
      <c r="A52" t="inlineStr">
        <is>
          <t>L131</t>
        </is>
      </c>
      <c r="B52" t="inlineStr">
        <is>
          <t>beignet souffle</t>
        </is>
      </c>
      <c r="C52" t="inlineStr">
        <is>
          <t>S048</t>
        </is>
      </c>
      <c r="D52" t="inlineStr">
        <is>
          <t>'beignet souffle'!C14,D14</t>
        </is>
      </c>
      <c r="E52" t="n">
        <v>100</v>
      </c>
      <c r="F52" t="n">
        <v>10</v>
      </c>
      <c r="G52" t="n">
        <v>1248.046376811594</v>
      </c>
      <c r="H52" t="inlineStr">
        <is>
          <t>HOLD; identity and price unresolved</t>
        </is>
      </c>
    </row>
    <row r="53">
      <c r="A53" t="inlineStr">
        <is>
          <t>L132</t>
        </is>
      </c>
      <c r="B53" t="inlineStr">
        <is>
          <t>beignet souffle</t>
        </is>
      </c>
      <c r="C53" t="inlineStr">
        <is>
          <t>S048</t>
        </is>
      </c>
      <c r="D53" t="inlineStr">
        <is>
          <t>'beignet souffle'!C14,F14</t>
        </is>
      </c>
      <c r="E53" t="n">
        <v>157.89471</v>
      </c>
      <c r="F53" t="n">
        <v>3.157894736842105</v>
      </c>
      <c r="G53" t="n">
        <v>1337.650648360031</v>
      </c>
      <c r="H53" t="inlineStr">
        <is>
          <t>HOLD; identity and price unresolved</t>
        </is>
      </c>
    </row>
    <row r="54">
      <c r="A54" t="inlineStr">
        <is>
          <t>L139</t>
        </is>
      </c>
      <c r="B54" t="inlineStr">
        <is>
          <t>NEW BRIOCHE</t>
        </is>
      </c>
      <c r="C54" t="inlineStr">
        <is>
          <t>S076</t>
        </is>
      </c>
      <c r="D54" t="inlineStr">
        <is>
          <t>'NEW BRIOCHE'!C15,D15</t>
        </is>
      </c>
      <c r="E54" t="n">
        <v>25</v>
      </c>
      <c r="F54" t="n">
        <v>5.555555555555555</v>
      </c>
      <c r="G54" t="n">
        <v>1266.104938271605</v>
      </c>
      <c r="H54" t="inlineStr">
        <is>
          <t>HOLD; identity and price unresolved</t>
        </is>
      </c>
    </row>
    <row r="55">
      <c r="A55" t="inlineStr">
        <is>
          <t>L140</t>
        </is>
      </c>
      <c r="B55" t="inlineStr">
        <is>
          <t>Pain au lait</t>
        </is>
      </c>
      <c r="C55" t="inlineStr">
        <is>
          <t>S076</t>
        </is>
      </c>
      <c r="D55" t="inlineStr">
        <is>
          <t>'Pain au lait'!C16,D16</t>
        </is>
      </c>
      <c r="E55" t="n">
        <v>25</v>
      </c>
      <c r="F55" t="n">
        <v>2.083333333333333</v>
      </c>
      <c r="G55" t="n">
        <v>626.4811795491144</v>
      </c>
      <c r="H55" t="inlineStr">
        <is>
          <t>HOLD; identity and price unresolved</t>
        </is>
      </c>
    </row>
    <row r="56">
      <c r="A56" t="inlineStr">
        <is>
          <t>L141</t>
        </is>
      </c>
      <c r="B56" t="inlineStr">
        <is>
          <t>Pain au lait</t>
        </is>
      </c>
      <c r="C56" t="inlineStr">
        <is>
          <t>S076</t>
        </is>
      </c>
      <c r="D56" t="inlineStr">
        <is>
          <t>'Pain au lait'!C16,L16</t>
        </is>
      </c>
      <c r="E56" t="n">
        <v>12.5</v>
      </c>
      <c r="F56" t="n">
        <v>1.785714285714286</v>
      </c>
      <c r="G56" t="n">
        <v>632.716011042098</v>
      </c>
      <c r="H56" t="inlineStr">
        <is>
          <t>HOLD; identity and price unresolved</t>
        </is>
      </c>
    </row>
    <row r="57">
      <c r="A57" t="inlineStr">
        <is>
          <t>L144</t>
        </is>
      </c>
      <c r="B57" t="inlineStr">
        <is>
          <t>YUMMY BREAD</t>
        </is>
      </c>
      <c r="C57" t="inlineStr">
        <is>
          <t>S076</t>
        </is>
      </c>
      <c r="D57" t="inlineStr">
        <is>
          <t>'YUMMY BREAD'!C16,D16</t>
        </is>
      </c>
      <c r="E57" t="n">
        <v>25</v>
      </c>
      <c r="F57" t="n">
        <v>3.571428571428571</v>
      </c>
      <c r="G57" t="n">
        <v>641.9648033126293</v>
      </c>
      <c r="H57" t="inlineStr">
        <is>
          <t>HOLD; identity and price unresolved</t>
        </is>
      </c>
    </row>
    <row r="58">
      <c r="A58" t="inlineStr">
        <is>
          <t>L145</t>
        </is>
      </c>
      <c r="B58" t="inlineStr">
        <is>
          <t>YUMMY BREAD</t>
        </is>
      </c>
      <c r="C58" t="inlineStr">
        <is>
          <t>S076</t>
        </is>
      </c>
      <c r="D58" t="inlineStr">
        <is>
          <t>'YUMMY BREAD'!C16,L16</t>
        </is>
      </c>
      <c r="E58" t="n">
        <v>25</v>
      </c>
      <c r="F58" t="n">
        <v>3.571428571428571</v>
      </c>
      <c r="G58" t="n">
        <v>637.3933747412008</v>
      </c>
      <c r="H58" t="inlineStr">
        <is>
          <t>HOLD; identity and price unresolved</t>
        </is>
      </c>
    </row>
    <row r="59">
      <c r="A59" t="inlineStr">
        <is>
          <t>L146</t>
        </is>
      </c>
      <c r="B59" t="inlineStr">
        <is>
          <t>brioche</t>
        </is>
      </c>
      <c r="C59" t="inlineStr">
        <is>
          <t>S076</t>
        </is>
      </c>
      <c r="D59" t="inlineStr">
        <is>
          <t>'brioche'!C15,D15</t>
        </is>
      </c>
      <c r="E59" t="n">
        <v>25</v>
      </c>
      <c r="F59" t="n">
        <v>2.777777777777778</v>
      </c>
      <c r="G59" t="n">
        <v>1106.925925925926</v>
      </c>
      <c r="H59" t="inlineStr">
        <is>
          <t>HOLD; identity and price unresolved</t>
        </is>
      </c>
    </row>
    <row r="60">
      <c r="A60" t="inlineStr">
        <is>
          <t>L153</t>
        </is>
      </c>
      <c r="B60" t="inlineStr">
        <is>
          <t>NEW BRIOCHE</t>
        </is>
      </c>
      <c r="C60" t="inlineStr">
        <is>
          <t>S077</t>
        </is>
      </c>
      <c r="D60" t="inlineStr">
        <is>
          <t>'NEW BRIOCHE'!C15,D15</t>
        </is>
      </c>
      <c r="E60" t="n">
        <v>25</v>
      </c>
      <c r="F60" t="n">
        <v>5</v>
      </c>
      <c r="G60" t="n">
        <v>1384.977777777778</v>
      </c>
      <c r="H60" t="inlineStr">
        <is>
          <t>HOLD; identity and price unresolved</t>
        </is>
      </c>
    </row>
    <row r="61">
      <c r="A61" t="inlineStr">
        <is>
          <t>L156</t>
        </is>
      </c>
      <c r="B61" t="inlineStr">
        <is>
          <t>YUMMY BREAD</t>
        </is>
      </c>
      <c r="C61" t="inlineStr">
        <is>
          <t>S077</t>
        </is>
      </c>
      <c r="D61" t="inlineStr">
        <is>
          <t>'YUMMY BREAD'!C16,D16</t>
        </is>
      </c>
      <c r="E61" t="n">
        <v>25</v>
      </c>
      <c r="F61" t="n">
        <v>2.777777777777778</v>
      </c>
      <c r="G61" t="n">
        <v>693.9114331723027</v>
      </c>
      <c r="H61" t="inlineStr">
        <is>
          <t>HOLD; identity and price unresolved</t>
        </is>
      </c>
    </row>
    <row r="62">
      <c r="A62" t="inlineStr">
        <is>
          <t>L157</t>
        </is>
      </c>
      <c r="B62" t="inlineStr">
        <is>
          <t>YUMMY BREAD</t>
        </is>
      </c>
      <c r="C62" t="inlineStr">
        <is>
          <t>S077</t>
        </is>
      </c>
      <c r="D62" t="inlineStr">
        <is>
          <t>'YUMMY BREAD'!C16,J16</t>
        </is>
      </c>
      <c r="E62" t="n">
        <v>12.5</v>
      </c>
      <c r="F62" t="n">
        <v>1.470588235294118</v>
      </c>
      <c r="G62" t="n">
        <v>642.306905370844</v>
      </c>
      <c r="H62" t="inlineStr">
        <is>
          <t>HOLD; identity and price unresolved</t>
        </is>
      </c>
    </row>
    <row r="63">
      <c r="A63" t="inlineStr">
        <is>
          <t>L160</t>
        </is>
      </c>
      <c r="B63" t="inlineStr">
        <is>
          <t>KUMBA BREAD</t>
        </is>
      </c>
      <c r="C63" t="inlineStr">
        <is>
          <t>S078</t>
        </is>
      </c>
      <c r="D63" t="inlineStr">
        <is>
          <t>'KUMBA BREAD'!C16,D16</t>
        </is>
      </c>
      <c r="E63" t="n">
        <v>25</v>
      </c>
      <c r="F63" t="n">
        <v>3.571428571428571</v>
      </c>
      <c r="G63" t="n">
        <v>634.7346445824707</v>
      </c>
      <c r="H63" t="inlineStr">
        <is>
          <t>HOLD; identity and price unresolved</t>
        </is>
      </c>
    </row>
    <row r="64">
      <c r="A64" t="inlineStr">
        <is>
          <t>L161</t>
        </is>
      </c>
      <c r="B64" t="inlineStr">
        <is>
          <t>KUMBA BREAD</t>
        </is>
      </c>
      <c r="C64" t="inlineStr">
        <is>
          <t>S078</t>
        </is>
      </c>
      <c r="D64" t="inlineStr">
        <is>
          <t>'KUMBA BREAD'!C16,L16</t>
        </is>
      </c>
      <c r="E64" t="n">
        <v>12.5</v>
      </c>
      <c r="F64" t="n">
        <v>1.785714285714286</v>
      </c>
      <c r="G64" t="n">
        <v>618.5855762594892</v>
      </c>
      <c r="H64" t="inlineStr">
        <is>
          <t>HOLD; identity and price unresolved</t>
        </is>
      </c>
    </row>
    <row r="65">
      <c r="A65" t="inlineStr">
        <is>
          <t>L162</t>
        </is>
      </c>
      <c r="B65" t="inlineStr">
        <is>
          <t>NEW BRIOCHE</t>
        </is>
      </c>
      <c r="C65" t="inlineStr">
        <is>
          <t>S078</t>
        </is>
      </c>
      <c r="D65" t="inlineStr">
        <is>
          <t>'NEW BRIOCHE'!C15,D15</t>
        </is>
      </c>
      <c r="E65" t="n">
        <v>25</v>
      </c>
      <c r="F65" t="n">
        <v>5.555555555555555</v>
      </c>
      <c r="G65" t="n">
        <v>1266.104938271605</v>
      </c>
      <c r="H65" t="inlineStr">
        <is>
          <t>HOLD; identity and price unresolved</t>
        </is>
      </c>
    </row>
    <row r="66">
      <c r="A66" t="inlineStr">
        <is>
          <t>L168</t>
        </is>
      </c>
      <c r="B66" t="inlineStr">
        <is>
          <t>Danisa biscuits</t>
        </is>
      </c>
      <c r="C66" t="inlineStr">
        <is>
          <t>S085</t>
        </is>
      </c>
      <c r="D66" t="inlineStr">
        <is>
          <t>'Danisa biscuits'!C17,D17</t>
        </is>
      </c>
      <c r="E66" t="n">
        <v>50</v>
      </c>
      <c r="F66" t="n">
        <v>16.66666666666666</v>
      </c>
      <c r="G66" t="n">
        <v>722.3796296296296</v>
      </c>
      <c r="H66" t="inlineStr">
        <is>
          <t>HOLD; identity and price unresolved</t>
        </is>
      </c>
    </row>
    <row r="67">
      <c r="A67" t="inlineStr">
        <is>
          <t>L169</t>
        </is>
      </c>
      <c r="B67" t="inlineStr">
        <is>
          <t>Danisa biscuits</t>
        </is>
      </c>
      <c r="C67" t="inlineStr">
        <is>
          <t>S085</t>
        </is>
      </c>
      <c r="D67" t="inlineStr">
        <is>
          <t>'Danisa biscuits'!C17,H17</t>
        </is>
      </c>
      <c r="E67" t="n">
        <v>100</v>
      </c>
      <c r="F67" t="n">
        <v>11.11111111111111</v>
      </c>
      <c r="G67" t="n">
        <v>652.9629629629629</v>
      </c>
      <c r="H67" t="inlineStr">
        <is>
          <t>HOLD; identity and price unresolved</t>
        </is>
      </c>
    </row>
    <row r="68">
      <c r="A68" t="inlineStr">
        <is>
          <t>L173</t>
        </is>
      </c>
      <c r="B68" t="inlineStr">
        <is>
          <t>Galette</t>
        </is>
      </c>
      <c r="C68" t="inlineStr">
        <is>
          <t>S085</t>
        </is>
      </c>
      <c r="D68" t="inlineStr">
        <is>
          <t>'Galette'!C16,D16</t>
        </is>
      </c>
      <c r="E68" t="n">
        <v>75</v>
      </c>
      <c r="F68" t="n">
        <v>7.5</v>
      </c>
      <c r="G68" t="n">
        <v>632.8055555555555</v>
      </c>
      <c r="H68" t="inlineStr">
        <is>
          <t>HOLD; identity and price unresolved</t>
        </is>
      </c>
    </row>
    <row r="69">
      <c r="A69" t="inlineStr">
        <is>
          <t>L178</t>
        </is>
      </c>
      <c r="B69" t="inlineStr">
        <is>
          <t>YUMMY BREAD</t>
        </is>
      </c>
      <c r="C69" t="inlineStr">
        <is>
          <t>S085</t>
        </is>
      </c>
      <c r="D69" t="inlineStr">
        <is>
          <t>'YUMMY BREAD'!C15,D15</t>
        </is>
      </c>
      <c r="E69" t="n">
        <v>100</v>
      </c>
      <c r="F69" t="n">
        <v>6.666666666666667</v>
      </c>
      <c r="G69" t="n">
        <v>674.3478260869565</v>
      </c>
      <c r="H69" t="inlineStr">
        <is>
          <t>HOLD; identity and price unresolved</t>
        </is>
      </c>
    </row>
    <row r="70">
      <c r="A70" t="inlineStr">
        <is>
          <t>L179</t>
        </is>
      </c>
      <c r="B70" t="inlineStr">
        <is>
          <t>YUMMY BREAD</t>
        </is>
      </c>
      <c r="C70" t="inlineStr">
        <is>
          <t>S085</t>
        </is>
      </c>
      <c r="D70" t="inlineStr">
        <is>
          <t>'YUMMY BREAD'!C15,F15</t>
        </is>
      </c>
      <c r="E70" t="n">
        <v>25</v>
      </c>
      <c r="F70" t="n">
        <v>2.5</v>
      </c>
      <c r="G70" t="n">
        <v>687.0314009661836</v>
      </c>
      <c r="H70" t="inlineStr">
        <is>
          <t>HOLD; identity and price unresolved</t>
        </is>
      </c>
    </row>
    <row r="71">
      <c r="A71" t="inlineStr">
        <is>
          <t>L183</t>
        </is>
      </c>
      <c r="B71" t="inlineStr">
        <is>
          <t>Galette</t>
        </is>
      </c>
      <c r="C71" t="inlineStr">
        <is>
          <t>S086</t>
        </is>
      </c>
      <c r="D71" t="inlineStr">
        <is>
          <t>'Galette'!C16,D16</t>
        </is>
      </c>
      <c r="E71" t="n">
        <v>75</v>
      </c>
      <c r="F71" t="n">
        <v>7.5</v>
      </c>
      <c r="G71" t="n">
        <v>632.8055555555555</v>
      </c>
      <c r="H71" t="inlineStr">
        <is>
          <t>HOLD; identity and price unresolved</t>
        </is>
      </c>
    </row>
    <row r="72">
      <c r="A72" t="inlineStr">
        <is>
          <t>L185</t>
        </is>
      </c>
      <c r="B72" t="inlineStr">
        <is>
          <t>YUMMY BREAD</t>
        </is>
      </c>
      <c r="C72" t="inlineStr">
        <is>
          <t>S086</t>
        </is>
      </c>
      <c r="D72" t="inlineStr">
        <is>
          <t>'YUMMY BREAD'!C15,D15</t>
        </is>
      </c>
      <c r="E72" t="n">
        <v>100</v>
      </c>
      <c r="F72" t="n">
        <v>6.666666666666667</v>
      </c>
      <c r="G72" t="n">
        <v>674.3478260869565</v>
      </c>
      <c r="H72" t="inlineStr">
        <is>
          <t>HOLD; identity and price unresolved</t>
        </is>
      </c>
    </row>
    <row r="73">
      <c r="A73" t="inlineStr">
        <is>
          <t>L192</t>
        </is>
      </c>
      <c r="B73" t="inlineStr">
        <is>
          <t>YUMMY BREAD</t>
        </is>
      </c>
      <c r="C73" t="inlineStr">
        <is>
          <t>S093</t>
        </is>
      </c>
      <c r="D73" t="inlineStr">
        <is>
          <t>'YUMMY BREAD'!C16,D16</t>
        </is>
      </c>
      <c r="E73" t="n">
        <v>50</v>
      </c>
      <c r="F73" t="n">
        <v>4.166666666666666</v>
      </c>
      <c r="G73" t="n">
        <v>705.0458937198067</v>
      </c>
      <c r="H73" t="inlineStr">
        <is>
          <t>HOLD; identity and price unresolved</t>
        </is>
      </c>
    </row>
    <row r="74">
      <c r="A74" t="inlineStr">
        <is>
          <t>L193</t>
        </is>
      </c>
      <c r="B74" t="inlineStr">
        <is>
          <t>YUMMY BREAD</t>
        </is>
      </c>
      <c r="C74" t="inlineStr">
        <is>
          <t>S094</t>
        </is>
      </c>
      <c r="D74" t="inlineStr">
        <is>
          <t>'YUMMY BREAD'!C15,D15</t>
        </is>
      </c>
      <c r="E74" t="n">
        <v>50</v>
      </c>
      <c r="F74" t="n">
        <v>3.846153846153846</v>
      </c>
      <c r="G74" t="n">
        <v>702.6086956521739</v>
      </c>
      <c r="H74" t="inlineStr">
        <is>
          <t>HOLD; identity and price unresolved</t>
        </is>
      </c>
    </row>
    <row r="75">
      <c r="A75" t="inlineStr">
        <is>
          <t>L196</t>
        </is>
      </c>
      <c r="B75" t="inlineStr">
        <is>
          <t>NEW BRIOCHE</t>
        </is>
      </c>
      <c r="C75" t="inlineStr">
        <is>
          <t>S102</t>
        </is>
      </c>
      <c r="D75" t="inlineStr">
        <is>
          <t>'NEW BRIOCHE'!C15,D15</t>
        </is>
      </c>
      <c r="E75" t="n">
        <v>25</v>
      </c>
      <c r="F75" t="n">
        <v>3.731343283582089</v>
      </c>
      <c r="G75" t="n">
        <v>1026.169154228856</v>
      </c>
      <c r="H75" t="inlineStr">
        <is>
          <t>HOLD; identity and price unresolved</t>
        </is>
      </c>
    </row>
    <row r="76">
      <c r="A76" t="inlineStr">
        <is>
          <t>L198</t>
        </is>
      </c>
      <c r="B76" t="inlineStr">
        <is>
          <t>Pain au lait</t>
        </is>
      </c>
      <c r="C76" t="inlineStr">
        <is>
          <t>S102</t>
        </is>
      </c>
      <c r="D76" t="inlineStr">
        <is>
          <t>'Pain au lait'!C16,D16</t>
        </is>
      </c>
      <c r="E76" t="n">
        <v>25</v>
      </c>
      <c r="F76" t="n">
        <v>2.083333333333333</v>
      </c>
      <c r="G76" t="n">
        <v>602.2838667471819</v>
      </c>
      <c r="H76" t="inlineStr">
        <is>
          <t>HOLD; identity and price unresolved</t>
        </is>
      </c>
    </row>
    <row r="77">
      <c r="A77" t="inlineStr">
        <is>
          <t>L210</t>
        </is>
      </c>
      <c r="B77" t="inlineStr">
        <is>
          <t>NEW BRIOCHE</t>
        </is>
      </c>
      <c r="C77" t="inlineStr">
        <is>
          <t>S105</t>
        </is>
      </c>
      <c r="D77" t="inlineStr">
        <is>
          <t>'NEW BRIOCHE'!C15,D15</t>
        </is>
      </c>
      <c r="E77" t="n">
        <v>25</v>
      </c>
      <c r="F77" t="n">
        <v>3.125</v>
      </c>
      <c r="G77" t="n">
        <v>1107.131944444444</v>
      </c>
      <c r="H77" t="inlineStr">
        <is>
          <t>HOLD; identity and price unresolved</t>
        </is>
      </c>
    </row>
    <row r="78">
      <c r="A78" t="inlineStr">
        <is>
          <t>L211</t>
        </is>
      </c>
      <c r="B78" t="inlineStr">
        <is>
          <t>Pain au lait</t>
        </is>
      </c>
      <c r="C78" t="inlineStr">
        <is>
          <t>S105</t>
        </is>
      </c>
      <c r="D78" t="inlineStr">
        <is>
          <t>'Pain au lait'!C16,D16</t>
        </is>
      </c>
      <c r="E78" t="n">
        <v>25</v>
      </c>
      <c r="F78" t="n">
        <v>2.083333333333333</v>
      </c>
      <c r="G78" t="n">
        <v>602.2662037037037</v>
      </c>
      <c r="H78" t="inlineStr">
        <is>
          <t>HOLD; identity and price unresolved</t>
        </is>
      </c>
    </row>
    <row r="79">
      <c r="A79" t="inlineStr">
        <is>
          <t>L212</t>
        </is>
      </c>
      <c r="B79" t="inlineStr">
        <is>
          <t>brioche</t>
        </is>
      </c>
      <c r="C79" t="inlineStr">
        <is>
          <t>S105</t>
        </is>
      </c>
      <c r="D79" t="inlineStr">
        <is>
          <t>'brioche'!C15,D15</t>
        </is>
      </c>
      <c r="E79" t="n">
        <v>25</v>
      </c>
      <c r="F79" t="n">
        <v>2.941176470588235</v>
      </c>
      <c r="G79" t="n">
        <v>1145.372549019608</v>
      </c>
      <c r="H79" t="inlineStr">
        <is>
          <t>HOLD; identity and price unresolved</t>
        </is>
      </c>
    </row>
    <row r="80">
      <c r="A80" t="inlineStr">
        <is>
          <t>L216</t>
        </is>
      </c>
      <c r="B80" t="inlineStr">
        <is>
          <t>Cake Prof</t>
        </is>
      </c>
      <c r="C80" t="inlineStr">
        <is>
          <t>S106</t>
        </is>
      </c>
      <c r="D80" t="inlineStr">
        <is>
          <t>'Cake Prof'!B10,C10</t>
        </is>
      </c>
      <c r="E80" t="n">
        <v>100</v>
      </c>
      <c r="F80" t="n">
        <v>37.03703703703704</v>
      </c>
      <c r="G80" t="n">
        <v>1546.646090534979</v>
      </c>
      <c r="H80" t="inlineStr">
        <is>
          <t>HOLD; identity and price unresolved</t>
        </is>
      </c>
    </row>
    <row r="81">
      <c r="A81" t="inlineStr">
        <is>
          <t>L217</t>
        </is>
      </c>
      <c r="B81" t="inlineStr">
        <is>
          <t>Delice</t>
        </is>
      </c>
      <c r="C81" t="inlineStr">
        <is>
          <t>S106</t>
        </is>
      </c>
      <c r="D81" t="inlineStr">
        <is>
          <t>'Delice'!C16,D16</t>
        </is>
      </c>
      <c r="E81" t="n">
        <v>25</v>
      </c>
      <c r="F81" t="n">
        <v>2.083333333333333</v>
      </c>
      <c r="G81" t="n">
        <v>660.7638888888889</v>
      </c>
      <c r="H81" t="inlineStr">
        <is>
          <t>HOLD; identity and price unresolved</t>
        </is>
      </c>
    </row>
    <row r="82">
      <c r="A82" t="inlineStr">
        <is>
          <t>L218</t>
        </is>
      </c>
      <c r="B82" t="inlineStr">
        <is>
          <t>Delice</t>
        </is>
      </c>
      <c r="C82" t="inlineStr">
        <is>
          <t>S106</t>
        </is>
      </c>
      <c r="D82" t="inlineStr">
        <is>
          <t>'Delice'!C16,H16</t>
        </is>
      </c>
      <c r="E82" t="n">
        <v>20</v>
      </c>
      <c r="F82" t="n">
        <v>3.333333333333333</v>
      </c>
      <c r="G82" t="n">
        <v>657.6018518518518</v>
      </c>
      <c r="H82" t="inlineStr">
        <is>
          <t>HOLD; identity and price unresolved</t>
        </is>
      </c>
    </row>
    <row r="83">
      <c r="A83" t="inlineStr">
        <is>
          <t>L221</t>
        </is>
      </c>
      <c r="B83" t="inlineStr">
        <is>
          <t>YUMMY BREAD</t>
        </is>
      </c>
      <c r="C83" t="inlineStr">
        <is>
          <t>S106</t>
        </is>
      </c>
      <c r="D83" t="inlineStr">
        <is>
          <t>'YUMMY BREAD'!C15,D15</t>
        </is>
      </c>
      <c r="E83" t="n">
        <v>50</v>
      </c>
      <c r="F83" t="n">
        <v>3.846153846153846</v>
      </c>
      <c r="G83" t="n">
        <v>722.7112597547381</v>
      </c>
      <c r="H83" t="inlineStr">
        <is>
          <t>HOLD; identity and price unresolved</t>
        </is>
      </c>
    </row>
    <row r="84">
      <c r="A84" t="inlineStr">
        <is>
          <t>L226</t>
        </is>
      </c>
      <c r="B84" t="inlineStr">
        <is>
          <t>YUMMY BREAD</t>
        </is>
      </c>
      <c r="C84" t="inlineStr">
        <is>
          <t>S136</t>
        </is>
      </c>
      <c r="D84" t="inlineStr">
        <is>
          <t>'YUMMY BREAD'!A22,B22</t>
        </is>
      </c>
      <c r="E84" t="n">
        <v>100</v>
      </c>
      <c r="F84" t="n">
        <v>6.666666666666667</v>
      </c>
      <c r="G84" t="n">
        <v>636.6666666666666</v>
      </c>
      <c r="H84" t="inlineStr">
        <is>
          <t>HOLD; identity and price unresolved</t>
        </is>
      </c>
    </row>
    <row r="85">
      <c r="A85" t="inlineStr">
        <is>
          <t>L227</t>
        </is>
      </c>
      <c r="B85" t="inlineStr">
        <is>
          <t>Zebree</t>
        </is>
      </c>
      <c r="C85" t="inlineStr">
        <is>
          <t>S136</t>
        </is>
      </c>
      <c r="D85" t="inlineStr">
        <is>
          <t>'Zebree'!A25,B25</t>
        </is>
      </c>
      <c r="E85" t="n">
        <v>75</v>
      </c>
      <c r="F85" t="n">
        <v>7.5</v>
      </c>
      <c r="G85" t="n">
        <v>633.6388888888889</v>
      </c>
      <c r="H85" t="inlineStr">
        <is>
          <t>HOLD; identity and price unresolved</t>
        </is>
      </c>
    </row>
    <row r="86">
      <c r="A86" t="inlineStr">
        <is>
          <t>L229</t>
        </is>
      </c>
      <c r="B86" t="inlineStr">
        <is>
          <t>NEW BRIOCHE</t>
        </is>
      </c>
      <c r="C86" t="inlineStr">
        <is>
          <t>S140</t>
        </is>
      </c>
      <c r="D86" t="inlineStr">
        <is>
          <t>'NEW BRIOCHE'!C15,D15</t>
        </is>
      </c>
      <c r="E86" t="n">
        <v>25</v>
      </c>
      <c r="F86" t="n">
        <v>3.846153846153846</v>
      </c>
      <c r="G86" t="n">
        <v>1044.820512820513</v>
      </c>
      <c r="H86" t="inlineStr">
        <is>
          <t>HOLD; identity and price unresolved</t>
        </is>
      </c>
    </row>
    <row r="87">
      <c r="A87" t="inlineStr">
        <is>
          <t>L236</t>
        </is>
      </c>
      <c r="B87" t="inlineStr">
        <is>
          <t>NEW BRIOCHE</t>
        </is>
      </c>
      <c r="C87" t="inlineStr">
        <is>
          <t>S141</t>
        </is>
      </c>
      <c r="D87" t="inlineStr">
        <is>
          <t>'NEW BRIOCHE'!C15,D15</t>
        </is>
      </c>
      <c r="E87" t="n">
        <v>25</v>
      </c>
      <c r="F87" t="n">
        <v>5</v>
      </c>
      <c r="G87" t="n">
        <v>1264.444444444444</v>
      </c>
      <c r="H87" t="inlineStr">
        <is>
          <t>HOLD; identity and price unresolved</t>
        </is>
      </c>
    </row>
    <row r="88">
      <c r="A88" t="inlineStr">
        <is>
          <t>L239</t>
        </is>
      </c>
      <c r="B88" t="inlineStr">
        <is>
          <t>YUMMY BREAD</t>
        </is>
      </c>
      <c r="C88" t="inlineStr">
        <is>
          <t>S141</t>
        </is>
      </c>
      <c r="D88" t="inlineStr">
        <is>
          <t>'YUMMY BREAD'!C16,D16</t>
        </is>
      </c>
      <c r="E88" t="n">
        <v>25</v>
      </c>
      <c r="F88" t="n">
        <v>2.777777777777778</v>
      </c>
      <c r="G88" t="n">
        <v>694.7756307031669</v>
      </c>
      <c r="H88" t="inlineStr">
        <is>
          <t>HOLD; identity and price unresolved</t>
        </is>
      </c>
    </row>
    <row r="89">
      <c r="A89" t="inlineStr">
        <is>
          <t>L241</t>
        </is>
      </c>
      <c r="B89" t="inlineStr">
        <is>
          <t>Galette</t>
        </is>
      </c>
      <c r="C89" t="inlineStr">
        <is>
          <t>S142</t>
        </is>
      </c>
      <c r="D89" t="inlineStr">
        <is>
          <t>'Galette'!C16,D16</t>
        </is>
      </c>
      <c r="E89" t="n">
        <v>25</v>
      </c>
      <c r="F89" t="n">
        <v>2.5</v>
      </c>
      <c r="G89" t="n">
        <v>652.7333333333333</v>
      </c>
      <c r="H89" t="inlineStr">
        <is>
          <t>HOLD; identity and price unresolved</t>
        </is>
      </c>
    </row>
    <row r="90">
      <c r="A90" t="inlineStr">
        <is>
          <t>L242</t>
        </is>
      </c>
      <c r="B90" t="inlineStr">
        <is>
          <t>Galette</t>
        </is>
      </c>
      <c r="C90" t="inlineStr">
        <is>
          <t>S142</t>
        </is>
      </c>
      <c r="D90" t="inlineStr">
        <is>
          <t>'Galette'!C16,F16</t>
        </is>
      </c>
      <c r="E90" t="n">
        <v>500</v>
      </c>
      <c r="F90" t="n">
        <v>10</v>
      </c>
      <c r="G90" t="n">
        <v>633</v>
      </c>
      <c r="H90" t="inlineStr">
        <is>
          <t>HOLD; identity and price unresolved</t>
        </is>
      </c>
    </row>
    <row r="91">
      <c r="A91" t="inlineStr">
        <is>
          <t>L243</t>
        </is>
      </c>
      <c r="B91" t="inlineStr">
        <is>
          <t>Pain au lait</t>
        </is>
      </c>
      <c r="C91" t="inlineStr">
        <is>
          <t>S142</t>
        </is>
      </c>
      <c r="D91" t="inlineStr">
        <is>
          <t>'Pain au lait'!C16,D16</t>
        </is>
      </c>
      <c r="E91" t="n">
        <v>25</v>
      </c>
      <c r="F91" t="n">
        <v>2.083333333333333</v>
      </c>
      <c r="G91" t="n">
        <v>637.5922906602254</v>
      </c>
      <c r="H91" t="inlineStr">
        <is>
          <t>HOLD; identity and price unresolved</t>
        </is>
      </c>
    </row>
    <row r="92">
      <c r="A92" t="inlineStr">
        <is>
          <t>L244</t>
        </is>
      </c>
      <c r="B92" t="inlineStr">
        <is>
          <t>YUMMY BREAD</t>
        </is>
      </c>
      <c r="C92" t="inlineStr">
        <is>
          <t>S142</t>
        </is>
      </c>
      <c r="D92" t="inlineStr">
        <is>
          <t>'YUMMY BREAD'!C15,D15</t>
        </is>
      </c>
      <c r="E92" t="n">
        <v>100</v>
      </c>
      <c r="F92" t="n">
        <v>6.666666666666667</v>
      </c>
      <c r="G92" t="n">
        <v>664.9275362318841</v>
      </c>
      <c r="H92" t="inlineStr">
        <is>
          <t>HOLD; identity and price unresolved</t>
        </is>
      </c>
    </row>
    <row r="93">
      <c r="A93" t="inlineStr">
        <is>
          <t>L247</t>
        </is>
      </c>
      <c r="B93" t="inlineStr">
        <is>
          <t>beignet souffle</t>
        </is>
      </c>
      <c r="C93" t="inlineStr">
        <is>
          <t>S142</t>
        </is>
      </c>
      <c r="D93" t="inlineStr">
        <is>
          <t>'beignet souffle'!C14,D14</t>
        </is>
      </c>
      <c r="E93" t="n">
        <v>100</v>
      </c>
      <c r="F93" t="n">
        <v>12.5</v>
      </c>
      <c r="G93" t="n">
        <v>1386.06884057971</v>
      </c>
      <c r="H93" t="inlineStr">
        <is>
          <t>HOLD; identity and price unresolved</t>
        </is>
      </c>
    </row>
    <row r="94">
      <c r="A94" t="inlineStr">
        <is>
          <t>L248</t>
        </is>
      </c>
      <c r="B94" t="inlineStr">
        <is>
          <t>beignet souffle</t>
        </is>
      </c>
      <c r="C94" t="inlineStr">
        <is>
          <t>S142</t>
        </is>
      </c>
      <c r="D94" t="inlineStr">
        <is>
          <t>'beignet souffle'!C14,F14</t>
        </is>
      </c>
      <c r="E94" t="n">
        <v>600</v>
      </c>
      <c r="F94" t="n">
        <v>12</v>
      </c>
      <c r="G94" t="n">
        <v>1023.289855072464</v>
      </c>
      <c r="H94" t="inlineStr">
        <is>
          <t>HOLD; identity and price unresolved</t>
        </is>
      </c>
    </row>
    <row r="95">
      <c r="A95" t="inlineStr">
        <is>
          <t>L251</t>
        </is>
      </c>
      <c r="B95" t="inlineStr">
        <is>
          <t>YUMMY BREAD</t>
        </is>
      </c>
      <c r="C95" t="inlineStr">
        <is>
          <t>S143</t>
        </is>
      </c>
      <c r="D95" t="inlineStr">
        <is>
          <t>'YUMMY BREAD'!C16,D16</t>
        </is>
      </c>
      <c r="E95" t="n">
        <v>50</v>
      </c>
      <c r="F95" t="n">
        <v>4.166666666666666</v>
      </c>
      <c r="G95" t="n">
        <v>726.159420289855</v>
      </c>
      <c r="H95" t="inlineStr">
        <is>
          <t>HOLD; identity and price unresolved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2026-10-08T18:09:51Z</dcterms:created>
  <dcterms:modified xmlns:dcterms="http://purl.org/dc/terms/" xmlns:xsi="http://www.w3.org/2001/XMLSchema-instance" xsi:type="dcterms:W3CDTF">2026-10-08T19:36:59Z</dcterms:modified>
</cp:coreProperties>
</file>