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Pilot schedule" sheetId="4" state="visible" r:id="rId4"/>
    <sheet xmlns:r="http://schemas.openxmlformats.org/officeDocument/2006/relationships" name="Normal schedule" sheetId="5" state="visible" r:id="rId5"/>
    <sheet xmlns:r="http://schemas.openxmlformats.org/officeDocument/2006/relationships" name="High schedule" sheetId="6" state="visible" r:id="rId6"/>
    <sheet xmlns:r="http://schemas.openxmlformats.org/officeDocument/2006/relationships" name="Dispatch" sheetId="7" state="visible" r:id="rId7"/>
    <sheet xmlns:r="http://schemas.openxmlformats.org/officeDocument/2006/relationships" name="Costing" sheetId="8" state="visible" r:id="rId8"/>
    <sheet xmlns:r="http://schemas.openxmlformats.org/officeDocument/2006/relationships" name="Source review" sheetId="9" state="visible" r:id="rId9"/>
    <sheet xmlns:r="http://schemas.openxmlformats.org/officeDocument/2006/relationships" name="Source audit" sheetId="10" state="visible" r:id="rId10"/>
    <sheet xmlns:r="http://schemas.openxmlformats.org/officeDocument/2006/relationships" name="Default resource snapshot" sheetId="11" state="visible" r:id="rId11"/>
    <sheet xmlns:r="http://schemas.openxmlformats.org/officeDocument/2006/relationships" name="Commissioning log" sheetId="12" state="visible" r:id="rId12"/>
  </sheets>
  <definedNames>
    <definedName name="_xlnm._FilterDatabase" localSheetId="0" hidden="1">'Read me'!$A$1:$A$16</definedName>
    <definedName name="_xlnm.Print_Titles" localSheetId="0">'Read me'!$1:$1</definedName>
    <definedName name="_xlnm._FilterDatabase" localSheetId="1" hidden="1">'Inputs'!$A$1:$D$39</definedName>
    <definedName name="_xlnm.Print_Titles" localSheetId="1">'Inputs'!$1:$1</definedName>
    <definedName name="_xlnm._FilterDatabase" localSheetId="2" hidden="1">'Scenarios'!$A$1:$W$4</definedName>
    <definedName name="_xlnm.Print_Titles" localSheetId="2">'Scenarios'!$1:$1</definedName>
    <definedName name="_xlnm._FilterDatabase" localSheetId="3" hidden="1">'Pilot schedule'!$A$1:$O$22</definedName>
    <definedName name="_xlnm.Print_Titles" localSheetId="3">'Pilot schedule'!$1:$2</definedName>
    <definedName name="_xlnm._FilterDatabase" localSheetId="4" hidden="1">'Normal schedule'!$A$1:$O$22</definedName>
    <definedName name="_xlnm.Print_Titles" localSheetId="4">'Normal schedule'!$1:$2</definedName>
    <definedName name="_xlnm._FilterDatabase" localSheetId="5" hidden="1">'High schedule'!$A$1:$O$22</definedName>
    <definedName name="_xlnm.Print_Titles" localSheetId="5">'High schedule'!$1:$2</definedName>
    <definedName name="_xlnm._FilterDatabase" localSheetId="6" hidden="1">'Dispatch'!$A$1:$L$34</definedName>
    <definedName name="_xlnm.Print_Titles" localSheetId="6">'Dispatch'!$1:$1</definedName>
    <definedName name="_xlnm._FilterDatabase" localSheetId="7" hidden="1">'Costing'!$A$1:$Y$4</definedName>
    <definedName name="_xlnm.Print_Titles" localSheetId="7">'Costing'!$1:$1</definedName>
    <definedName name="_xlnm._FilterDatabase" localSheetId="8" hidden="1">'Source review'!$A$1:$E$8</definedName>
    <definedName name="_xlnm.Print_Titles" localSheetId="8">'Source review'!$1:$1</definedName>
    <definedName name="_xlnm._FilterDatabase" localSheetId="9" hidden="1">'Source audit'!$A$1:$D$14</definedName>
    <definedName name="_xlnm.Print_Titles" localSheetId="9">'Source audit'!$1:$1</definedName>
    <definedName name="_xlnm._FilterDatabase" localSheetId="10" hidden="1">'Default resource snapshot'!$A$1:$F$137</definedName>
    <definedName name="_xlnm.Print_Titles" localSheetId="10">'Default resource snapshot'!$1:$1</definedName>
    <definedName name="_xlnm._FilterDatabase" localSheetId="11" hidden="1">'Commissioning log'!$A$1:$E$15</definedName>
    <definedName name="_xlnm.Print_Titles" localSheetId="11">'Commissioning log'!$1:$1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[h]:mm"/>
  </numFmts>
  <fonts count="4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color rgb="00172E35"/>
      <sz val="10"/>
    </font>
    <font>
      <name val="Calibri"/>
      <color rgb="00155DA0"/>
    </font>
  </fonts>
  <fills count="4">
    <fill>
      <patternFill/>
    </fill>
    <fill>
      <patternFill patternType="gray125"/>
    </fill>
    <fill>
      <patternFill patternType="solid">
        <fgColor rgb="00234C58"/>
      </patternFill>
    </fill>
    <fill>
      <patternFill patternType="solid">
        <fgColor rgb="00EAF3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4" fontId="3" fillId="3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A16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25" customWidth="1" min="1" max="1"/>
  </ns0:cols>
  <ns0:sheetData>
    <ns0:row r="1" ht="44" customHeight="1">
      <ns0:c r="A1" s="1" t="inlineStr">
        <ns0:is>
          <ns0:t>NKAMBE BAGUETTE PRODUCTION PLANNER H2</ns0:t>
        </ns0:is>
      </ns0:c>
    </ns0:row>
    <ns0:row r="2">
      <ns0:c r="A2" s="2" t="inlineStr">
        <ns0:is>
          <ns0:t>8 October 2026 — local bakery clock times; all programmes require commissioning</ns0:t>
        </ns0:is>
      </ns0:c>
    </ns0:row>
    <ns0:row r="3">
      <ns0:c r="A3" s="2" t="inlineStr">
        <ns0:is>
          <ns0:t>Blue-font cells are inputs. Default timing and capacities are assumptions, not installed-equipment certification.</ns0:t>
        </ns0:is>
      </ns0:c>
    </ns0:row>
    <ns0:row r="4">
      <ns0:c r="A4" s="2" t="inlineStr">
        <ns0:is>
          <ns0:t>Use BAG-H2-01 only: 100 flour / 66 water / 2 salt / 0.5 instant yeast, baker percentages.</ns0:t>
        </ns0:is>
      </ns0:c>
    </ns0:row>
    <ns0:row r="5">
      <ns0:c r="A5" s="2" t="inlineStr">
        <ns0:is>
          <ns0:t>Changing Inputs or Scenarios recalculates stage clocks, yields, capacity gates and vehicle sequencing when opened in Excel.</ns0:t>
        </ns0:is>
      </ns0:c>
    </ns0:row>
    <ns0:row r="6">
      <ns0:c r="A6" s="2" t="inlineStr">
        <ns0:is>
          <ns0:t>One batch is one oven load. For 4 pieces/tray, reduce pieces per batch to 64; the fit gate rejects an 80-piece batch.</ns0:t>
        </ns0:is>
      </ns0:c>
    </ns0:row>
    <ns0:row r="7">
      <ns0:c r="A7" s="2" t="inlineStr">
        <ns0:is>
          <ns0:t>Scenarios accepts 1–20 batches; each schedule contains 20 rows. Rows beyond the selected batch count stay blank.</ns0:t>
        </ns0:is>
      </ns0:c>
    </ns0:row>
    <ns0:row r="8">
      <ns0:c r="A8" s="2" t="inlineStr">
        <ns0:is>
          <ns0:t>The fit gate checks the model, not actual dough readiness, staff, electrical loads or commissioning.</ns0:t>
        </ns0:is>
      </ns0:c>
    </ns0:row>
    <ns0:row r="9">
      <ns0:c r="A9" s="2" t="inlineStr">
        <ns0:is>
          <ns0:t>Proof bay count and rack sets are editable ASSUMPTIONS until physically confirmed. Field release remains open.</ns0:t>
        </ns0:is>
      </ns0:c>
    </ns0:row>
    <ns0:row r="10">
      <ns0:c r="A10" s="2" t="inlineStr">
        <ns0:is>
          <ns0:t>The 15-minute portion rest overlaps FIFO division/moulding. Do not insert a second full-batch pause without revising the model.</ns0:t>
        </ns0:is>
      </ns0:c>
    </ns0:row>
    <ns0:row r="11">
      <ns0:c r="A11" s="2" t="inlineStr">
        <ns0:is>
          <ns0:t>Time columns are Excel time fractions; [h]:mm permits schedules after midnight without hiding elapsed days.</ns0:t>
        </ns0:is>
      </ns0:c>
    </ns0:row>
    <ns0:row r="12">
      <ns0:c r="A12" s="2" t="inlineStr">
        <ns0:is>
          <ns0:t>Costing blanks mean unknown. Enter 0 only for a confirmed zero cost. Full cost and contribution remain blank until required fields are filled.</ns0:t>
        </ns0:is>
      </ns0:c>
    </ns0:row>
    <ns0:row r="13">
      <ns0:c r="A13" s="2" t="inlineStr">
        <ns0:is>
          <ns0:t>Full staff cost must include paid coverage, relief and waiting. This workbook does not allocate named-person breaks or other-product tasks.</ns0:t>
        </ns0:is>
      </ns0:c>
    </ns0:row>
    <ns0:row r="14">
      <ns0:c r="A14" s="2" t="inlineStr">
        <ns0:is>
          <ns0:t>Default preview values were populated after 1,392 formulas matched an independent model. Native Excel recalculation was not run; recalculate after edits. PDF/CSV files are static snapshots.</ns0:t>
        </ns0:is>
      </ns0:c>
    </ns0:row>
    <ns0:row r="15">
      <ns0:c r="A15" s="2" t="inlineStr">
        <ns0:is>
          <ns0:t>No market demand, completed factory trial or guaranteed 250 g finished weight is established.</ns0:t>
        </ns0:is>
      </ns0:c>
    </ns0:row>
    <ns0:row r="16">
      <ns0:c r="A16" s="2" t="inlineStr">
        <ns0:is>
          <ns0:t>Read the Baguette Production Planning H2 PDF and C01–C05 in the anthology before trials.</ns0:t>
        </ns0:is>
      </ns0:c>
    </ns0:row>
  </ns0:sheetData>
  <ns0:autoFilter ref="A1:A16"/>
  <ns0:printOptions horizontalCentered="1"/>
  <ns0:pageMargins left="0.75" right="0.75" top="1" bottom="1" header="0.5" footer="0.5"/>
  <ns0:pageSetup orientation="landscape" paperSize="8" fitToHeight="0" fitToWidth="1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D39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20" customWidth="1" min="2" max="2"/>
    <ns0:col width="55" customWidth="1" min="3" max="3"/>
    <ns0:col width="45" customWidth="1" min="4" max="4"/>
  </ns0:cols>
  <ns0:sheetData>
    <ns0:row r="1" ht="44" customHeight="1">
      <ns0:c r="A1" s="1" t="inlineStr">
        <ns0:is>
          <ns0:t>Parameter</ns0:t>
        </ns0:is>
      </ns0:c>
      <ns0:c r="B1" s="1" t="inlineStr">
        <ns0:is>
          <ns0:t>Editable value</ns0:t>
        </ns0:is>
      </ns0:c>
      <ns0:c r="C1" s="1" t="inlineStr">
        <ns0:is>
          <ns0:t>Unit / basis</ns0:t>
        </ns0:is>
      </ns0:c>
      <ns0:c r="D1" s="1" t="inlineStr">
        <ns0:is>
          <ns0:t>Evidence status</ns0:t>
        </ns0:is>
      </ns0:c>
    </ns0:row>
    <ns0:row r="2">
      <ns0:c r="A2" s="2" t="inlineStr">
        <ns0:is>
          <ns0:t>Raw piece</ns0:t>
        </ns0:is>
      </ns0:c>
      <ns0:c r="B2" s="3" t="n">
        <ns0:v>300</ns0:v>
      </ns0:c>
      <ns0:c r="C2" s="2" t="inlineStr">
        <ns0:is>
          <ns0:t>g</ns0:t>
        </ns0:is>
      </ns0:c>
      <ns0:c r="D2" s="2" t="inlineStr">
        <ns0:is>
          <ns0:t>Provisional model input; field check required</ns0:t>
        </ns0:is>
      </ns0:c>
    </ns0:row>
    <ns0:row r="3">
      <ns0:c r="A3" s="2" t="inlineStr">
        <ns0:is>
          <ns0:t>Handling loss</ns0:t>
        </ns0:is>
      </ns0:c>
      <ns0:c r="B3" s="3" t="n">
        <ns0:v>0.01</ns0:v>
      </ns0:c>
      <ns0:c r="C3" s="2" t="inlineStr">
        <ns0:is>
          <ns0:t>fraction</ns0:t>
        </ns0:is>
      </ns0:c>
      <ns0:c r="D3" s="2" t="inlineStr">
        <ns0:is>
          <ns0:t>Provisional model input; field check required</ns0:t>
        </ns0:is>
      </ns0:c>
    </ns0:row>
    <ns0:row r="4">
      <ns0:c r="A4" s="2" t="inlineStr">
        <ns0:is>
          <ns0:t>Bake loss illustration</ns0:t>
        </ns0:is>
      </ns0:c>
      <ns0:c r="B4" s="3" t="n">
        <ns0:v>0.15</ns0:v>
      </ns0:c>
      <ns0:c r="C4" s="2" t="inlineStr">
        <ns0:is>
          <ns0:t>fraction</ns0:t>
        </ns0:is>
      </ns0:c>
      <ns0:c r="D4" s="2" t="inlineStr">
        <ns0:is>
          <ns0:t>Provisional model input; field check required</ns0:t>
        </ns0:is>
      </ns0:c>
    </ns0:row>
    <ns0:row r="5">
      <ns0:c r="A5" s="2" t="inlineStr">
        <ns0:is>
          <ns0:t>Reject allowance</ns0:t>
        </ns0:is>
      </ns0:c>
      <ns0:c r="B5" s="3" t="n">
        <ns0:v>0.02</ns0:v>
      </ns0:c>
      <ns0:c r="C5" s="2" t="inlineStr">
        <ns0:is>
          <ns0:t>fraction, rounded up per batch</ns0:t>
        </ns0:is>
      </ns0:c>
      <ns0:c r="D5" s="2" t="inlineStr">
        <ns0:is>
          <ns0:t>Provisional model input; field check required</ns0:t>
        </ns0:is>
      </ns0:c>
    </ns0:row>
    <ns0:row r="6">
      <ns0:c r="A6" s="2" t="inlineStr">
        <ns0:is>
          <ns0:t>Water baker ratio</ns0:t>
        </ns0:is>
      </ns0:c>
      <ns0:c r="B6" s="3" t="n">
        <ns0:v>0.66</ns0:v>
      </ns0:c>
      <ns0:c r="C6" s="2" t="inlineStr">
        <ns0:is>
          <ns0:t>fraction of flour</ns0:t>
        </ns0:is>
      </ns0:c>
      <ns0:c r="D6" s="2" t="inlineStr">
        <ns0:is>
          <ns0:t>Provisional model input; field check required</ns0:t>
        </ns0:is>
      </ns0:c>
    </ns0:row>
    <ns0:row r="7">
      <ns0:c r="A7" s="2" t="inlineStr">
        <ns0:is>
          <ns0:t>Salt baker ratio</ns0:t>
        </ns0:is>
      </ns0:c>
      <ns0:c r="B7" s="3" t="n">
        <ns0:v>0.02</ns0:v>
      </ns0:c>
      <ns0:c r="C7" s="2" t="inlineStr">
        <ns0:is>
          <ns0:t>fraction of flour</ns0:t>
        </ns0:is>
      </ns0:c>
      <ns0:c r="D7" s="2" t="inlineStr">
        <ns0:is>
          <ns0:t>Provisional model input; field check required</ns0:t>
        </ns0:is>
      </ns0:c>
    </ns0:row>
    <ns0:row r="8">
      <ns0:c r="A8" s="2" t="inlineStr">
        <ns0:is>
          <ns0:t>Nevada instant yeast ratio</ns0:t>
        </ns0:is>
      </ns0:c>
      <ns0:c r="B8" s="3" t="n">
        <ns0:v>0.005</ns0:v>
      </ns0:c>
      <ns0:c r="C8" s="2" t="inlineStr">
        <ns0:is>
          <ns0:t>fraction of flour</ns0:t>
        </ns0:is>
      </ns0:c>
      <ns0:c r="D8" s="2" t="inlineStr">
        <ns0:is>
          <ns0:t>Provisional model input; field check required</ns0:t>
        </ns0:is>
      </ns0:c>
    </ns0:row>
    <ns0:row r="9">
      <ns0:c r="A9" s="2" t="inlineStr">
        <ns0:is>
          <ns0:t>First mix start</ns0:t>
        </ns0:is>
      </ns0:c>
      <ns0:c r="B9" s="3" t="n">
        <ns0:v>140</ns0:v>
      </ns0:c>
      <ns0:c r="C9" s="2" t="inlineStr">
        <ns0:is>
          <ns0:t>minutes after midnight: 140 = 02:20</ns0:t>
        </ns0:is>
      </ns0:c>
      <ns0:c r="D9" s="2" t="inlineStr">
        <ns0:is>
          <ns0:t>Provisional model input; field check required</ns0:t>
        </ns0:is>
      </ns0:c>
    </ns0:row>
    <ns0:row r="10">
      <ns0:c r="A10" s="2" t="inlineStr">
        <ns0:is>
          <ns0:t>Mix/rest occupancy</ns0:t>
        </ns0:is>
      </ns0:c>
      <ns0:c r="B10" s="3" t="n">
        <ns0:v>18</ns0:v>
      </ns0:c>
      <ns0:c r="C10" s="2" t="inlineStr">
        <ns0:is>
          <ns0:t>min</ns0:t>
        </ns0:is>
      </ns0:c>
      <ns0:c r="D10" s="2" t="inlineStr">
        <ns0:is>
          <ns0:t>Provisional model input; field check required</ns0:t>
        </ns0:is>
      </ns0:c>
    </ns0:row>
    <ns0:row r="11">
      <ns0:c r="A11" s="2" t="inlineStr">
        <ns0:is>
          <ns0:t>Bulk fermentation</ns0:t>
        </ns0:is>
      </ns0:c>
      <ns0:c r="B11" s="3" t="n">
        <ns0:v>45</ns0:v>
      </ns0:c>
      <ns0:c r="C11" s="2" t="inlineStr">
        <ns0:is>
          <ns0:t>min, dough endpoint governs</ns0:t>
        </ns0:is>
      </ns0:c>
      <ns0:c r="D11" s="2" t="inlineStr">
        <ns0:is>
          <ns0:t>Provisional model input; field check required</ns0:t>
        </ns0:is>
      </ns0:c>
    </ns0:row>
    <ns0:row r="12">
      <ns0:c r="A12" s="2" t="inlineStr">
        <ns0:is>
          <ns0:t>Division/preshape</ns0:t>
        </ns0:is>
      </ns0:c>
      <ns0:c r="B12" s="3" t="n">
        <ns0:v>15</ns0:v>
      </ns0:c>
      <ns0:c r="C12" s="2" t="inlineStr">
        <ns0:is>
          <ns0:t>min</ns0:t>
        </ns0:is>
      </ns0:c>
      <ns0:c r="D12" s="2" t="inlineStr">
        <ns0:is>
          <ns0:t>Provisional model input; field check required</ns0:t>
        </ns0:is>
      </ns0:c>
    </ns0:row>
    <ns0:row r="13">
      <ns0:c r="A13" s="2" t="inlineStr">
        <ns0:is>
          <ns0:t>Mould and rack loading</ns0:t>
        </ns0:is>
      </ns0:c>
      <ns0:c r="B13" s="3" t="n">
        <ns0:v>15</ns0:v>
      </ns0:c>
      <ns0:c r="C13" s="2" t="inlineStr">
        <ns0:is>
          <ns0:t>min; individual FIFO rest about 15 min</ns0:t>
        </ns0:is>
      </ns0:c>
      <ns0:c r="D13" s="2" t="inlineStr">
        <ns0:is>
          <ns0:t>Provisional model input; field check required</ns0:t>
        </ns0:is>
      </ns0:c>
    </ns0:row>
    <ns0:row r="14">
      <ns0:c r="A14" s="2" t="inlineStr">
        <ns0:is>
          <ns0:t>Proof after last tray loaded</ns0:t>
        </ns0:is>
      </ns0:c>
      <ns0:c r="B14" s="3" t="n">
        <ns0:v>60</ns0:v>
      </ns0:c>
      <ns0:c r="C14" s="2" t="inlineStr">
        <ns0:is>
          <ns0:t>min; actual first-tray age is longer</ns0:t>
        </ns0:is>
      </ns0:c>
      <ns0:c r="D14" s="2" t="inlineStr">
        <ns0:is>
          <ns0:t>Provisional model input; field check required</ns0:t>
        </ns0:is>
      </ns0:c>
    </ns0:row>
    <ns0:row r="15">
      <ns0:c r="A15" s="2" t="inlineStr">
        <ns0:is>
          <ns0:t>Scoring and oven loading</ns0:t>
        </ns0:is>
      </ns0:c>
      <ns0:c r="B15" s="3" t="n">
        <ns0:v>10</ns0:v>
      </ns0:c>
      <ns0:c r="C15" s="2" t="inlineStr">
        <ns0:is>
          <ns0:t>min</ns0:t>
        </ns0:is>
      </ns0:c>
      <ns0:c r="D15" s="2" t="inlineStr">
        <ns0:is>
          <ns0:t>Provisional model input; field check required</ns0:t>
        </ns0:is>
      </ns0:c>
    </ns0:row>
    <ns0:row r="16">
      <ns0:c r="A16" s="2" t="inlineStr">
        <ns0:is>
          <ns0:t>Baking</ns0:t>
        </ns0:is>
      </ns0:c>
      <ns0:c r="B16" s="3" t="n">
        <ns0:v>22</ns0:v>
      </ns0:c>
      <ns0:c r="C16" s="2" t="inlineStr">
        <ns0:is>
          <ns0:t>min</ns0:t>
        </ns0:is>
      </ns0:c>
      <ns0:c r="D16" s="2" t="inlineStr">
        <ns0:is>
          <ns0:t>Provisional model input; field check required</ns0:t>
        </ns0:is>
      </ns0:c>
    </ns0:row>
    <ns0:row r="17">
      <ns0:c r="A17" s="2" t="inlineStr">
        <ns0:is>
          <ns0:t>Unloading</ns0:t>
        </ns0:is>
      </ns0:c>
      <ns0:c r="B17" s="3" t="n">
        <ns0:v>3</ns0:v>
      </ns0:c>
      <ns0:c r="C17" s="2" t="inlineStr">
        <ns0:is>
          <ns0:t>min</ns0:t>
        </ns0:is>
      </ns0:c>
      <ns0:c r="D17" s="2" t="inlineStr">
        <ns0:is>
          <ns0:t>Provisional model input; field check required</ns0:t>
        </ns0:is>
      </ns0:c>
    </ns0:row>
    <ns0:row r="18">
      <ns0:c r="A18" s="2" t="inlineStr">
        <ns0:is>
          <ns0:t>Thermal recovery after unloading</ns0:t>
        </ns0:is>
      </ns0:c>
      <ns0:c r="B18" s="3" t="n">
        <ns0:v>5</ns0:v>
      </ns0:c>
      <ns0:c r="C18" s="2" t="inlineStr">
        <ns0:is>
          <ns0:t>min</ns0:t>
        </ns0:is>
      </ns0:c>
      <ns0:c r="D18" s="2" t="inlineStr">
        <ns0:is>
          <ns0:t>Provisional model input; field check required</ns0:t>
        </ns0:is>
      </ns0:c>
    </ns0:row>
    <ns0:row r="19">
      <ns0:c r="A19" s="2" t="inlineStr">
        <ns0:is>
          <ns0:t>Cooling allowance</ns0:t>
        </ns0:is>
      </ns0:c>
      <ns0:c r="B19" s="3" t="n">
        <ns0:v>45</ns0:v>
      </ns0:c>
      <ns0:c r="C19" s="2" t="inlineStr">
        <ns0:is>
          <ns0:t>min; condensation/quality release required</ns0:t>
        </ns0:is>
      </ns0:c>
      <ns0:c r="D19" s="2" t="inlineStr">
        <ns0:is>
          <ns0:t>Provisional model input; field check required</ns0:t>
        </ns0:is>
      </ns0:c>
    </ns0:row>
    <ns0:row r="20">
      <ns0:c r="A20" s="2" t="inlineStr">
        <ns0:is>
          <ns0:t>Packing</ns0:t>
        </ns0:is>
      </ns0:c>
      <ns0:c r="B20" s="3" t="n">
        <ns0:v>15</ns0:v>
      </ns0:c>
      <ns0:c r="C20" s="2" t="inlineStr">
        <ns0:is>
          <ns0:t>min</ns0:t>
        </ns0:is>
      </ns0:c>
      <ns0:c r="D20" s="2" t="inlineStr">
        <ns0:is>
          <ns0:t>Provisional model input; field check required</ns0:t>
        </ns0:is>
      </ns0:c>
    </ns0:row>
    <ns0:row r="21">
      <ns0:c r="A21" s="2" t="inlineStr">
        <ns0:is>
          <ns0:t>Rack/tray cleanup</ns0:t>
        </ns0:is>
      </ns0:c>
      <ns0:c r="B21" s="3" t="n">
        <ns0:v>10</ns0:v>
      </ns0:c>
      <ns0:c r="C21" s="2" t="inlineStr">
        <ns0:is>
          <ns0:t>min</ns0:t>
        </ns0:is>
      </ns0:c>
      <ns0:c r="D21" s="2" t="inlineStr">
        <ns0:is>
          <ns0:t>Provisional model input; field check required</ns0:t>
        </ns0:is>
      </ns0:c>
    </ns0:row>
    <ns0:row r="22">
      <ns0:c r="A22" s="2" t="inlineStr">
        <ns0:is>
          <ns0:t>Proof-bay turnover</ns0:t>
        </ns0:is>
      </ns0:c>
      <ns0:c r="B22" s="3" t="n">
        <ns0:v>5</ns0:v>
      </ns0:c>
      <ns0:c r="C22" s="2" t="inlineStr">
        <ns0:is>
          <ns0:t>min</ns0:t>
        </ns0:is>
      </ns0:c>
      <ns0:c r="D22" s="2" t="inlineStr">
        <ns0:is>
          <ns0:t>Provisional model input; field check required</ns0:t>
        </ns0:is>
      </ns0:c>
    </ns0:row>
    <ns0:row r="23">
      <ns0:c r="A23" s="2" t="inlineStr">
        <ns0:is>
          <ns0:t>Preweigh before mix</ns0:t>
        </ns0:is>
      </ns0:c>
      <ns0:c r="B23" s="3" t="n">
        <ns0:v>10</ns0:v>
      </ns0:c>
      <ns0:c r="C23" s="2" t="inlineStr">
        <ns0:is>
          <ns0:t>min</ns0:t>
        </ns0:is>
      </ns0:c>
      <ns0:c r="D23" s="2" t="inlineStr">
        <ns0:is>
          <ns0:t>Provisional model input; field check required</ns0:t>
        </ns0:is>
      </ns0:c>
    </ns0:row>
    <ns0:row r="24">
      <ns0:c r="A24" s="2" t="inlineStr">
        <ns0:is>
          <ns0:t>Transfer/mixer clean after mix</ns0:t>
        </ns0:is>
      </ns0:c>
      <ns0:c r="B24" s="3" t="n">
        <ns0:v>7</ns0:v>
      </ns0:c>
      <ns0:c r="C24" s="2" t="inlineStr">
        <ns0:is>
          <ns0:t>min</ns0:t>
        </ns0:is>
      </ns0:c>
      <ns0:c r="D24" s="2" t="inlineStr">
        <ns0:is>
          <ns0:t>Provisional model input; field check required</ns0:t>
        </ns0:is>
      </ns0:c>
    </ns0:row>
    <ns0:row r="25">
      <ns0:c r="A25" s="2" t="inlineStr">
        <ns0:is>
          <ns0:t>Bench cleanup</ns0:t>
        </ns0:is>
      </ns0:c>
      <ns0:c r="B25" s="3" t="n">
        <ns0:v>5</ns0:v>
      </ns0:c>
      <ns0:c r="C25" s="2" t="inlineStr">
        <ns0:is>
          <ns0:t>min</ns0:t>
        </ns0:is>
      </ns0:c>
      <ns0:c r="D25" s="2" t="inlineStr">
        <ns0:is>
          <ns0:t>Provisional model input; field check required</ns0:t>
        </ns0:is>
      </ns0:c>
    </ns0:row>
    <ns0:row r="26">
      <ns0:c r="A26" s="2" t="inlineStr">
        <ns0:is>
          <ns0:t>Vehicle loading</ns0:t>
        </ns0:is>
      </ns0:c>
      <ns0:c r="B26" s="3" t="n">
        <ns0:v>5</ns0:v>
      </ns0:c>
      <ns0:c r="C26" s="2" t="inlineStr">
        <ns0:is>
          <ns0:t>min</ns0:t>
        </ns0:is>
      </ns0:c>
      <ns0:c r="D26" s="2" t="inlineStr">
        <ns0:is>
          <ns0:t>Provisional model input; field check required</ns0:t>
        </ns0:is>
      </ns0:c>
    </ns0:row>
    <ns0:row r="27">
      <ns0:c r="A27" s="2" t="inlineStr">
        <ns0:is>
          <ns0:t>Outward travel</ns0:t>
        </ns0:is>
      </ns0:c>
      <ns0:c r="B27" s="3" t="n">
        <ns0:v>30</ns0:v>
      </ns0:c>
      <ns0:c r="C27" s="2" t="inlineStr">
        <ns0:is>
          <ns0:t>min, unmeasured route</ns0:t>
        </ns0:is>
      </ns0:c>
      <ns0:c r="D27" s="2" t="inlineStr">
        <ns0:is>
          <ns0:t>Provisional model input; field check required</ns0:t>
        </ns0:is>
      </ns0:c>
    </ns0:row>
    <ns0:row r="28">
      <ns0:c r="A28" s="2" t="inlineStr">
        <ns0:is>
          <ns0:t>Retail handover</ns0:t>
        </ns0:is>
      </ns0:c>
      <ns0:c r="B28" s="3" t="n">
        <ns0:v>15</ns0:v>
      </ns0:c>
      <ns0:c r="C28" s="2" t="inlineStr">
        <ns0:is>
          <ns0:t>min</ns0:t>
        </ns0:is>
      </ns0:c>
      <ns0:c r="D28" s="2" t="inlineStr">
        <ns0:is>
          <ns0:t>Provisional model input; field check required</ns0:t>
        </ns0:is>
      </ns0:c>
    </ns0:row>
    <ns0:row r="29">
      <ns0:c r="A29" s="2" t="inlineStr">
        <ns0:is>
          <ns0:t>Return travel</ns0:t>
        </ns0:is>
      </ns0:c>
      <ns0:c r="B29" s="3" t="n">
        <ns0:v>30</ns0:v>
      </ns0:c>
      <ns0:c r="C29" s="2" t="inlineStr">
        <ns0:is>
          <ns0:t>min</ns0:t>
        </ns0:is>
      </ns0:c>
      <ns0:c r="D29" s="2" t="inlineStr">
        <ns0:is>
          <ns0:t>Provisional model input; field check required</ns0:t>
        </ns0:is>
      </ns0:c>
    </ns0:row>
    <ns0:row r="30">
      <ns0:c r="A30" s="2" t="inlineStr">
        <ns0:is>
          <ns0:t>Vehicle check/clean</ns0:t>
        </ns0:is>
      </ns0:c>
      <ns0:c r="B30" s="3" t="n">
        <ns0:v>5</ns0:v>
      </ns0:c>
      <ns0:c r="C30" s="2" t="inlineStr">
        <ns0:is>
          <ns0:t>min</ns0:t>
        </ns0:is>
      </ns0:c>
      <ns0:c r="D30" s="2" t="inlineStr">
        <ns0:is>
          <ns0:t>Provisional model input; field check required</ns0:t>
        </ns0:is>
      </ns0:c>
    </ns0:row>
    <ns0:row r="31">
      <ns0:c r="A31" s="2" t="inlineStr">
        <ns0:is>
          <ns0:t>Pieces per tray</ns0:t>
        </ns0:is>
      </ns0:c>
      <ns0:c r="B31" s="3" t="n">
        <ns0:v>5</ns0:v>
      </ns0:c>
      <ns0:c r="C31" s="2" t="inlineStr">
        <ns0:is>
          <ns0:t>trial geometry</ns0:t>
        </ns0:is>
      </ns0:c>
      <ns0:c r="D31" s="2" t="inlineStr">
        <ns0:is>
          <ns0:t>Provisional model input; field check required</ns0:t>
        </ns0:is>
      </ns0:c>
    </ns0:row>
    <ns0:row r="32">
      <ns0:c r="A32" s="2" t="inlineStr">
        <ns0:is>
          <ns0:t>Usable tray positions</ns0:t>
        </ns0:is>
      </ns0:c>
      <ns0:c r="B32" s="3" t="n">
        <ns0:v>16</ns0:v>
      </ns0:c>
      <ns0:c r="C32" s="2" t="inlineStr">
        <ns0:is>
          <ns0:t>reported 16; loaded fit unverified</ns0:t>
        </ns0:is>
      </ns0:c>
      <ns0:c r="D32" s="2" t="inlineStr">
        <ns0:is>
          <ns0:t>Provisional model input; field check required</ns0:t>
        </ns0:is>
      </ns0:c>
    </ns0:row>
    <ns0:row r="33">
      <ns0:c r="A33" s="2" t="inlineStr">
        <ns0:is>
          <ns0:t>Full-rack proof bays</ns0:t>
        </ns0:is>
      </ns0:c>
      <ns0:c r="B33" s="3" t="n">
        <ns0:v>2</ns0:v>
      </ns0:c>
      <ns0:c r="C33" s="2" t="inlineStr">
        <ns0:is>
          <ns0:t>ASSUMED; two units reported, capacity unverified</ns0:t>
        </ns0:is>
      </ns0:c>
      <ns0:c r="D33" s="2" t="inlineStr">
        <ns0:is>
          <ns0:t>Provisional model input; field check required</ns0:t>
        </ns0:is>
      </ns0:c>
    </ns0:row>
    <ns0:row r="34">
      <ns0:c r="A34" s="2" t="inlineStr">
        <ns0:is>
          <ns0:t>Available full rack/tray sets</ns0:t>
        </ns0:is>
      </ns0:c>
      <ns0:c r="B34" s="3" t="n">
        <ns0:v>5</ns0:v>
      </ns0:c>
      <ns0:c r="C34" s="2" t="inlineStr">
        <ns0:is>
          <ns0:t>ASSUMED; four active minimum plus contingency</ns0:t>
        </ns0:is>
      </ns0:c>
      <ns0:c r="D34" s="2" t="inlineStr">
        <ns0:is>
          <ns0:t>Provisional model input; field check required</ns0:t>
        </ns0:is>
      </ns0:c>
    </ns0:row>
    <ns0:row r="35">
      <ns0:c r="A35" s="2" t="inlineStr">
        <ns0:is>
          <ns0:t>Cooling/packing positions</ns0:t>
        </ns0:is>
      </ns0:c>
      <ns0:c r="B35" s="3" t="n">
        <ns0:v>2</ns0:v>
      </ns0:c>
      <ns0:c r="C35" s="2" t="inlineStr">
        <ns0:is>
          <ns0:t>full-load equivalents, ASSUMED</ns0:t>
        </ns0:is>
      </ns0:c>
      <ns0:c r="D35" s="2" t="inlineStr">
        <ns0:is>
          <ns0:t>Provisional model input; field check required</ns0:t>
        </ns0:is>
      </ns0:c>
    </ns0:row>
    <ns0:row r="36">
      <ns0:c r="A36" s="2" t="inlineStr">
        <ns0:is>
          <ns0:t>Vehicle retained-piece capacity</ns0:t>
        </ns0:is>
      </ns0:c>
      <ns0:c r="B36" s="3" t="n">
        <ns0:v>160</ns0:v>
      </ns0:c>
      <ns0:c r="C36" s="2" t="inlineStr">
        <ns0:is>
          <ns0:t>ASSUMED; verify crates/vehicle</ns0:t>
        </ns0:is>
      </ns0:c>
      <ns0:c r="D36" s="2" t="inlineStr">
        <ns0:is>
          <ns0:t>Provisional model input; field check required</ns0:t>
        </ns0:is>
      </ns0:c>
    </ns0:row>
    <ns0:row r="37">
      <ns0:c r="A37" s="2" t="inlineStr">
        <ns0:is>
          <ns0:t>Flour price</ns0:t>
        </ns0:is>
      </ns0:c>
      <ns0:c r="B37" s="3" t="n">
        <ns0:v>420</ns0:v>
      </ns0:c>
      <ns0:c r="C37" s="2" t="inlineStr">
        <ns0:is>
          <ns0:t>FCFA/kg, owner quote</ns0:t>
        </ns0:is>
      </ns0:c>
      <ns0:c r="D37" s="2" t="inlineStr">
        <ns0:is>
          <ns0:t>Owner price</ns0:t>
        </ns0:is>
      </ns0:c>
    </ns0:row>
    <ns0:row r="38">
      <ns0:c r="A38" s="2" t="inlineStr">
        <ns0:is>
          <ns0:t>Salt price</ns0:t>
        </ns0:is>
      </ns0:c>
      <ns0:c r="B38" s="3" t="n">
        <ns0:v>194.4444444444445</ns0:v>
      </ns0:c>
      <ns0:c r="C38" s="2" t="inlineStr">
        <ns0:is>
          <ns0:t>FCFA/kg, owner quote</ns0:t>
        </ns0:is>
      </ns0:c>
      <ns0:c r="D38" s="2" t="inlineStr">
        <ns0:is>
          <ns0:t>Owner price</ns0:t>
        </ns0:is>
      </ns0:c>
    </ns0:row>
    <ns0:row r="39">
      <ns0:c r="A39" s="2" t="inlineStr">
        <ns0:is>
          <ns0:t>Nevada yeast price</ns0:t>
        </ns0:is>
      </ns0:c>
      <ns0:c r="B39" s="3" t="n">
        <ns0:v>1666.666666666667</ns0:v>
      </ns0:c>
      <ns0:c r="C39" s="2" t="inlineStr">
        <ns0:is>
          <ns0:t>FCFA/kg, owner quote</ns0:t>
        </ns0:is>
      </ns0:c>
      <ns0:c r="D39" s="2" t="inlineStr">
        <ns0:is>
          <ns0:t>Owner price</ns0:t>
        </ns0:is>
      </ns0:c>
    </ns0:row>
  </ns0:sheetData>
  <ns0:autoFilter ref="A1:D39"/>
  <ns0:printOptions horizontalCentered="1"/>
  <ns0:pageMargins left="0.75" right="0.75" top="1" bottom="1" header="0.5" footer="0.5"/>
  <ns0:pageSetup orientation="landscape" paperSize="8" fitToHeight="0" fitToWidth="1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W4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0" customWidth="1" min="1" max="1"/>
    <ns0:col width="20" customWidth="1" min="2" max="2"/>
    <ns0:col width="20" customWidth="1" min="3" max="3"/>
    <ns0:col width="20" customWidth="1" min="4" max="4"/>
    <ns0:col width="20" customWidth="1" min="5" max="5"/>
    <ns0:col width="20" customWidth="1" min="6" max="6"/>
    <ns0:col width="20" customWidth="1" min="7" max="7"/>
    <ns0:col width="20" customWidth="1" min="8" max="8"/>
    <ns0:col width="20" customWidth="1" min="9" max="9"/>
    <ns0:col width="20" customWidth="1" min="10" max="10"/>
    <ns0:col width="20" customWidth="1" min="11" max="11"/>
    <ns0:col width="20" customWidth="1" min="12" max="12"/>
    <ns0:col width="20" customWidth="1" min="13" max="13"/>
    <ns0:col width="20" customWidth="1" min="14" max="14"/>
    <ns0:col width="20" customWidth="1" min="15" max="15"/>
    <ns0:col width="20" customWidth="1" min="16" max="16"/>
    <ns0:col width="20" customWidth="1" min="17" max="17"/>
    <ns0:col width="20" customWidth="1" min="18" max="18"/>
    <ns0:col width="20" customWidth="1" min="19" max="19"/>
    <ns0:col width="20" customWidth="1" min="20" max="20"/>
    <ns0:col width="20" customWidth="1" min="21" max="21"/>
    <ns0:col width="20" customWidth="1" min="22" max="22"/>
    <ns0:col width="20" customWidth="1" min="23" max="23"/>
  </ns0:cols>
  <ns0:sheetData>
    <ns0:row r="1" ht="44" customHeight="1">
      <ns0:c r="A1" s="1" t="inlineStr">
        <ns0:is>
          <ns0:t>ID</ns0:t>
        </ns0:is>
      </ns0:c>
      <ns0:c r="B1" s="1" t="inlineStr">
        <ns0:is>
          <ns0:t>Batches INPUT</ns0:t>
        </ns0:is>
      </ns0:c>
      <ns0:c r="C1" s="1" t="inlineStr">
        <ns0:is>
          <ns0:t>Pieces/batch INPUT</ns0:t>
        </ns0:is>
      </ns0:c>
      <ns0:c r="D1" s="1" t="inlineStr">
        <ns0:is>
          <ns0:t>Cadence min INPUT</ns0:t>
        </ns0:is>
      </ns0:c>
      <ns0:c r="E1" s="1" t="inlineStr">
        <ns0:is>
          <ns0:t>Flour g/batch</ns0:t>
        </ns0:is>
      </ns0:c>
      <ns0:c r="F1" s="1" t="inlineStr">
        <ns0:is>
          <ns0:t>Water g/batch</ns0:t>
        </ns0:is>
      </ns0:c>
      <ns0:c r="G1" s="1" t="inlineStr">
        <ns0:is>
          <ns0:t>Salt g/batch</ns0:t>
        </ns0:is>
      </ns0:c>
      <ns0:c r="H1" s="1" t="inlineStr">
        <ns0:is>
          <ns0:t>Yeast g/batch</ns0:t>
        </ns0:is>
      </ns0:c>
      <ns0:c r="I1" s="1" t="inlineStr">
        <ns0:is>
          <ns0:t>Input g/batch</ns0:t>
        </ns0:is>
      </ns0:c>
      <ns0:c r="J1" s="1" t="inlineStr">
        <ns0:is>
          <ns0:t>After handling g</ns0:t>
        </ns0:is>
      </ns0:c>
      <ns0:c r="K1" s="1" t="inlineStr">
        <ns0:is>
          <ns0:t>Whole raw pieces</ns0:t>
        </ns0:is>
      </ns0:c>
      <ns0:c r="L1" s="1" t="inlineStr">
        <ns0:is>
          <ns0:t>Allocated pieces</ns0:t>
        </ns0:is>
      </ns0:c>
      <ns0:c r="M1" s="1" t="inlineStr">
        <ns0:is>
          <ns0:t>Leftover g</ns0:t>
        </ns0:is>
      </ns0:c>
      <ns0:c r="N1" s="1" t="inlineStr">
        <ns0:is>
          <ns0:t>Rejects/batch</ns0:t>
        </ns0:is>
      </ns0:c>
      <ns0:c r="O1" s="1" t="inlineStr">
        <ns0:is>
          <ns0:t>Retained/batch</ns0:t>
        </ns0:is>
      </ns0:c>
      <ns0:c r="P1" s="1" t="inlineStr">
        <ns0:is>
          <ns0:t>Campaign raw</ns0:t>
        </ns0:is>
      </ns0:c>
      <ns0:c r="Q1" s="1" t="inlineStr">
        <ns0:is>
          <ns0:t>Campaign retained</ns0:t>
        </ns0:is>
      </ns0:c>
      <ns0:c r="R1" s="1" t="inlineStr">
        <ns0:is>
          <ns0:t>Known campaign FCFA</ns0:t>
        </ns0:is>
      </ns0:c>
      <ns0:c r="S1" s="1" t="inlineStr">
        <ns0:is>
          <ns0:t>Oven reservation min</ns0:t>
        </ns0:is>
      </ns0:c>
      <ns0:c r="T1" s="1" t="inlineStr">
        <ns0:is>
          <ns0:t>Proof bays needed</ns0:t>
        </ns0:is>
      </ns0:c>
      <ns0:c r="U1" s="1" t="inlineStr">
        <ns0:is>
          <ns0:t>Rack sets needed</ns0:t>
        </ns0:is>
      </ns0:c>
      <ns0:c r="V1" s="1" t="inlineStr">
        <ns0:is>
          <ns0:t>Cool/pack positions</ns0:t>
        </ns0:is>
      </ns0:c>
      <ns0:c r="W1" s="1" t="inlineStr">
        <ns0:is>
          <ns0:t>Arithmetic capacity gate</ns0:t>
        </ns0:is>
      </ns0:c>
    </ns0:row>
    <ns0:row r="2">
      <ns0:c r="A2" s="2" t="inlineStr">
        <ns0:is>
          <ns0:t>PLAN-BAG-P</ns0:t>
        </ns0:is>
      </ns0:c>
      <ns0:c r="B2" s="3" t="n">
        <ns0:v>2</ns0:v>
      </ns0:c>
      <ns0:c r="C2" s="3" t="n">
        <ns0:v>40</ns0:v>
      </ns0:c>
      <ns0:c r="D2" s="3" t="n">
        <ns0:v>90</ns0:v>
      </ns0:c>
      <ns0:c r="E2" s="4" t="n">
        <ns0:f>ROUNDUP(C2*Inputs!$B$2/(1-Inputs!$B$3)/(1+Inputs!$B$6+Inputs!$B$7+Inputs!$B$8),0)</ns0:f>
        <ns0:v>7194.0</ns0:v>
      </ns0:c>
      <ns0:c r="F2" s="4" t="n">
        <ns0:f>ROUND(E2*Inputs!$B$6,0)</ns0:f>
        <ns0:v>4748.0</ns0:v>
      </ns0:c>
      <ns0:c r="G2" s="4" t="n">
        <ns0:f>ROUND(E2*Inputs!$B$7,1)</ns0:f>
        <ns0:v>143.9</ns0:v>
      </ns0:c>
      <ns0:c r="H2" s="4" t="n">
        <ns0:f>ROUND(E2*Inputs!$B$8,1)</ns0:f>
        <ns0:v>36.0</ns0:v>
      </ns0:c>
      <ns0:c r="I2" s="4" t="n">
        <ns0:f>SUM(E2:H2)</ns0:f>
        <ns0:v>12121.9</ns0:v>
      </ns0:c>
      <ns0:c r="J2" s="4" t="n">
        <ns0:f>I2*(1-Inputs!$B$3)</ns0:f>
        <ns0:v>12000.680999999999</ns0:v>
      </ns0:c>
      <ns0:c r="K2" s="4" t="n">
        <ns0:f>ROUNDDOWN(J2/Inputs!$B$2,0)</ns0:f>
        <ns0:v>40.0</ns0:v>
      </ns0:c>
      <ns0:c r="L2" s="4" t="n">
        <ns0:f>MIN(C2,K2)</ns0:f>
        <ns0:v>40</ns0:v>
      </ns0:c>
      <ns0:c r="M2" s="4" t="n">
        <ns0:f>J2-L2*Inputs!$B$2</ns0:f>
        <ns0:v>0.6809999999986758</ns0:v>
      </ns0:c>
      <ns0:c r="N2" s="4" t="n">
        <ns0:f>ROUNDUP(L2*Inputs!$B$5,0)</ns0:f>
        <ns0:v>1.0</ns0:v>
      </ns0:c>
      <ns0:c r="O2" s="4" t="n">
        <ns0:f>MAX(0,L2-N2)</ns0:f>
        <ns0:v>39.0</ns0:v>
      </ns0:c>
      <ns0:c r="P2" s="4" t="n">
        <ns0:f>B2*L2</ns0:f>
        <ns0:v>80.0</ns0:v>
      </ns0:c>
      <ns0:c r="Q2" s="4" t="n">
        <ns0:f>B2*O2</ns0:f>
        <ns0:v>78.0</ns0:v>
      </ns0:c>
      <ns0:c r="R2" s="4" t="n">
        <ns0:f>B2*(E2*Inputs!$B$37+G2*Inputs!$B$38+H2*Inputs!$B$39)/1000</ns0:f>
        <ns0:v>6218.921111111111</ns0:v>
      </ns0:c>
      <ns0:c r="S2" s="4" t="n">
        <ns0:f>Inputs!$B$15+Inputs!$B$16+Inputs!$B$17+Inputs!$B$18</ns0:f>
        <ns0:v>40.0</ns0:v>
      </ns0:c>
      <ns0:c r="T2" s="4" t="n">
        <ns0:f>MIN(B2,ROUNDUP((Inputs!$B$14+Inputs!$B$22)/D2,0))</ns0:f>
        <ns0:v>1.0</ns0:v>
      </ns0:c>
      <ns0:c r="U2" s="4" t="n">
        <ns0:f>MIN(B2,ROUNDUP((Inputs!$B$13+Inputs!$B$14+Inputs!$B$15+Inputs!$B$16+Inputs!$B$17+Inputs!$B$19+Inputs!$B$20+Inputs!$B$21)/D2,0))</ns0:f>
        <ns0:v>2</ns0:v>
      </ns0:c>
      <ns0:c r="V2" s="4" t="n">
        <ns0:f>MIN(B2,ROUNDUP((Inputs!$B$19+Inputs!$B$20)/D2,0))</ns0:f>
        <ns0:v>1.0</ns0:v>
      </ns0:c>
      <ns0:c r="W2" s="4" t="str">
        <ns0:f>IF(AND(B2&gt;=1,B2&lt;=20,B2=INT(B2),C2&gt;0,C2=INT(C2),C2&lt;=Inputs!$B$31*Inputs!$B$32,D2&gt;=S2,D2&gt;=Inputs!$B$23+Inputs!$B$10+Inputs!$B$24,D2&gt;=Inputs!$B$12+Inputs!$B$25,D2&gt;=Inputs!$B$13+Inputs!$B$25,T2&lt;=Inputs!$B$33,U2&lt;=Inputs!$B$34,V2&lt;=Inputs!$B$35),"MODEL FITS - FIELD GATES OPEN","REPLAN / INVALID INPUT")</ns0:f>
        <ns0:v>MODEL FITS - FIELD GATES OPEN</ns0:v>
      </ns0:c>
    </ns0:row>
    <ns0:row r="3">
      <ns0:c r="A3" s="2" t="inlineStr">
        <ns0:is>
          <ns0:t>PLAN-BAG-N</ns0:t>
        </ns0:is>
      </ns0:c>
      <ns0:c r="B3" s="3" t="n">
        <ns0:v>5</ns0:v>
      </ns0:c>
      <ns0:c r="C3" s="3" t="n">
        <ns0:v>80</ns0:v>
      </ns0:c>
      <ns0:c r="D3" s="3" t="n">
        <ns0:v>45</ns0:v>
      </ns0:c>
      <ns0:c r="E3" s="4" t="n">
        <ns0:f>ROUNDUP(C3*Inputs!$B$2/(1-Inputs!$B$3)/(1+Inputs!$B$6+Inputs!$B$7+Inputs!$B$8),0)</ns0:f>
        <ns0:v>14388.0</ns0:v>
      </ns0:c>
      <ns0:c r="F3" s="4" t="n">
        <ns0:f>ROUND(E3*Inputs!$B$6,0)</ns0:f>
        <ns0:v>9496.0</ns0:v>
      </ns0:c>
      <ns0:c r="G3" s="4" t="n">
        <ns0:f>ROUND(E3*Inputs!$B$7,1)</ns0:f>
        <ns0:v>287.8</ns0:v>
      </ns0:c>
      <ns0:c r="H3" s="4" t="n">
        <ns0:f>ROUND(E3*Inputs!$B$8,1)</ns0:f>
        <ns0:v>71.9</ns0:v>
      </ns0:c>
      <ns0:c r="I3" s="4" t="n">
        <ns0:f>SUM(E3:H3)</ns0:f>
        <ns0:v>24243.7</ns0:v>
      </ns0:c>
      <ns0:c r="J3" s="4" t="n">
        <ns0:f>I3*(1-Inputs!$B$3)</ns0:f>
        <ns0:v>24001.263</ns0:v>
      </ns0:c>
      <ns0:c r="K3" s="4" t="n">
        <ns0:f>ROUNDDOWN(J3/Inputs!$B$2,0)</ns0:f>
        <ns0:v>80.0</ns0:v>
      </ns0:c>
      <ns0:c r="L3" s="4" t="n">
        <ns0:f>MIN(C3,K3)</ns0:f>
        <ns0:v>80</ns0:v>
      </ns0:c>
      <ns0:c r="M3" s="4" t="n">
        <ns0:f>J3-L3*Inputs!$B$2</ns0:f>
        <ns0:v>1.2629999999990105</ns0:v>
      </ns0:c>
      <ns0:c r="N3" s="4" t="n">
        <ns0:f>ROUNDUP(L3*Inputs!$B$5,0)</ns0:f>
        <ns0:v>2.0</ns0:v>
      </ns0:c>
      <ns0:c r="O3" s="4" t="n">
        <ns0:f>MAX(0,L3-N3)</ns0:f>
        <ns0:v>78.0</ns0:v>
      </ns0:c>
      <ns0:c r="P3" s="4" t="n">
        <ns0:f>B3*L3</ns0:f>
        <ns0:v>400.0</ns0:v>
      </ns0:c>
      <ns0:c r="Q3" s="4" t="n">
        <ns0:f>B3*O3</ns0:f>
        <ns0:v>390.0</ns0:v>
      </ns0:c>
      <ns0:c r="R3" s="4" t="n">
        <ns0:f>B3*(E3*Inputs!$B$37+G3*Inputs!$B$38+H3*Inputs!$B$39)/1000</ns0:f>
        <ns0:v>31093.772222222222</ns0:v>
      </ns0:c>
      <ns0:c r="S3" s="4" t="n">
        <ns0:f>Inputs!$B$15+Inputs!$B$16+Inputs!$B$17+Inputs!$B$18</ns0:f>
        <ns0:v>40.0</ns0:v>
      </ns0:c>
      <ns0:c r="T3" s="4" t="n">
        <ns0:f>MIN(B3,ROUNDUP((Inputs!$B$14+Inputs!$B$22)/D3,0))</ns0:f>
        <ns0:v>2.0</ns0:v>
      </ns0:c>
      <ns0:c r="U3" s="4" t="n">
        <ns0:f>MIN(B3,ROUNDUP((Inputs!$B$13+Inputs!$B$14+Inputs!$B$15+Inputs!$B$16+Inputs!$B$17+Inputs!$B$19+Inputs!$B$20+Inputs!$B$21)/D3,0))</ns0:f>
        <ns0:v>4.0</ns0:v>
      </ns0:c>
      <ns0:c r="V3" s="4" t="n">
        <ns0:f>MIN(B3,ROUNDUP((Inputs!$B$19+Inputs!$B$20)/D3,0))</ns0:f>
        <ns0:v>2.0</ns0:v>
      </ns0:c>
      <ns0:c r="W3" s="4" t="str">
        <ns0:f>IF(AND(B3&gt;=1,B3&lt;=20,B3=INT(B3),C3&gt;0,C3=INT(C3),C3&lt;=Inputs!$B$31*Inputs!$B$32,D3&gt;=S3,D3&gt;=Inputs!$B$23+Inputs!$B$10+Inputs!$B$24,D3&gt;=Inputs!$B$12+Inputs!$B$25,D3&gt;=Inputs!$B$13+Inputs!$B$25,T3&lt;=Inputs!$B$33,U3&lt;=Inputs!$B$34,V3&lt;=Inputs!$B$35),"MODEL FITS - FIELD GATES OPEN","REPLAN / INVALID INPUT")</ns0:f>
        <ns0:v>MODEL FITS - FIELD GATES OPEN</ns0:v>
      </ns0:c>
    </ns0:row>
    <ns0:row r="4">
      <ns0:c r="A4" s="2" t="inlineStr">
        <ns0:is>
          <ns0:t>PLAN-BAG-H</ns0:t>
        </ns0:is>
      </ns0:c>
      <ns0:c r="B4" s="3" t="n">
        <ns0:v>10</ns0:v>
      </ns0:c>
      <ns0:c r="C4" s="3" t="n">
        <ns0:v>80</ns0:v>
      </ns0:c>
      <ns0:c r="D4" s="3" t="n">
        <ns0:v>45</ns0:v>
      </ns0:c>
      <ns0:c r="E4" s="4" t="n">
        <ns0:f>ROUNDUP(C4*Inputs!$B$2/(1-Inputs!$B$3)/(1+Inputs!$B$6+Inputs!$B$7+Inputs!$B$8),0)</ns0:f>
        <ns0:v>14388.0</ns0:v>
      </ns0:c>
      <ns0:c r="F4" s="4" t="n">
        <ns0:f>ROUND(E4*Inputs!$B$6,0)</ns0:f>
        <ns0:v>9496.0</ns0:v>
      </ns0:c>
      <ns0:c r="G4" s="4" t="n">
        <ns0:f>ROUND(E4*Inputs!$B$7,1)</ns0:f>
        <ns0:v>287.8</ns0:v>
      </ns0:c>
      <ns0:c r="H4" s="4" t="n">
        <ns0:f>ROUND(E4*Inputs!$B$8,1)</ns0:f>
        <ns0:v>71.9</ns0:v>
      </ns0:c>
      <ns0:c r="I4" s="4" t="n">
        <ns0:f>SUM(E4:H4)</ns0:f>
        <ns0:v>24243.7</ns0:v>
      </ns0:c>
      <ns0:c r="J4" s="4" t="n">
        <ns0:f>I4*(1-Inputs!$B$3)</ns0:f>
        <ns0:v>24001.263</ns0:v>
      </ns0:c>
      <ns0:c r="K4" s="4" t="n">
        <ns0:f>ROUNDDOWN(J4/Inputs!$B$2,0)</ns0:f>
        <ns0:v>80.0</ns0:v>
      </ns0:c>
      <ns0:c r="L4" s="4" t="n">
        <ns0:f>MIN(C4,K4)</ns0:f>
        <ns0:v>80</ns0:v>
      </ns0:c>
      <ns0:c r="M4" s="4" t="n">
        <ns0:f>J4-L4*Inputs!$B$2</ns0:f>
        <ns0:v>1.2629999999990105</ns0:v>
      </ns0:c>
      <ns0:c r="N4" s="4" t="n">
        <ns0:f>ROUNDUP(L4*Inputs!$B$5,0)</ns0:f>
        <ns0:v>2.0</ns0:v>
      </ns0:c>
      <ns0:c r="O4" s="4" t="n">
        <ns0:f>MAX(0,L4-N4)</ns0:f>
        <ns0:v>78.0</ns0:v>
      </ns0:c>
      <ns0:c r="P4" s="4" t="n">
        <ns0:f>B4*L4</ns0:f>
        <ns0:v>800.0</ns0:v>
      </ns0:c>
      <ns0:c r="Q4" s="4" t="n">
        <ns0:f>B4*O4</ns0:f>
        <ns0:v>780.0</ns0:v>
      </ns0:c>
      <ns0:c r="R4" s="4" t="n">
        <ns0:f>B4*(E4*Inputs!$B$37+G4*Inputs!$B$38+H4*Inputs!$B$39)/1000</ns0:f>
        <ns0:v>62187.544444444444</ns0:v>
      </ns0:c>
      <ns0:c r="S4" s="4" t="n">
        <ns0:f>Inputs!$B$15+Inputs!$B$16+Inputs!$B$17+Inputs!$B$18</ns0:f>
        <ns0:v>40.0</ns0:v>
      </ns0:c>
      <ns0:c r="T4" s="4" t="n">
        <ns0:f>MIN(B4,ROUNDUP((Inputs!$B$14+Inputs!$B$22)/D4,0))</ns0:f>
        <ns0:v>2.0</ns0:v>
      </ns0:c>
      <ns0:c r="U4" s="4" t="n">
        <ns0:f>MIN(B4,ROUNDUP((Inputs!$B$13+Inputs!$B$14+Inputs!$B$15+Inputs!$B$16+Inputs!$B$17+Inputs!$B$19+Inputs!$B$20+Inputs!$B$21)/D4,0))</ns0:f>
        <ns0:v>4.0</ns0:v>
      </ns0:c>
      <ns0:c r="V4" s="4" t="n">
        <ns0:f>MIN(B4,ROUNDUP((Inputs!$B$19+Inputs!$B$20)/D4,0))</ns0:f>
        <ns0:v>2.0</ns0:v>
      </ns0:c>
      <ns0:c r="W4" s="4" t="str">
        <ns0:f>IF(AND(B4&gt;=1,B4&lt;=20,B4=INT(B4),C4&gt;0,C4=INT(C4),C4&lt;=Inputs!$B$31*Inputs!$B$32,D4&gt;=S4,D4&gt;=Inputs!$B$23+Inputs!$B$10+Inputs!$B$24,D4&gt;=Inputs!$B$12+Inputs!$B$25,D4&gt;=Inputs!$B$13+Inputs!$B$25,T4&lt;=Inputs!$B$33,U4&lt;=Inputs!$B$34,V4&lt;=Inputs!$B$35),"MODEL FITS - FIELD GATES OPEN","REPLAN / INVALID INPUT")</ns0:f>
        <ns0:v>MODEL FITS - FIELD GATES OPEN</ns0:v>
      </ns0:c>
    </ns0:row>
  </ns0:sheetData>
  <ns0:autoFilter ref="A1:W4"/>
  <ns0:dataValidations count="1">
    <ns0:dataValidation sqref="B2:B4" showDropDown="0" showInputMessage="0" showErrorMessage="1" allowBlank="0" error="Use 1–20 batches." type="whole" operator="between">
      <ns0:formula1>1</ns0:formula1>
      <ns0:formula2>20</ns0:formula2>
    </ns0:dataValidation>
  </ns0:dataValidations>
  <ns0:printOptions horizontalCentered="1"/>
  <ns0:pageMargins left="0.75" right="0.75" top="1" bottom="1" header="0.5" footer="0.5"/>
  <ns0:pageSetup orientation="landscape" paperSize="8" fitToHeight="0" fitToWidth="1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O22"/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0" customWidth="1" min="1" max="1"/>
    <ns0:col width="20" customWidth="1" min="2" max="2"/>
    <ns0:col width="20" customWidth="1" min="3" max="3"/>
    <ns0:col width="20" customWidth="1" min="4" max="4"/>
    <ns0:col width="20" customWidth="1" min="5" max="5"/>
    <ns0:col width="20" customWidth="1" min="6" max="6"/>
    <ns0:col width="20" customWidth="1" min="7" max="7"/>
    <ns0:col width="20" customWidth="1" min="8" max="8"/>
    <ns0:col width="20" customWidth="1" min="9" max="9"/>
    <ns0:col width="20" customWidth="1" min="10" max="10"/>
    <ns0:col width="20" customWidth="1" min="11" max="11"/>
    <ns0:col width="20" customWidth="1" min="12" max="12"/>
    <ns0:col width="20" customWidth="1" min="13" max="13"/>
    <ns0:col width="20" customWidth="1" min="14" max="14"/>
    <ns0:col width="20" customWidth="1" min="15" max="15"/>
  </ns0:cols>
  <ns0:sheetData>
    <ns0:row r="1">
      <ns0:c r="A1" t="inlineStr">
        <ns0:is>
          <ns0:t>PLAN-BAG-P / BAG-H2-01 / clocks depend on Inputs</ns0:t>
        </ns0:is>
      </ns0:c>
    </ns0:row>
    <ns0:row r="2" ht="44" customHeight="1">
      <ns0:c r="A2" s="1" t="inlineStr">
        <ns0:is>
          <ns0:t>Batch</ns0:t>
        </ns0:is>
      </ns0:c>
      <ns0:c r="B2" s="1" t="inlineStr">
        <ns0:is>
          <ns0:t>Mix start</ns0:t>
        </ns0:is>
      </ns0:c>
      <ns0:c r="C2" s="1" t="inlineStr">
        <ns0:is>
          <ns0:t>Mix end</ns0:t>
        </ns0:is>
      </ns0:c>
      <ns0:c r="D2" s="1" t="inlineStr">
        <ns0:is>
          <ns0:t>Bulk end/divide start</ns0:t>
        </ns0:is>
      </ns0:c>
      <ns0:c r="E2" s="1" t="inlineStr">
        <ns0:is>
          <ns0:t>Divide end/mould start</ns0:t>
        </ns0:is>
      </ns0:c>
      <ns0:c r="F2" s="1" t="inlineStr">
        <ns0:is>
          <ns0:t>Mould end/proof start</ns0:t>
        </ns0:is>
      </ns0:c>
      <ns0:c r="G2" s="1" t="inlineStr">
        <ns0:is>
          <ns0:t>Proof end/score start</ns0:t>
        </ns0:is>
      </ns0:c>
      <ns0:c r="H2" s="1" t="inlineStr">
        <ns0:is>
          <ns0:t>Loading complete</ns0:t>
        </ns0:is>
      </ns0:c>
      <ns0:c r="I2" s="1" t="inlineStr">
        <ns0:is>
          <ns0:t>Bake end</ns0:t>
        </ns0:is>
      </ns0:c>
      <ns0:c r="J2" s="1" t="inlineStr">
        <ns0:is>
          <ns0:t>Unload complete</ns0:t>
        </ns0:is>
      </ns0:c>
      <ns0:c r="K2" s="1" t="inlineStr">
        <ns0:is>
          <ns0:t>Oven recovered</ns0:t>
        </ns0:is>
      </ns0:c>
      <ns0:c r="L2" s="1" t="inlineStr">
        <ns0:is>
          <ns0:t>Cooling complete</ns0:t>
        </ns0:is>
      </ns0:c>
      <ns0:c r="M2" s="1" t="inlineStr">
        <ns0:is>
          <ns0:t>Pack release</ns0:t>
        </ns0:is>
      </ns0:c>
      <ns0:c r="N2" s="1" t="inlineStr">
        <ns0:is>
          <ns0:t>Rack set free</ns0:t>
        </ns0:is>
      </ns0:c>
      <ns0:c r="O2" s="1" t="inlineStr">
        <ns0:is>
          <ns0:t>Proof bay</ns0:t>
        </ns0:is>
      </ns0:c>
    </ns0:row>
    <ns0:row r="3">
      <ns0:c r="A3" s="4" t="n">
        <ns0:f>IF(1&lt;=Scenarios!B2,1,"")</ns0:f>
        <ns0:v>1.0</ns0:v>
      </ns0:c>
      <ns0:c r="B3" s="5" t="n">
        <ns0:f>IF(A3="","",(Inputs!$B$9+(A3-1)*Scenarios!D2)/1440)</ns0:f>
        <ns0:v>0.09722222222222222</ns0:v>
      </ns0:c>
      <ns0:c r="C3" s="5" t="n">
        <ns0:f>IF(A3="","",B3+Inputs!$B$10/1440)</ns0:f>
        <ns0:v>0.10972222222222222</ns0:v>
      </ns0:c>
      <ns0:c r="D3" s="5" t="n">
        <ns0:f>IF(A3="","",C3+Inputs!$B$11/1440)</ns0:f>
        <ns0:v>0.14097222222222222</ns0:v>
      </ns0:c>
      <ns0:c r="E3" s="5" t="n">
        <ns0:f>IF(A3="","",D3+Inputs!$B$12/1440)</ns0:f>
        <ns0:v>0.15138888888888888</ns0:v>
      </ns0:c>
      <ns0:c r="F3" s="5" t="n">
        <ns0:f>IF(A3="","",E3+Inputs!$B$13/1440)</ns0:f>
        <ns0:v>0.16180555555555554</ns0:v>
      </ns0:c>
      <ns0:c r="G3" s="5" t="n">
        <ns0:f>IF(A3="","",F3+Inputs!$B$14/1440)</ns0:f>
        <ns0:v>0.2034722222222222</ns0:v>
      </ns0:c>
      <ns0:c r="H3" s="5" t="n">
        <ns0:f>IF(A3="","",G3+Inputs!$B$15/1440)</ns0:f>
        <ns0:v>0.21041666666666664</ns0:v>
      </ns0:c>
      <ns0:c r="I3" s="5" t="n">
        <ns0:f>IF(A3="","",H3+Inputs!$B$16/1440)</ns0:f>
        <ns0:v>0.22569444444444442</ns0:v>
      </ns0:c>
      <ns0:c r="J3" s="5" t="n">
        <ns0:f>IF(A3="","",I3+Inputs!$B$17/1440)</ns0:f>
        <ns0:v>0.22777777777777775</ns0:v>
      </ns0:c>
      <ns0:c r="K3" s="5" t="n">
        <ns0:f>IF(A3="","",J3+Inputs!$B$18/1440)</ns0:f>
        <ns0:v>0.23124999999999996</ns0:v>
      </ns0:c>
      <ns0:c r="L3" s="5" t="n">
        <ns0:f>IF(A3="","",J3+Inputs!$B$19/1440)</ns0:f>
        <ns0:v>0.25902777777777775</ns0:v>
      </ns0:c>
      <ns0:c r="M3" s="5" t="n">
        <ns0:f>IF(A3="","",L3+Inputs!$B$20/1440)</ns0:f>
        <ns0:v>0.26944444444444443</ns0:v>
      </ns0:c>
      <ns0:c r="N3" s="5" t="n">
        <ns0:f>IF(A3="","",M3+Inputs!$B$21/1440)</ns0:f>
        <ns0:v>0.27638888888888885</ns0:v>
      </ns0:c>
      <ns0:c r="O3" s="4" t="n">
        <ns0:f>IF(A3="","",MOD(A3-1,Inputs!$B$33)+1)</ns0:f>
        <ns0:v>1.0</ns0:v>
      </ns0:c>
    </ns0:row>
    <ns0:row r="4">
      <ns0:c r="A4" s="4" t="n">
        <ns0:f>IF(2&lt;=Scenarios!B2,2,"")</ns0:f>
        <ns0:v>2.0</ns0:v>
      </ns0:c>
      <ns0:c r="B4" s="5" t="n">
        <ns0:f>IF(A4="","",(Inputs!$B$9+(A4-1)*Scenarios!D2)/1440)</ns0:f>
        <ns0:v>0.1597222222222222</ns0:v>
      </ns0:c>
      <ns0:c r="C4" s="5" t="n">
        <ns0:f>IF(A4="","",B4+Inputs!$B$10/1440)</ns0:f>
        <ns0:v>0.17222222222222222</ns0:v>
      </ns0:c>
      <ns0:c r="D4" s="5" t="n">
        <ns0:f>IF(A4="","",C4+Inputs!$B$11/1440)</ns0:f>
        <ns0:v>0.20347222222222222</ns0:v>
      </ns0:c>
      <ns0:c r="E4" s="5" t="n">
        <ns0:f>IF(A4="","",D4+Inputs!$B$12/1440)</ns0:f>
        <ns0:v>0.21388888888888888</ns0:v>
      </ns0:c>
      <ns0:c r="F4" s="5" t="n">
        <ns0:f>IF(A4="","",E4+Inputs!$B$13/1440)</ns0:f>
        <ns0:v>0.22430555555555554</ns0:v>
      </ns0:c>
      <ns0:c r="G4" s="5" t="n">
        <ns0:f>IF(A4="","",F4+Inputs!$B$14/1440)</ns0:f>
        <ns0:v>0.2659722222222222</ns0:v>
      </ns0:c>
      <ns0:c r="H4" s="5" t="n">
        <ns0:f>IF(A4="","",G4+Inputs!$B$15/1440)</ns0:f>
        <ns0:v>0.27291666666666664</ns0:v>
      </ns0:c>
      <ns0:c r="I4" s="5" t="n">
        <ns0:f>IF(A4="","",H4+Inputs!$B$16/1440)</ns0:f>
        <ns0:v>0.2881944444444444</ns0:v>
      </ns0:c>
      <ns0:c r="J4" s="5" t="n">
        <ns0:f>IF(A4="","",I4+Inputs!$B$17/1440)</ns0:f>
        <ns0:v>0.29027777777777775</ns0:v>
      </ns0:c>
      <ns0:c r="K4" s="5" t="n">
        <ns0:f>IF(A4="","",J4+Inputs!$B$18/1440)</ns0:f>
        <ns0:v>0.29374999999999996</ns0:v>
      </ns0:c>
      <ns0:c r="L4" s="5" t="n">
        <ns0:f>IF(A4="","",J4+Inputs!$B$19/1440)</ns0:f>
        <ns0:v>0.32152777777777775</ns0:v>
      </ns0:c>
      <ns0:c r="M4" s="5" t="n">
        <ns0:f>IF(A4="","",L4+Inputs!$B$20/1440)</ns0:f>
        <ns0:v>0.33194444444444443</ns0:v>
      </ns0:c>
      <ns0:c r="N4" s="5" t="n">
        <ns0:f>IF(A4="","",M4+Inputs!$B$21/1440)</ns0:f>
        <ns0:v>0.33888888888888885</ns0:v>
      </ns0:c>
      <ns0:c r="O4" s="4" t="n">
        <ns0:f>IF(A4="","",MOD(A4-1,Inputs!$B$33)+1)</ns0:f>
        <ns0:v>2.0</ns0:v>
      </ns0:c>
    </ns0:row>
    <ns0:row r="5">
      <ns0:c r="A5" s="4" t="str">
        <ns0:f>IF(3&lt;=Scenarios!B2,3,"")</ns0:f>
        <ns0:v/>
      </ns0:c>
      <ns0:c r="B5" s="5" t="str">
        <ns0:f>IF(A5="","",(Inputs!$B$9+(A5-1)*Scenarios!D2)/1440)</ns0:f>
        <ns0:v/>
      </ns0:c>
      <ns0:c r="C5" s="5" t="str">
        <ns0:f>IF(A5="","",B5+Inputs!$B$10/1440)</ns0:f>
        <ns0:v/>
      </ns0:c>
      <ns0:c r="D5" s="5" t="str">
        <ns0:f>IF(A5="","",C5+Inputs!$B$11/1440)</ns0:f>
        <ns0:v/>
      </ns0:c>
      <ns0:c r="E5" s="5" t="str">
        <ns0:f>IF(A5="","",D5+Inputs!$B$12/1440)</ns0:f>
        <ns0:v/>
      </ns0:c>
      <ns0:c r="F5" s="5" t="str">
        <ns0:f>IF(A5="","",E5+Inputs!$B$13/1440)</ns0:f>
        <ns0:v/>
      </ns0:c>
      <ns0:c r="G5" s="5" t="str">
        <ns0:f>IF(A5="","",F5+Inputs!$B$14/1440)</ns0:f>
        <ns0:v/>
      </ns0:c>
      <ns0:c r="H5" s="5" t="str">
        <ns0:f>IF(A5="","",G5+Inputs!$B$15/1440)</ns0:f>
        <ns0:v/>
      </ns0:c>
      <ns0:c r="I5" s="5" t="str">
        <ns0:f>IF(A5="","",H5+Inputs!$B$16/1440)</ns0:f>
        <ns0:v/>
      </ns0:c>
      <ns0:c r="J5" s="5" t="str">
        <ns0:f>IF(A5="","",I5+Inputs!$B$17/1440)</ns0:f>
        <ns0:v/>
      </ns0:c>
      <ns0:c r="K5" s="5" t="str">
        <ns0:f>IF(A5="","",J5+Inputs!$B$18/1440)</ns0:f>
        <ns0:v/>
      </ns0:c>
      <ns0:c r="L5" s="5" t="str">
        <ns0:f>IF(A5="","",J5+Inputs!$B$19/1440)</ns0:f>
        <ns0:v/>
      </ns0:c>
      <ns0:c r="M5" s="5" t="str">
        <ns0:f>IF(A5="","",L5+Inputs!$B$20/1440)</ns0:f>
        <ns0:v/>
      </ns0:c>
      <ns0:c r="N5" s="5" t="str">
        <ns0:f>IF(A5="","",M5+Inputs!$B$21/1440)</ns0:f>
        <ns0:v/>
      </ns0:c>
      <ns0:c r="O5" s="4" t="str">
        <ns0:f>IF(A5="","",MOD(A5-1,Inputs!$B$33)+1)</ns0:f>
        <ns0:v/>
      </ns0:c>
    </ns0:row>
    <ns0:row r="6">
      <ns0:c r="A6" s="4" t="str">
        <ns0:f>IF(4&lt;=Scenarios!B2,4,"")</ns0:f>
        <ns0:v/>
      </ns0:c>
      <ns0:c r="B6" s="5" t="str">
        <ns0:f>IF(A6="","",(Inputs!$B$9+(A6-1)*Scenarios!D2)/1440)</ns0:f>
        <ns0:v/>
      </ns0:c>
      <ns0:c r="C6" s="5" t="str">
        <ns0:f>IF(A6="","",B6+Inputs!$B$10/1440)</ns0:f>
        <ns0:v/>
      </ns0:c>
      <ns0:c r="D6" s="5" t="str">
        <ns0:f>IF(A6="","",C6+Inputs!$B$11/1440)</ns0:f>
        <ns0:v/>
      </ns0:c>
      <ns0:c r="E6" s="5" t="str">
        <ns0:f>IF(A6="","",D6+Inputs!$B$12/1440)</ns0:f>
        <ns0:v/>
      </ns0:c>
      <ns0:c r="F6" s="5" t="str">
        <ns0:f>IF(A6="","",E6+Inputs!$B$13/1440)</ns0:f>
        <ns0:v/>
      </ns0:c>
      <ns0:c r="G6" s="5" t="str">
        <ns0:f>IF(A6="","",F6+Inputs!$B$14/1440)</ns0:f>
        <ns0:v/>
      </ns0:c>
      <ns0:c r="H6" s="5" t="str">
        <ns0:f>IF(A6="","",G6+Inputs!$B$15/1440)</ns0:f>
        <ns0:v/>
      </ns0:c>
      <ns0:c r="I6" s="5" t="str">
        <ns0:f>IF(A6="","",H6+Inputs!$B$16/1440)</ns0:f>
        <ns0:v/>
      </ns0:c>
      <ns0:c r="J6" s="5" t="str">
        <ns0:f>IF(A6="","",I6+Inputs!$B$17/1440)</ns0:f>
        <ns0:v/>
      </ns0:c>
      <ns0:c r="K6" s="5" t="str">
        <ns0:f>IF(A6="","",J6+Inputs!$B$18/1440)</ns0:f>
        <ns0:v/>
      </ns0:c>
      <ns0:c r="L6" s="5" t="str">
        <ns0:f>IF(A6="","",J6+Inputs!$B$19/1440)</ns0:f>
        <ns0:v/>
      </ns0:c>
      <ns0:c r="M6" s="5" t="str">
        <ns0:f>IF(A6="","",L6+Inputs!$B$20/1440)</ns0:f>
        <ns0:v/>
      </ns0:c>
      <ns0:c r="N6" s="5" t="str">
        <ns0:f>IF(A6="","",M6+Inputs!$B$21/1440)</ns0:f>
        <ns0:v/>
      </ns0:c>
      <ns0:c r="O6" s="4" t="str">
        <ns0:f>IF(A6="","",MOD(A6-1,Inputs!$B$33)+1)</ns0:f>
        <ns0:v/>
      </ns0:c>
    </ns0:row>
    <ns0:row r="7">
      <ns0:c r="A7" s="4" t="str">
        <ns0:f>IF(5&lt;=Scenarios!B2,5,"")</ns0:f>
        <ns0:v/>
      </ns0:c>
      <ns0:c r="B7" s="5" t="str">
        <ns0:f>IF(A7="","",(Inputs!$B$9+(A7-1)*Scenarios!D2)/1440)</ns0:f>
        <ns0:v/>
      </ns0:c>
      <ns0:c r="C7" s="5" t="str">
        <ns0:f>IF(A7="","",B7+Inputs!$B$10/1440)</ns0:f>
        <ns0:v/>
      </ns0:c>
      <ns0:c r="D7" s="5" t="str">
        <ns0:f>IF(A7="","",C7+Inputs!$B$11/1440)</ns0:f>
        <ns0:v/>
      </ns0:c>
      <ns0:c r="E7" s="5" t="str">
        <ns0:f>IF(A7="","",D7+Inputs!$B$12/1440)</ns0:f>
        <ns0:v/>
      </ns0:c>
      <ns0:c r="F7" s="5" t="str">
        <ns0:f>IF(A7="","",E7+Inputs!$B$13/1440)</ns0:f>
        <ns0:v/>
      </ns0:c>
      <ns0:c r="G7" s="5" t="str">
        <ns0:f>IF(A7="","",F7+Inputs!$B$14/1440)</ns0:f>
        <ns0:v/>
      </ns0:c>
      <ns0:c r="H7" s="5" t="str">
        <ns0:f>IF(A7="","",G7+Inputs!$B$15/1440)</ns0:f>
        <ns0:v/>
      </ns0:c>
      <ns0:c r="I7" s="5" t="str">
        <ns0:f>IF(A7="","",H7+Inputs!$B$16/1440)</ns0:f>
        <ns0:v/>
      </ns0:c>
      <ns0:c r="J7" s="5" t="str">
        <ns0:f>IF(A7="","",I7+Inputs!$B$17/1440)</ns0:f>
        <ns0:v/>
      </ns0:c>
      <ns0:c r="K7" s="5" t="str">
        <ns0:f>IF(A7="","",J7+Inputs!$B$18/1440)</ns0:f>
        <ns0:v/>
      </ns0:c>
      <ns0:c r="L7" s="5" t="str">
        <ns0:f>IF(A7="","",J7+Inputs!$B$19/1440)</ns0:f>
        <ns0:v/>
      </ns0:c>
      <ns0:c r="M7" s="5" t="str">
        <ns0:f>IF(A7="","",L7+Inputs!$B$20/1440)</ns0:f>
        <ns0:v/>
      </ns0:c>
      <ns0:c r="N7" s="5" t="str">
        <ns0:f>IF(A7="","",M7+Inputs!$B$21/1440)</ns0:f>
        <ns0:v/>
      </ns0:c>
      <ns0:c r="O7" s="4" t="str">
        <ns0:f>IF(A7="","",MOD(A7-1,Inputs!$B$33)+1)</ns0:f>
        <ns0:v/>
      </ns0:c>
    </ns0:row>
    <ns0:row r="8">
      <ns0:c r="A8" s="4" t="str">
        <ns0:f>IF(6&lt;=Scenarios!B2,6,"")</ns0:f>
        <ns0:v/>
      </ns0:c>
      <ns0:c r="B8" s="5" t="str">
        <ns0:f>IF(A8="","",(Inputs!$B$9+(A8-1)*Scenarios!D2)/1440)</ns0:f>
        <ns0:v/>
      </ns0:c>
      <ns0:c r="C8" s="5" t="str">
        <ns0:f>IF(A8="","",B8+Inputs!$B$10/1440)</ns0:f>
        <ns0:v/>
      </ns0:c>
      <ns0:c r="D8" s="5" t="str">
        <ns0:f>IF(A8="","",C8+Inputs!$B$11/1440)</ns0:f>
        <ns0:v/>
      </ns0:c>
      <ns0:c r="E8" s="5" t="str">
        <ns0:f>IF(A8="","",D8+Inputs!$B$12/1440)</ns0:f>
        <ns0:v/>
      </ns0:c>
      <ns0:c r="F8" s="5" t="str">
        <ns0:f>IF(A8="","",E8+Inputs!$B$13/1440)</ns0:f>
        <ns0:v/>
      </ns0:c>
      <ns0:c r="G8" s="5" t="str">
        <ns0:f>IF(A8="","",F8+Inputs!$B$14/1440)</ns0:f>
        <ns0:v/>
      </ns0:c>
      <ns0:c r="H8" s="5" t="str">
        <ns0:f>IF(A8="","",G8+Inputs!$B$15/1440)</ns0:f>
        <ns0:v/>
      </ns0:c>
      <ns0:c r="I8" s="5" t="str">
        <ns0:f>IF(A8="","",H8+Inputs!$B$16/1440)</ns0:f>
        <ns0:v/>
      </ns0:c>
      <ns0:c r="J8" s="5" t="str">
        <ns0:f>IF(A8="","",I8+Inputs!$B$17/1440)</ns0:f>
        <ns0:v/>
      </ns0:c>
      <ns0:c r="K8" s="5" t="str">
        <ns0:f>IF(A8="","",J8+Inputs!$B$18/1440)</ns0:f>
        <ns0:v/>
      </ns0:c>
      <ns0:c r="L8" s="5" t="str">
        <ns0:f>IF(A8="","",J8+Inputs!$B$19/1440)</ns0:f>
        <ns0:v/>
      </ns0:c>
      <ns0:c r="M8" s="5" t="str">
        <ns0:f>IF(A8="","",L8+Inputs!$B$20/1440)</ns0:f>
        <ns0:v/>
      </ns0:c>
      <ns0:c r="N8" s="5" t="str">
        <ns0:f>IF(A8="","",M8+Inputs!$B$21/1440)</ns0:f>
        <ns0:v/>
      </ns0:c>
      <ns0:c r="O8" s="4" t="str">
        <ns0:f>IF(A8="","",MOD(A8-1,Inputs!$B$33)+1)</ns0:f>
        <ns0:v/>
      </ns0:c>
    </ns0:row>
    <ns0:row r="9">
      <ns0:c r="A9" s="4" t="str">
        <ns0:f>IF(7&lt;=Scenarios!B2,7,"")</ns0:f>
        <ns0:v/>
      </ns0:c>
      <ns0:c r="B9" s="5" t="str">
        <ns0:f>IF(A9="","",(Inputs!$B$9+(A9-1)*Scenarios!D2)/1440)</ns0:f>
        <ns0:v/>
      </ns0:c>
      <ns0:c r="C9" s="5" t="str">
        <ns0:f>IF(A9="","",B9+Inputs!$B$10/1440)</ns0:f>
        <ns0:v/>
      </ns0:c>
      <ns0:c r="D9" s="5" t="str">
        <ns0:f>IF(A9="","",C9+Inputs!$B$11/1440)</ns0:f>
        <ns0:v/>
      </ns0:c>
      <ns0:c r="E9" s="5" t="str">
        <ns0:f>IF(A9="","",D9+Inputs!$B$12/1440)</ns0:f>
        <ns0:v/>
      </ns0:c>
      <ns0:c r="F9" s="5" t="str">
        <ns0:f>IF(A9="","",E9+Inputs!$B$13/1440)</ns0:f>
        <ns0:v/>
      </ns0:c>
      <ns0:c r="G9" s="5" t="str">
        <ns0:f>IF(A9="","",F9+Inputs!$B$14/1440)</ns0:f>
        <ns0:v/>
      </ns0:c>
      <ns0:c r="H9" s="5" t="str">
        <ns0:f>IF(A9="","",G9+Inputs!$B$15/1440)</ns0:f>
        <ns0:v/>
      </ns0:c>
      <ns0:c r="I9" s="5" t="str">
        <ns0:f>IF(A9="","",H9+Inputs!$B$16/1440)</ns0:f>
        <ns0:v/>
      </ns0:c>
      <ns0:c r="J9" s="5" t="str">
        <ns0:f>IF(A9="","",I9+Inputs!$B$17/1440)</ns0:f>
        <ns0:v/>
      </ns0:c>
      <ns0:c r="K9" s="5" t="str">
        <ns0:f>IF(A9="","",J9+Inputs!$B$18/1440)</ns0:f>
        <ns0:v/>
      </ns0:c>
      <ns0:c r="L9" s="5" t="str">
        <ns0:f>IF(A9="","",J9+Inputs!$B$19/1440)</ns0:f>
        <ns0:v/>
      </ns0:c>
      <ns0:c r="M9" s="5" t="str">
        <ns0:f>IF(A9="","",L9+Inputs!$B$20/1440)</ns0:f>
        <ns0:v/>
      </ns0:c>
      <ns0:c r="N9" s="5" t="str">
        <ns0:f>IF(A9="","",M9+Inputs!$B$21/1440)</ns0:f>
        <ns0:v/>
      </ns0:c>
      <ns0:c r="O9" s="4" t="str">
        <ns0:f>IF(A9="","",MOD(A9-1,Inputs!$B$33)+1)</ns0:f>
        <ns0:v/>
      </ns0:c>
    </ns0:row>
    <ns0:row r="10">
      <ns0:c r="A10" s="4" t="str">
        <ns0:f>IF(8&lt;=Scenarios!B2,8,"")</ns0:f>
        <ns0:v/>
      </ns0:c>
      <ns0:c r="B10" s="5" t="str">
        <ns0:f>IF(A10="","",(Inputs!$B$9+(A10-1)*Scenarios!D2)/1440)</ns0:f>
        <ns0:v/>
      </ns0:c>
      <ns0:c r="C10" s="5" t="str">
        <ns0:f>IF(A10="","",B10+Inputs!$B$10/1440)</ns0:f>
        <ns0:v/>
      </ns0:c>
      <ns0:c r="D10" s="5" t="str">
        <ns0:f>IF(A10="","",C10+Inputs!$B$11/1440)</ns0:f>
        <ns0:v/>
      </ns0:c>
      <ns0:c r="E10" s="5" t="str">
        <ns0:f>IF(A10="","",D10+Inputs!$B$12/1440)</ns0:f>
        <ns0:v/>
      </ns0:c>
      <ns0:c r="F10" s="5" t="str">
        <ns0:f>IF(A10="","",E10+Inputs!$B$13/1440)</ns0:f>
        <ns0:v/>
      </ns0:c>
      <ns0:c r="G10" s="5" t="str">
        <ns0:f>IF(A10="","",F10+Inputs!$B$14/1440)</ns0:f>
        <ns0:v/>
      </ns0:c>
      <ns0:c r="H10" s="5" t="str">
        <ns0:f>IF(A10="","",G10+Inputs!$B$15/1440)</ns0:f>
        <ns0:v/>
      </ns0:c>
      <ns0:c r="I10" s="5" t="str">
        <ns0:f>IF(A10="","",H10+Inputs!$B$16/1440)</ns0:f>
        <ns0:v/>
      </ns0:c>
      <ns0:c r="J10" s="5" t="str">
        <ns0:f>IF(A10="","",I10+Inputs!$B$17/1440)</ns0:f>
        <ns0:v/>
      </ns0:c>
      <ns0:c r="K10" s="5" t="str">
        <ns0:f>IF(A10="","",J10+Inputs!$B$18/1440)</ns0:f>
        <ns0:v/>
      </ns0:c>
      <ns0:c r="L10" s="5" t="str">
        <ns0:f>IF(A10="","",J10+Inputs!$B$19/1440)</ns0:f>
        <ns0:v/>
      </ns0:c>
      <ns0:c r="M10" s="5" t="str">
        <ns0:f>IF(A10="","",L10+Inputs!$B$20/1440)</ns0:f>
        <ns0:v/>
      </ns0:c>
      <ns0:c r="N10" s="5" t="str">
        <ns0:f>IF(A10="","",M10+Inputs!$B$21/1440)</ns0:f>
        <ns0:v/>
      </ns0:c>
      <ns0:c r="O10" s="4" t="str">
        <ns0:f>IF(A10="","",MOD(A10-1,Inputs!$B$33)+1)</ns0:f>
        <ns0:v/>
      </ns0:c>
    </ns0:row>
    <ns0:row r="11">
      <ns0:c r="A11" s="4" t="str">
        <ns0:f>IF(9&lt;=Scenarios!B2,9,"")</ns0:f>
        <ns0:v/>
      </ns0:c>
      <ns0:c r="B11" s="5" t="str">
        <ns0:f>IF(A11="","",(Inputs!$B$9+(A11-1)*Scenarios!D2)/1440)</ns0:f>
        <ns0:v/>
      </ns0:c>
      <ns0:c r="C11" s="5" t="str">
        <ns0:f>IF(A11="","",B11+Inputs!$B$10/1440)</ns0:f>
        <ns0:v/>
      </ns0:c>
      <ns0:c r="D11" s="5" t="str">
        <ns0:f>IF(A11="","",C11+Inputs!$B$11/1440)</ns0:f>
        <ns0:v/>
      </ns0:c>
      <ns0:c r="E11" s="5" t="str">
        <ns0:f>IF(A11="","",D11+Inputs!$B$12/1440)</ns0:f>
        <ns0:v/>
      </ns0:c>
      <ns0:c r="F11" s="5" t="str">
        <ns0:f>IF(A11="","",E11+Inputs!$B$13/1440)</ns0:f>
        <ns0:v/>
      </ns0:c>
      <ns0:c r="G11" s="5" t="str">
        <ns0:f>IF(A11="","",F11+Inputs!$B$14/1440)</ns0:f>
        <ns0:v/>
      </ns0:c>
      <ns0:c r="H11" s="5" t="str">
        <ns0:f>IF(A11="","",G11+Inputs!$B$15/1440)</ns0:f>
        <ns0:v/>
      </ns0:c>
      <ns0:c r="I11" s="5" t="str">
        <ns0:f>IF(A11="","",H11+Inputs!$B$16/1440)</ns0:f>
        <ns0:v/>
      </ns0:c>
      <ns0:c r="J11" s="5" t="str">
        <ns0:f>IF(A11="","",I11+Inputs!$B$17/1440)</ns0:f>
        <ns0:v/>
      </ns0:c>
      <ns0:c r="K11" s="5" t="str">
        <ns0:f>IF(A11="","",J11+Inputs!$B$18/1440)</ns0:f>
        <ns0:v/>
      </ns0:c>
      <ns0:c r="L11" s="5" t="str">
        <ns0:f>IF(A11="","",J11+Inputs!$B$19/1440)</ns0:f>
        <ns0:v/>
      </ns0:c>
      <ns0:c r="M11" s="5" t="str">
        <ns0:f>IF(A11="","",L11+Inputs!$B$20/1440)</ns0:f>
        <ns0:v/>
      </ns0:c>
      <ns0:c r="N11" s="5" t="str">
        <ns0:f>IF(A11="","",M11+Inputs!$B$21/1440)</ns0:f>
        <ns0:v/>
      </ns0:c>
      <ns0:c r="O11" s="4" t="str">
        <ns0:f>IF(A11="","",MOD(A11-1,Inputs!$B$33)+1)</ns0:f>
        <ns0:v/>
      </ns0:c>
    </ns0:row>
    <ns0:row r="12">
      <ns0:c r="A12" s="4" t="str">
        <ns0:f>IF(10&lt;=Scenarios!B2,10,"")</ns0:f>
        <ns0:v/>
      </ns0:c>
      <ns0:c r="B12" s="5" t="str">
        <ns0:f>IF(A12="","",(Inputs!$B$9+(A12-1)*Scenarios!D2)/1440)</ns0:f>
        <ns0:v/>
      </ns0:c>
      <ns0:c r="C12" s="5" t="str">
        <ns0:f>IF(A12="","",B12+Inputs!$B$10/1440)</ns0:f>
        <ns0:v/>
      </ns0:c>
      <ns0:c r="D12" s="5" t="str">
        <ns0:f>IF(A12="","",C12+Inputs!$B$11/1440)</ns0:f>
        <ns0:v/>
      </ns0:c>
      <ns0:c r="E12" s="5" t="str">
        <ns0:f>IF(A12="","",D12+Inputs!$B$12/1440)</ns0:f>
        <ns0:v/>
      </ns0:c>
      <ns0:c r="F12" s="5" t="str">
        <ns0:f>IF(A12="","",E12+Inputs!$B$13/1440)</ns0:f>
        <ns0:v/>
      </ns0:c>
      <ns0:c r="G12" s="5" t="str">
        <ns0:f>IF(A12="","",F12+Inputs!$B$14/1440)</ns0:f>
        <ns0:v/>
      </ns0:c>
      <ns0:c r="H12" s="5" t="str">
        <ns0:f>IF(A12="","",G12+Inputs!$B$15/1440)</ns0:f>
        <ns0:v/>
      </ns0:c>
      <ns0:c r="I12" s="5" t="str">
        <ns0:f>IF(A12="","",H12+Inputs!$B$16/1440)</ns0:f>
        <ns0:v/>
      </ns0:c>
      <ns0:c r="J12" s="5" t="str">
        <ns0:f>IF(A12="","",I12+Inputs!$B$17/1440)</ns0:f>
        <ns0:v/>
      </ns0:c>
      <ns0:c r="K12" s="5" t="str">
        <ns0:f>IF(A12="","",J12+Inputs!$B$18/1440)</ns0:f>
        <ns0:v/>
      </ns0:c>
      <ns0:c r="L12" s="5" t="str">
        <ns0:f>IF(A12="","",J12+Inputs!$B$19/1440)</ns0:f>
        <ns0:v/>
      </ns0:c>
      <ns0:c r="M12" s="5" t="str">
        <ns0:f>IF(A12="","",L12+Inputs!$B$20/1440)</ns0:f>
        <ns0:v/>
      </ns0:c>
      <ns0:c r="N12" s="5" t="str">
        <ns0:f>IF(A12="","",M12+Inputs!$B$21/1440)</ns0:f>
        <ns0:v/>
      </ns0:c>
      <ns0:c r="O12" s="4" t="str">
        <ns0:f>IF(A12="","",MOD(A12-1,Inputs!$B$33)+1)</ns0:f>
        <ns0:v/>
      </ns0:c>
    </ns0:row>
    <ns0:row r="13">
      <ns0:c r="A13" s="4" t="str">
        <ns0:f>IF(11&lt;=Scenarios!B2,11,"")</ns0:f>
        <ns0:v/>
      </ns0:c>
      <ns0:c r="B13" s="5" t="str">
        <ns0:f>IF(A13="","",(Inputs!$B$9+(A13-1)*Scenarios!D2)/1440)</ns0:f>
        <ns0:v/>
      </ns0:c>
      <ns0:c r="C13" s="5" t="str">
        <ns0:f>IF(A13="","",B13+Inputs!$B$10/1440)</ns0:f>
        <ns0:v/>
      </ns0:c>
      <ns0:c r="D13" s="5" t="str">
        <ns0:f>IF(A13="","",C13+Inputs!$B$11/1440)</ns0:f>
        <ns0:v/>
      </ns0:c>
      <ns0:c r="E13" s="5" t="str">
        <ns0:f>IF(A13="","",D13+Inputs!$B$12/1440)</ns0:f>
        <ns0:v/>
      </ns0:c>
      <ns0:c r="F13" s="5" t="str">
        <ns0:f>IF(A13="","",E13+Inputs!$B$13/1440)</ns0:f>
        <ns0:v/>
      </ns0:c>
      <ns0:c r="G13" s="5" t="str">
        <ns0:f>IF(A13="","",F13+Inputs!$B$14/1440)</ns0:f>
        <ns0:v/>
      </ns0:c>
      <ns0:c r="H13" s="5" t="str">
        <ns0:f>IF(A13="","",G13+Inputs!$B$15/1440)</ns0:f>
        <ns0:v/>
      </ns0:c>
      <ns0:c r="I13" s="5" t="str">
        <ns0:f>IF(A13="","",H13+Inputs!$B$16/1440)</ns0:f>
        <ns0:v/>
      </ns0:c>
      <ns0:c r="J13" s="5" t="str">
        <ns0:f>IF(A13="","",I13+Inputs!$B$17/1440)</ns0:f>
        <ns0:v/>
      </ns0:c>
      <ns0:c r="K13" s="5" t="str">
        <ns0:f>IF(A13="","",J13+Inputs!$B$18/1440)</ns0:f>
        <ns0:v/>
      </ns0:c>
      <ns0:c r="L13" s="5" t="str">
        <ns0:f>IF(A13="","",J13+Inputs!$B$19/1440)</ns0:f>
        <ns0:v/>
      </ns0:c>
      <ns0:c r="M13" s="5" t="str">
        <ns0:f>IF(A13="","",L13+Inputs!$B$20/1440)</ns0:f>
        <ns0:v/>
      </ns0:c>
      <ns0:c r="N13" s="5" t="str">
        <ns0:f>IF(A13="","",M13+Inputs!$B$21/1440)</ns0:f>
        <ns0:v/>
      </ns0:c>
      <ns0:c r="O13" s="4" t="str">
        <ns0:f>IF(A13="","",MOD(A13-1,Inputs!$B$33)+1)</ns0:f>
        <ns0:v/>
      </ns0:c>
    </ns0:row>
    <ns0:row r="14">
      <ns0:c r="A14" s="4" t="str">
        <ns0:f>IF(12&lt;=Scenarios!B2,12,"")</ns0:f>
        <ns0:v/>
      </ns0:c>
      <ns0:c r="B14" s="5" t="str">
        <ns0:f>IF(A14="","",(Inputs!$B$9+(A14-1)*Scenarios!D2)/1440)</ns0:f>
        <ns0:v/>
      </ns0:c>
      <ns0:c r="C14" s="5" t="str">
        <ns0:f>IF(A14="","",B14+Inputs!$B$10/1440)</ns0:f>
        <ns0:v/>
      </ns0:c>
      <ns0:c r="D14" s="5" t="str">
        <ns0:f>IF(A14="","",C14+Inputs!$B$11/1440)</ns0:f>
        <ns0:v/>
      </ns0:c>
      <ns0:c r="E14" s="5" t="str">
        <ns0:f>IF(A14="","",D14+Inputs!$B$12/1440)</ns0:f>
        <ns0:v/>
      </ns0:c>
      <ns0:c r="F14" s="5" t="str">
        <ns0:f>IF(A14="","",E14+Inputs!$B$13/1440)</ns0:f>
        <ns0:v/>
      </ns0:c>
      <ns0:c r="G14" s="5" t="str">
        <ns0:f>IF(A14="","",F14+Inputs!$B$14/1440)</ns0:f>
        <ns0:v/>
      </ns0:c>
      <ns0:c r="H14" s="5" t="str">
        <ns0:f>IF(A14="","",G14+Inputs!$B$15/1440)</ns0:f>
        <ns0:v/>
      </ns0:c>
      <ns0:c r="I14" s="5" t="str">
        <ns0:f>IF(A14="","",H14+Inputs!$B$16/1440)</ns0:f>
        <ns0:v/>
      </ns0:c>
      <ns0:c r="J14" s="5" t="str">
        <ns0:f>IF(A14="","",I14+Inputs!$B$17/1440)</ns0:f>
        <ns0:v/>
      </ns0:c>
      <ns0:c r="K14" s="5" t="str">
        <ns0:f>IF(A14="","",J14+Inputs!$B$18/1440)</ns0:f>
        <ns0:v/>
      </ns0:c>
      <ns0:c r="L14" s="5" t="str">
        <ns0:f>IF(A14="","",J14+Inputs!$B$19/1440)</ns0:f>
        <ns0:v/>
      </ns0:c>
      <ns0:c r="M14" s="5" t="str">
        <ns0:f>IF(A14="","",L14+Inputs!$B$20/1440)</ns0:f>
        <ns0:v/>
      </ns0:c>
      <ns0:c r="N14" s="5" t="str">
        <ns0:f>IF(A14="","",M14+Inputs!$B$21/1440)</ns0:f>
        <ns0:v/>
      </ns0:c>
      <ns0:c r="O14" s="4" t="str">
        <ns0:f>IF(A14="","",MOD(A14-1,Inputs!$B$33)+1)</ns0:f>
        <ns0:v/>
      </ns0:c>
    </ns0:row>
    <ns0:row r="15">
      <ns0:c r="A15" s="4" t="str">
        <ns0:f>IF(13&lt;=Scenarios!B2,13,"")</ns0:f>
        <ns0:v/>
      </ns0:c>
      <ns0:c r="B15" s="5" t="str">
        <ns0:f>IF(A15="","",(Inputs!$B$9+(A15-1)*Scenarios!D2)/1440)</ns0:f>
        <ns0:v/>
      </ns0:c>
      <ns0:c r="C15" s="5" t="str">
        <ns0:f>IF(A15="","",B15+Inputs!$B$10/1440)</ns0:f>
        <ns0:v/>
      </ns0:c>
      <ns0:c r="D15" s="5" t="str">
        <ns0:f>IF(A15="","",C15+Inputs!$B$11/1440)</ns0:f>
        <ns0:v/>
      </ns0:c>
      <ns0:c r="E15" s="5" t="str">
        <ns0:f>IF(A15="","",D15+Inputs!$B$12/1440)</ns0:f>
        <ns0:v/>
      </ns0:c>
      <ns0:c r="F15" s="5" t="str">
        <ns0:f>IF(A15="","",E15+Inputs!$B$13/1440)</ns0:f>
        <ns0:v/>
      </ns0:c>
      <ns0:c r="G15" s="5" t="str">
        <ns0:f>IF(A15="","",F15+Inputs!$B$14/1440)</ns0:f>
        <ns0:v/>
      </ns0:c>
      <ns0:c r="H15" s="5" t="str">
        <ns0:f>IF(A15="","",G15+Inputs!$B$15/1440)</ns0:f>
        <ns0:v/>
      </ns0:c>
      <ns0:c r="I15" s="5" t="str">
        <ns0:f>IF(A15="","",H15+Inputs!$B$16/1440)</ns0:f>
        <ns0:v/>
      </ns0:c>
      <ns0:c r="J15" s="5" t="str">
        <ns0:f>IF(A15="","",I15+Inputs!$B$17/1440)</ns0:f>
        <ns0:v/>
      </ns0:c>
      <ns0:c r="K15" s="5" t="str">
        <ns0:f>IF(A15="","",J15+Inputs!$B$18/1440)</ns0:f>
        <ns0:v/>
      </ns0:c>
      <ns0:c r="L15" s="5" t="str">
        <ns0:f>IF(A15="","",J15+Inputs!$B$19/1440)</ns0:f>
        <ns0:v/>
      </ns0:c>
      <ns0:c r="M15" s="5" t="str">
        <ns0:f>IF(A15="","",L15+Inputs!$B$20/1440)</ns0:f>
        <ns0:v/>
      </ns0:c>
      <ns0:c r="N15" s="5" t="str">
        <ns0:f>IF(A15="","",M15+Inputs!$B$21/1440)</ns0:f>
        <ns0:v/>
      </ns0:c>
      <ns0:c r="O15" s="4" t="str">
        <ns0:f>IF(A15="","",MOD(A15-1,Inputs!$B$33)+1)</ns0:f>
        <ns0:v/>
      </ns0:c>
    </ns0:row>
    <ns0:row r="16">
      <ns0:c r="A16" s="4" t="str">
        <ns0:f>IF(14&lt;=Scenarios!B2,14,"")</ns0:f>
        <ns0:v/>
      </ns0:c>
      <ns0:c r="B16" s="5" t="str">
        <ns0:f>IF(A16="","",(Inputs!$B$9+(A16-1)*Scenarios!D2)/1440)</ns0:f>
        <ns0:v/>
      </ns0:c>
      <ns0:c r="C16" s="5" t="str">
        <ns0:f>IF(A16="","",B16+Inputs!$B$10/1440)</ns0:f>
        <ns0:v/>
      </ns0:c>
      <ns0:c r="D16" s="5" t="str">
        <ns0:f>IF(A16="","",C16+Inputs!$B$11/1440)</ns0:f>
        <ns0:v/>
      </ns0:c>
      <ns0:c r="E16" s="5" t="str">
        <ns0:f>IF(A16="","",D16+Inputs!$B$12/1440)</ns0:f>
        <ns0:v/>
      </ns0:c>
      <ns0:c r="F16" s="5" t="str">
        <ns0:f>IF(A16="","",E16+Inputs!$B$13/1440)</ns0:f>
        <ns0:v/>
      </ns0:c>
      <ns0:c r="G16" s="5" t="str">
        <ns0:f>IF(A16="","",F16+Inputs!$B$14/1440)</ns0:f>
        <ns0:v/>
      </ns0:c>
      <ns0:c r="H16" s="5" t="str">
        <ns0:f>IF(A16="","",G16+Inputs!$B$15/1440)</ns0:f>
        <ns0:v/>
      </ns0:c>
      <ns0:c r="I16" s="5" t="str">
        <ns0:f>IF(A16="","",H16+Inputs!$B$16/1440)</ns0:f>
        <ns0:v/>
      </ns0:c>
      <ns0:c r="J16" s="5" t="str">
        <ns0:f>IF(A16="","",I16+Inputs!$B$17/1440)</ns0:f>
        <ns0:v/>
      </ns0:c>
      <ns0:c r="K16" s="5" t="str">
        <ns0:f>IF(A16="","",J16+Inputs!$B$18/1440)</ns0:f>
        <ns0:v/>
      </ns0:c>
      <ns0:c r="L16" s="5" t="str">
        <ns0:f>IF(A16="","",J16+Inputs!$B$19/1440)</ns0:f>
        <ns0:v/>
      </ns0:c>
      <ns0:c r="M16" s="5" t="str">
        <ns0:f>IF(A16="","",L16+Inputs!$B$20/1440)</ns0:f>
        <ns0:v/>
      </ns0:c>
      <ns0:c r="N16" s="5" t="str">
        <ns0:f>IF(A16="","",M16+Inputs!$B$21/1440)</ns0:f>
        <ns0:v/>
      </ns0:c>
      <ns0:c r="O16" s="4" t="str">
        <ns0:f>IF(A16="","",MOD(A16-1,Inputs!$B$33)+1)</ns0:f>
        <ns0:v/>
      </ns0:c>
    </ns0:row>
    <ns0:row r="17">
      <ns0:c r="A17" s="4" t="str">
        <ns0:f>IF(15&lt;=Scenarios!B2,15,"")</ns0:f>
        <ns0:v/>
      </ns0:c>
      <ns0:c r="B17" s="5" t="str">
        <ns0:f>IF(A17="","",(Inputs!$B$9+(A17-1)*Scenarios!D2)/1440)</ns0:f>
        <ns0:v/>
      </ns0:c>
      <ns0:c r="C17" s="5" t="str">
        <ns0:f>IF(A17="","",B17+Inputs!$B$10/1440)</ns0:f>
        <ns0:v/>
      </ns0:c>
      <ns0:c r="D17" s="5" t="str">
        <ns0:f>IF(A17="","",C17+Inputs!$B$11/1440)</ns0:f>
        <ns0:v/>
      </ns0:c>
      <ns0:c r="E17" s="5" t="str">
        <ns0:f>IF(A17="","",D17+Inputs!$B$12/1440)</ns0:f>
        <ns0:v/>
      </ns0:c>
      <ns0:c r="F17" s="5" t="str">
        <ns0:f>IF(A17="","",E17+Inputs!$B$13/1440)</ns0:f>
        <ns0:v/>
      </ns0:c>
      <ns0:c r="G17" s="5" t="str">
        <ns0:f>IF(A17="","",F17+Inputs!$B$14/1440)</ns0:f>
        <ns0:v/>
      </ns0:c>
      <ns0:c r="H17" s="5" t="str">
        <ns0:f>IF(A17="","",G17+Inputs!$B$15/1440)</ns0:f>
        <ns0:v/>
      </ns0:c>
      <ns0:c r="I17" s="5" t="str">
        <ns0:f>IF(A17="","",H17+Inputs!$B$16/1440)</ns0:f>
        <ns0:v/>
      </ns0:c>
      <ns0:c r="J17" s="5" t="str">
        <ns0:f>IF(A17="","",I17+Inputs!$B$17/1440)</ns0:f>
        <ns0:v/>
      </ns0:c>
      <ns0:c r="K17" s="5" t="str">
        <ns0:f>IF(A17="","",J17+Inputs!$B$18/1440)</ns0:f>
        <ns0:v/>
      </ns0:c>
      <ns0:c r="L17" s="5" t="str">
        <ns0:f>IF(A17="","",J17+Inputs!$B$19/1440)</ns0:f>
        <ns0:v/>
      </ns0:c>
      <ns0:c r="M17" s="5" t="str">
        <ns0:f>IF(A17="","",L17+Inputs!$B$20/1440)</ns0:f>
        <ns0:v/>
      </ns0:c>
      <ns0:c r="N17" s="5" t="str">
        <ns0:f>IF(A17="","",M17+Inputs!$B$21/1440)</ns0:f>
        <ns0:v/>
      </ns0:c>
      <ns0:c r="O17" s="4" t="str">
        <ns0:f>IF(A17="","",MOD(A17-1,Inputs!$B$33)+1)</ns0:f>
        <ns0:v/>
      </ns0:c>
    </ns0:row>
    <ns0:row r="18">
      <ns0:c r="A18" s="4" t="str">
        <ns0:f>IF(16&lt;=Scenarios!B2,16,"")</ns0:f>
        <ns0:v/>
      </ns0:c>
      <ns0:c r="B18" s="5" t="str">
        <ns0:f>IF(A18="","",(Inputs!$B$9+(A18-1)*Scenarios!D2)/1440)</ns0:f>
        <ns0:v/>
      </ns0:c>
      <ns0:c r="C18" s="5" t="str">
        <ns0:f>IF(A18="","",B18+Inputs!$B$10/1440)</ns0:f>
        <ns0:v/>
      </ns0:c>
      <ns0:c r="D18" s="5" t="str">
        <ns0:f>IF(A18="","",C18+Inputs!$B$11/1440)</ns0:f>
        <ns0:v/>
      </ns0:c>
      <ns0:c r="E18" s="5" t="str">
        <ns0:f>IF(A18="","",D18+Inputs!$B$12/1440)</ns0:f>
        <ns0:v/>
      </ns0:c>
      <ns0:c r="F18" s="5" t="str">
        <ns0:f>IF(A18="","",E18+Inputs!$B$13/1440)</ns0:f>
        <ns0:v/>
      </ns0:c>
      <ns0:c r="G18" s="5" t="str">
        <ns0:f>IF(A18="","",F18+Inputs!$B$14/1440)</ns0:f>
        <ns0:v/>
      </ns0:c>
      <ns0:c r="H18" s="5" t="str">
        <ns0:f>IF(A18="","",G18+Inputs!$B$15/1440)</ns0:f>
        <ns0:v/>
      </ns0:c>
      <ns0:c r="I18" s="5" t="str">
        <ns0:f>IF(A18="","",H18+Inputs!$B$16/1440)</ns0:f>
        <ns0:v/>
      </ns0:c>
      <ns0:c r="J18" s="5" t="str">
        <ns0:f>IF(A18="","",I18+Inputs!$B$17/1440)</ns0:f>
        <ns0:v/>
      </ns0:c>
      <ns0:c r="K18" s="5" t="str">
        <ns0:f>IF(A18="","",J18+Inputs!$B$18/1440)</ns0:f>
        <ns0:v/>
      </ns0:c>
      <ns0:c r="L18" s="5" t="str">
        <ns0:f>IF(A18="","",J18+Inputs!$B$19/1440)</ns0:f>
        <ns0:v/>
      </ns0:c>
      <ns0:c r="M18" s="5" t="str">
        <ns0:f>IF(A18="","",L18+Inputs!$B$20/1440)</ns0:f>
        <ns0:v/>
      </ns0:c>
      <ns0:c r="N18" s="5" t="str">
        <ns0:f>IF(A18="","",M18+Inputs!$B$21/1440)</ns0:f>
        <ns0:v/>
      </ns0:c>
      <ns0:c r="O18" s="4" t="str">
        <ns0:f>IF(A18="","",MOD(A18-1,Inputs!$B$33)+1)</ns0:f>
        <ns0:v/>
      </ns0:c>
    </ns0:row>
    <ns0:row r="19">
      <ns0:c r="A19" s="4" t="str">
        <ns0:f>IF(17&lt;=Scenarios!B2,17,"")</ns0:f>
        <ns0:v/>
      </ns0:c>
      <ns0:c r="B19" s="5" t="str">
        <ns0:f>IF(A19="","",(Inputs!$B$9+(A19-1)*Scenarios!D2)/1440)</ns0:f>
        <ns0:v/>
      </ns0:c>
      <ns0:c r="C19" s="5" t="str">
        <ns0:f>IF(A19="","",B19+Inputs!$B$10/1440)</ns0:f>
        <ns0:v/>
      </ns0:c>
      <ns0:c r="D19" s="5" t="str">
        <ns0:f>IF(A19="","",C19+Inputs!$B$11/1440)</ns0:f>
        <ns0:v/>
      </ns0:c>
      <ns0:c r="E19" s="5" t="str">
        <ns0:f>IF(A19="","",D19+Inputs!$B$12/1440)</ns0:f>
        <ns0:v/>
      </ns0:c>
      <ns0:c r="F19" s="5" t="str">
        <ns0:f>IF(A19="","",E19+Inputs!$B$13/1440)</ns0:f>
        <ns0:v/>
      </ns0:c>
      <ns0:c r="G19" s="5" t="str">
        <ns0:f>IF(A19="","",F19+Inputs!$B$14/1440)</ns0:f>
        <ns0:v/>
      </ns0:c>
      <ns0:c r="H19" s="5" t="str">
        <ns0:f>IF(A19="","",G19+Inputs!$B$15/1440)</ns0:f>
        <ns0:v/>
      </ns0:c>
      <ns0:c r="I19" s="5" t="str">
        <ns0:f>IF(A19="","",H19+Inputs!$B$16/1440)</ns0:f>
        <ns0:v/>
      </ns0:c>
      <ns0:c r="J19" s="5" t="str">
        <ns0:f>IF(A19="","",I19+Inputs!$B$17/1440)</ns0:f>
        <ns0:v/>
      </ns0:c>
      <ns0:c r="K19" s="5" t="str">
        <ns0:f>IF(A19="","",J19+Inputs!$B$18/1440)</ns0:f>
        <ns0:v/>
      </ns0:c>
      <ns0:c r="L19" s="5" t="str">
        <ns0:f>IF(A19="","",J19+Inputs!$B$19/1440)</ns0:f>
        <ns0:v/>
      </ns0:c>
      <ns0:c r="M19" s="5" t="str">
        <ns0:f>IF(A19="","",L19+Inputs!$B$20/1440)</ns0:f>
        <ns0:v/>
      </ns0:c>
      <ns0:c r="N19" s="5" t="str">
        <ns0:f>IF(A19="","",M19+Inputs!$B$21/1440)</ns0:f>
        <ns0:v/>
      </ns0:c>
      <ns0:c r="O19" s="4" t="str">
        <ns0:f>IF(A19="","",MOD(A19-1,Inputs!$B$33)+1)</ns0:f>
        <ns0:v/>
      </ns0:c>
    </ns0:row>
    <ns0:row r="20">
      <ns0:c r="A20" s="4" t="str">
        <ns0:f>IF(18&lt;=Scenarios!B2,18,"")</ns0:f>
        <ns0:v/>
      </ns0:c>
      <ns0:c r="B20" s="5" t="str">
        <ns0:f>IF(A20="","",(Inputs!$B$9+(A20-1)*Scenarios!D2)/1440)</ns0:f>
        <ns0:v/>
      </ns0:c>
      <ns0:c r="C20" s="5" t="str">
        <ns0:f>IF(A20="","",B20+Inputs!$B$10/1440)</ns0:f>
        <ns0:v/>
      </ns0:c>
      <ns0:c r="D20" s="5" t="str">
        <ns0:f>IF(A20="","",C20+Inputs!$B$11/1440)</ns0:f>
        <ns0:v/>
      </ns0:c>
      <ns0:c r="E20" s="5" t="str">
        <ns0:f>IF(A20="","",D20+Inputs!$B$12/1440)</ns0:f>
        <ns0:v/>
      </ns0:c>
      <ns0:c r="F20" s="5" t="str">
        <ns0:f>IF(A20="","",E20+Inputs!$B$13/1440)</ns0:f>
        <ns0:v/>
      </ns0:c>
      <ns0:c r="G20" s="5" t="str">
        <ns0:f>IF(A20="","",F20+Inputs!$B$14/1440)</ns0:f>
        <ns0:v/>
      </ns0:c>
      <ns0:c r="H20" s="5" t="str">
        <ns0:f>IF(A20="","",G20+Inputs!$B$15/1440)</ns0:f>
        <ns0:v/>
      </ns0:c>
      <ns0:c r="I20" s="5" t="str">
        <ns0:f>IF(A20="","",H20+Inputs!$B$16/1440)</ns0:f>
        <ns0:v/>
      </ns0:c>
      <ns0:c r="J20" s="5" t="str">
        <ns0:f>IF(A20="","",I20+Inputs!$B$17/1440)</ns0:f>
        <ns0:v/>
      </ns0:c>
      <ns0:c r="K20" s="5" t="str">
        <ns0:f>IF(A20="","",J20+Inputs!$B$18/1440)</ns0:f>
        <ns0:v/>
      </ns0:c>
      <ns0:c r="L20" s="5" t="str">
        <ns0:f>IF(A20="","",J20+Inputs!$B$19/1440)</ns0:f>
        <ns0:v/>
      </ns0:c>
      <ns0:c r="M20" s="5" t="str">
        <ns0:f>IF(A20="","",L20+Inputs!$B$20/1440)</ns0:f>
        <ns0:v/>
      </ns0:c>
      <ns0:c r="N20" s="5" t="str">
        <ns0:f>IF(A20="","",M20+Inputs!$B$21/1440)</ns0:f>
        <ns0:v/>
      </ns0:c>
      <ns0:c r="O20" s="4" t="str">
        <ns0:f>IF(A20="","",MOD(A20-1,Inputs!$B$33)+1)</ns0:f>
        <ns0:v/>
      </ns0:c>
    </ns0:row>
    <ns0:row r="21">
      <ns0:c r="A21" s="4" t="str">
        <ns0:f>IF(19&lt;=Scenarios!B2,19,"")</ns0:f>
        <ns0:v/>
      </ns0:c>
      <ns0:c r="B21" s="5" t="str">
        <ns0:f>IF(A21="","",(Inputs!$B$9+(A21-1)*Scenarios!D2)/1440)</ns0:f>
        <ns0:v/>
      </ns0:c>
      <ns0:c r="C21" s="5" t="str">
        <ns0:f>IF(A21="","",B21+Inputs!$B$10/1440)</ns0:f>
        <ns0:v/>
      </ns0:c>
      <ns0:c r="D21" s="5" t="str">
        <ns0:f>IF(A21="","",C21+Inputs!$B$11/1440)</ns0:f>
        <ns0:v/>
      </ns0:c>
      <ns0:c r="E21" s="5" t="str">
        <ns0:f>IF(A21="","",D21+Inputs!$B$12/1440)</ns0:f>
        <ns0:v/>
      </ns0:c>
      <ns0:c r="F21" s="5" t="str">
        <ns0:f>IF(A21="","",E21+Inputs!$B$13/1440)</ns0:f>
        <ns0:v/>
      </ns0:c>
      <ns0:c r="G21" s="5" t="str">
        <ns0:f>IF(A21="","",F21+Inputs!$B$14/1440)</ns0:f>
        <ns0:v/>
      </ns0:c>
      <ns0:c r="H21" s="5" t="str">
        <ns0:f>IF(A21="","",G21+Inputs!$B$15/1440)</ns0:f>
        <ns0:v/>
      </ns0:c>
      <ns0:c r="I21" s="5" t="str">
        <ns0:f>IF(A21="","",H21+Inputs!$B$16/1440)</ns0:f>
        <ns0:v/>
      </ns0:c>
      <ns0:c r="J21" s="5" t="str">
        <ns0:f>IF(A21="","",I21+Inputs!$B$17/1440)</ns0:f>
        <ns0:v/>
      </ns0:c>
      <ns0:c r="K21" s="5" t="str">
        <ns0:f>IF(A21="","",J21+Inputs!$B$18/1440)</ns0:f>
        <ns0:v/>
      </ns0:c>
      <ns0:c r="L21" s="5" t="str">
        <ns0:f>IF(A21="","",J21+Inputs!$B$19/1440)</ns0:f>
        <ns0:v/>
      </ns0:c>
      <ns0:c r="M21" s="5" t="str">
        <ns0:f>IF(A21="","",L21+Inputs!$B$20/1440)</ns0:f>
        <ns0:v/>
      </ns0:c>
      <ns0:c r="N21" s="5" t="str">
        <ns0:f>IF(A21="","",M21+Inputs!$B$21/1440)</ns0:f>
        <ns0:v/>
      </ns0:c>
      <ns0:c r="O21" s="4" t="str">
        <ns0:f>IF(A21="","",MOD(A21-1,Inputs!$B$33)+1)</ns0:f>
        <ns0:v/>
      </ns0:c>
    </ns0:row>
    <ns0:row r="22">
      <ns0:c r="A22" s="4" t="str">
        <ns0:f>IF(20&lt;=Scenarios!B2,20,"")</ns0:f>
        <ns0:v/>
      </ns0:c>
      <ns0:c r="B22" s="5" t="str">
        <ns0:f>IF(A22="","",(Inputs!$B$9+(A22-1)*Scenarios!D2)/1440)</ns0:f>
        <ns0:v/>
      </ns0:c>
      <ns0:c r="C22" s="5" t="str">
        <ns0:f>IF(A22="","",B22+Inputs!$B$10/1440)</ns0:f>
        <ns0:v/>
      </ns0:c>
      <ns0:c r="D22" s="5" t="str">
        <ns0:f>IF(A22="","",C22+Inputs!$B$11/1440)</ns0:f>
        <ns0:v/>
      </ns0:c>
      <ns0:c r="E22" s="5" t="str">
        <ns0:f>IF(A22="","",D22+Inputs!$B$12/1440)</ns0:f>
        <ns0:v/>
      </ns0:c>
      <ns0:c r="F22" s="5" t="str">
        <ns0:f>IF(A22="","",E22+Inputs!$B$13/1440)</ns0:f>
        <ns0:v/>
      </ns0:c>
      <ns0:c r="G22" s="5" t="str">
        <ns0:f>IF(A22="","",F22+Inputs!$B$14/1440)</ns0:f>
        <ns0:v/>
      </ns0:c>
      <ns0:c r="H22" s="5" t="str">
        <ns0:f>IF(A22="","",G22+Inputs!$B$15/1440)</ns0:f>
        <ns0:v/>
      </ns0:c>
      <ns0:c r="I22" s="5" t="str">
        <ns0:f>IF(A22="","",H22+Inputs!$B$16/1440)</ns0:f>
        <ns0:v/>
      </ns0:c>
      <ns0:c r="J22" s="5" t="str">
        <ns0:f>IF(A22="","",I22+Inputs!$B$17/1440)</ns0:f>
        <ns0:v/>
      </ns0:c>
      <ns0:c r="K22" s="5" t="str">
        <ns0:f>IF(A22="","",J22+Inputs!$B$18/1440)</ns0:f>
        <ns0:v/>
      </ns0:c>
      <ns0:c r="L22" s="5" t="str">
        <ns0:f>IF(A22="","",J22+Inputs!$B$19/1440)</ns0:f>
        <ns0:v/>
      </ns0:c>
      <ns0:c r="M22" s="5" t="str">
        <ns0:f>IF(A22="","",L22+Inputs!$B$20/1440)</ns0:f>
        <ns0:v/>
      </ns0:c>
      <ns0:c r="N22" s="5" t="str">
        <ns0:f>IF(A22="","",M22+Inputs!$B$21/1440)</ns0:f>
        <ns0:v/>
      </ns0:c>
      <ns0:c r="O22" s="4" t="str">
        <ns0:f>IF(A22="","",MOD(A22-1,Inputs!$B$33)+1)</ns0:f>
        <ns0:v/>
      </ns0:c>
    </ns0:row>
  </ns0:sheetData>
  <ns0:autoFilter ref="A1:O22"/>
  <ns0:printOptions horizontalCentered="1"/>
  <ns0:pageMargins left="0.75" right="0.75" top="1" bottom="1" header="0.5" footer="0.5"/>
  <ns0:pageSetup orientation="landscape" paperSize="8" fitToHeight="0" fitToWidth="1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O22"/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0" customWidth="1" min="1" max="1"/>
    <ns0:col width="20" customWidth="1" min="2" max="2"/>
    <ns0:col width="20" customWidth="1" min="3" max="3"/>
    <ns0:col width="20" customWidth="1" min="4" max="4"/>
    <ns0:col width="20" customWidth="1" min="5" max="5"/>
    <ns0:col width="20" customWidth="1" min="6" max="6"/>
    <ns0:col width="20" customWidth="1" min="7" max="7"/>
    <ns0:col width="20" customWidth="1" min="8" max="8"/>
    <ns0:col width="20" customWidth="1" min="9" max="9"/>
    <ns0:col width="20" customWidth="1" min="10" max="10"/>
    <ns0:col width="20" customWidth="1" min="11" max="11"/>
    <ns0:col width="20" customWidth="1" min="12" max="12"/>
    <ns0:col width="20" customWidth="1" min="13" max="13"/>
    <ns0:col width="20" customWidth="1" min="14" max="14"/>
    <ns0:col width="20" customWidth="1" min="15" max="15"/>
  </ns0:cols>
  <ns0:sheetData>
    <ns0:row r="1">
      <ns0:c r="A1" t="inlineStr">
        <ns0:is>
          <ns0:t>PLAN-BAG-N / BAG-H2-01 / clocks depend on Inputs</ns0:t>
        </ns0:is>
      </ns0:c>
    </ns0:row>
    <ns0:row r="2" ht="44" customHeight="1">
      <ns0:c r="A2" s="1" t="inlineStr">
        <ns0:is>
          <ns0:t>Batch</ns0:t>
        </ns0:is>
      </ns0:c>
      <ns0:c r="B2" s="1" t="inlineStr">
        <ns0:is>
          <ns0:t>Mix start</ns0:t>
        </ns0:is>
      </ns0:c>
      <ns0:c r="C2" s="1" t="inlineStr">
        <ns0:is>
          <ns0:t>Mix end</ns0:t>
        </ns0:is>
      </ns0:c>
      <ns0:c r="D2" s="1" t="inlineStr">
        <ns0:is>
          <ns0:t>Bulk end/divide start</ns0:t>
        </ns0:is>
      </ns0:c>
      <ns0:c r="E2" s="1" t="inlineStr">
        <ns0:is>
          <ns0:t>Divide end/mould start</ns0:t>
        </ns0:is>
      </ns0:c>
      <ns0:c r="F2" s="1" t="inlineStr">
        <ns0:is>
          <ns0:t>Mould end/proof start</ns0:t>
        </ns0:is>
      </ns0:c>
      <ns0:c r="G2" s="1" t="inlineStr">
        <ns0:is>
          <ns0:t>Proof end/score start</ns0:t>
        </ns0:is>
      </ns0:c>
      <ns0:c r="H2" s="1" t="inlineStr">
        <ns0:is>
          <ns0:t>Loading complete</ns0:t>
        </ns0:is>
      </ns0:c>
      <ns0:c r="I2" s="1" t="inlineStr">
        <ns0:is>
          <ns0:t>Bake end</ns0:t>
        </ns0:is>
      </ns0:c>
      <ns0:c r="J2" s="1" t="inlineStr">
        <ns0:is>
          <ns0:t>Unload complete</ns0:t>
        </ns0:is>
      </ns0:c>
      <ns0:c r="K2" s="1" t="inlineStr">
        <ns0:is>
          <ns0:t>Oven recovered</ns0:t>
        </ns0:is>
      </ns0:c>
      <ns0:c r="L2" s="1" t="inlineStr">
        <ns0:is>
          <ns0:t>Cooling complete</ns0:t>
        </ns0:is>
      </ns0:c>
      <ns0:c r="M2" s="1" t="inlineStr">
        <ns0:is>
          <ns0:t>Pack release</ns0:t>
        </ns0:is>
      </ns0:c>
      <ns0:c r="N2" s="1" t="inlineStr">
        <ns0:is>
          <ns0:t>Rack set free</ns0:t>
        </ns0:is>
      </ns0:c>
      <ns0:c r="O2" s="1" t="inlineStr">
        <ns0:is>
          <ns0:t>Proof bay</ns0:t>
        </ns0:is>
      </ns0:c>
    </ns0:row>
    <ns0:row r="3">
      <ns0:c r="A3" s="4" t="n">
        <ns0:f>IF(1&lt;=Scenarios!B3,1,"")</ns0:f>
        <ns0:v>1.0</ns0:v>
      </ns0:c>
      <ns0:c r="B3" s="5" t="n">
        <ns0:f>IF(A3="","",(Inputs!$B$9+(A3-1)*Scenarios!D3)/1440)</ns0:f>
        <ns0:v>0.09722222222222222</ns0:v>
      </ns0:c>
      <ns0:c r="C3" s="5" t="n">
        <ns0:f>IF(A3="","",B3+Inputs!$B$10/1440)</ns0:f>
        <ns0:v>0.10972222222222222</ns0:v>
      </ns0:c>
      <ns0:c r="D3" s="5" t="n">
        <ns0:f>IF(A3="","",C3+Inputs!$B$11/1440)</ns0:f>
        <ns0:v>0.14097222222222222</ns0:v>
      </ns0:c>
      <ns0:c r="E3" s="5" t="n">
        <ns0:f>IF(A3="","",D3+Inputs!$B$12/1440)</ns0:f>
        <ns0:v>0.15138888888888888</ns0:v>
      </ns0:c>
      <ns0:c r="F3" s="5" t="n">
        <ns0:f>IF(A3="","",E3+Inputs!$B$13/1440)</ns0:f>
        <ns0:v>0.16180555555555554</ns0:v>
      </ns0:c>
      <ns0:c r="G3" s="5" t="n">
        <ns0:f>IF(A3="","",F3+Inputs!$B$14/1440)</ns0:f>
        <ns0:v>0.2034722222222222</ns0:v>
      </ns0:c>
      <ns0:c r="H3" s="5" t="n">
        <ns0:f>IF(A3="","",G3+Inputs!$B$15/1440)</ns0:f>
        <ns0:v>0.21041666666666664</ns0:v>
      </ns0:c>
      <ns0:c r="I3" s="5" t="n">
        <ns0:f>IF(A3="","",H3+Inputs!$B$16/1440)</ns0:f>
        <ns0:v>0.22569444444444442</ns0:v>
      </ns0:c>
      <ns0:c r="J3" s="5" t="n">
        <ns0:f>IF(A3="","",I3+Inputs!$B$17/1440)</ns0:f>
        <ns0:v>0.22777777777777775</ns0:v>
      </ns0:c>
      <ns0:c r="K3" s="5" t="n">
        <ns0:f>IF(A3="","",J3+Inputs!$B$18/1440)</ns0:f>
        <ns0:v>0.23124999999999996</ns0:v>
      </ns0:c>
      <ns0:c r="L3" s="5" t="n">
        <ns0:f>IF(A3="","",J3+Inputs!$B$19/1440)</ns0:f>
        <ns0:v>0.25902777777777775</ns0:v>
      </ns0:c>
      <ns0:c r="M3" s="5" t="n">
        <ns0:f>IF(A3="","",L3+Inputs!$B$20/1440)</ns0:f>
        <ns0:v>0.26944444444444443</ns0:v>
      </ns0:c>
      <ns0:c r="N3" s="5" t="n">
        <ns0:f>IF(A3="","",M3+Inputs!$B$21/1440)</ns0:f>
        <ns0:v>0.27638888888888885</ns0:v>
      </ns0:c>
      <ns0:c r="O3" s="4" t="n">
        <ns0:f>IF(A3="","",MOD(A3-1,Inputs!$B$33)+1)</ns0:f>
        <ns0:v>1.0</ns0:v>
      </ns0:c>
    </ns0:row>
    <ns0:row r="4">
      <ns0:c r="A4" s="4" t="n">
        <ns0:f>IF(2&lt;=Scenarios!B3,2,"")</ns0:f>
        <ns0:v>2.0</ns0:v>
      </ns0:c>
      <ns0:c r="B4" s="5" t="n">
        <ns0:f>IF(A4="","",(Inputs!$B$9+(A4-1)*Scenarios!D3)/1440)</ns0:f>
        <ns0:v>0.1284722222222222</ns0:v>
      </ns0:c>
      <ns0:c r="C4" s="5" t="n">
        <ns0:f>IF(A4="","",B4+Inputs!$B$10/1440)</ns0:f>
        <ns0:v>0.14097222222222222</ns0:v>
      </ns0:c>
      <ns0:c r="D4" s="5" t="n">
        <ns0:f>IF(A4="","",C4+Inputs!$B$11/1440)</ns0:f>
        <ns0:v>0.17222222222222222</ns0:v>
      </ns0:c>
      <ns0:c r="E4" s="5" t="n">
        <ns0:f>IF(A4="","",D4+Inputs!$B$12/1440)</ns0:f>
        <ns0:v>0.18263888888888888</ns0:v>
      </ns0:c>
      <ns0:c r="F4" s="5" t="n">
        <ns0:f>IF(A4="","",E4+Inputs!$B$13/1440)</ns0:f>
        <ns0:v>0.19305555555555554</ns0:v>
      </ns0:c>
      <ns0:c r="G4" s="5" t="n">
        <ns0:f>IF(A4="","",F4+Inputs!$B$14/1440)</ns0:f>
        <ns0:v>0.2347222222222222</ns0:v>
      </ns0:c>
      <ns0:c r="H4" s="5" t="n">
        <ns0:f>IF(A4="","",G4+Inputs!$B$15/1440)</ns0:f>
        <ns0:v>0.24166666666666664</ns0:v>
      </ns0:c>
      <ns0:c r="I4" s="5" t="n">
        <ns0:f>IF(A4="","",H4+Inputs!$B$16/1440)</ns0:f>
        <ns0:v>0.2569444444444444</ns0:v>
      </ns0:c>
      <ns0:c r="J4" s="5" t="n">
        <ns0:f>IF(A4="","",I4+Inputs!$B$17/1440)</ns0:f>
        <ns0:v>0.25902777777777775</ns0:v>
      </ns0:c>
      <ns0:c r="K4" s="5" t="n">
        <ns0:f>IF(A4="","",J4+Inputs!$B$18/1440)</ns0:f>
        <ns0:v>0.26249999999999996</ns0:v>
      </ns0:c>
      <ns0:c r="L4" s="5" t="n">
        <ns0:f>IF(A4="","",J4+Inputs!$B$19/1440)</ns0:f>
        <ns0:v>0.29027777777777775</ns0:v>
      </ns0:c>
      <ns0:c r="M4" s="5" t="n">
        <ns0:f>IF(A4="","",L4+Inputs!$B$20/1440)</ns0:f>
        <ns0:v>0.30069444444444443</ns0:v>
      </ns0:c>
      <ns0:c r="N4" s="5" t="n">
        <ns0:f>IF(A4="","",M4+Inputs!$B$21/1440)</ns0:f>
        <ns0:v>0.30763888888888885</ns0:v>
      </ns0:c>
      <ns0:c r="O4" s="4" t="n">
        <ns0:f>IF(A4="","",MOD(A4-1,Inputs!$B$33)+1)</ns0:f>
        <ns0:v>2.0</ns0:v>
      </ns0:c>
    </ns0:row>
    <ns0:row r="5">
      <ns0:c r="A5" s="4" t="n">
        <ns0:f>IF(3&lt;=Scenarios!B3,3,"")</ns0:f>
        <ns0:v>3.0</ns0:v>
      </ns0:c>
      <ns0:c r="B5" s="5" t="n">
        <ns0:f>IF(A5="","",(Inputs!$B$9+(A5-1)*Scenarios!D3)/1440)</ns0:f>
        <ns0:v>0.1597222222222222</ns0:v>
      </ns0:c>
      <ns0:c r="C5" s="5" t="n">
        <ns0:f>IF(A5="","",B5+Inputs!$B$10/1440)</ns0:f>
        <ns0:v>0.17222222222222222</ns0:v>
      </ns0:c>
      <ns0:c r="D5" s="5" t="n">
        <ns0:f>IF(A5="","",C5+Inputs!$B$11/1440)</ns0:f>
        <ns0:v>0.20347222222222222</ns0:v>
      </ns0:c>
      <ns0:c r="E5" s="5" t="n">
        <ns0:f>IF(A5="","",D5+Inputs!$B$12/1440)</ns0:f>
        <ns0:v>0.21388888888888888</ns0:v>
      </ns0:c>
      <ns0:c r="F5" s="5" t="n">
        <ns0:f>IF(A5="","",E5+Inputs!$B$13/1440)</ns0:f>
        <ns0:v>0.22430555555555554</ns0:v>
      </ns0:c>
      <ns0:c r="G5" s="5" t="n">
        <ns0:f>IF(A5="","",F5+Inputs!$B$14/1440)</ns0:f>
        <ns0:v>0.2659722222222222</ns0:v>
      </ns0:c>
      <ns0:c r="H5" s="5" t="n">
        <ns0:f>IF(A5="","",G5+Inputs!$B$15/1440)</ns0:f>
        <ns0:v>0.27291666666666664</ns0:v>
      </ns0:c>
      <ns0:c r="I5" s="5" t="n">
        <ns0:f>IF(A5="","",H5+Inputs!$B$16/1440)</ns0:f>
        <ns0:v>0.2881944444444444</ns0:v>
      </ns0:c>
      <ns0:c r="J5" s="5" t="n">
        <ns0:f>IF(A5="","",I5+Inputs!$B$17/1440)</ns0:f>
        <ns0:v>0.29027777777777775</ns0:v>
      </ns0:c>
      <ns0:c r="K5" s="5" t="n">
        <ns0:f>IF(A5="","",J5+Inputs!$B$18/1440)</ns0:f>
        <ns0:v>0.29374999999999996</ns0:v>
      </ns0:c>
      <ns0:c r="L5" s="5" t="n">
        <ns0:f>IF(A5="","",J5+Inputs!$B$19/1440)</ns0:f>
        <ns0:v>0.32152777777777775</ns0:v>
      </ns0:c>
      <ns0:c r="M5" s="5" t="n">
        <ns0:f>IF(A5="","",L5+Inputs!$B$20/1440)</ns0:f>
        <ns0:v>0.33194444444444443</ns0:v>
      </ns0:c>
      <ns0:c r="N5" s="5" t="n">
        <ns0:f>IF(A5="","",M5+Inputs!$B$21/1440)</ns0:f>
        <ns0:v>0.33888888888888885</ns0:v>
      </ns0:c>
      <ns0:c r="O5" s="4" t="n">
        <ns0:f>IF(A5="","",MOD(A5-1,Inputs!$B$33)+1)</ns0:f>
        <ns0:v>1.0</ns0:v>
      </ns0:c>
    </ns0:row>
    <ns0:row r="6">
      <ns0:c r="A6" s="4" t="n">
        <ns0:f>IF(4&lt;=Scenarios!B3,4,"")</ns0:f>
        <ns0:v>4.0</ns0:v>
      </ns0:c>
      <ns0:c r="B6" s="5" t="n">
        <ns0:f>IF(A6="","",(Inputs!$B$9+(A6-1)*Scenarios!D3)/1440)</ns0:f>
        <ns0:v>0.1909722222222222</ns0:v>
      </ns0:c>
      <ns0:c r="C6" s="5" t="n">
        <ns0:f>IF(A6="","",B6+Inputs!$B$10/1440)</ns0:f>
        <ns0:v>0.20347222222222222</ns0:v>
      </ns0:c>
      <ns0:c r="D6" s="5" t="n">
        <ns0:f>IF(A6="","",C6+Inputs!$B$11/1440)</ns0:f>
        <ns0:v>0.23472222222222222</ns0:v>
      </ns0:c>
      <ns0:c r="E6" s="5" t="n">
        <ns0:f>IF(A6="","",D6+Inputs!$B$12/1440)</ns0:f>
        <ns0:v>0.24513888888888888</ns0:v>
      </ns0:c>
      <ns0:c r="F6" s="5" t="n">
        <ns0:f>IF(A6="","",E6+Inputs!$B$13/1440)</ns0:f>
        <ns0:v>0.25555555555555554</ns0:v>
      </ns0:c>
      <ns0:c r="G6" s="5" t="n">
        <ns0:f>IF(A6="","",F6+Inputs!$B$14/1440)</ns0:f>
        <ns0:v>0.2972222222222222</ns0:v>
      </ns0:c>
      <ns0:c r="H6" s="5" t="n">
        <ns0:f>IF(A6="","",G6+Inputs!$B$15/1440)</ns0:f>
        <ns0:v>0.30416666666666664</ns0:v>
      </ns0:c>
      <ns0:c r="I6" s="5" t="n">
        <ns0:f>IF(A6="","",H6+Inputs!$B$16/1440)</ns0:f>
        <ns0:v>0.3194444444444444</ns0:v>
      </ns0:c>
      <ns0:c r="J6" s="5" t="n">
        <ns0:f>IF(A6="","",I6+Inputs!$B$17/1440)</ns0:f>
        <ns0:v>0.32152777777777775</ns0:v>
      </ns0:c>
      <ns0:c r="K6" s="5" t="n">
        <ns0:f>IF(A6="","",J6+Inputs!$B$18/1440)</ns0:f>
        <ns0:v>0.32499999999999996</ns0:v>
      </ns0:c>
      <ns0:c r="L6" s="5" t="n">
        <ns0:f>IF(A6="","",J6+Inputs!$B$19/1440)</ns0:f>
        <ns0:v>0.35277777777777775</ns0:v>
      </ns0:c>
      <ns0:c r="M6" s="5" t="n">
        <ns0:f>IF(A6="","",L6+Inputs!$B$20/1440)</ns0:f>
        <ns0:v>0.36319444444444443</ns0:v>
      </ns0:c>
      <ns0:c r="N6" s="5" t="n">
        <ns0:f>IF(A6="","",M6+Inputs!$B$21/1440)</ns0:f>
        <ns0:v>0.37013888888888885</ns0:v>
      </ns0:c>
      <ns0:c r="O6" s="4" t="n">
        <ns0:f>IF(A6="","",MOD(A6-1,Inputs!$B$33)+1)</ns0:f>
        <ns0:v>2.0</ns0:v>
      </ns0:c>
    </ns0:row>
    <ns0:row r="7">
      <ns0:c r="A7" s="4" t="n">
        <ns0:f>IF(5&lt;=Scenarios!B3,5,"")</ns0:f>
        <ns0:v>5.0</ns0:v>
      </ns0:c>
      <ns0:c r="B7" s="5" t="n">
        <ns0:f>IF(A7="","",(Inputs!$B$9+(A7-1)*Scenarios!D3)/1440)</ns0:f>
        <ns0:v>0.2222222222222222</ns0:v>
      </ns0:c>
      <ns0:c r="C7" s="5" t="n">
        <ns0:f>IF(A7="","",B7+Inputs!$B$10/1440)</ns0:f>
        <ns0:v>0.23472222222222222</ns0:v>
      </ns0:c>
      <ns0:c r="D7" s="5" t="n">
        <ns0:f>IF(A7="","",C7+Inputs!$B$11/1440)</ns0:f>
        <ns0:v>0.2659722222222222</ns0:v>
      </ns0:c>
      <ns0:c r="E7" s="5" t="n">
        <ns0:f>IF(A7="","",D7+Inputs!$B$12/1440)</ns0:f>
        <ns0:v>0.2763888888888889</ns0:v>
      </ns0:c>
      <ns0:c r="F7" s="5" t="n">
        <ns0:f>IF(A7="","",E7+Inputs!$B$13/1440)</ns0:f>
        <ns0:v>0.2868055555555556</ns0:v>
      </ns0:c>
      <ns0:c r="G7" s="5" t="n">
        <ns0:f>IF(A7="","",F7+Inputs!$B$14/1440)</ns0:f>
        <ns0:v>0.3284722222222223</ns0:v>
      </ns0:c>
      <ns0:c r="H7" s="5" t="n">
        <ns0:f>IF(A7="","",G7+Inputs!$B$15/1440)</ns0:f>
        <ns0:v>0.3354166666666667</ns0:v>
      </ns0:c>
      <ns0:c r="I7" s="5" t="n">
        <ns0:f>IF(A7="","",H7+Inputs!$B$16/1440)</ns0:f>
        <ns0:v>0.3506944444444445</ns0:v>
      </ns0:c>
      <ns0:c r="J7" s="5" t="n">
        <ns0:f>IF(A7="","",I7+Inputs!$B$17/1440)</ns0:f>
        <ns0:v>0.3527777777777778</ns0:v>
      </ns0:c>
      <ns0:c r="K7" s="5" t="n">
        <ns0:f>IF(A7="","",J7+Inputs!$B$18/1440)</ns0:f>
        <ns0:v>0.35625</ns0:v>
      </ns0:c>
      <ns0:c r="L7" s="5" t="n">
        <ns0:f>IF(A7="","",J7+Inputs!$B$19/1440)</ns0:f>
        <ns0:v>0.3840277777777778</ns0:v>
      </ns0:c>
      <ns0:c r="M7" s="5" t="n">
        <ns0:f>IF(A7="","",L7+Inputs!$B$20/1440)</ns0:f>
        <ns0:v>0.3944444444444445</ns0:v>
      </ns0:c>
      <ns0:c r="N7" s="5" t="n">
        <ns0:f>IF(A7="","",M7+Inputs!$B$21/1440)</ns0:f>
        <ns0:v>0.4013888888888889</ns0:v>
      </ns0:c>
      <ns0:c r="O7" s="4" t="n">
        <ns0:f>IF(A7="","",MOD(A7-1,Inputs!$B$33)+1)</ns0:f>
        <ns0:v>1.0</ns0:v>
      </ns0:c>
    </ns0:row>
    <ns0:row r="8">
      <ns0:c r="A8" s="4" t="str">
        <ns0:f>IF(6&lt;=Scenarios!B3,6,"")</ns0:f>
        <ns0:v/>
      </ns0:c>
      <ns0:c r="B8" s="5" t="str">
        <ns0:f>IF(A8="","",(Inputs!$B$9+(A8-1)*Scenarios!D3)/1440)</ns0:f>
        <ns0:v/>
      </ns0:c>
      <ns0:c r="C8" s="5" t="str">
        <ns0:f>IF(A8="","",B8+Inputs!$B$10/1440)</ns0:f>
        <ns0:v/>
      </ns0:c>
      <ns0:c r="D8" s="5" t="str">
        <ns0:f>IF(A8="","",C8+Inputs!$B$11/1440)</ns0:f>
        <ns0:v/>
      </ns0:c>
      <ns0:c r="E8" s="5" t="str">
        <ns0:f>IF(A8="","",D8+Inputs!$B$12/1440)</ns0:f>
        <ns0:v/>
      </ns0:c>
      <ns0:c r="F8" s="5" t="str">
        <ns0:f>IF(A8="","",E8+Inputs!$B$13/1440)</ns0:f>
        <ns0:v/>
      </ns0:c>
      <ns0:c r="G8" s="5" t="str">
        <ns0:f>IF(A8="","",F8+Inputs!$B$14/1440)</ns0:f>
        <ns0:v/>
      </ns0:c>
      <ns0:c r="H8" s="5" t="str">
        <ns0:f>IF(A8="","",G8+Inputs!$B$15/1440)</ns0:f>
        <ns0:v/>
      </ns0:c>
      <ns0:c r="I8" s="5" t="str">
        <ns0:f>IF(A8="","",H8+Inputs!$B$16/1440)</ns0:f>
        <ns0:v/>
      </ns0:c>
      <ns0:c r="J8" s="5" t="str">
        <ns0:f>IF(A8="","",I8+Inputs!$B$17/1440)</ns0:f>
        <ns0:v/>
      </ns0:c>
      <ns0:c r="K8" s="5" t="str">
        <ns0:f>IF(A8="","",J8+Inputs!$B$18/1440)</ns0:f>
        <ns0:v/>
      </ns0:c>
      <ns0:c r="L8" s="5" t="str">
        <ns0:f>IF(A8="","",J8+Inputs!$B$19/1440)</ns0:f>
        <ns0:v/>
      </ns0:c>
      <ns0:c r="M8" s="5" t="str">
        <ns0:f>IF(A8="","",L8+Inputs!$B$20/1440)</ns0:f>
        <ns0:v/>
      </ns0:c>
      <ns0:c r="N8" s="5" t="str">
        <ns0:f>IF(A8="","",M8+Inputs!$B$21/1440)</ns0:f>
        <ns0:v/>
      </ns0:c>
      <ns0:c r="O8" s="4" t="str">
        <ns0:f>IF(A8="","",MOD(A8-1,Inputs!$B$33)+1)</ns0:f>
        <ns0:v/>
      </ns0:c>
    </ns0:row>
    <ns0:row r="9">
      <ns0:c r="A9" s="4" t="str">
        <ns0:f>IF(7&lt;=Scenarios!B3,7,"")</ns0:f>
        <ns0:v/>
      </ns0:c>
      <ns0:c r="B9" s="5" t="str">
        <ns0:f>IF(A9="","",(Inputs!$B$9+(A9-1)*Scenarios!D3)/1440)</ns0:f>
        <ns0:v/>
      </ns0:c>
      <ns0:c r="C9" s="5" t="str">
        <ns0:f>IF(A9="","",B9+Inputs!$B$10/1440)</ns0:f>
        <ns0:v/>
      </ns0:c>
      <ns0:c r="D9" s="5" t="str">
        <ns0:f>IF(A9="","",C9+Inputs!$B$11/1440)</ns0:f>
        <ns0:v/>
      </ns0:c>
      <ns0:c r="E9" s="5" t="str">
        <ns0:f>IF(A9="","",D9+Inputs!$B$12/1440)</ns0:f>
        <ns0:v/>
      </ns0:c>
      <ns0:c r="F9" s="5" t="str">
        <ns0:f>IF(A9="","",E9+Inputs!$B$13/1440)</ns0:f>
        <ns0:v/>
      </ns0:c>
      <ns0:c r="G9" s="5" t="str">
        <ns0:f>IF(A9="","",F9+Inputs!$B$14/1440)</ns0:f>
        <ns0:v/>
      </ns0:c>
      <ns0:c r="H9" s="5" t="str">
        <ns0:f>IF(A9="","",G9+Inputs!$B$15/1440)</ns0:f>
        <ns0:v/>
      </ns0:c>
      <ns0:c r="I9" s="5" t="str">
        <ns0:f>IF(A9="","",H9+Inputs!$B$16/1440)</ns0:f>
        <ns0:v/>
      </ns0:c>
      <ns0:c r="J9" s="5" t="str">
        <ns0:f>IF(A9="","",I9+Inputs!$B$17/1440)</ns0:f>
        <ns0:v/>
      </ns0:c>
      <ns0:c r="K9" s="5" t="str">
        <ns0:f>IF(A9="","",J9+Inputs!$B$18/1440)</ns0:f>
        <ns0:v/>
      </ns0:c>
      <ns0:c r="L9" s="5" t="str">
        <ns0:f>IF(A9="","",J9+Inputs!$B$19/1440)</ns0:f>
        <ns0:v/>
      </ns0:c>
      <ns0:c r="M9" s="5" t="str">
        <ns0:f>IF(A9="","",L9+Inputs!$B$20/1440)</ns0:f>
        <ns0:v/>
      </ns0:c>
      <ns0:c r="N9" s="5" t="str">
        <ns0:f>IF(A9="","",M9+Inputs!$B$21/1440)</ns0:f>
        <ns0:v/>
      </ns0:c>
      <ns0:c r="O9" s="4" t="str">
        <ns0:f>IF(A9="","",MOD(A9-1,Inputs!$B$33)+1)</ns0:f>
        <ns0:v/>
      </ns0:c>
    </ns0:row>
    <ns0:row r="10">
      <ns0:c r="A10" s="4" t="str">
        <ns0:f>IF(8&lt;=Scenarios!B3,8,"")</ns0:f>
        <ns0:v/>
      </ns0:c>
      <ns0:c r="B10" s="5" t="str">
        <ns0:f>IF(A10="","",(Inputs!$B$9+(A10-1)*Scenarios!D3)/1440)</ns0:f>
        <ns0:v/>
      </ns0:c>
      <ns0:c r="C10" s="5" t="str">
        <ns0:f>IF(A10="","",B10+Inputs!$B$10/1440)</ns0:f>
        <ns0:v/>
      </ns0:c>
      <ns0:c r="D10" s="5" t="str">
        <ns0:f>IF(A10="","",C10+Inputs!$B$11/1440)</ns0:f>
        <ns0:v/>
      </ns0:c>
      <ns0:c r="E10" s="5" t="str">
        <ns0:f>IF(A10="","",D10+Inputs!$B$12/1440)</ns0:f>
        <ns0:v/>
      </ns0:c>
      <ns0:c r="F10" s="5" t="str">
        <ns0:f>IF(A10="","",E10+Inputs!$B$13/1440)</ns0:f>
        <ns0:v/>
      </ns0:c>
      <ns0:c r="G10" s="5" t="str">
        <ns0:f>IF(A10="","",F10+Inputs!$B$14/1440)</ns0:f>
        <ns0:v/>
      </ns0:c>
      <ns0:c r="H10" s="5" t="str">
        <ns0:f>IF(A10="","",G10+Inputs!$B$15/1440)</ns0:f>
        <ns0:v/>
      </ns0:c>
      <ns0:c r="I10" s="5" t="str">
        <ns0:f>IF(A10="","",H10+Inputs!$B$16/1440)</ns0:f>
        <ns0:v/>
      </ns0:c>
      <ns0:c r="J10" s="5" t="str">
        <ns0:f>IF(A10="","",I10+Inputs!$B$17/1440)</ns0:f>
        <ns0:v/>
      </ns0:c>
      <ns0:c r="K10" s="5" t="str">
        <ns0:f>IF(A10="","",J10+Inputs!$B$18/1440)</ns0:f>
        <ns0:v/>
      </ns0:c>
      <ns0:c r="L10" s="5" t="str">
        <ns0:f>IF(A10="","",J10+Inputs!$B$19/1440)</ns0:f>
        <ns0:v/>
      </ns0:c>
      <ns0:c r="M10" s="5" t="str">
        <ns0:f>IF(A10="","",L10+Inputs!$B$20/1440)</ns0:f>
        <ns0:v/>
      </ns0:c>
      <ns0:c r="N10" s="5" t="str">
        <ns0:f>IF(A10="","",M10+Inputs!$B$21/1440)</ns0:f>
        <ns0:v/>
      </ns0:c>
      <ns0:c r="O10" s="4" t="str">
        <ns0:f>IF(A10="","",MOD(A10-1,Inputs!$B$33)+1)</ns0:f>
        <ns0:v/>
      </ns0:c>
    </ns0:row>
    <ns0:row r="11">
      <ns0:c r="A11" s="4" t="str">
        <ns0:f>IF(9&lt;=Scenarios!B3,9,"")</ns0:f>
        <ns0:v/>
      </ns0:c>
      <ns0:c r="B11" s="5" t="str">
        <ns0:f>IF(A11="","",(Inputs!$B$9+(A11-1)*Scenarios!D3)/1440)</ns0:f>
        <ns0:v/>
      </ns0:c>
      <ns0:c r="C11" s="5" t="str">
        <ns0:f>IF(A11="","",B11+Inputs!$B$10/1440)</ns0:f>
        <ns0:v/>
      </ns0:c>
      <ns0:c r="D11" s="5" t="str">
        <ns0:f>IF(A11="","",C11+Inputs!$B$11/1440)</ns0:f>
        <ns0:v/>
      </ns0:c>
      <ns0:c r="E11" s="5" t="str">
        <ns0:f>IF(A11="","",D11+Inputs!$B$12/1440)</ns0:f>
        <ns0:v/>
      </ns0:c>
      <ns0:c r="F11" s="5" t="str">
        <ns0:f>IF(A11="","",E11+Inputs!$B$13/1440)</ns0:f>
        <ns0:v/>
      </ns0:c>
      <ns0:c r="G11" s="5" t="str">
        <ns0:f>IF(A11="","",F11+Inputs!$B$14/1440)</ns0:f>
        <ns0:v/>
      </ns0:c>
      <ns0:c r="H11" s="5" t="str">
        <ns0:f>IF(A11="","",G11+Inputs!$B$15/1440)</ns0:f>
        <ns0:v/>
      </ns0:c>
      <ns0:c r="I11" s="5" t="str">
        <ns0:f>IF(A11="","",H11+Inputs!$B$16/1440)</ns0:f>
        <ns0:v/>
      </ns0:c>
      <ns0:c r="J11" s="5" t="str">
        <ns0:f>IF(A11="","",I11+Inputs!$B$17/1440)</ns0:f>
        <ns0:v/>
      </ns0:c>
      <ns0:c r="K11" s="5" t="str">
        <ns0:f>IF(A11="","",J11+Inputs!$B$18/1440)</ns0:f>
        <ns0:v/>
      </ns0:c>
      <ns0:c r="L11" s="5" t="str">
        <ns0:f>IF(A11="","",J11+Inputs!$B$19/1440)</ns0:f>
        <ns0:v/>
      </ns0:c>
      <ns0:c r="M11" s="5" t="str">
        <ns0:f>IF(A11="","",L11+Inputs!$B$20/1440)</ns0:f>
        <ns0:v/>
      </ns0:c>
      <ns0:c r="N11" s="5" t="str">
        <ns0:f>IF(A11="","",M11+Inputs!$B$21/1440)</ns0:f>
        <ns0:v/>
      </ns0:c>
      <ns0:c r="O11" s="4" t="str">
        <ns0:f>IF(A11="","",MOD(A11-1,Inputs!$B$33)+1)</ns0:f>
        <ns0:v/>
      </ns0:c>
    </ns0:row>
    <ns0:row r="12">
      <ns0:c r="A12" s="4" t="str">
        <ns0:f>IF(10&lt;=Scenarios!B3,10,"")</ns0:f>
        <ns0:v/>
      </ns0:c>
      <ns0:c r="B12" s="5" t="str">
        <ns0:f>IF(A12="","",(Inputs!$B$9+(A12-1)*Scenarios!D3)/1440)</ns0:f>
        <ns0:v/>
      </ns0:c>
      <ns0:c r="C12" s="5" t="str">
        <ns0:f>IF(A12="","",B12+Inputs!$B$10/1440)</ns0:f>
        <ns0:v/>
      </ns0:c>
      <ns0:c r="D12" s="5" t="str">
        <ns0:f>IF(A12="","",C12+Inputs!$B$11/1440)</ns0:f>
        <ns0:v/>
      </ns0:c>
      <ns0:c r="E12" s="5" t="str">
        <ns0:f>IF(A12="","",D12+Inputs!$B$12/1440)</ns0:f>
        <ns0:v/>
      </ns0:c>
      <ns0:c r="F12" s="5" t="str">
        <ns0:f>IF(A12="","",E12+Inputs!$B$13/1440)</ns0:f>
        <ns0:v/>
      </ns0:c>
      <ns0:c r="G12" s="5" t="str">
        <ns0:f>IF(A12="","",F12+Inputs!$B$14/1440)</ns0:f>
        <ns0:v/>
      </ns0:c>
      <ns0:c r="H12" s="5" t="str">
        <ns0:f>IF(A12="","",G12+Inputs!$B$15/1440)</ns0:f>
        <ns0:v/>
      </ns0:c>
      <ns0:c r="I12" s="5" t="str">
        <ns0:f>IF(A12="","",H12+Inputs!$B$16/1440)</ns0:f>
        <ns0:v/>
      </ns0:c>
      <ns0:c r="J12" s="5" t="str">
        <ns0:f>IF(A12="","",I12+Inputs!$B$17/1440)</ns0:f>
        <ns0:v/>
      </ns0:c>
      <ns0:c r="K12" s="5" t="str">
        <ns0:f>IF(A12="","",J12+Inputs!$B$18/1440)</ns0:f>
        <ns0:v/>
      </ns0:c>
      <ns0:c r="L12" s="5" t="str">
        <ns0:f>IF(A12="","",J12+Inputs!$B$19/1440)</ns0:f>
        <ns0:v/>
      </ns0:c>
      <ns0:c r="M12" s="5" t="str">
        <ns0:f>IF(A12="","",L12+Inputs!$B$20/1440)</ns0:f>
        <ns0:v/>
      </ns0:c>
      <ns0:c r="N12" s="5" t="str">
        <ns0:f>IF(A12="","",M12+Inputs!$B$21/1440)</ns0:f>
        <ns0:v/>
      </ns0:c>
      <ns0:c r="O12" s="4" t="str">
        <ns0:f>IF(A12="","",MOD(A12-1,Inputs!$B$33)+1)</ns0:f>
        <ns0:v/>
      </ns0:c>
    </ns0:row>
    <ns0:row r="13">
      <ns0:c r="A13" s="4" t="str">
        <ns0:f>IF(11&lt;=Scenarios!B3,11,"")</ns0:f>
        <ns0:v/>
      </ns0:c>
      <ns0:c r="B13" s="5" t="str">
        <ns0:f>IF(A13="","",(Inputs!$B$9+(A13-1)*Scenarios!D3)/1440)</ns0:f>
        <ns0:v/>
      </ns0:c>
      <ns0:c r="C13" s="5" t="str">
        <ns0:f>IF(A13="","",B13+Inputs!$B$10/1440)</ns0:f>
        <ns0:v/>
      </ns0:c>
      <ns0:c r="D13" s="5" t="str">
        <ns0:f>IF(A13="","",C13+Inputs!$B$11/1440)</ns0:f>
        <ns0:v/>
      </ns0:c>
      <ns0:c r="E13" s="5" t="str">
        <ns0:f>IF(A13="","",D13+Inputs!$B$12/1440)</ns0:f>
        <ns0:v/>
      </ns0:c>
      <ns0:c r="F13" s="5" t="str">
        <ns0:f>IF(A13="","",E13+Inputs!$B$13/1440)</ns0:f>
        <ns0:v/>
      </ns0:c>
      <ns0:c r="G13" s="5" t="str">
        <ns0:f>IF(A13="","",F13+Inputs!$B$14/1440)</ns0:f>
        <ns0:v/>
      </ns0:c>
      <ns0:c r="H13" s="5" t="str">
        <ns0:f>IF(A13="","",G13+Inputs!$B$15/1440)</ns0:f>
        <ns0:v/>
      </ns0:c>
      <ns0:c r="I13" s="5" t="str">
        <ns0:f>IF(A13="","",H13+Inputs!$B$16/1440)</ns0:f>
        <ns0:v/>
      </ns0:c>
      <ns0:c r="J13" s="5" t="str">
        <ns0:f>IF(A13="","",I13+Inputs!$B$17/1440)</ns0:f>
        <ns0:v/>
      </ns0:c>
      <ns0:c r="K13" s="5" t="str">
        <ns0:f>IF(A13="","",J13+Inputs!$B$18/1440)</ns0:f>
        <ns0:v/>
      </ns0:c>
      <ns0:c r="L13" s="5" t="str">
        <ns0:f>IF(A13="","",J13+Inputs!$B$19/1440)</ns0:f>
        <ns0:v/>
      </ns0:c>
      <ns0:c r="M13" s="5" t="str">
        <ns0:f>IF(A13="","",L13+Inputs!$B$20/1440)</ns0:f>
        <ns0:v/>
      </ns0:c>
      <ns0:c r="N13" s="5" t="str">
        <ns0:f>IF(A13="","",M13+Inputs!$B$21/1440)</ns0:f>
        <ns0:v/>
      </ns0:c>
      <ns0:c r="O13" s="4" t="str">
        <ns0:f>IF(A13="","",MOD(A13-1,Inputs!$B$33)+1)</ns0:f>
        <ns0:v/>
      </ns0:c>
    </ns0:row>
    <ns0:row r="14">
      <ns0:c r="A14" s="4" t="str">
        <ns0:f>IF(12&lt;=Scenarios!B3,12,"")</ns0:f>
        <ns0:v/>
      </ns0:c>
      <ns0:c r="B14" s="5" t="str">
        <ns0:f>IF(A14="","",(Inputs!$B$9+(A14-1)*Scenarios!D3)/1440)</ns0:f>
        <ns0:v/>
      </ns0:c>
      <ns0:c r="C14" s="5" t="str">
        <ns0:f>IF(A14="","",B14+Inputs!$B$10/1440)</ns0:f>
        <ns0:v/>
      </ns0:c>
      <ns0:c r="D14" s="5" t="str">
        <ns0:f>IF(A14="","",C14+Inputs!$B$11/1440)</ns0:f>
        <ns0:v/>
      </ns0:c>
      <ns0:c r="E14" s="5" t="str">
        <ns0:f>IF(A14="","",D14+Inputs!$B$12/1440)</ns0:f>
        <ns0:v/>
      </ns0:c>
      <ns0:c r="F14" s="5" t="str">
        <ns0:f>IF(A14="","",E14+Inputs!$B$13/1440)</ns0:f>
        <ns0:v/>
      </ns0:c>
      <ns0:c r="G14" s="5" t="str">
        <ns0:f>IF(A14="","",F14+Inputs!$B$14/1440)</ns0:f>
        <ns0:v/>
      </ns0:c>
      <ns0:c r="H14" s="5" t="str">
        <ns0:f>IF(A14="","",G14+Inputs!$B$15/1440)</ns0:f>
        <ns0:v/>
      </ns0:c>
      <ns0:c r="I14" s="5" t="str">
        <ns0:f>IF(A14="","",H14+Inputs!$B$16/1440)</ns0:f>
        <ns0:v/>
      </ns0:c>
      <ns0:c r="J14" s="5" t="str">
        <ns0:f>IF(A14="","",I14+Inputs!$B$17/1440)</ns0:f>
        <ns0:v/>
      </ns0:c>
      <ns0:c r="K14" s="5" t="str">
        <ns0:f>IF(A14="","",J14+Inputs!$B$18/1440)</ns0:f>
        <ns0:v/>
      </ns0:c>
      <ns0:c r="L14" s="5" t="str">
        <ns0:f>IF(A14="","",J14+Inputs!$B$19/1440)</ns0:f>
        <ns0:v/>
      </ns0:c>
      <ns0:c r="M14" s="5" t="str">
        <ns0:f>IF(A14="","",L14+Inputs!$B$20/1440)</ns0:f>
        <ns0:v/>
      </ns0:c>
      <ns0:c r="N14" s="5" t="str">
        <ns0:f>IF(A14="","",M14+Inputs!$B$21/1440)</ns0:f>
        <ns0:v/>
      </ns0:c>
      <ns0:c r="O14" s="4" t="str">
        <ns0:f>IF(A14="","",MOD(A14-1,Inputs!$B$33)+1)</ns0:f>
        <ns0:v/>
      </ns0:c>
    </ns0:row>
    <ns0:row r="15">
      <ns0:c r="A15" s="4" t="str">
        <ns0:f>IF(13&lt;=Scenarios!B3,13,"")</ns0:f>
        <ns0:v/>
      </ns0:c>
      <ns0:c r="B15" s="5" t="str">
        <ns0:f>IF(A15="","",(Inputs!$B$9+(A15-1)*Scenarios!D3)/1440)</ns0:f>
        <ns0:v/>
      </ns0:c>
      <ns0:c r="C15" s="5" t="str">
        <ns0:f>IF(A15="","",B15+Inputs!$B$10/1440)</ns0:f>
        <ns0:v/>
      </ns0:c>
      <ns0:c r="D15" s="5" t="str">
        <ns0:f>IF(A15="","",C15+Inputs!$B$11/1440)</ns0:f>
        <ns0:v/>
      </ns0:c>
      <ns0:c r="E15" s="5" t="str">
        <ns0:f>IF(A15="","",D15+Inputs!$B$12/1440)</ns0:f>
        <ns0:v/>
      </ns0:c>
      <ns0:c r="F15" s="5" t="str">
        <ns0:f>IF(A15="","",E15+Inputs!$B$13/1440)</ns0:f>
        <ns0:v/>
      </ns0:c>
      <ns0:c r="G15" s="5" t="str">
        <ns0:f>IF(A15="","",F15+Inputs!$B$14/1440)</ns0:f>
        <ns0:v/>
      </ns0:c>
      <ns0:c r="H15" s="5" t="str">
        <ns0:f>IF(A15="","",G15+Inputs!$B$15/1440)</ns0:f>
        <ns0:v/>
      </ns0:c>
      <ns0:c r="I15" s="5" t="str">
        <ns0:f>IF(A15="","",H15+Inputs!$B$16/1440)</ns0:f>
        <ns0:v/>
      </ns0:c>
      <ns0:c r="J15" s="5" t="str">
        <ns0:f>IF(A15="","",I15+Inputs!$B$17/1440)</ns0:f>
        <ns0:v/>
      </ns0:c>
      <ns0:c r="K15" s="5" t="str">
        <ns0:f>IF(A15="","",J15+Inputs!$B$18/1440)</ns0:f>
        <ns0:v/>
      </ns0:c>
      <ns0:c r="L15" s="5" t="str">
        <ns0:f>IF(A15="","",J15+Inputs!$B$19/1440)</ns0:f>
        <ns0:v/>
      </ns0:c>
      <ns0:c r="M15" s="5" t="str">
        <ns0:f>IF(A15="","",L15+Inputs!$B$20/1440)</ns0:f>
        <ns0:v/>
      </ns0:c>
      <ns0:c r="N15" s="5" t="str">
        <ns0:f>IF(A15="","",M15+Inputs!$B$21/1440)</ns0:f>
        <ns0:v/>
      </ns0:c>
      <ns0:c r="O15" s="4" t="str">
        <ns0:f>IF(A15="","",MOD(A15-1,Inputs!$B$33)+1)</ns0:f>
        <ns0:v/>
      </ns0:c>
    </ns0:row>
    <ns0:row r="16">
      <ns0:c r="A16" s="4" t="str">
        <ns0:f>IF(14&lt;=Scenarios!B3,14,"")</ns0:f>
        <ns0:v/>
      </ns0:c>
      <ns0:c r="B16" s="5" t="str">
        <ns0:f>IF(A16="","",(Inputs!$B$9+(A16-1)*Scenarios!D3)/1440)</ns0:f>
        <ns0:v/>
      </ns0:c>
      <ns0:c r="C16" s="5" t="str">
        <ns0:f>IF(A16="","",B16+Inputs!$B$10/1440)</ns0:f>
        <ns0:v/>
      </ns0:c>
      <ns0:c r="D16" s="5" t="str">
        <ns0:f>IF(A16="","",C16+Inputs!$B$11/1440)</ns0:f>
        <ns0:v/>
      </ns0:c>
      <ns0:c r="E16" s="5" t="str">
        <ns0:f>IF(A16="","",D16+Inputs!$B$12/1440)</ns0:f>
        <ns0:v/>
      </ns0:c>
      <ns0:c r="F16" s="5" t="str">
        <ns0:f>IF(A16="","",E16+Inputs!$B$13/1440)</ns0:f>
        <ns0:v/>
      </ns0:c>
      <ns0:c r="G16" s="5" t="str">
        <ns0:f>IF(A16="","",F16+Inputs!$B$14/1440)</ns0:f>
        <ns0:v/>
      </ns0:c>
      <ns0:c r="H16" s="5" t="str">
        <ns0:f>IF(A16="","",G16+Inputs!$B$15/1440)</ns0:f>
        <ns0:v/>
      </ns0:c>
      <ns0:c r="I16" s="5" t="str">
        <ns0:f>IF(A16="","",H16+Inputs!$B$16/1440)</ns0:f>
        <ns0:v/>
      </ns0:c>
      <ns0:c r="J16" s="5" t="str">
        <ns0:f>IF(A16="","",I16+Inputs!$B$17/1440)</ns0:f>
        <ns0:v/>
      </ns0:c>
      <ns0:c r="K16" s="5" t="str">
        <ns0:f>IF(A16="","",J16+Inputs!$B$18/1440)</ns0:f>
        <ns0:v/>
      </ns0:c>
      <ns0:c r="L16" s="5" t="str">
        <ns0:f>IF(A16="","",J16+Inputs!$B$19/1440)</ns0:f>
        <ns0:v/>
      </ns0:c>
      <ns0:c r="M16" s="5" t="str">
        <ns0:f>IF(A16="","",L16+Inputs!$B$20/1440)</ns0:f>
        <ns0:v/>
      </ns0:c>
      <ns0:c r="N16" s="5" t="str">
        <ns0:f>IF(A16="","",M16+Inputs!$B$21/1440)</ns0:f>
        <ns0:v/>
      </ns0:c>
      <ns0:c r="O16" s="4" t="str">
        <ns0:f>IF(A16="","",MOD(A16-1,Inputs!$B$33)+1)</ns0:f>
        <ns0:v/>
      </ns0:c>
    </ns0:row>
    <ns0:row r="17">
      <ns0:c r="A17" s="4" t="str">
        <ns0:f>IF(15&lt;=Scenarios!B3,15,"")</ns0:f>
        <ns0:v/>
      </ns0:c>
      <ns0:c r="B17" s="5" t="str">
        <ns0:f>IF(A17="","",(Inputs!$B$9+(A17-1)*Scenarios!D3)/1440)</ns0:f>
        <ns0:v/>
      </ns0:c>
      <ns0:c r="C17" s="5" t="str">
        <ns0:f>IF(A17="","",B17+Inputs!$B$10/1440)</ns0:f>
        <ns0:v/>
      </ns0:c>
      <ns0:c r="D17" s="5" t="str">
        <ns0:f>IF(A17="","",C17+Inputs!$B$11/1440)</ns0:f>
        <ns0:v/>
      </ns0:c>
      <ns0:c r="E17" s="5" t="str">
        <ns0:f>IF(A17="","",D17+Inputs!$B$12/1440)</ns0:f>
        <ns0:v/>
      </ns0:c>
      <ns0:c r="F17" s="5" t="str">
        <ns0:f>IF(A17="","",E17+Inputs!$B$13/1440)</ns0:f>
        <ns0:v/>
      </ns0:c>
      <ns0:c r="G17" s="5" t="str">
        <ns0:f>IF(A17="","",F17+Inputs!$B$14/1440)</ns0:f>
        <ns0:v/>
      </ns0:c>
      <ns0:c r="H17" s="5" t="str">
        <ns0:f>IF(A17="","",G17+Inputs!$B$15/1440)</ns0:f>
        <ns0:v/>
      </ns0:c>
      <ns0:c r="I17" s="5" t="str">
        <ns0:f>IF(A17="","",H17+Inputs!$B$16/1440)</ns0:f>
        <ns0:v/>
      </ns0:c>
      <ns0:c r="J17" s="5" t="str">
        <ns0:f>IF(A17="","",I17+Inputs!$B$17/1440)</ns0:f>
        <ns0:v/>
      </ns0:c>
      <ns0:c r="K17" s="5" t="str">
        <ns0:f>IF(A17="","",J17+Inputs!$B$18/1440)</ns0:f>
        <ns0:v/>
      </ns0:c>
      <ns0:c r="L17" s="5" t="str">
        <ns0:f>IF(A17="","",J17+Inputs!$B$19/1440)</ns0:f>
        <ns0:v/>
      </ns0:c>
      <ns0:c r="M17" s="5" t="str">
        <ns0:f>IF(A17="","",L17+Inputs!$B$20/1440)</ns0:f>
        <ns0:v/>
      </ns0:c>
      <ns0:c r="N17" s="5" t="str">
        <ns0:f>IF(A17="","",M17+Inputs!$B$21/1440)</ns0:f>
        <ns0:v/>
      </ns0:c>
      <ns0:c r="O17" s="4" t="str">
        <ns0:f>IF(A17="","",MOD(A17-1,Inputs!$B$33)+1)</ns0:f>
        <ns0:v/>
      </ns0:c>
    </ns0:row>
    <ns0:row r="18">
      <ns0:c r="A18" s="4" t="str">
        <ns0:f>IF(16&lt;=Scenarios!B3,16,"")</ns0:f>
        <ns0:v/>
      </ns0:c>
      <ns0:c r="B18" s="5" t="str">
        <ns0:f>IF(A18="","",(Inputs!$B$9+(A18-1)*Scenarios!D3)/1440)</ns0:f>
        <ns0:v/>
      </ns0:c>
      <ns0:c r="C18" s="5" t="str">
        <ns0:f>IF(A18="","",B18+Inputs!$B$10/1440)</ns0:f>
        <ns0:v/>
      </ns0:c>
      <ns0:c r="D18" s="5" t="str">
        <ns0:f>IF(A18="","",C18+Inputs!$B$11/1440)</ns0:f>
        <ns0:v/>
      </ns0:c>
      <ns0:c r="E18" s="5" t="str">
        <ns0:f>IF(A18="","",D18+Inputs!$B$12/1440)</ns0:f>
        <ns0:v/>
      </ns0:c>
      <ns0:c r="F18" s="5" t="str">
        <ns0:f>IF(A18="","",E18+Inputs!$B$13/1440)</ns0:f>
        <ns0:v/>
      </ns0:c>
      <ns0:c r="G18" s="5" t="str">
        <ns0:f>IF(A18="","",F18+Inputs!$B$14/1440)</ns0:f>
        <ns0:v/>
      </ns0:c>
      <ns0:c r="H18" s="5" t="str">
        <ns0:f>IF(A18="","",G18+Inputs!$B$15/1440)</ns0:f>
        <ns0:v/>
      </ns0:c>
      <ns0:c r="I18" s="5" t="str">
        <ns0:f>IF(A18="","",H18+Inputs!$B$16/1440)</ns0:f>
        <ns0:v/>
      </ns0:c>
      <ns0:c r="J18" s="5" t="str">
        <ns0:f>IF(A18="","",I18+Inputs!$B$17/1440)</ns0:f>
        <ns0:v/>
      </ns0:c>
      <ns0:c r="K18" s="5" t="str">
        <ns0:f>IF(A18="","",J18+Inputs!$B$18/1440)</ns0:f>
        <ns0:v/>
      </ns0:c>
      <ns0:c r="L18" s="5" t="str">
        <ns0:f>IF(A18="","",J18+Inputs!$B$19/1440)</ns0:f>
        <ns0:v/>
      </ns0:c>
      <ns0:c r="M18" s="5" t="str">
        <ns0:f>IF(A18="","",L18+Inputs!$B$20/1440)</ns0:f>
        <ns0:v/>
      </ns0:c>
      <ns0:c r="N18" s="5" t="str">
        <ns0:f>IF(A18="","",M18+Inputs!$B$21/1440)</ns0:f>
        <ns0:v/>
      </ns0:c>
      <ns0:c r="O18" s="4" t="str">
        <ns0:f>IF(A18="","",MOD(A18-1,Inputs!$B$33)+1)</ns0:f>
        <ns0:v/>
      </ns0:c>
    </ns0:row>
    <ns0:row r="19">
      <ns0:c r="A19" s="4" t="str">
        <ns0:f>IF(17&lt;=Scenarios!B3,17,"")</ns0:f>
        <ns0:v/>
      </ns0:c>
      <ns0:c r="B19" s="5" t="str">
        <ns0:f>IF(A19="","",(Inputs!$B$9+(A19-1)*Scenarios!D3)/1440)</ns0:f>
        <ns0:v/>
      </ns0:c>
      <ns0:c r="C19" s="5" t="str">
        <ns0:f>IF(A19="","",B19+Inputs!$B$10/1440)</ns0:f>
        <ns0:v/>
      </ns0:c>
      <ns0:c r="D19" s="5" t="str">
        <ns0:f>IF(A19="","",C19+Inputs!$B$11/1440)</ns0:f>
        <ns0:v/>
      </ns0:c>
      <ns0:c r="E19" s="5" t="str">
        <ns0:f>IF(A19="","",D19+Inputs!$B$12/1440)</ns0:f>
        <ns0:v/>
      </ns0:c>
      <ns0:c r="F19" s="5" t="str">
        <ns0:f>IF(A19="","",E19+Inputs!$B$13/1440)</ns0:f>
        <ns0:v/>
      </ns0:c>
      <ns0:c r="G19" s="5" t="str">
        <ns0:f>IF(A19="","",F19+Inputs!$B$14/1440)</ns0:f>
        <ns0:v/>
      </ns0:c>
      <ns0:c r="H19" s="5" t="str">
        <ns0:f>IF(A19="","",G19+Inputs!$B$15/1440)</ns0:f>
        <ns0:v/>
      </ns0:c>
      <ns0:c r="I19" s="5" t="str">
        <ns0:f>IF(A19="","",H19+Inputs!$B$16/1440)</ns0:f>
        <ns0:v/>
      </ns0:c>
      <ns0:c r="J19" s="5" t="str">
        <ns0:f>IF(A19="","",I19+Inputs!$B$17/1440)</ns0:f>
        <ns0:v/>
      </ns0:c>
      <ns0:c r="K19" s="5" t="str">
        <ns0:f>IF(A19="","",J19+Inputs!$B$18/1440)</ns0:f>
        <ns0:v/>
      </ns0:c>
      <ns0:c r="L19" s="5" t="str">
        <ns0:f>IF(A19="","",J19+Inputs!$B$19/1440)</ns0:f>
        <ns0:v/>
      </ns0:c>
      <ns0:c r="M19" s="5" t="str">
        <ns0:f>IF(A19="","",L19+Inputs!$B$20/1440)</ns0:f>
        <ns0:v/>
      </ns0:c>
      <ns0:c r="N19" s="5" t="str">
        <ns0:f>IF(A19="","",M19+Inputs!$B$21/1440)</ns0:f>
        <ns0:v/>
      </ns0:c>
      <ns0:c r="O19" s="4" t="str">
        <ns0:f>IF(A19="","",MOD(A19-1,Inputs!$B$33)+1)</ns0:f>
        <ns0:v/>
      </ns0:c>
    </ns0:row>
    <ns0:row r="20">
      <ns0:c r="A20" s="4" t="str">
        <ns0:f>IF(18&lt;=Scenarios!B3,18,"")</ns0:f>
        <ns0:v/>
      </ns0:c>
      <ns0:c r="B20" s="5" t="str">
        <ns0:f>IF(A20="","",(Inputs!$B$9+(A20-1)*Scenarios!D3)/1440)</ns0:f>
        <ns0:v/>
      </ns0:c>
      <ns0:c r="C20" s="5" t="str">
        <ns0:f>IF(A20="","",B20+Inputs!$B$10/1440)</ns0:f>
        <ns0:v/>
      </ns0:c>
      <ns0:c r="D20" s="5" t="str">
        <ns0:f>IF(A20="","",C20+Inputs!$B$11/1440)</ns0:f>
        <ns0:v/>
      </ns0:c>
      <ns0:c r="E20" s="5" t="str">
        <ns0:f>IF(A20="","",D20+Inputs!$B$12/1440)</ns0:f>
        <ns0:v/>
      </ns0:c>
      <ns0:c r="F20" s="5" t="str">
        <ns0:f>IF(A20="","",E20+Inputs!$B$13/1440)</ns0:f>
        <ns0:v/>
      </ns0:c>
      <ns0:c r="G20" s="5" t="str">
        <ns0:f>IF(A20="","",F20+Inputs!$B$14/1440)</ns0:f>
        <ns0:v/>
      </ns0:c>
      <ns0:c r="H20" s="5" t="str">
        <ns0:f>IF(A20="","",G20+Inputs!$B$15/1440)</ns0:f>
        <ns0:v/>
      </ns0:c>
      <ns0:c r="I20" s="5" t="str">
        <ns0:f>IF(A20="","",H20+Inputs!$B$16/1440)</ns0:f>
        <ns0:v/>
      </ns0:c>
      <ns0:c r="J20" s="5" t="str">
        <ns0:f>IF(A20="","",I20+Inputs!$B$17/1440)</ns0:f>
        <ns0:v/>
      </ns0:c>
      <ns0:c r="K20" s="5" t="str">
        <ns0:f>IF(A20="","",J20+Inputs!$B$18/1440)</ns0:f>
        <ns0:v/>
      </ns0:c>
      <ns0:c r="L20" s="5" t="str">
        <ns0:f>IF(A20="","",J20+Inputs!$B$19/1440)</ns0:f>
        <ns0:v/>
      </ns0:c>
      <ns0:c r="M20" s="5" t="str">
        <ns0:f>IF(A20="","",L20+Inputs!$B$20/1440)</ns0:f>
        <ns0:v/>
      </ns0:c>
      <ns0:c r="N20" s="5" t="str">
        <ns0:f>IF(A20="","",M20+Inputs!$B$21/1440)</ns0:f>
        <ns0:v/>
      </ns0:c>
      <ns0:c r="O20" s="4" t="str">
        <ns0:f>IF(A20="","",MOD(A20-1,Inputs!$B$33)+1)</ns0:f>
        <ns0:v/>
      </ns0:c>
    </ns0:row>
    <ns0:row r="21">
      <ns0:c r="A21" s="4" t="str">
        <ns0:f>IF(19&lt;=Scenarios!B3,19,"")</ns0:f>
        <ns0:v/>
      </ns0:c>
      <ns0:c r="B21" s="5" t="str">
        <ns0:f>IF(A21="","",(Inputs!$B$9+(A21-1)*Scenarios!D3)/1440)</ns0:f>
        <ns0:v/>
      </ns0:c>
      <ns0:c r="C21" s="5" t="str">
        <ns0:f>IF(A21="","",B21+Inputs!$B$10/1440)</ns0:f>
        <ns0:v/>
      </ns0:c>
      <ns0:c r="D21" s="5" t="str">
        <ns0:f>IF(A21="","",C21+Inputs!$B$11/1440)</ns0:f>
        <ns0:v/>
      </ns0:c>
      <ns0:c r="E21" s="5" t="str">
        <ns0:f>IF(A21="","",D21+Inputs!$B$12/1440)</ns0:f>
        <ns0:v/>
      </ns0:c>
      <ns0:c r="F21" s="5" t="str">
        <ns0:f>IF(A21="","",E21+Inputs!$B$13/1440)</ns0:f>
        <ns0:v/>
      </ns0:c>
      <ns0:c r="G21" s="5" t="str">
        <ns0:f>IF(A21="","",F21+Inputs!$B$14/1440)</ns0:f>
        <ns0:v/>
      </ns0:c>
      <ns0:c r="H21" s="5" t="str">
        <ns0:f>IF(A21="","",G21+Inputs!$B$15/1440)</ns0:f>
        <ns0:v/>
      </ns0:c>
      <ns0:c r="I21" s="5" t="str">
        <ns0:f>IF(A21="","",H21+Inputs!$B$16/1440)</ns0:f>
        <ns0:v/>
      </ns0:c>
      <ns0:c r="J21" s="5" t="str">
        <ns0:f>IF(A21="","",I21+Inputs!$B$17/1440)</ns0:f>
        <ns0:v/>
      </ns0:c>
      <ns0:c r="K21" s="5" t="str">
        <ns0:f>IF(A21="","",J21+Inputs!$B$18/1440)</ns0:f>
        <ns0:v/>
      </ns0:c>
      <ns0:c r="L21" s="5" t="str">
        <ns0:f>IF(A21="","",J21+Inputs!$B$19/1440)</ns0:f>
        <ns0:v/>
      </ns0:c>
      <ns0:c r="M21" s="5" t="str">
        <ns0:f>IF(A21="","",L21+Inputs!$B$20/1440)</ns0:f>
        <ns0:v/>
      </ns0:c>
      <ns0:c r="N21" s="5" t="str">
        <ns0:f>IF(A21="","",M21+Inputs!$B$21/1440)</ns0:f>
        <ns0:v/>
      </ns0:c>
      <ns0:c r="O21" s="4" t="str">
        <ns0:f>IF(A21="","",MOD(A21-1,Inputs!$B$33)+1)</ns0:f>
        <ns0:v/>
      </ns0:c>
    </ns0:row>
    <ns0:row r="22">
      <ns0:c r="A22" s="4" t="str">
        <ns0:f>IF(20&lt;=Scenarios!B3,20,"")</ns0:f>
        <ns0:v/>
      </ns0:c>
      <ns0:c r="B22" s="5" t="str">
        <ns0:f>IF(A22="","",(Inputs!$B$9+(A22-1)*Scenarios!D3)/1440)</ns0:f>
        <ns0:v/>
      </ns0:c>
      <ns0:c r="C22" s="5" t="str">
        <ns0:f>IF(A22="","",B22+Inputs!$B$10/1440)</ns0:f>
        <ns0:v/>
      </ns0:c>
      <ns0:c r="D22" s="5" t="str">
        <ns0:f>IF(A22="","",C22+Inputs!$B$11/1440)</ns0:f>
        <ns0:v/>
      </ns0:c>
      <ns0:c r="E22" s="5" t="str">
        <ns0:f>IF(A22="","",D22+Inputs!$B$12/1440)</ns0:f>
        <ns0:v/>
      </ns0:c>
      <ns0:c r="F22" s="5" t="str">
        <ns0:f>IF(A22="","",E22+Inputs!$B$13/1440)</ns0:f>
        <ns0:v/>
      </ns0:c>
      <ns0:c r="G22" s="5" t="str">
        <ns0:f>IF(A22="","",F22+Inputs!$B$14/1440)</ns0:f>
        <ns0:v/>
      </ns0:c>
      <ns0:c r="H22" s="5" t="str">
        <ns0:f>IF(A22="","",G22+Inputs!$B$15/1440)</ns0:f>
        <ns0:v/>
      </ns0:c>
      <ns0:c r="I22" s="5" t="str">
        <ns0:f>IF(A22="","",H22+Inputs!$B$16/1440)</ns0:f>
        <ns0:v/>
      </ns0:c>
      <ns0:c r="J22" s="5" t="str">
        <ns0:f>IF(A22="","",I22+Inputs!$B$17/1440)</ns0:f>
        <ns0:v/>
      </ns0:c>
      <ns0:c r="K22" s="5" t="str">
        <ns0:f>IF(A22="","",J22+Inputs!$B$18/1440)</ns0:f>
        <ns0:v/>
      </ns0:c>
      <ns0:c r="L22" s="5" t="str">
        <ns0:f>IF(A22="","",J22+Inputs!$B$19/1440)</ns0:f>
        <ns0:v/>
      </ns0:c>
      <ns0:c r="M22" s="5" t="str">
        <ns0:f>IF(A22="","",L22+Inputs!$B$20/1440)</ns0:f>
        <ns0:v/>
      </ns0:c>
      <ns0:c r="N22" s="5" t="str">
        <ns0:f>IF(A22="","",M22+Inputs!$B$21/1440)</ns0:f>
        <ns0:v/>
      </ns0:c>
      <ns0:c r="O22" s="4" t="str">
        <ns0:f>IF(A22="","",MOD(A22-1,Inputs!$B$33)+1)</ns0:f>
        <ns0:v/>
      </ns0:c>
    </ns0:row>
  </ns0:sheetData>
  <ns0:autoFilter ref="A1:O22"/>
  <ns0:printOptions horizontalCentered="1"/>
  <ns0:pageMargins left="0.75" right="0.75" top="1" bottom="1" header="0.5" footer="0.5"/>
  <ns0:pageSetup orientation="landscape" paperSize="8" fitToHeight="0" fitToWidth="1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O22"/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0" customWidth="1" min="1" max="1"/>
    <ns0:col width="20" customWidth="1" min="2" max="2"/>
    <ns0:col width="20" customWidth="1" min="3" max="3"/>
    <ns0:col width="20" customWidth="1" min="4" max="4"/>
    <ns0:col width="20" customWidth="1" min="5" max="5"/>
    <ns0:col width="20" customWidth="1" min="6" max="6"/>
    <ns0:col width="20" customWidth="1" min="7" max="7"/>
    <ns0:col width="20" customWidth="1" min="8" max="8"/>
    <ns0:col width="20" customWidth="1" min="9" max="9"/>
    <ns0:col width="20" customWidth="1" min="10" max="10"/>
    <ns0:col width="20" customWidth="1" min="11" max="11"/>
    <ns0:col width="20" customWidth="1" min="12" max="12"/>
    <ns0:col width="20" customWidth="1" min="13" max="13"/>
    <ns0:col width="20" customWidth="1" min="14" max="14"/>
    <ns0:col width="20" customWidth="1" min="15" max="15"/>
  </ns0:cols>
  <ns0:sheetData>
    <ns0:row r="1">
      <ns0:c r="A1" t="inlineStr">
        <ns0:is>
          <ns0:t>PLAN-BAG-H / BAG-H2-01 / clocks depend on Inputs</ns0:t>
        </ns0:is>
      </ns0:c>
    </ns0:row>
    <ns0:row r="2" ht="44" customHeight="1">
      <ns0:c r="A2" s="1" t="inlineStr">
        <ns0:is>
          <ns0:t>Batch</ns0:t>
        </ns0:is>
      </ns0:c>
      <ns0:c r="B2" s="1" t="inlineStr">
        <ns0:is>
          <ns0:t>Mix start</ns0:t>
        </ns0:is>
      </ns0:c>
      <ns0:c r="C2" s="1" t="inlineStr">
        <ns0:is>
          <ns0:t>Mix end</ns0:t>
        </ns0:is>
      </ns0:c>
      <ns0:c r="D2" s="1" t="inlineStr">
        <ns0:is>
          <ns0:t>Bulk end/divide start</ns0:t>
        </ns0:is>
      </ns0:c>
      <ns0:c r="E2" s="1" t="inlineStr">
        <ns0:is>
          <ns0:t>Divide end/mould start</ns0:t>
        </ns0:is>
      </ns0:c>
      <ns0:c r="F2" s="1" t="inlineStr">
        <ns0:is>
          <ns0:t>Mould end/proof start</ns0:t>
        </ns0:is>
      </ns0:c>
      <ns0:c r="G2" s="1" t="inlineStr">
        <ns0:is>
          <ns0:t>Proof end/score start</ns0:t>
        </ns0:is>
      </ns0:c>
      <ns0:c r="H2" s="1" t="inlineStr">
        <ns0:is>
          <ns0:t>Loading complete</ns0:t>
        </ns0:is>
      </ns0:c>
      <ns0:c r="I2" s="1" t="inlineStr">
        <ns0:is>
          <ns0:t>Bake end</ns0:t>
        </ns0:is>
      </ns0:c>
      <ns0:c r="J2" s="1" t="inlineStr">
        <ns0:is>
          <ns0:t>Unload complete</ns0:t>
        </ns0:is>
      </ns0:c>
      <ns0:c r="K2" s="1" t="inlineStr">
        <ns0:is>
          <ns0:t>Oven recovered</ns0:t>
        </ns0:is>
      </ns0:c>
      <ns0:c r="L2" s="1" t="inlineStr">
        <ns0:is>
          <ns0:t>Cooling complete</ns0:t>
        </ns0:is>
      </ns0:c>
      <ns0:c r="M2" s="1" t="inlineStr">
        <ns0:is>
          <ns0:t>Pack release</ns0:t>
        </ns0:is>
      </ns0:c>
      <ns0:c r="N2" s="1" t="inlineStr">
        <ns0:is>
          <ns0:t>Rack set free</ns0:t>
        </ns0:is>
      </ns0:c>
      <ns0:c r="O2" s="1" t="inlineStr">
        <ns0:is>
          <ns0:t>Proof bay</ns0:t>
        </ns0:is>
      </ns0:c>
    </ns0:row>
    <ns0:row r="3">
      <ns0:c r="A3" s="4" t="n">
        <ns0:f>IF(1&lt;=Scenarios!B4,1,"")</ns0:f>
        <ns0:v>1.0</ns0:v>
      </ns0:c>
      <ns0:c r="B3" s="5" t="n">
        <ns0:f>IF(A3="","",(Inputs!$B$9+(A3-1)*Scenarios!D4)/1440)</ns0:f>
        <ns0:v>0.09722222222222222</ns0:v>
      </ns0:c>
      <ns0:c r="C3" s="5" t="n">
        <ns0:f>IF(A3="","",B3+Inputs!$B$10/1440)</ns0:f>
        <ns0:v>0.10972222222222222</ns0:v>
      </ns0:c>
      <ns0:c r="D3" s="5" t="n">
        <ns0:f>IF(A3="","",C3+Inputs!$B$11/1440)</ns0:f>
        <ns0:v>0.14097222222222222</ns0:v>
      </ns0:c>
      <ns0:c r="E3" s="5" t="n">
        <ns0:f>IF(A3="","",D3+Inputs!$B$12/1440)</ns0:f>
        <ns0:v>0.15138888888888888</ns0:v>
      </ns0:c>
      <ns0:c r="F3" s="5" t="n">
        <ns0:f>IF(A3="","",E3+Inputs!$B$13/1440)</ns0:f>
        <ns0:v>0.16180555555555554</ns0:v>
      </ns0:c>
      <ns0:c r="G3" s="5" t="n">
        <ns0:f>IF(A3="","",F3+Inputs!$B$14/1440)</ns0:f>
        <ns0:v>0.2034722222222222</ns0:v>
      </ns0:c>
      <ns0:c r="H3" s="5" t="n">
        <ns0:f>IF(A3="","",G3+Inputs!$B$15/1440)</ns0:f>
        <ns0:v>0.21041666666666664</ns0:v>
      </ns0:c>
      <ns0:c r="I3" s="5" t="n">
        <ns0:f>IF(A3="","",H3+Inputs!$B$16/1440)</ns0:f>
        <ns0:v>0.22569444444444442</ns0:v>
      </ns0:c>
      <ns0:c r="J3" s="5" t="n">
        <ns0:f>IF(A3="","",I3+Inputs!$B$17/1440)</ns0:f>
        <ns0:v>0.22777777777777775</ns0:v>
      </ns0:c>
      <ns0:c r="K3" s="5" t="n">
        <ns0:f>IF(A3="","",J3+Inputs!$B$18/1440)</ns0:f>
        <ns0:v>0.23124999999999996</ns0:v>
      </ns0:c>
      <ns0:c r="L3" s="5" t="n">
        <ns0:f>IF(A3="","",J3+Inputs!$B$19/1440)</ns0:f>
        <ns0:v>0.25902777777777775</ns0:v>
      </ns0:c>
      <ns0:c r="M3" s="5" t="n">
        <ns0:f>IF(A3="","",L3+Inputs!$B$20/1440)</ns0:f>
        <ns0:v>0.26944444444444443</ns0:v>
      </ns0:c>
      <ns0:c r="N3" s="5" t="n">
        <ns0:f>IF(A3="","",M3+Inputs!$B$21/1440)</ns0:f>
        <ns0:v>0.27638888888888885</ns0:v>
      </ns0:c>
      <ns0:c r="O3" s="4" t="n">
        <ns0:f>IF(A3="","",MOD(A3-1,Inputs!$B$33)+1)</ns0:f>
        <ns0:v>1.0</ns0:v>
      </ns0:c>
    </ns0:row>
    <ns0:row r="4">
      <ns0:c r="A4" s="4" t="n">
        <ns0:f>IF(2&lt;=Scenarios!B4,2,"")</ns0:f>
        <ns0:v>2.0</ns0:v>
      </ns0:c>
      <ns0:c r="B4" s="5" t="n">
        <ns0:f>IF(A4="","",(Inputs!$B$9+(A4-1)*Scenarios!D4)/1440)</ns0:f>
        <ns0:v>0.1284722222222222</ns0:v>
      </ns0:c>
      <ns0:c r="C4" s="5" t="n">
        <ns0:f>IF(A4="","",B4+Inputs!$B$10/1440)</ns0:f>
        <ns0:v>0.14097222222222222</ns0:v>
      </ns0:c>
      <ns0:c r="D4" s="5" t="n">
        <ns0:f>IF(A4="","",C4+Inputs!$B$11/1440)</ns0:f>
        <ns0:v>0.17222222222222222</ns0:v>
      </ns0:c>
      <ns0:c r="E4" s="5" t="n">
        <ns0:f>IF(A4="","",D4+Inputs!$B$12/1440)</ns0:f>
        <ns0:v>0.18263888888888888</ns0:v>
      </ns0:c>
      <ns0:c r="F4" s="5" t="n">
        <ns0:f>IF(A4="","",E4+Inputs!$B$13/1440)</ns0:f>
        <ns0:v>0.19305555555555554</ns0:v>
      </ns0:c>
      <ns0:c r="G4" s="5" t="n">
        <ns0:f>IF(A4="","",F4+Inputs!$B$14/1440)</ns0:f>
        <ns0:v>0.2347222222222222</ns0:v>
      </ns0:c>
      <ns0:c r="H4" s="5" t="n">
        <ns0:f>IF(A4="","",G4+Inputs!$B$15/1440)</ns0:f>
        <ns0:v>0.24166666666666664</ns0:v>
      </ns0:c>
      <ns0:c r="I4" s="5" t="n">
        <ns0:f>IF(A4="","",H4+Inputs!$B$16/1440)</ns0:f>
        <ns0:v>0.2569444444444444</ns0:v>
      </ns0:c>
      <ns0:c r="J4" s="5" t="n">
        <ns0:f>IF(A4="","",I4+Inputs!$B$17/1440)</ns0:f>
        <ns0:v>0.25902777777777775</ns0:v>
      </ns0:c>
      <ns0:c r="K4" s="5" t="n">
        <ns0:f>IF(A4="","",J4+Inputs!$B$18/1440)</ns0:f>
        <ns0:v>0.26249999999999996</ns0:v>
      </ns0:c>
      <ns0:c r="L4" s="5" t="n">
        <ns0:f>IF(A4="","",J4+Inputs!$B$19/1440)</ns0:f>
        <ns0:v>0.29027777777777775</ns0:v>
      </ns0:c>
      <ns0:c r="M4" s="5" t="n">
        <ns0:f>IF(A4="","",L4+Inputs!$B$20/1440)</ns0:f>
        <ns0:v>0.30069444444444443</ns0:v>
      </ns0:c>
      <ns0:c r="N4" s="5" t="n">
        <ns0:f>IF(A4="","",M4+Inputs!$B$21/1440)</ns0:f>
        <ns0:v>0.30763888888888885</ns0:v>
      </ns0:c>
      <ns0:c r="O4" s="4" t="n">
        <ns0:f>IF(A4="","",MOD(A4-1,Inputs!$B$33)+1)</ns0:f>
        <ns0:v>2.0</ns0:v>
      </ns0:c>
    </ns0:row>
    <ns0:row r="5">
      <ns0:c r="A5" s="4" t="n">
        <ns0:f>IF(3&lt;=Scenarios!B4,3,"")</ns0:f>
        <ns0:v>3.0</ns0:v>
      </ns0:c>
      <ns0:c r="B5" s="5" t="n">
        <ns0:f>IF(A5="","",(Inputs!$B$9+(A5-1)*Scenarios!D4)/1440)</ns0:f>
        <ns0:v>0.1597222222222222</ns0:v>
      </ns0:c>
      <ns0:c r="C5" s="5" t="n">
        <ns0:f>IF(A5="","",B5+Inputs!$B$10/1440)</ns0:f>
        <ns0:v>0.17222222222222222</ns0:v>
      </ns0:c>
      <ns0:c r="D5" s="5" t="n">
        <ns0:f>IF(A5="","",C5+Inputs!$B$11/1440)</ns0:f>
        <ns0:v>0.20347222222222222</ns0:v>
      </ns0:c>
      <ns0:c r="E5" s="5" t="n">
        <ns0:f>IF(A5="","",D5+Inputs!$B$12/1440)</ns0:f>
        <ns0:v>0.21388888888888888</ns0:v>
      </ns0:c>
      <ns0:c r="F5" s="5" t="n">
        <ns0:f>IF(A5="","",E5+Inputs!$B$13/1440)</ns0:f>
        <ns0:v>0.22430555555555554</ns0:v>
      </ns0:c>
      <ns0:c r="G5" s="5" t="n">
        <ns0:f>IF(A5="","",F5+Inputs!$B$14/1440)</ns0:f>
        <ns0:v>0.2659722222222222</ns0:v>
      </ns0:c>
      <ns0:c r="H5" s="5" t="n">
        <ns0:f>IF(A5="","",G5+Inputs!$B$15/1440)</ns0:f>
        <ns0:v>0.27291666666666664</ns0:v>
      </ns0:c>
      <ns0:c r="I5" s="5" t="n">
        <ns0:f>IF(A5="","",H5+Inputs!$B$16/1440)</ns0:f>
        <ns0:v>0.2881944444444444</ns0:v>
      </ns0:c>
      <ns0:c r="J5" s="5" t="n">
        <ns0:f>IF(A5="","",I5+Inputs!$B$17/1440)</ns0:f>
        <ns0:v>0.29027777777777775</ns0:v>
      </ns0:c>
      <ns0:c r="K5" s="5" t="n">
        <ns0:f>IF(A5="","",J5+Inputs!$B$18/1440)</ns0:f>
        <ns0:v>0.29374999999999996</ns0:v>
      </ns0:c>
      <ns0:c r="L5" s="5" t="n">
        <ns0:f>IF(A5="","",J5+Inputs!$B$19/1440)</ns0:f>
        <ns0:v>0.32152777777777775</ns0:v>
      </ns0:c>
      <ns0:c r="M5" s="5" t="n">
        <ns0:f>IF(A5="","",L5+Inputs!$B$20/1440)</ns0:f>
        <ns0:v>0.33194444444444443</ns0:v>
      </ns0:c>
      <ns0:c r="N5" s="5" t="n">
        <ns0:f>IF(A5="","",M5+Inputs!$B$21/1440)</ns0:f>
        <ns0:v>0.33888888888888885</ns0:v>
      </ns0:c>
      <ns0:c r="O5" s="4" t="n">
        <ns0:f>IF(A5="","",MOD(A5-1,Inputs!$B$33)+1)</ns0:f>
        <ns0:v>1.0</ns0:v>
      </ns0:c>
    </ns0:row>
    <ns0:row r="6">
      <ns0:c r="A6" s="4" t="n">
        <ns0:f>IF(4&lt;=Scenarios!B4,4,"")</ns0:f>
        <ns0:v>4.0</ns0:v>
      </ns0:c>
      <ns0:c r="B6" s="5" t="n">
        <ns0:f>IF(A6="","",(Inputs!$B$9+(A6-1)*Scenarios!D4)/1440)</ns0:f>
        <ns0:v>0.1909722222222222</ns0:v>
      </ns0:c>
      <ns0:c r="C6" s="5" t="n">
        <ns0:f>IF(A6="","",B6+Inputs!$B$10/1440)</ns0:f>
        <ns0:v>0.20347222222222222</ns0:v>
      </ns0:c>
      <ns0:c r="D6" s="5" t="n">
        <ns0:f>IF(A6="","",C6+Inputs!$B$11/1440)</ns0:f>
        <ns0:v>0.23472222222222222</ns0:v>
      </ns0:c>
      <ns0:c r="E6" s="5" t="n">
        <ns0:f>IF(A6="","",D6+Inputs!$B$12/1440)</ns0:f>
        <ns0:v>0.24513888888888888</ns0:v>
      </ns0:c>
      <ns0:c r="F6" s="5" t="n">
        <ns0:f>IF(A6="","",E6+Inputs!$B$13/1440)</ns0:f>
        <ns0:v>0.25555555555555554</ns0:v>
      </ns0:c>
      <ns0:c r="G6" s="5" t="n">
        <ns0:f>IF(A6="","",F6+Inputs!$B$14/1440)</ns0:f>
        <ns0:v>0.2972222222222222</ns0:v>
      </ns0:c>
      <ns0:c r="H6" s="5" t="n">
        <ns0:f>IF(A6="","",G6+Inputs!$B$15/1440)</ns0:f>
        <ns0:v>0.30416666666666664</ns0:v>
      </ns0:c>
      <ns0:c r="I6" s="5" t="n">
        <ns0:f>IF(A6="","",H6+Inputs!$B$16/1440)</ns0:f>
        <ns0:v>0.3194444444444444</ns0:v>
      </ns0:c>
      <ns0:c r="J6" s="5" t="n">
        <ns0:f>IF(A6="","",I6+Inputs!$B$17/1440)</ns0:f>
        <ns0:v>0.32152777777777775</ns0:v>
      </ns0:c>
      <ns0:c r="K6" s="5" t="n">
        <ns0:f>IF(A6="","",J6+Inputs!$B$18/1440)</ns0:f>
        <ns0:v>0.32499999999999996</ns0:v>
      </ns0:c>
      <ns0:c r="L6" s="5" t="n">
        <ns0:f>IF(A6="","",J6+Inputs!$B$19/1440)</ns0:f>
        <ns0:v>0.35277777777777775</ns0:v>
      </ns0:c>
      <ns0:c r="M6" s="5" t="n">
        <ns0:f>IF(A6="","",L6+Inputs!$B$20/1440)</ns0:f>
        <ns0:v>0.36319444444444443</ns0:v>
      </ns0:c>
      <ns0:c r="N6" s="5" t="n">
        <ns0:f>IF(A6="","",M6+Inputs!$B$21/1440)</ns0:f>
        <ns0:v>0.37013888888888885</ns0:v>
      </ns0:c>
      <ns0:c r="O6" s="4" t="n">
        <ns0:f>IF(A6="","",MOD(A6-1,Inputs!$B$33)+1)</ns0:f>
        <ns0:v>2.0</ns0:v>
      </ns0:c>
    </ns0:row>
    <ns0:row r="7">
      <ns0:c r="A7" s="4" t="n">
        <ns0:f>IF(5&lt;=Scenarios!B4,5,"")</ns0:f>
        <ns0:v>5.0</ns0:v>
      </ns0:c>
      <ns0:c r="B7" s="5" t="n">
        <ns0:f>IF(A7="","",(Inputs!$B$9+(A7-1)*Scenarios!D4)/1440)</ns0:f>
        <ns0:v>0.2222222222222222</ns0:v>
      </ns0:c>
      <ns0:c r="C7" s="5" t="n">
        <ns0:f>IF(A7="","",B7+Inputs!$B$10/1440)</ns0:f>
        <ns0:v>0.23472222222222222</ns0:v>
      </ns0:c>
      <ns0:c r="D7" s="5" t="n">
        <ns0:f>IF(A7="","",C7+Inputs!$B$11/1440)</ns0:f>
        <ns0:v>0.2659722222222222</ns0:v>
      </ns0:c>
      <ns0:c r="E7" s="5" t="n">
        <ns0:f>IF(A7="","",D7+Inputs!$B$12/1440)</ns0:f>
        <ns0:v>0.2763888888888889</ns0:v>
      </ns0:c>
      <ns0:c r="F7" s="5" t="n">
        <ns0:f>IF(A7="","",E7+Inputs!$B$13/1440)</ns0:f>
        <ns0:v>0.2868055555555556</ns0:v>
      </ns0:c>
      <ns0:c r="G7" s="5" t="n">
        <ns0:f>IF(A7="","",F7+Inputs!$B$14/1440)</ns0:f>
        <ns0:v>0.3284722222222223</ns0:v>
      </ns0:c>
      <ns0:c r="H7" s="5" t="n">
        <ns0:f>IF(A7="","",G7+Inputs!$B$15/1440)</ns0:f>
        <ns0:v>0.3354166666666667</ns0:v>
      </ns0:c>
      <ns0:c r="I7" s="5" t="n">
        <ns0:f>IF(A7="","",H7+Inputs!$B$16/1440)</ns0:f>
        <ns0:v>0.3506944444444445</ns0:v>
      </ns0:c>
      <ns0:c r="J7" s="5" t="n">
        <ns0:f>IF(A7="","",I7+Inputs!$B$17/1440)</ns0:f>
        <ns0:v>0.3527777777777778</ns0:v>
      </ns0:c>
      <ns0:c r="K7" s="5" t="n">
        <ns0:f>IF(A7="","",J7+Inputs!$B$18/1440)</ns0:f>
        <ns0:v>0.35625</ns0:v>
      </ns0:c>
      <ns0:c r="L7" s="5" t="n">
        <ns0:f>IF(A7="","",J7+Inputs!$B$19/1440)</ns0:f>
        <ns0:v>0.3840277777777778</ns0:v>
      </ns0:c>
      <ns0:c r="M7" s="5" t="n">
        <ns0:f>IF(A7="","",L7+Inputs!$B$20/1440)</ns0:f>
        <ns0:v>0.3944444444444445</ns0:v>
      </ns0:c>
      <ns0:c r="N7" s="5" t="n">
        <ns0:f>IF(A7="","",M7+Inputs!$B$21/1440)</ns0:f>
        <ns0:v>0.4013888888888889</ns0:v>
      </ns0:c>
      <ns0:c r="O7" s="4" t="n">
        <ns0:f>IF(A7="","",MOD(A7-1,Inputs!$B$33)+1)</ns0:f>
        <ns0:v>1.0</ns0:v>
      </ns0:c>
    </ns0:row>
    <ns0:row r="8">
      <ns0:c r="A8" s="4" t="n">
        <ns0:f>IF(6&lt;=Scenarios!B4,6,"")</ns0:f>
        <ns0:v>6.0</ns0:v>
      </ns0:c>
      <ns0:c r="B8" s="5" t="n">
        <ns0:f>IF(A8="","",(Inputs!$B$9+(A8-1)*Scenarios!D4)/1440)</ns0:f>
        <ns0:v>0.2534722222222222</ns0:v>
      </ns0:c>
      <ns0:c r="C8" s="5" t="n">
        <ns0:f>IF(A8="","",B8+Inputs!$B$10/1440)</ns0:f>
        <ns0:v>0.2659722222222222</ns0:v>
      </ns0:c>
      <ns0:c r="D8" s="5" t="n">
        <ns0:f>IF(A8="","",C8+Inputs!$B$11/1440)</ns0:f>
        <ns0:v>0.2972222222222222</ns0:v>
      </ns0:c>
      <ns0:c r="E8" s="5" t="n">
        <ns0:f>IF(A8="","",D8+Inputs!$B$12/1440)</ns0:f>
        <ns0:v>0.3076388888888889</ns0:v>
      </ns0:c>
      <ns0:c r="F8" s="5" t="n">
        <ns0:f>IF(A8="","",E8+Inputs!$B$13/1440)</ns0:f>
        <ns0:v>0.3180555555555556</ns0:v>
      </ns0:c>
      <ns0:c r="G8" s="5" t="n">
        <ns0:f>IF(A8="","",F8+Inputs!$B$14/1440)</ns0:f>
        <ns0:v>0.3597222222222223</ns0:v>
      </ns0:c>
      <ns0:c r="H8" s="5" t="n">
        <ns0:f>IF(A8="","",G8+Inputs!$B$15/1440)</ns0:f>
        <ns0:v>0.3666666666666667</ns0:v>
      </ns0:c>
      <ns0:c r="I8" s="5" t="n">
        <ns0:f>IF(A8="","",H8+Inputs!$B$16/1440)</ns0:f>
        <ns0:v>0.3819444444444445</ns0:v>
      </ns0:c>
      <ns0:c r="J8" s="5" t="n">
        <ns0:f>IF(A8="","",I8+Inputs!$B$17/1440)</ns0:f>
        <ns0:v>0.3840277777777778</ns0:v>
      </ns0:c>
      <ns0:c r="K8" s="5" t="n">
        <ns0:f>IF(A8="","",J8+Inputs!$B$18/1440)</ns0:f>
        <ns0:v>0.3875</ns0:v>
      </ns0:c>
      <ns0:c r="L8" s="5" t="n">
        <ns0:f>IF(A8="","",J8+Inputs!$B$19/1440)</ns0:f>
        <ns0:v>0.4152777777777778</ns0:v>
      </ns0:c>
      <ns0:c r="M8" s="5" t="n">
        <ns0:f>IF(A8="","",L8+Inputs!$B$20/1440)</ns0:f>
        <ns0:v>0.4256944444444445</ns0:v>
      </ns0:c>
      <ns0:c r="N8" s="5" t="n">
        <ns0:f>IF(A8="","",M8+Inputs!$B$21/1440)</ns0:f>
        <ns0:v>0.4326388888888889</ns0:v>
      </ns0:c>
      <ns0:c r="O8" s="4" t="n">
        <ns0:f>IF(A8="","",MOD(A8-1,Inputs!$B$33)+1)</ns0:f>
        <ns0:v>2.0</ns0:v>
      </ns0:c>
    </ns0:row>
    <ns0:row r="9">
      <ns0:c r="A9" s="4" t="n">
        <ns0:f>IF(7&lt;=Scenarios!B4,7,"")</ns0:f>
        <ns0:v>7.0</ns0:v>
      </ns0:c>
      <ns0:c r="B9" s="5" t="n">
        <ns0:f>IF(A9="","",(Inputs!$B$9+(A9-1)*Scenarios!D4)/1440)</ns0:f>
        <ns0:v>0.2847222222222222</ns0:v>
      </ns0:c>
      <ns0:c r="C9" s="5" t="n">
        <ns0:f>IF(A9="","",B9+Inputs!$B$10/1440)</ns0:f>
        <ns0:v>0.2972222222222222</ns0:v>
      </ns0:c>
      <ns0:c r="D9" s="5" t="n">
        <ns0:f>IF(A9="","",C9+Inputs!$B$11/1440)</ns0:f>
        <ns0:v>0.3284722222222222</ns0:v>
      </ns0:c>
      <ns0:c r="E9" s="5" t="n">
        <ns0:f>IF(A9="","",D9+Inputs!$B$12/1440)</ns0:f>
        <ns0:v>0.3388888888888889</ns0:v>
      </ns0:c>
      <ns0:c r="F9" s="5" t="n">
        <ns0:f>IF(A9="","",E9+Inputs!$B$13/1440)</ns0:f>
        <ns0:v>0.3493055555555556</ns0:v>
      </ns0:c>
      <ns0:c r="G9" s="5" t="n">
        <ns0:f>IF(A9="","",F9+Inputs!$B$14/1440)</ns0:f>
        <ns0:v>0.3909722222222223</ns0:v>
      </ns0:c>
      <ns0:c r="H9" s="5" t="n">
        <ns0:f>IF(A9="","",G9+Inputs!$B$15/1440)</ns0:f>
        <ns0:v>0.3979166666666667</ns0:v>
      </ns0:c>
      <ns0:c r="I9" s="5" t="n">
        <ns0:f>IF(A9="","",H9+Inputs!$B$16/1440)</ns0:f>
        <ns0:v>0.4131944444444445</ns0:v>
      </ns0:c>
      <ns0:c r="J9" s="5" t="n">
        <ns0:f>IF(A9="","",I9+Inputs!$B$17/1440)</ns0:f>
        <ns0:v>0.4152777777777778</ns0:v>
      </ns0:c>
      <ns0:c r="K9" s="5" t="n">
        <ns0:f>IF(A9="","",J9+Inputs!$B$18/1440)</ns0:f>
        <ns0:v>0.41875</ns0:v>
      </ns0:c>
      <ns0:c r="L9" s="5" t="n">
        <ns0:f>IF(A9="","",J9+Inputs!$B$19/1440)</ns0:f>
        <ns0:v>0.4465277777777778</ns0:v>
      </ns0:c>
      <ns0:c r="M9" s="5" t="n">
        <ns0:f>IF(A9="","",L9+Inputs!$B$20/1440)</ns0:f>
        <ns0:v>0.4569444444444445</ns0:v>
      </ns0:c>
      <ns0:c r="N9" s="5" t="n">
        <ns0:f>IF(A9="","",M9+Inputs!$B$21/1440)</ns0:f>
        <ns0:v>0.4638888888888889</ns0:v>
      </ns0:c>
      <ns0:c r="O9" s="4" t="n">
        <ns0:f>IF(A9="","",MOD(A9-1,Inputs!$B$33)+1)</ns0:f>
        <ns0:v>1.0</ns0:v>
      </ns0:c>
    </ns0:row>
    <ns0:row r="10">
      <ns0:c r="A10" s="4" t="n">
        <ns0:f>IF(8&lt;=Scenarios!B4,8,"")</ns0:f>
        <ns0:v>8.0</ns0:v>
      </ns0:c>
      <ns0:c r="B10" s="5" t="n">
        <ns0:f>IF(A10="","",(Inputs!$B$9+(A10-1)*Scenarios!D4)/1440)</ns0:f>
        <ns0:v>0.3159722222222222</ns0:v>
      </ns0:c>
      <ns0:c r="C10" s="5" t="n">
        <ns0:f>IF(A10="","",B10+Inputs!$B$10/1440)</ns0:f>
        <ns0:v>0.3284722222222222</ns0:v>
      </ns0:c>
      <ns0:c r="D10" s="5" t="n">
        <ns0:f>IF(A10="","",C10+Inputs!$B$11/1440)</ns0:f>
        <ns0:v>0.3597222222222222</ns0:v>
      </ns0:c>
      <ns0:c r="E10" s="5" t="n">
        <ns0:f>IF(A10="","",D10+Inputs!$B$12/1440)</ns0:f>
        <ns0:v>0.3701388888888889</ns0:v>
      </ns0:c>
      <ns0:c r="F10" s="5" t="n">
        <ns0:f>IF(A10="","",E10+Inputs!$B$13/1440)</ns0:f>
        <ns0:v>0.3805555555555556</ns0:v>
      </ns0:c>
      <ns0:c r="G10" s="5" t="n">
        <ns0:f>IF(A10="","",F10+Inputs!$B$14/1440)</ns0:f>
        <ns0:v>0.4222222222222223</ns0:v>
      </ns0:c>
      <ns0:c r="H10" s="5" t="n">
        <ns0:f>IF(A10="","",G10+Inputs!$B$15/1440)</ns0:f>
        <ns0:v>0.4291666666666667</ns0:v>
      </ns0:c>
      <ns0:c r="I10" s="5" t="n">
        <ns0:f>IF(A10="","",H10+Inputs!$B$16/1440)</ns0:f>
        <ns0:v>0.4444444444444445</ns0:v>
      </ns0:c>
      <ns0:c r="J10" s="5" t="n">
        <ns0:f>IF(A10="","",I10+Inputs!$B$17/1440)</ns0:f>
        <ns0:v>0.4465277777777778</ns0:v>
      </ns0:c>
      <ns0:c r="K10" s="5" t="n">
        <ns0:f>IF(A10="","",J10+Inputs!$B$18/1440)</ns0:f>
        <ns0:v>0.45</ns0:v>
      </ns0:c>
      <ns0:c r="L10" s="5" t="n">
        <ns0:f>IF(A10="","",J10+Inputs!$B$19/1440)</ns0:f>
        <ns0:v>0.4777777777777778</ns0:v>
      </ns0:c>
      <ns0:c r="M10" s="5" t="n">
        <ns0:f>IF(A10="","",L10+Inputs!$B$20/1440)</ns0:f>
        <ns0:v>0.4881944444444445</ns0:v>
      </ns0:c>
      <ns0:c r="N10" s="5" t="n">
        <ns0:f>IF(A10="","",M10+Inputs!$B$21/1440)</ns0:f>
        <ns0:v>0.4951388888888889</ns0:v>
      </ns0:c>
      <ns0:c r="O10" s="4" t="n">
        <ns0:f>IF(A10="","",MOD(A10-1,Inputs!$B$33)+1)</ns0:f>
        <ns0:v>2.0</ns0:v>
      </ns0:c>
    </ns0:row>
    <ns0:row r="11">
      <ns0:c r="A11" s="4" t="n">
        <ns0:f>IF(9&lt;=Scenarios!B4,9,"")</ns0:f>
        <ns0:v>9.0</ns0:v>
      </ns0:c>
      <ns0:c r="B11" s="5" t="n">
        <ns0:f>IF(A11="","",(Inputs!$B$9+(A11-1)*Scenarios!D4)/1440)</ns0:f>
        <ns0:v>0.3472222222222222</ns0:v>
      </ns0:c>
      <ns0:c r="C11" s="5" t="n">
        <ns0:f>IF(A11="","",B11+Inputs!$B$10/1440)</ns0:f>
        <ns0:v>0.3597222222222222</ns0:v>
      </ns0:c>
      <ns0:c r="D11" s="5" t="n">
        <ns0:f>IF(A11="","",C11+Inputs!$B$11/1440)</ns0:f>
        <ns0:v>0.3909722222222222</ns0:v>
      </ns0:c>
      <ns0:c r="E11" s="5" t="n">
        <ns0:f>IF(A11="","",D11+Inputs!$B$12/1440)</ns0:f>
        <ns0:v>0.4013888888888889</ns0:v>
      </ns0:c>
      <ns0:c r="F11" s="5" t="n">
        <ns0:f>IF(A11="","",E11+Inputs!$B$13/1440)</ns0:f>
        <ns0:v>0.4118055555555556</ns0:v>
      </ns0:c>
      <ns0:c r="G11" s="5" t="n">
        <ns0:f>IF(A11="","",F11+Inputs!$B$14/1440)</ns0:f>
        <ns0:v>0.4534722222222223</ns0:v>
      </ns0:c>
      <ns0:c r="H11" s="5" t="n">
        <ns0:f>IF(A11="","",G11+Inputs!$B$15/1440)</ns0:f>
        <ns0:v>0.4604166666666667</ns0:v>
      </ns0:c>
      <ns0:c r="I11" s="5" t="n">
        <ns0:f>IF(A11="","",H11+Inputs!$B$16/1440)</ns0:f>
        <ns0:v>0.4756944444444445</ns0:v>
      </ns0:c>
      <ns0:c r="J11" s="5" t="n">
        <ns0:f>IF(A11="","",I11+Inputs!$B$17/1440)</ns0:f>
        <ns0:v>0.4777777777777778</ns0:v>
      </ns0:c>
      <ns0:c r="K11" s="5" t="n">
        <ns0:f>IF(A11="","",J11+Inputs!$B$18/1440)</ns0:f>
        <ns0:v>0.48125</ns0:v>
      </ns0:c>
      <ns0:c r="L11" s="5" t="n">
        <ns0:f>IF(A11="","",J11+Inputs!$B$19/1440)</ns0:f>
        <ns0:v>0.5090277777777779</ns0:v>
      </ns0:c>
      <ns0:c r="M11" s="5" t="n">
        <ns0:f>IF(A11="","",L11+Inputs!$B$20/1440)</ns0:f>
        <ns0:v>0.5194444444444445</ns0:v>
      </ns0:c>
      <ns0:c r="N11" s="5" t="n">
        <ns0:f>IF(A11="","",M11+Inputs!$B$21/1440)</ns0:f>
        <ns0:v>0.5263888888888889</ns0:v>
      </ns0:c>
      <ns0:c r="O11" s="4" t="n">
        <ns0:f>IF(A11="","",MOD(A11-1,Inputs!$B$33)+1)</ns0:f>
        <ns0:v>1.0</ns0:v>
      </ns0:c>
    </ns0:row>
    <ns0:row r="12">
      <ns0:c r="A12" s="4" t="n">
        <ns0:f>IF(10&lt;=Scenarios!B4,10,"")</ns0:f>
        <ns0:v>10.0</ns0:v>
      </ns0:c>
      <ns0:c r="B12" s="5" t="n">
        <ns0:f>IF(A12="","",(Inputs!$B$9+(A12-1)*Scenarios!D4)/1440)</ns0:f>
        <ns0:v>0.3784722222222222</ns0:v>
      </ns0:c>
      <ns0:c r="C12" s="5" t="n">
        <ns0:f>IF(A12="","",B12+Inputs!$B$10/1440)</ns0:f>
        <ns0:v>0.3909722222222222</ns0:v>
      </ns0:c>
      <ns0:c r="D12" s="5" t="n">
        <ns0:f>IF(A12="","",C12+Inputs!$B$11/1440)</ns0:f>
        <ns0:v>0.4222222222222222</ns0:v>
      </ns0:c>
      <ns0:c r="E12" s="5" t="n">
        <ns0:f>IF(A12="","",D12+Inputs!$B$12/1440)</ns0:f>
        <ns0:v>0.4326388888888889</ns0:v>
      </ns0:c>
      <ns0:c r="F12" s="5" t="n">
        <ns0:f>IF(A12="","",E12+Inputs!$B$13/1440)</ns0:f>
        <ns0:v>0.4430555555555556</ns0:v>
      </ns0:c>
      <ns0:c r="G12" s="5" t="n">
        <ns0:f>IF(A12="","",F12+Inputs!$B$14/1440)</ns0:f>
        <ns0:v>0.4847222222222223</ns0:v>
      </ns0:c>
      <ns0:c r="H12" s="5" t="n">
        <ns0:f>IF(A12="","",G12+Inputs!$B$15/1440)</ns0:f>
        <ns0:v>0.4916666666666667</ns0:v>
      </ns0:c>
      <ns0:c r="I12" s="5" t="n">
        <ns0:f>IF(A12="","",H12+Inputs!$B$16/1440)</ns0:f>
        <ns0:v>0.5069444444444444</ns0:v>
      </ns0:c>
      <ns0:c r="J12" s="5" t="n">
        <ns0:f>IF(A12="","",I12+Inputs!$B$17/1440)</ns0:f>
        <ns0:v>0.5090277777777777</ns0:v>
      </ns0:c>
      <ns0:c r="K12" s="5" t="n">
        <ns0:f>IF(A12="","",J12+Inputs!$B$18/1440)</ns0:f>
        <ns0:v>0.5125</ns0:v>
      </ns0:c>
      <ns0:c r="L12" s="5" t="n">
        <ns0:f>IF(A12="","",J12+Inputs!$B$19/1440)</ns0:f>
        <ns0:v>0.5402777777777777</ns0:v>
      </ns0:c>
      <ns0:c r="M12" s="5" t="n">
        <ns0:f>IF(A12="","",L12+Inputs!$B$20/1440)</ns0:f>
        <ns0:v>0.5506944444444444</ns0:v>
      </ns0:c>
      <ns0:c r="N12" s="5" t="n">
        <ns0:f>IF(A12="","",M12+Inputs!$B$21/1440)</ns0:f>
        <ns0:v>0.5576388888888888</ns0:v>
      </ns0:c>
      <ns0:c r="O12" s="4" t="n">
        <ns0:f>IF(A12="","",MOD(A12-1,Inputs!$B$33)+1)</ns0:f>
        <ns0:v>2.0</ns0:v>
      </ns0:c>
    </ns0:row>
    <ns0:row r="13">
      <ns0:c r="A13" s="4" t="str">
        <ns0:f>IF(11&lt;=Scenarios!B4,11,"")</ns0:f>
        <ns0:v/>
      </ns0:c>
      <ns0:c r="B13" s="5" t="str">
        <ns0:f>IF(A13="","",(Inputs!$B$9+(A13-1)*Scenarios!D4)/1440)</ns0:f>
        <ns0:v/>
      </ns0:c>
      <ns0:c r="C13" s="5" t="str">
        <ns0:f>IF(A13="","",B13+Inputs!$B$10/1440)</ns0:f>
        <ns0:v/>
      </ns0:c>
      <ns0:c r="D13" s="5" t="str">
        <ns0:f>IF(A13="","",C13+Inputs!$B$11/1440)</ns0:f>
        <ns0:v/>
      </ns0:c>
      <ns0:c r="E13" s="5" t="str">
        <ns0:f>IF(A13="","",D13+Inputs!$B$12/1440)</ns0:f>
        <ns0:v/>
      </ns0:c>
      <ns0:c r="F13" s="5" t="str">
        <ns0:f>IF(A13="","",E13+Inputs!$B$13/1440)</ns0:f>
        <ns0:v/>
      </ns0:c>
      <ns0:c r="G13" s="5" t="str">
        <ns0:f>IF(A13="","",F13+Inputs!$B$14/1440)</ns0:f>
        <ns0:v/>
      </ns0:c>
      <ns0:c r="H13" s="5" t="str">
        <ns0:f>IF(A13="","",G13+Inputs!$B$15/1440)</ns0:f>
        <ns0:v/>
      </ns0:c>
      <ns0:c r="I13" s="5" t="str">
        <ns0:f>IF(A13="","",H13+Inputs!$B$16/1440)</ns0:f>
        <ns0:v/>
      </ns0:c>
      <ns0:c r="J13" s="5" t="str">
        <ns0:f>IF(A13="","",I13+Inputs!$B$17/1440)</ns0:f>
        <ns0:v/>
      </ns0:c>
      <ns0:c r="K13" s="5" t="str">
        <ns0:f>IF(A13="","",J13+Inputs!$B$18/1440)</ns0:f>
        <ns0:v/>
      </ns0:c>
      <ns0:c r="L13" s="5" t="str">
        <ns0:f>IF(A13="","",J13+Inputs!$B$19/1440)</ns0:f>
        <ns0:v/>
      </ns0:c>
      <ns0:c r="M13" s="5" t="str">
        <ns0:f>IF(A13="","",L13+Inputs!$B$20/1440)</ns0:f>
        <ns0:v/>
      </ns0:c>
      <ns0:c r="N13" s="5" t="str">
        <ns0:f>IF(A13="","",M13+Inputs!$B$21/1440)</ns0:f>
        <ns0:v/>
      </ns0:c>
      <ns0:c r="O13" s="4" t="str">
        <ns0:f>IF(A13="","",MOD(A13-1,Inputs!$B$33)+1)</ns0:f>
        <ns0:v/>
      </ns0:c>
    </ns0:row>
    <ns0:row r="14">
      <ns0:c r="A14" s="4" t="str">
        <ns0:f>IF(12&lt;=Scenarios!B4,12,"")</ns0:f>
        <ns0:v/>
      </ns0:c>
      <ns0:c r="B14" s="5" t="str">
        <ns0:f>IF(A14="","",(Inputs!$B$9+(A14-1)*Scenarios!D4)/1440)</ns0:f>
        <ns0:v/>
      </ns0:c>
      <ns0:c r="C14" s="5" t="str">
        <ns0:f>IF(A14="","",B14+Inputs!$B$10/1440)</ns0:f>
        <ns0:v/>
      </ns0:c>
      <ns0:c r="D14" s="5" t="str">
        <ns0:f>IF(A14="","",C14+Inputs!$B$11/1440)</ns0:f>
        <ns0:v/>
      </ns0:c>
      <ns0:c r="E14" s="5" t="str">
        <ns0:f>IF(A14="","",D14+Inputs!$B$12/1440)</ns0:f>
        <ns0:v/>
      </ns0:c>
      <ns0:c r="F14" s="5" t="str">
        <ns0:f>IF(A14="","",E14+Inputs!$B$13/1440)</ns0:f>
        <ns0:v/>
      </ns0:c>
      <ns0:c r="G14" s="5" t="str">
        <ns0:f>IF(A14="","",F14+Inputs!$B$14/1440)</ns0:f>
        <ns0:v/>
      </ns0:c>
      <ns0:c r="H14" s="5" t="str">
        <ns0:f>IF(A14="","",G14+Inputs!$B$15/1440)</ns0:f>
        <ns0:v/>
      </ns0:c>
      <ns0:c r="I14" s="5" t="str">
        <ns0:f>IF(A14="","",H14+Inputs!$B$16/1440)</ns0:f>
        <ns0:v/>
      </ns0:c>
      <ns0:c r="J14" s="5" t="str">
        <ns0:f>IF(A14="","",I14+Inputs!$B$17/1440)</ns0:f>
        <ns0:v/>
      </ns0:c>
      <ns0:c r="K14" s="5" t="str">
        <ns0:f>IF(A14="","",J14+Inputs!$B$18/1440)</ns0:f>
        <ns0:v/>
      </ns0:c>
      <ns0:c r="L14" s="5" t="str">
        <ns0:f>IF(A14="","",J14+Inputs!$B$19/1440)</ns0:f>
        <ns0:v/>
      </ns0:c>
      <ns0:c r="M14" s="5" t="str">
        <ns0:f>IF(A14="","",L14+Inputs!$B$20/1440)</ns0:f>
        <ns0:v/>
      </ns0:c>
      <ns0:c r="N14" s="5" t="str">
        <ns0:f>IF(A14="","",M14+Inputs!$B$21/1440)</ns0:f>
        <ns0:v/>
      </ns0:c>
      <ns0:c r="O14" s="4" t="str">
        <ns0:f>IF(A14="","",MOD(A14-1,Inputs!$B$33)+1)</ns0:f>
        <ns0:v/>
      </ns0:c>
    </ns0:row>
    <ns0:row r="15">
      <ns0:c r="A15" s="4" t="str">
        <ns0:f>IF(13&lt;=Scenarios!B4,13,"")</ns0:f>
        <ns0:v/>
      </ns0:c>
      <ns0:c r="B15" s="5" t="str">
        <ns0:f>IF(A15="","",(Inputs!$B$9+(A15-1)*Scenarios!D4)/1440)</ns0:f>
        <ns0:v/>
      </ns0:c>
      <ns0:c r="C15" s="5" t="str">
        <ns0:f>IF(A15="","",B15+Inputs!$B$10/1440)</ns0:f>
        <ns0:v/>
      </ns0:c>
      <ns0:c r="D15" s="5" t="str">
        <ns0:f>IF(A15="","",C15+Inputs!$B$11/1440)</ns0:f>
        <ns0:v/>
      </ns0:c>
      <ns0:c r="E15" s="5" t="str">
        <ns0:f>IF(A15="","",D15+Inputs!$B$12/1440)</ns0:f>
        <ns0:v/>
      </ns0:c>
      <ns0:c r="F15" s="5" t="str">
        <ns0:f>IF(A15="","",E15+Inputs!$B$13/1440)</ns0:f>
        <ns0:v/>
      </ns0:c>
      <ns0:c r="G15" s="5" t="str">
        <ns0:f>IF(A15="","",F15+Inputs!$B$14/1440)</ns0:f>
        <ns0:v/>
      </ns0:c>
      <ns0:c r="H15" s="5" t="str">
        <ns0:f>IF(A15="","",G15+Inputs!$B$15/1440)</ns0:f>
        <ns0:v/>
      </ns0:c>
      <ns0:c r="I15" s="5" t="str">
        <ns0:f>IF(A15="","",H15+Inputs!$B$16/1440)</ns0:f>
        <ns0:v/>
      </ns0:c>
      <ns0:c r="J15" s="5" t="str">
        <ns0:f>IF(A15="","",I15+Inputs!$B$17/1440)</ns0:f>
        <ns0:v/>
      </ns0:c>
      <ns0:c r="K15" s="5" t="str">
        <ns0:f>IF(A15="","",J15+Inputs!$B$18/1440)</ns0:f>
        <ns0:v/>
      </ns0:c>
      <ns0:c r="L15" s="5" t="str">
        <ns0:f>IF(A15="","",J15+Inputs!$B$19/1440)</ns0:f>
        <ns0:v/>
      </ns0:c>
      <ns0:c r="M15" s="5" t="str">
        <ns0:f>IF(A15="","",L15+Inputs!$B$20/1440)</ns0:f>
        <ns0:v/>
      </ns0:c>
      <ns0:c r="N15" s="5" t="str">
        <ns0:f>IF(A15="","",M15+Inputs!$B$21/1440)</ns0:f>
        <ns0:v/>
      </ns0:c>
      <ns0:c r="O15" s="4" t="str">
        <ns0:f>IF(A15="","",MOD(A15-1,Inputs!$B$33)+1)</ns0:f>
        <ns0:v/>
      </ns0:c>
    </ns0:row>
    <ns0:row r="16">
      <ns0:c r="A16" s="4" t="str">
        <ns0:f>IF(14&lt;=Scenarios!B4,14,"")</ns0:f>
        <ns0:v/>
      </ns0:c>
      <ns0:c r="B16" s="5" t="str">
        <ns0:f>IF(A16="","",(Inputs!$B$9+(A16-1)*Scenarios!D4)/1440)</ns0:f>
        <ns0:v/>
      </ns0:c>
      <ns0:c r="C16" s="5" t="str">
        <ns0:f>IF(A16="","",B16+Inputs!$B$10/1440)</ns0:f>
        <ns0:v/>
      </ns0:c>
      <ns0:c r="D16" s="5" t="str">
        <ns0:f>IF(A16="","",C16+Inputs!$B$11/1440)</ns0:f>
        <ns0:v/>
      </ns0:c>
      <ns0:c r="E16" s="5" t="str">
        <ns0:f>IF(A16="","",D16+Inputs!$B$12/1440)</ns0:f>
        <ns0:v/>
      </ns0:c>
      <ns0:c r="F16" s="5" t="str">
        <ns0:f>IF(A16="","",E16+Inputs!$B$13/1440)</ns0:f>
        <ns0:v/>
      </ns0:c>
      <ns0:c r="G16" s="5" t="str">
        <ns0:f>IF(A16="","",F16+Inputs!$B$14/1440)</ns0:f>
        <ns0:v/>
      </ns0:c>
      <ns0:c r="H16" s="5" t="str">
        <ns0:f>IF(A16="","",G16+Inputs!$B$15/1440)</ns0:f>
        <ns0:v/>
      </ns0:c>
      <ns0:c r="I16" s="5" t="str">
        <ns0:f>IF(A16="","",H16+Inputs!$B$16/1440)</ns0:f>
        <ns0:v/>
      </ns0:c>
      <ns0:c r="J16" s="5" t="str">
        <ns0:f>IF(A16="","",I16+Inputs!$B$17/1440)</ns0:f>
        <ns0:v/>
      </ns0:c>
      <ns0:c r="K16" s="5" t="str">
        <ns0:f>IF(A16="","",J16+Inputs!$B$18/1440)</ns0:f>
        <ns0:v/>
      </ns0:c>
      <ns0:c r="L16" s="5" t="str">
        <ns0:f>IF(A16="","",J16+Inputs!$B$19/1440)</ns0:f>
        <ns0:v/>
      </ns0:c>
      <ns0:c r="M16" s="5" t="str">
        <ns0:f>IF(A16="","",L16+Inputs!$B$20/1440)</ns0:f>
        <ns0:v/>
      </ns0:c>
      <ns0:c r="N16" s="5" t="str">
        <ns0:f>IF(A16="","",M16+Inputs!$B$21/1440)</ns0:f>
        <ns0:v/>
      </ns0:c>
      <ns0:c r="O16" s="4" t="str">
        <ns0:f>IF(A16="","",MOD(A16-1,Inputs!$B$33)+1)</ns0:f>
        <ns0:v/>
      </ns0:c>
    </ns0:row>
    <ns0:row r="17">
      <ns0:c r="A17" s="4" t="str">
        <ns0:f>IF(15&lt;=Scenarios!B4,15,"")</ns0:f>
        <ns0:v/>
      </ns0:c>
      <ns0:c r="B17" s="5" t="str">
        <ns0:f>IF(A17="","",(Inputs!$B$9+(A17-1)*Scenarios!D4)/1440)</ns0:f>
        <ns0:v/>
      </ns0:c>
      <ns0:c r="C17" s="5" t="str">
        <ns0:f>IF(A17="","",B17+Inputs!$B$10/1440)</ns0:f>
        <ns0:v/>
      </ns0:c>
      <ns0:c r="D17" s="5" t="str">
        <ns0:f>IF(A17="","",C17+Inputs!$B$11/1440)</ns0:f>
        <ns0:v/>
      </ns0:c>
      <ns0:c r="E17" s="5" t="str">
        <ns0:f>IF(A17="","",D17+Inputs!$B$12/1440)</ns0:f>
        <ns0:v/>
      </ns0:c>
      <ns0:c r="F17" s="5" t="str">
        <ns0:f>IF(A17="","",E17+Inputs!$B$13/1440)</ns0:f>
        <ns0:v/>
      </ns0:c>
      <ns0:c r="G17" s="5" t="str">
        <ns0:f>IF(A17="","",F17+Inputs!$B$14/1440)</ns0:f>
        <ns0:v/>
      </ns0:c>
      <ns0:c r="H17" s="5" t="str">
        <ns0:f>IF(A17="","",G17+Inputs!$B$15/1440)</ns0:f>
        <ns0:v/>
      </ns0:c>
      <ns0:c r="I17" s="5" t="str">
        <ns0:f>IF(A17="","",H17+Inputs!$B$16/1440)</ns0:f>
        <ns0:v/>
      </ns0:c>
      <ns0:c r="J17" s="5" t="str">
        <ns0:f>IF(A17="","",I17+Inputs!$B$17/1440)</ns0:f>
        <ns0:v/>
      </ns0:c>
      <ns0:c r="K17" s="5" t="str">
        <ns0:f>IF(A17="","",J17+Inputs!$B$18/1440)</ns0:f>
        <ns0:v/>
      </ns0:c>
      <ns0:c r="L17" s="5" t="str">
        <ns0:f>IF(A17="","",J17+Inputs!$B$19/1440)</ns0:f>
        <ns0:v/>
      </ns0:c>
      <ns0:c r="M17" s="5" t="str">
        <ns0:f>IF(A17="","",L17+Inputs!$B$20/1440)</ns0:f>
        <ns0:v/>
      </ns0:c>
      <ns0:c r="N17" s="5" t="str">
        <ns0:f>IF(A17="","",M17+Inputs!$B$21/1440)</ns0:f>
        <ns0:v/>
      </ns0:c>
      <ns0:c r="O17" s="4" t="str">
        <ns0:f>IF(A17="","",MOD(A17-1,Inputs!$B$33)+1)</ns0:f>
        <ns0:v/>
      </ns0:c>
    </ns0:row>
    <ns0:row r="18">
      <ns0:c r="A18" s="4" t="str">
        <ns0:f>IF(16&lt;=Scenarios!B4,16,"")</ns0:f>
        <ns0:v/>
      </ns0:c>
      <ns0:c r="B18" s="5" t="str">
        <ns0:f>IF(A18="","",(Inputs!$B$9+(A18-1)*Scenarios!D4)/1440)</ns0:f>
        <ns0:v/>
      </ns0:c>
      <ns0:c r="C18" s="5" t="str">
        <ns0:f>IF(A18="","",B18+Inputs!$B$10/1440)</ns0:f>
        <ns0:v/>
      </ns0:c>
      <ns0:c r="D18" s="5" t="str">
        <ns0:f>IF(A18="","",C18+Inputs!$B$11/1440)</ns0:f>
        <ns0:v/>
      </ns0:c>
      <ns0:c r="E18" s="5" t="str">
        <ns0:f>IF(A18="","",D18+Inputs!$B$12/1440)</ns0:f>
        <ns0:v/>
      </ns0:c>
      <ns0:c r="F18" s="5" t="str">
        <ns0:f>IF(A18="","",E18+Inputs!$B$13/1440)</ns0:f>
        <ns0:v/>
      </ns0:c>
      <ns0:c r="G18" s="5" t="str">
        <ns0:f>IF(A18="","",F18+Inputs!$B$14/1440)</ns0:f>
        <ns0:v/>
      </ns0:c>
      <ns0:c r="H18" s="5" t="str">
        <ns0:f>IF(A18="","",G18+Inputs!$B$15/1440)</ns0:f>
        <ns0:v/>
      </ns0:c>
      <ns0:c r="I18" s="5" t="str">
        <ns0:f>IF(A18="","",H18+Inputs!$B$16/1440)</ns0:f>
        <ns0:v/>
      </ns0:c>
      <ns0:c r="J18" s="5" t="str">
        <ns0:f>IF(A18="","",I18+Inputs!$B$17/1440)</ns0:f>
        <ns0:v/>
      </ns0:c>
      <ns0:c r="K18" s="5" t="str">
        <ns0:f>IF(A18="","",J18+Inputs!$B$18/1440)</ns0:f>
        <ns0:v/>
      </ns0:c>
      <ns0:c r="L18" s="5" t="str">
        <ns0:f>IF(A18="","",J18+Inputs!$B$19/1440)</ns0:f>
        <ns0:v/>
      </ns0:c>
      <ns0:c r="M18" s="5" t="str">
        <ns0:f>IF(A18="","",L18+Inputs!$B$20/1440)</ns0:f>
        <ns0:v/>
      </ns0:c>
      <ns0:c r="N18" s="5" t="str">
        <ns0:f>IF(A18="","",M18+Inputs!$B$21/1440)</ns0:f>
        <ns0:v/>
      </ns0:c>
      <ns0:c r="O18" s="4" t="str">
        <ns0:f>IF(A18="","",MOD(A18-1,Inputs!$B$33)+1)</ns0:f>
        <ns0:v/>
      </ns0:c>
    </ns0:row>
    <ns0:row r="19">
      <ns0:c r="A19" s="4" t="str">
        <ns0:f>IF(17&lt;=Scenarios!B4,17,"")</ns0:f>
        <ns0:v/>
      </ns0:c>
      <ns0:c r="B19" s="5" t="str">
        <ns0:f>IF(A19="","",(Inputs!$B$9+(A19-1)*Scenarios!D4)/1440)</ns0:f>
        <ns0:v/>
      </ns0:c>
      <ns0:c r="C19" s="5" t="str">
        <ns0:f>IF(A19="","",B19+Inputs!$B$10/1440)</ns0:f>
        <ns0:v/>
      </ns0:c>
      <ns0:c r="D19" s="5" t="str">
        <ns0:f>IF(A19="","",C19+Inputs!$B$11/1440)</ns0:f>
        <ns0:v/>
      </ns0:c>
      <ns0:c r="E19" s="5" t="str">
        <ns0:f>IF(A19="","",D19+Inputs!$B$12/1440)</ns0:f>
        <ns0:v/>
      </ns0:c>
      <ns0:c r="F19" s="5" t="str">
        <ns0:f>IF(A19="","",E19+Inputs!$B$13/1440)</ns0:f>
        <ns0:v/>
      </ns0:c>
      <ns0:c r="G19" s="5" t="str">
        <ns0:f>IF(A19="","",F19+Inputs!$B$14/1440)</ns0:f>
        <ns0:v/>
      </ns0:c>
      <ns0:c r="H19" s="5" t="str">
        <ns0:f>IF(A19="","",G19+Inputs!$B$15/1440)</ns0:f>
        <ns0:v/>
      </ns0:c>
      <ns0:c r="I19" s="5" t="str">
        <ns0:f>IF(A19="","",H19+Inputs!$B$16/1440)</ns0:f>
        <ns0:v/>
      </ns0:c>
      <ns0:c r="J19" s="5" t="str">
        <ns0:f>IF(A19="","",I19+Inputs!$B$17/1440)</ns0:f>
        <ns0:v/>
      </ns0:c>
      <ns0:c r="K19" s="5" t="str">
        <ns0:f>IF(A19="","",J19+Inputs!$B$18/1440)</ns0:f>
        <ns0:v/>
      </ns0:c>
      <ns0:c r="L19" s="5" t="str">
        <ns0:f>IF(A19="","",J19+Inputs!$B$19/1440)</ns0:f>
        <ns0:v/>
      </ns0:c>
      <ns0:c r="M19" s="5" t="str">
        <ns0:f>IF(A19="","",L19+Inputs!$B$20/1440)</ns0:f>
        <ns0:v/>
      </ns0:c>
      <ns0:c r="N19" s="5" t="str">
        <ns0:f>IF(A19="","",M19+Inputs!$B$21/1440)</ns0:f>
        <ns0:v/>
      </ns0:c>
      <ns0:c r="O19" s="4" t="str">
        <ns0:f>IF(A19="","",MOD(A19-1,Inputs!$B$33)+1)</ns0:f>
        <ns0:v/>
      </ns0:c>
    </ns0:row>
    <ns0:row r="20">
      <ns0:c r="A20" s="4" t="str">
        <ns0:f>IF(18&lt;=Scenarios!B4,18,"")</ns0:f>
        <ns0:v/>
      </ns0:c>
      <ns0:c r="B20" s="5" t="str">
        <ns0:f>IF(A20="","",(Inputs!$B$9+(A20-1)*Scenarios!D4)/1440)</ns0:f>
        <ns0:v/>
      </ns0:c>
      <ns0:c r="C20" s="5" t="str">
        <ns0:f>IF(A20="","",B20+Inputs!$B$10/1440)</ns0:f>
        <ns0:v/>
      </ns0:c>
      <ns0:c r="D20" s="5" t="str">
        <ns0:f>IF(A20="","",C20+Inputs!$B$11/1440)</ns0:f>
        <ns0:v/>
      </ns0:c>
      <ns0:c r="E20" s="5" t="str">
        <ns0:f>IF(A20="","",D20+Inputs!$B$12/1440)</ns0:f>
        <ns0:v/>
      </ns0:c>
      <ns0:c r="F20" s="5" t="str">
        <ns0:f>IF(A20="","",E20+Inputs!$B$13/1440)</ns0:f>
        <ns0:v/>
      </ns0:c>
      <ns0:c r="G20" s="5" t="str">
        <ns0:f>IF(A20="","",F20+Inputs!$B$14/1440)</ns0:f>
        <ns0:v/>
      </ns0:c>
      <ns0:c r="H20" s="5" t="str">
        <ns0:f>IF(A20="","",G20+Inputs!$B$15/1440)</ns0:f>
        <ns0:v/>
      </ns0:c>
      <ns0:c r="I20" s="5" t="str">
        <ns0:f>IF(A20="","",H20+Inputs!$B$16/1440)</ns0:f>
        <ns0:v/>
      </ns0:c>
      <ns0:c r="J20" s="5" t="str">
        <ns0:f>IF(A20="","",I20+Inputs!$B$17/1440)</ns0:f>
        <ns0:v/>
      </ns0:c>
      <ns0:c r="K20" s="5" t="str">
        <ns0:f>IF(A20="","",J20+Inputs!$B$18/1440)</ns0:f>
        <ns0:v/>
      </ns0:c>
      <ns0:c r="L20" s="5" t="str">
        <ns0:f>IF(A20="","",J20+Inputs!$B$19/1440)</ns0:f>
        <ns0:v/>
      </ns0:c>
      <ns0:c r="M20" s="5" t="str">
        <ns0:f>IF(A20="","",L20+Inputs!$B$20/1440)</ns0:f>
        <ns0:v/>
      </ns0:c>
      <ns0:c r="N20" s="5" t="str">
        <ns0:f>IF(A20="","",M20+Inputs!$B$21/1440)</ns0:f>
        <ns0:v/>
      </ns0:c>
      <ns0:c r="O20" s="4" t="str">
        <ns0:f>IF(A20="","",MOD(A20-1,Inputs!$B$33)+1)</ns0:f>
        <ns0:v/>
      </ns0:c>
    </ns0:row>
    <ns0:row r="21">
      <ns0:c r="A21" s="4" t="str">
        <ns0:f>IF(19&lt;=Scenarios!B4,19,"")</ns0:f>
        <ns0:v/>
      </ns0:c>
      <ns0:c r="B21" s="5" t="str">
        <ns0:f>IF(A21="","",(Inputs!$B$9+(A21-1)*Scenarios!D4)/1440)</ns0:f>
        <ns0:v/>
      </ns0:c>
      <ns0:c r="C21" s="5" t="str">
        <ns0:f>IF(A21="","",B21+Inputs!$B$10/1440)</ns0:f>
        <ns0:v/>
      </ns0:c>
      <ns0:c r="D21" s="5" t="str">
        <ns0:f>IF(A21="","",C21+Inputs!$B$11/1440)</ns0:f>
        <ns0:v/>
      </ns0:c>
      <ns0:c r="E21" s="5" t="str">
        <ns0:f>IF(A21="","",D21+Inputs!$B$12/1440)</ns0:f>
        <ns0:v/>
      </ns0:c>
      <ns0:c r="F21" s="5" t="str">
        <ns0:f>IF(A21="","",E21+Inputs!$B$13/1440)</ns0:f>
        <ns0:v/>
      </ns0:c>
      <ns0:c r="G21" s="5" t="str">
        <ns0:f>IF(A21="","",F21+Inputs!$B$14/1440)</ns0:f>
        <ns0:v/>
      </ns0:c>
      <ns0:c r="H21" s="5" t="str">
        <ns0:f>IF(A21="","",G21+Inputs!$B$15/1440)</ns0:f>
        <ns0:v/>
      </ns0:c>
      <ns0:c r="I21" s="5" t="str">
        <ns0:f>IF(A21="","",H21+Inputs!$B$16/1440)</ns0:f>
        <ns0:v/>
      </ns0:c>
      <ns0:c r="J21" s="5" t="str">
        <ns0:f>IF(A21="","",I21+Inputs!$B$17/1440)</ns0:f>
        <ns0:v/>
      </ns0:c>
      <ns0:c r="K21" s="5" t="str">
        <ns0:f>IF(A21="","",J21+Inputs!$B$18/1440)</ns0:f>
        <ns0:v/>
      </ns0:c>
      <ns0:c r="L21" s="5" t="str">
        <ns0:f>IF(A21="","",J21+Inputs!$B$19/1440)</ns0:f>
        <ns0:v/>
      </ns0:c>
      <ns0:c r="M21" s="5" t="str">
        <ns0:f>IF(A21="","",L21+Inputs!$B$20/1440)</ns0:f>
        <ns0:v/>
      </ns0:c>
      <ns0:c r="N21" s="5" t="str">
        <ns0:f>IF(A21="","",M21+Inputs!$B$21/1440)</ns0:f>
        <ns0:v/>
      </ns0:c>
      <ns0:c r="O21" s="4" t="str">
        <ns0:f>IF(A21="","",MOD(A21-1,Inputs!$B$33)+1)</ns0:f>
        <ns0:v/>
      </ns0:c>
    </ns0:row>
    <ns0:row r="22">
      <ns0:c r="A22" s="4" t="str">
        <ns0:f>IF(20&lt;=Scenarios!B4,20,"")</ns0:f>
        <ns0:v/>
      </ns0:c>
      <ns0:c r="B22" s="5" t="str">
        <ns0:f>IF(A22="","",(Inputs!$B$9+(A22-1)*Scenarios!D4)/1440)</ns0:f>
        <ns0:v/>
      </ns0:c>
      <ns0:c r="C22" s="5" t="str">
        <ns0:f>IF(A22="","",B22+Inputs!$B$10/1440)</ns0:f>
        <ns0:v/>
      </ns0:c>
      <ns0:c r="D22" s="5" t="str">
        <ns0:f>IF(A22="","",C22+Inputs!$B$11/1440)</ns0:f>
        <ns0:v/>
      </ns0:c>
      <ns0:c r="E22" s="5" t="str">
        <ns0:f>IF(A22="","",D22+Inputs!$B$12/1440)</ns0:f>
        <ns0:v/>
      </ns0:c>
      <ns0:c r="F22" s="5" t="str">
        <ns0:f>IF(A22="","",E22+Inputs!$B$13/1440)</ns0:f>
        <ns0:v/>
      </ns0:c>
      <ns0:c r="G22" s="5" t="str">
        <ns0:f>IF(A22="","",F22+Inputs!$B$14/1440)</ns0:f>
        <ns0:v/>
      </ns0:c>
      <ns0:c r="H22" s="5" t="str">
        <ns0:f>IF(A22="","",G22+Inputs!$B$15/1440)</ns0:f>
        <ns0:v/>
      </ns0:c>
      <ns0:c r="I22" s="5" t="str">
        <ns0:f>IF(A22="","",H22+Inputs!$B$16/1440)</ns0:f>
        <ns0:v/>
      </ns0:c>
      <ns0:c r="J22" s="5" t="str">
        <ns0:f>IF(A22="","",I22+Inputs!$B$17/1440)</ns0:f>
        <ns0:v/>
      </ns0:c>
      <ns0:c r="K22" s="5" t="str">
        <ns0:f>IF(A22="","",J22+Inputs!$B$18/1440)</ns0:f>
        <ns0:v/>
      </ns0:c>
      <ns0:c r="L22" s="5" t="str">
        <ns0:f>IF(A22="","",J22+Inputs!$B$19/1440)</ns0:f>
        <ns0:v/>
      </ns0:c>
      <ns0:c r="M22" s="5" t="str">
        <ns0:f>IF(A22="","",L22+Inputs!$B$20/1440)</ns0:f>
        <ns0:v/>
      </ns0:c>
      <ns0:c r="N22" s="5" t="str">
        <ns0:f>IF(A22="","",M22+Inputs!$B$21/1440)</ns0:f>
        <ns0:v/>
      </ns0:c>
      <ns0:c r="O22" s="4" t="str">
        <ns0:f>IF(A22="","",MOD(A22-1,Inputs!$B$33)+1)</ns0:f>
        <ns0:v/>
      </ns0:c>
    </ns0:row>
  </ns0:sheetData>
  <ns0:autoFilter ref="A1:O22"/>
  <ns0:printOptions horizontalCentered="1"/>
  <ns0:pageMargins left="0.75" right="0.75" top="1" bottom="1" header="0.5" footer="0.5"/>
  <ns0:pageSetup orientation="landscape" paperSize="8" fitToHeight="0" fitToWidth="1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L34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0" customWidth="1" min="1" max="1"/>
    <ns0:col width="20" customWidth="1" min="2" max="2"/>
    <ns0:col width="20" customWidth="1" min="3" max="3"/>
    <ns0:col width="20" customWidth="1" min="4" max="4"/>
    <ns0:col width="20" customWidth="1" min="5" max="5"/>
    <ns0:col width="20" customWidth="1" min="6" max="6"/>
    <ns0:col width="20" customWidth="1" min="7" max="7"/>
    <ns0:col width="20" customWidth="1" min="8" max="8"/>
    <ns0:col width="20" customWidth="1" min="9" max="9"/>
    <ns0:col width="20" customWidth="1" min="10" max="10"/>
    <ns0:col width="20" customWidth="1" min="11" max="11"/>
    <ns0:col width="20" customWidth="1" min="12" max="12"/>
  </ns0:cols>
  <ns0:sheetData>
    <ns0:row r="1" ht="44" customHeight="1">
      <ns0:c r="A1" s="1" t="inlineStr">
        <ns0:is>
          <ns0:t>Scenario</ns0:t>
        </ns0:is>
      </ns0:c>
      <ns0:c r="B1" s="1" t="inlineStr">
        <ns0:is>
          <ns0:t>Wave</ns0:t>
        </ns0:is>
      </ns0:c>
      <ns0:c r="C1" s="1" t="inlineStr">
        <ns0:is>
          <ns0:t>First batch</ns0:t>
        </ns0:is>
      </ns0:c>
      <ns0:c r="D1" s="1" t="inlineStr">
        <ns0:is>
          <ns0:t>Last batch</ns0:t>
        </ns0:is>
      </ns0:c>
      <ns0:c r="E1" s="1" t="inlineStr">
        <ns0:is>
          <ns0:t>Retained units</ns0:t>
        </ns0:is>
      </ns0:c>
      <ns0:c r="F1" s="1" t="inlineStr">
        <ns0:is>
          <ns0:t>Ready packed</ns0:t>
        </ns0:is>
      </ns0:c>
      <ns0:c r="G1" s="1" t="inlineStr">
        <ns0:is>
          <ns0:t>Vehicle load start</ns0:t>
        </ns0:is>
      </ns0:c>
      <ns0:c r="H1" s="1" t="inlineStr">
        <ns0:is>
          <ns0:t>Depart A</ns0:t>
        </ns0:is>
      </ns0:c>
      <ns0:c r="I1" s="1" t="inlineStr">
        <ns0:is>
          <ns0:t>Arrive B</ns0:t>
        </ns0:is>
      </ns0:c>
      <ns0:c r="J1" s="1" t="inlineStr">
        <ns0:is>
          <ns0:t>Vehicle ready A</ns0:t>
        </ns0:is>
      </ns0:c>
      <ns0:c r="K1" s="1" t="inlineStr">
        <ns0:is>
          <ns0:t>Max staged min</ns0:t>
        </ns0:is>
      </ns0:c>
      <ns0:c r="L1" s="1" t="inlineStr">
        <ns0:is>
          <ns0:t>Vehicle capacity gate</ns0:t>
        </ns0:is>
      </ns0:c>
    </ns0:row>
    <ns0:row r="2">
      <ns0:c r="A2" s="4" t="str">
        <ns0:f>IF(1&lt;=Scenarios!B2,Scenarios!A2,"")</ns0:f>
        <ns0:v>PLAN-BAG-P</ns0:v>
      </ns0:c>
      <ns0:c r="B2" s="4" t="n">
        <ns0:f>IF(A2="","",1)</ns0:f>
        <ns0:v>1.0</ns0:v>
      </ns0:c>
      <ns0:c r="C2" s="4" t="n">
        <ns0:f>IF(A2="","",1)</ns0:f>
        <ns0:v>1.0</ns0:v>
      </ns0:c>
      <ns0:c r="D2" s="4" t="n">
        <ns0:f>IF(A2="","",MIN(Scenarios!B2,1))</ns0:f>
        <ns0:v>1.0</ns0:v>
      </ns0:c>
      <ns0:c r="E2" s="4" t="n">
        <ns0:f>IF(A2="","",(D2-C2+1)*Scenarios!O2)</ns0:f>
        <ns0:v>39.0</ns0:v>
      </ns0:c>
      <ns0:c r="F2" s="5" t="n">
        <ns0:f>IF(A2="","",INDEX('Pilot schedule'!M:M,D2+2))</ns0:f>
        <ns0:v>0.26944444444444443</ns0:v>
      </ns0:c>
      <ns0:c r="G2" s="5" t="n">
        <ns0:f>IF(A2="","",F2)</ns0:f>
        <ns0:v>0.26944444444444443</ns0:v>
      </ns0:c>
      <ns0:c r="H2" s="5" t="n">
        <ns0:f>IF(A2="","",G2+Inputs!$B$26/1440)</ns0:f>
        <ns0:v>0.27291666666666664</ns0:v>
      </ns0:c>
      <ns0:c r="I2" s="5" t="n">
        <ns0:f>IF(A2="","",H2+Inputs!$B$27/1440)</ns0:f>
        <ns0:v>0.29374999999999996</ns0:v>
      </ns0:c>
      <ns0:c r="J2" s="5" t="n">
        <ns0:f>IF(A2="","",I2+(Inputs!$B$28+Inputs!$B$29+Inputs!$B$30)/1440)</ns0:f>
        <ns0:v>0.32847222222222217</ns0:v>
      </ns0:c>
      <ns0:c r="K2" s="4" t="n">
        <ns0:f>IF(A2="","",(G2-INDEX('Pilot schedule'!M:M,C2+2))*1440)</ns0:f>
        <ns0:v>0.0</ns0:v>
      </ns0:c>
      <ns0:c r="L2" s="4" t="str">
        <ns0:f>IF(A2="","",IF(E2&lt;=Inputs!$B$36,"MODEL FITS; CONFIRM ROUTE","CAPACITY EXCEEDED"))</ns0:f>
        <ns0:v>MODEL FITS; CONFIRM ROUTE</ns0:v>
      </ns0:c>
    </ns0:row>
    <ns0:row r="3">
      <ns0:c r="A3" s="4" t="str">
        <ns0:f>IF(2&lt;=Scenarios!B2,Scenarios!A2,"")</ns0:f>
        <ns0:v>PLAN-BAG-P</ns0:v>
      </ns0:c>
      <ns0:c r="B3" s="4" t="n">
        <ns0:f>IF(A3="","",2)</ns0:f>
        <ns0:v>2.0</ns0:v>
      </ns0:c>
      <ns0:c r="C3" s="4" t="n">
        <ns0:f>IF(A3="","",2)</ns0:f>
        <ns0:v>2.0</ns0:v>
      </ns0:c>
      <ns0:c r="D3" s="4" t="n">
        <ns0:f>IF(A3="","",MIN(Scenarios!B2,3))</ns0:f>
        <ns0:v>2</ns0:v>
      </ns0:c>
      <ns0:c r="E3" s="4" t="n">
        <ns0:f>IF(A3="","",(D3-C3+1)*Scenarios!O2)</ns0:f>
        <ns0:v>39.0</ns0:v>
      </ns0:c>
      <ns0:c r="F3" s="5" t="n">
        <ns0:f>IF(A3="","",INDEX('Pilot schedule'!M:M,D3+2))</ns0:f>
        <ns0:v>0.33194444444444443</ns0:v>
      </ns0:c>
      <ns0:c r="G3" s="5" t="n">
        <ns0:f>IF(A3="","",MAX(F3,J2))</ns0:f>
        <ns0:v>0.33194444444444443</ns0:v>
      </ns0:c>
      <ns0:c r="H3" s="5" t="n">
        <ns0:f>IF(A3="","",G3+Inputs!$B$26/1440)</ns0:f>
        <ns0:v>0.33541666666666664</ns0:v>
      </ns0:c>
      <ns0:c r="I3" s="5" t="n">
        <ns0:f>IF(A3="","",H3+Inputs!$B$27/1440)</ns0:f>
        <ns0:v>0.35624999999999996</ns0:v>
      </ns0:c>
      <ns0:c r="J3" s="5" t="n">
        <ns0:f>IF(A3="","",I3+(Inputs!$B$28+Inputs!$B$29+Inputs!$B$30)/1440)</ns0:f>
        <ns0:v>0.39097222222222217</ns0:v>
      </ns0:c>
      <ns0:c r="K3" s="4" t="n">
        <ns0:f>IF(A3="","",(G3-INDEX('Pilot schedule'!M:M,C3+2))*1440)</ns0:f>
        <ns0:v>0.0</ns0:v>
      </ns0:c>
      <ns0:c r="L3" s="4" t="str">
        <ns0:f>IF(A3="","",IF(E3&lt;=Inputs!$B$36,"MODEL FITS; CONFIRM ROUTE","CAPACITY EXCEEDED"))</ns0:f>
        <ns0:v>MODEL FITS; CONFIRM ROUTE</ns0:v>
      </ns0:c>
    </ns0:row>
    <ns0:row r="4">
      <ns0:c r="A4" s="4" t="str">
        <ns0:f>IF(4&lt;=Scenarios!B2,Scenarios!A2,"")</ns0:f>
        <ns0:v/>
      </ns0:c>
      <ns0:c r="B4" s="4" t="str">
        <ns0:f>IF(A4="","",3)</ns0:f>
        <ns0:v/>
      </ns0:c>
      <ns0:c r="C4" s="4" t="str">
        <ns0:f>IF(A4="","",4)</ns0:f>
        <ns0:v/>
      </ns0:c>
      <ns0:c r="D4" s="4" t="str">
        <ns0:f>IF(A4="","",MIN(Scenarios!B2,5))</ns0:f>
        <ns0:v/>
      </ns0:c>
      <ns0:c r="E4" s="4" t="str">
        <ns0:f>IF(A4="","",(D4-C4+1)*Scenarios!O2)</ns0:f>
        <ns0:v/>
      </ns0:c>
      <ns0:c r="F4" s="5" t="str">
        <ns0:f>IF(A4="","",INDEX('Pilot schedule'!M:M,D4+2))</ns0:f>
        <ns0:v/>
      </ns0:c>
      <ns0:c r="G4" s="5" t="str">
        <ns0:f>IF(A4="","",MAX(F4,J3))</ns0:f>
        <ns0:v/>
      </ns0:c>
      <ns0:c r="H4" s="5" t="str">
        <ns0:f>IF(A4="","",G4+Inputs!$B$26/1440)</ns0:f>
        <ns0:v/>
      </ns0:c>
      <ns0:c r="I4" s="5" t="str">
        <ns0:f>IF(A4="","",H4+Inputs!$B$27/1440)</ns0:f>
        <ns0:v/>
      </ns0:c>
      <ns0:c r="J4" s="5" t="str">
        <ns0:f>IF(A4="","",I4+(Inputs!$B$28+Inputs!$B$29+Inputs!$B$30)/1440)</ns0:f>
        <ns0:v/>
      </ns0:c>
      <ns0:c r="K4" s="4" t="str">
        <ns0:f>IF(A4="","",(G4-INDEX('Pilot schedule'!M:M,C4+2))*1440)</ns0:f>
        <ns0:v/>
      </ns0:c>
      <ns0:c r="L4" s="4" t="str">
        <ns0:f>IF(A4="","",IF(E4&lt;=Inputs!$B$36,"MODEL FITS; CONFIRM ROUTE","CAPACITY EXCEEDED"))</ns0:f>
        <ns0:v/>
      </ns0:c>
    </ns0:row>
    <ns0:row r="5">
      <ns0:c r="A5" s="4" t="str">
        <ns0:f>IF(6&lt;=Scenarios!B2,Scenarios!A2,"")</ns0:f>
        <ns0:v/>
      </ns0:c>
      <ns0:c r="B5" s="4" t="str">
        <ns0:f>IF(A5="","",4)</ns0:f>
        <ns0:v/>
      </ns0:c>
      <ns0:c r="C5" s="4" t="str">
        <ns0:f>IF(A5="","",6)</ns0:f>
        <ns0:v/>
      </ns0:c>
      <ns0:c r="D5" s="4" t="str">
        <ns0:f>IF(A5="","",MIN(Scenarios!B2,7))</ns0:f>
        <ns0:v/>
      </ns0:c>
      <ns0:c r="E5" s="4" t="str">
        <ns0:f>IF(A5="","",(D5-C5+1)*Scenarios!O2)</ns0:f>
        <ns0:v/>
      </ns0:c>
      <ns0:c r="F5" s="5" t="str">
        <ns0:f>IF(A5="","",INDEX('Pilot schedule'!M:M,D5+2))</ns0:f>
        <ns0:v/>
      </ns0:c>
      <ns0:c r="G5" s="5" t="str">
        <ns0:f>IF(A5="","",MAX(F5,J4))</ns0:f>
        <ns0:v/>
      </ns0:c>
      <ns0:c r="H5" s="5" t="str">
        <ns0:f>IF(A5="","",G5+Inputs!$B$26/1440)</ns0:f>
        <ns0:v/>
      </ns0:c>
      <ns0:c r="I5" s="5" t="str">
        <ns0:f>IF(A5="","",H5+Inputs!$B$27/1440)</ns0:f>
        <ns0:v/>
      </ns0:c>
      <ns0:c r="J5" s="5" t="str">
        <ns0:f>IF(A5="","",I5+(Inputs!$B$28+Inputs!$B$29+Inputs!$B$30)/1440)</ns0:f>
        <ns0:v/>
      </ns0:c>
      <ns0:c r="K5" s="4" t="str">
        <ns0:f>IF(A5="","",(G5-INDEX('Pilot schedule'!M:M,C5+2))*1440)</ns0:f>
        <ns0:v/>
      </ns0:c>
      <ns0:c r="L5" s="4" t="str">
        <ns0:f>IF(A5="","",IF(E5&lt;=Inputs!$B$36,"MODEL FITS; CONFIRM ROUTE","CAPACITY EXCEEDED"))</ns0:f>
        <ns0:v/>
      </ns0:c>
    </ns0:row>
    <ns0:row r="6">
      <ns0:c r="A6" s="4" t="str">
        <ns0:f>IF(8&lt;=Scenarios!B2,Scenarios!A2,"")</ns0:f>
        <ns0:v/>
      </ns0:c>
      <ns0:c r="B6" s="4" t="str">
        <ns0:f>IF(A6="","",5)</ns0:f>
        <ns0:v/>
      </ns0:c>
      <ns0:c r="C6" s="4" t="str">
        <ns0:f>IF(A6="","",8)</ns0:f>
        <ns0:v/>
      </ns0:c>
      <ns0:c r="D6" s="4" t="str">
        <ns0:f>IF(A6="","",MIN(Scenarios!B2,9))</ns0:f>
        <ns0:v/>
      </ns0:c>
      <ns0:c r="E6" s="4" t="str">
        <ns0:f>IF(A6="","",(D6-C6+1)*Scenarios!O2)</ns0:f>
        <ns0:v/>
      </ns0:c>
      <ns0:c r="F6" s="5" t="str">
        <ns0:f>IF(A6="","",INDEX('Pilot schedule'!M:M,D6+2))</ns0:f>
        <ns0:v/>
      </ns0:c>
      <ns0:c r="G6" s="5" t="str">
        <ns0:f>IF(A6="","",MAX(F6,J5))</ns0:f>
        <ns0:v/>
      </ns0:c>
      <ns0:c r="H6" s="5" t="str">
        <ns0:f>IF(A6="","",G6+Inputs!$B$26/1440)</ns0:f>
        <ns0:v/>
      </ns0:c>
      <ns0:c r="I6" s="5" t="str">
        <ns0:f>IF(A6="","",H6+Inputs!$B$27/1440)</ns0:f>
        <ns0:v/>
      </ns0:c>
      <ns0:c r="J6" s="5" t="str">
        <ns0:f>IF(A6="","",I6+(Inputs!$B$28+Inputs!$B$29+Inputs!$B$30)/1440)</ns0:f>
        <ns0:v/>
      </ns0:c>
      <ns0:c r="K6" s="4" t="str">
        <ns0:f>IF(A6="","",(G6-INDEX('Pilot schedule'!M:M,C6+2))*1440)</ns0:f>
        <ns0:v/>
      </ns0:c>
      <ns0:c r="L6" s="4" t="str">
        <ns0:f>IF(A6="","",IF(E6&lt;=Inputs!$B$36,"MODEL FITS; CONFIRM ROUTE","CAPACITY EXCEEDED"))</ns0:f>
        <ns0:v/>
      </ns0:c>
    </ns0:row>
    <ns0:row r="7">
      <ns0:c r="A7" s="4" t="str">
        <ns0:f>IF(10&lt;=Scenarios!B2,Scenarios!A2,"")</ns0:f>
        <ns0:v/>
      </ns0:c>
      <ns0:c r="B7" s="4" t="str">
        <ns0:f>IF(A7="","",6)</ns0:f>
        <ns0:v/>
      </ns0:c>
      <ns0:c r="C7" s="4" t="str">
        <ns0:f>IF(A7="","",10)</ns0:f>
        <ns0:v/>
      </ns0:c>
      <ns0:c r="D7" s="4" t="str">
        <ns0:f>IF(A7="","",MIN(Scenarios!B2,11))</ns0:f>
        <ns0:v/>
      </ns0:c>
      <ns0:c r="E7" s="4" t="str">
        <ns0:f>IF(A7="","",(D7-C7+1)*Scenarios!O2)</ns0:f>
        <ns0:v/>
      </ns0:c>
      <ns0:c r="F7" s="5" t="str">
        <ns0:f>IF(A7="","",INDEX('Pilot schedule'!M:M,D7+2))</ns0:f>
        <ns0:v/>
      </ns0:c>
      <ns0:c r="G7" s="5" t="str">
        <ns0:f>IF(A7="","",MAX(F7,J6))</ns0:f>
        <ns0:v/>
      </ns0:c>
      <ns0:c r="H7" s="5" t="str">
        <ns0:f>IF(A7="","",G7+Inputs!$B$26/1440)</ns0:f>
        <ns0:v/>
      </ns0:c>
      <ns0:c r="I7" s="5" t="str">
        <ns0:f>IF(A7="","",H7+Inputs!$B$27/1440)</ns0:f>
        <ns0:v/>
      </ns0:c>
      <ns0:c r="J7" s="5" t="str">
        <ns0:f>IF(A7="","",I7+(Inputs!$B$28+Inputs!$B$29+Inputs!$B$30)/1440)</ns0:f>
        <ns0:v/>
      </ns0:c>
      <ns0:c r="K7" s="4" t="str">
        <ns0:f>IF(A7="","",(G7-INDEX('Pilot schedule'!M:M,C7+2))*1440)</ns0:f>
        <ns0:v/>
      </ns0:c>
      <ns0:c r="L7" s="4" t="str">
        <ns0:f>IF(A7="","",IF(E7&lt;=Inputs!$B$36,"MODEL FITS; CONFIRM ROUTE","CAPACITY EXCEEDED"))</ns0:f>
        <ns0:v/>
      </ns0:c>
    </ns0:row>
    <ns0:row r="8">
      <ns0:c r="A8" s="4" t="str">
        <ns0:f>IF(12&lt;=Scenarios!B2,Scenarios!A2,"")</ns0:f>
        <ns0:v/>
      </ns0:c>
      <ns0:c r="B8" s="4" t="str">
        <ns0:f>IF(A8="","",7)</ns0:f>
        <ns0:v/>
      </ns0:c>
      <ns0:c r="C8" s="4" t="str">
        <ns0:f>IF(A8="","",12)</ns0:f>
        <ns0:v/>
      </ns0:c>
      <ns0:c r="D8" s="4" t="str">
        <ns0:f>IF(A8="","",MIN(Scenarios!B2,13))</ns0:f>
        <ns0:v/>
      </ns0:c>
      <ns0:c r="E8" s="4" t="str">
        <ns0:f>IF(A8="","",(D8-C8+1)*Scenarios!O2)</ns0:f>
        <ns0:v/>
      </ns0:c>
      <ns0:c r="F8" s="5" t="str">
        <ns0:f>IF(A8="","",INDEX('Pilot schedule'!M:M,D8+2))</ns0:f>
        <ns0:v/>
      </ns0:c>
      <ns0:c r="G8" s="5" t="str">
        <ns0:f>IF(A8="","",MAX(F8,J7))</ns0:f>
        <ns0:v/>
      </ns0:c>
      <ns0:c r="H8" s="5" t="str">
        <ns0:f>IF(A8="","",G8+Inputs!$B$26/1440)</ns0:f>
        <ns0:v/>
      </ns0:c>
      <ns0:c r="I8" s="5" t="str">
        <ns0:f>IF(A8="","",H8+Inputs!$B$27/1440)</ns0:f>
        <ns0:v/>
      </ns0:c>
      <ns0:c r="J8" s="5" t="str">
        <ns0:f>IF(A8="","",I8+(Inputs!$B$28+Inputs!$B$29+Inputs!$B$30)/1440)</ns0:f>
        <ns0:v/>
      </ns0:c>
      <ns0:c r="K8" s="4" t="str">
        <ns0:f>IF(A8="","",(G8-INDEX('Pilot schedule'!M:M,C8+2))*1440)</ns0:f>
        <ns0:v/>
      </ns0:c>
      <ns0:c r="L8" s="4" t="str">
        <ns0:f>IF(A8="","",IF(E8&lt;=Inputs!$B$36,"MODEL FITS; CONFIRM ROUTE","CAPACITY EXCEEDED"))</ns0:f>
        <ns0:v/>
      </ns0:c>
    </ns0:row>
    <ns0:row r="9">
      <ns0:c r="A9" s="4" t="str">
        <ns0:f>IF(14&lt;=Scenarios!B2,Scenarios!A2,"")</ns0:f>
        <ns0:v/>
      </ns0:c>
      <ns0:c r="B9" s="4" t="str">
        <ns0:f>IF(A9="","",8)</ns0:f>
        <ns0:v/>
      </ns0:c>
      <ns0:c r="C9" s="4" t="str">
        <ns0:f>IF(A9="","",14)</ns0:f>
        <ns0:v/>
      </ns0:c>
      <ns0:c r="D9" s="4" t="str">
        <ns0:f>IF(A9="","",MIN(Scenarios!B2,15))</ns0:f>
        <ns0:v/>
      </ns0:c>
      <ns0:c r="E9" s="4" t="str">
        <ns0:f>IF(A9="","",(D9-C9+1)*Scenarios!O2)</ns0:f>
        <ns0:v/>
      </ns0:c>
      <ns0:c r="F9" s="5" t="str">
        <ns0:f>IF(A9="","",INDEX('Pilot schedule'!M:M,D9+2))</ns0:f>
        <ns0:v/>
      </ns0:c>
      <ns0:c r="G9" s="5" t="str">
        <ns0:f>IF(A9="","",MAX(F9,J8))</ns0:f>
        <ns0:v/>
      </ns0:c>
      <ns0:c r="H9" s="5" t="str">
        <ns0:f>IF(A9="","",G9+Inputs!$B$26/1440)</ns0:f>
        <ns0:v/>
      </ns0:c>
      <ns0:c r="I9" s="5" t="str">
        <ns0:f>IF(A9="","",H9+Inputs!$B$27/1440)</ns0:f>
        <ns0:v/>
      </ns0:c>
      <ns0:c r="J9" s="5" t="str">
        <ns0:f>IF(A9="","",I9+(Inputs!$B$28+Inputs!$B$29+Inputs!$B$30)/1440)</ns0:f>
        <ns0:v/>
      </ns0:c>
      <ns0:c r="K9" s="4" t="str">
        <ns0:f>IF(A9="","",(G9-INDEX('Pilot schedule'!M:M,C9+2))*1440)</ns0:f>
        <ns0:v/>
      </ns0:c>
      <ns0:c r="L9" s="4" t="str">
        <ns0:f>IF(A9="","",IF(E9&lt;=Inputs!$B$36,"MODEL FITS; CONFIRM ROUTE","CAPACITY EXCEEDED"))</ns0:f>
        <ns0:v/>
      </ns0:c>
    </ns0:row>
    <ns0:row r="10">
      <ns0:c r="A10" s="4" t="str">
        <ns0:f>IF(16&lt;=Scenarios!B2,Scenarios!A2,"")</ns0:f>
        <ns0:v/>
      </ns0:c>
      <ns0:c r="B10" s="4" t="str">
        <ns0:f>IF(A10="","",9)</ns0:f>
        <ns0:v/>
      </ns0:c>
      <ns0:c r="C10" s="4" t="str">
        <ns0:f>IF(A10="","",16)</ns0:f>
        <ns0:v/>
      </ns0:c>
      <ns0:c r="D10" s="4" t="str">
        <ns0:f>IF(A10="","",MIN(Scenarios!B2,17))</ns0:f>
        <ns0:v/>
      </ns0:c>
      <ns0:c r="E10" s="4" t="str">
        <ns0:f>IF(A10="","",(D10-C10+1)*Scenarios!O2)</ns0:f>
        <ns0:v/>
      </ns0:c>
      <ns0:c r="F10" s="5" t="str">
        <ns0:f>IF(A10="","",INDEX('Pilot schedule'!M:M,D10+2))</ns0:f>
        <ns0:v/>
      </ns0:c>
      <ns0:c r="G10" s="5" t="str">
        <ns0:f>IF(A10="","",MAX(F10,J9))</ns0:f>
        <ns0:v/>
      </ns0:c>
      <ns0:c r="H10" s="5" t="str">
        <ns0:f>IF(A10="","",G10+Inputs!$B$26/1440)</ns0:f>
        <ns0:v/>
      </ns0:c>
      <ns0:c r="I10" s="5" t="str">
        <ns0:f>IF(A10="","",H10+Inputs!$B$27/1440)</ns0:f>
        <ns0:v/>
      </ns0:c>
      <ns0:c r="J10" s="5" t="str">
        <ns0:f>IF(A10="","",I10+(Inputs!$B$28+Inputs!$B$29+Inputs!$B$30)/1440)</ns0:f>
        <ns0:v/>
      </ns0:c>
      <ns0:c r="K10" s="4" t="str">
        <ns0:f>IF(A10="","",(G10-INDEX('Pilot schedule'!M:M,C10+2))*1440)</ns0:f>
        <ns0:v/>
      </ns0:c>
      <ns0:c r="L10" s="4" t="str">
        <ns0:f>IF(A10="","",IF(E10&lt;=Inputs!$B$36,"MODEL FITS; CONFIRM ROUTE","CAPACITY EXCEEDED"))</ns0:f>
        <ns0:v/>
      </ns0:c>
    </ns0:row>
    <ns0:row r="11">
      <ns0:c r="A11" s="4" t="str">
        <ns0:f>IF(18&lt;=Scenarios!B2,Scenarios!A2,"")</ns0:f>
        <ns0:v/>
      </ns0:c>
      <ns0:c r="B11" s="4" t="str">
        <ns0:f>IF(A11="","",10)</ns0:f>
        <ns0:v/>
      </ns0:c>
      <ns0:c r="C11" s="4" t="str">
        <ns0:f>IF(A11="","",18)</ns0:f>
        <ns0:v/>
      </ns0:c>
      <ns0:c r="D11" s="4" t="str">
        <ns0:f>IF(A11="","",MIN(Scenarios!B2,19))</ns0:f>
        <ns0:v/>
      </ns0:c>
      <ns0:c r="E11" s="4" t="str">
        <ns0:f>IF(A11="","",(D11-C11+1)*Scenarios!O2)</ns0:f>
        <ns0:v/>
      </ns0:c>
      <ns0:c r="F11" s="5" t="str">
        <ns0:f>IF(A11="","",INDEX('Pilot schedule'!M:M,D11+2))</ns0:f>
        <ns0:v/>
      </ns0:c>
      <ns0:c r="G11" s="5" t="str">
        <ns0:f>IF(A11="","",MAX(F11,J10))</ns0:f>
        <ns0:v/>
      </ns0:c>
      <ns0:c r="H11" s="5" t="str">
        <ns0:f>IF(A11="","",G11+Inputs!$B$26/1440)</ns0:f>
        <ns0:v/>
      </ns0:c>
      <ns0:c r="I11" s="5" t="str">
        <ns0:f>IF(A11="","",H11+Inputs!$B$27/1440)</ns0:f>
        <ns0:v/>
      </ns0:c>
      <ns0:c r="J11" s="5" t="str">
        <ns0:f>IF(A11="","",I11+(Inputs!$B$28+Inputs!$B$29+Inputs!$B$30)/1440)</ns0:f>
        <ns0:v/>
      </ns0:c>
      <ns0:c r="K11" s="4" t="str">
        <ns0:f>IF(A11="","",(G11-INDEX('Pilot schedule'!M:M,C11+2))*1440)</ns0:f>
        <ns0:v/>
      </ns0:c>
      <ns0:c r="L11" s="4" t="str">
        <ns0:f>IF(A11="","",IF(E11&lt;=Inputs!$B$36,"MODEL FITS; CONFIRM ROUTE","CAPACITY EXCEEDED"))</ns0:f>
        <ns0:v/>
      </ns0:c>
    </ns0:row>
    <ns0:row r="12">
      <ns0:c r="A12" s="4" t="str">
        <ns0:f>IF(20&lt;=Scenarios!B2,Scenarios!A2,"")</ns0:f>
        <ns0:v/>
      </ns0:c>
      <ns0:c r="B12" s="4" t="str">
        <ns0:f>IF(A12="","",11)</ns0:f>
        <ns0:v/>
      </ns0:c>
      <ns0:c r="C12" s="4" t="str">
        <ns0:f>IF(A12="","",20)</ns0:f>
        <ns0:v/>
      </ns0:c>
      <ns0:c r="D12" s="4" t="str">
        <ns0:f>IF(A12="","",MIN(Scenarios!B2,21))</ns0:f>
        <ns0:v/>
      </ns0:c>
      <ns0:c r="E12" s="4" t="str">
        <ns0:f>IF(A12="","",(D12-C12+1)*Scenarios!O2)</ns0:f>
        <ns0:v/>
      </ns0:c>
      <ns0:c r="F12" s="5" t="str">
        <ns0:f>IF(A12="","",INDEX('Pilot schedule'!M:M,D12+2))</ns0:f>
        <ns0:v/>
      </ns0:c>
      <ns0:c r="G12" s="5" t="str">
        <ns0:f>IF(A12="","",MAX(F12,J11))</ns0:f>
        <ns0:v/>
      </ns0:c>
      <ns0:c r="H12" s="5" t="str">
        <ns0:f>IF(A12="","",G12+Inputs!$B$26/1440)</ns0:f>
        <ns0:v/>
      </ns0:c>
      <ns0:c r="I12" s="5" t="str">
        <ns0:f>IF(A12="","",H12+Inputs!$B$27/1440)</ns0:f>
        <ns0:v/>
      </ns0:c>
      <ns0:c r="J12" s="5" t="str">
        <ns0:f>IF(A12="","",I12+(Inputs!$B$28+Inputs!$B$29+Inputs!$B$30)/1440)</ns0:f>
        <ns0:v/>
      </ns0:c>
      <ns0:c r="K12" s="4" t="str">
        <ns0:f>IF(A12="","",(G12-INDEX('Pilot schedule'!M:M,C12+2))*1440)</ns0:f>
        <ns0:v/>
      </ns0:c>
      <ns0:c r="L12" s="4" t="str">
        <ns0:f>IF(A12="","",IF(E12&lt;=Inputs!$B$36,"MODEL FITS; CONFIRM ROUTE","CAPACITY EXCEEDED"))</ns0:f>
        <ns0:v/>
      </ns0:c>
    </ns0:row>
    <ns0:row r="13">
      <ns0:c r="A13" s="4" t="str">
        <ns0:f>IF(1&lt;=Scenarios!B3,Scenarios!A3,"")</ns0:f>
        <ns0:v>PLAN-BAG-N</ns0:v>
      </ns0:c>
      <ns0:c r="B13" s="4" t="n">
        <ns0:f>IF(A13="","",1)</ns0:f>
        <ns0:v>1.0</ns0:v>
      </ns0:c>
      <ns0:c r="C13" s="4" t="n">
        <ns0:f>IF(A13="","",1)</ns0:f>
        <ns0:v>1.0</ns0:v>
      </ns0:c>
      <ns0:c r="D13" s="4" t="n">
        <ns0:f>IF(A13="","",MIN(Scenarios!B3,1))</ns0:f>
        <ns0:v>1.0</ns0:v>
      </ns0:c>
      <ns0:c r="E13" s="4" t="n">
        <ns0:f>IF(A13="","",(D13-C13+1)*Scenarios!O3)</ns0:f>
        <ns0:v>78.0</ns0:v>
      </ns0:c>
      <ns0:c r="F13" s="5" t="n">
        <ns0:f>IF(A13="","",INDEX('Normal schedule'!M:M,D13+2))</ns0:f>
        <ns0:v>0.26944444444444443</ns0:v>
      </ns0:c>
      <ns0:c r="G13" s="5" t="n">
        <ns0:f>IF(A13="","",F13)</ns0:f>
        <ns0:v>0.26944444444444443</ns0:v>
      </ns0:c>
      <ns0:c r="H13" s="5" t="n">
        <ns0:f>IF(A13="","",G13+Inputs!$B$26/1440)</ns0:f>
        <ns0:v>0.27291666666666664</ns0:v>
      </ns0:c>
      <ns0:c r="I13" s="5" t="n">
        <ns0:f>IF(A13="","",H13+Inputs!$B$27/1440)</ns0:f>
        <ns0:v>0.29374999999999996</ns0:v>
      </ns0:c>
      <ns0:c r="J13" s="5" t="n">
        <ns0:f>IF(A13="","",I13+(Inputs!$B$28+Inputs!$B$29+Inputs!$B$30)/1440)</ns0:f>
        <ns0:v>0.32847222222222217</ns0:v>
      </ns0:c>
      <ns0:c r="K13" s="4" t="n">
        <ns0:f>IF(A13="","",(G13-INDEX('Normal schedule'!M:M,C13+2))*1440)</ns0:f>
        <ns0:v>0.0</ns0:v>
      </ns0:c>
      <ns0:c r="L13" s="4" t="str">
        <ns0:f>IF(A13="","",IF(E13&lt;=Inputs!$B$36,"MODEL FITS; CONFIRM ROUTE","CAPACITY EXCEEDED"))</ns0:f>
        <ns0:v>MODEL FITS; CONFIRM ROUTE</ns0:v>
      </ns0:c>
    </ns0:row>
    <ns0:row r="14">
      <ns0:c r="A14" s="4" t="str">
        <ns0:f>IF(2&lt;=Scenarios!B3,Scenarios!A3,"")</ns0:f>
        <ns0:v>PLAN-BAG-N</ns0:v>
      </ns0:c>
      <ns0:c r="B14" s="4" t="n">
        <ns0:f>IF(A14="","",2)</ns0:f>
        <ns0:v>2.0</ns0:v>
      </ns0:c>
      <ns0:c r="C14" s="4" t="n">
        <ns0:f>IF(A14="","",2)</ns0:f>
        <ns0:v>2.0</ns0:v>
      </ns0:c>
      <ns0:c r="D14" s="4" t="n">
        <ns0:f>IF(A14="","",MIN(Scenarios!B3,3))</ns0:f>
        <ns0:v>3.0</ns0:v>
      </ns0:c>
      <ns0:c r="E14" s="4" t="n">
        <ns0:f>IF(A14="","",(D14-C14+1)*Scenarios!O3)</ns0:f>
        <ns0:v>156.0</ns0:v>
      </ns0:c>
      <ns0:c r="F14" s="5" t="n">
        <ns0:f>IF(A14="","",INDEX('Normal schedule'!M:M,D14+2))</ns0:f>
        <ns0:v>0.33194444444444443</ns0:v>
      </ns0:c>
      <ns0:c r="G14" s="5" t="n">
        <ns0:f>IF(A14="","",MAX(F14,J13))</ns0:f>
        <ns0:v>0.33194444444444443</ns0:v>
      </ns0:c>
      <ns0:c r="H14" s="5" t="n">
        <ns0:f>IF(A14="","",G14+Inputs!$B$26/1440)</ns0:f>
        <ns0:v>0.33541666666666664</ns0:v>
      </ns0:c>
      <ns0:c r="I14" s="5" t="n">
        <ns0:f>IF(A14="","",H14+Inputs!$B$27/1440)</ns0:f>
        <ns0:v>0.35624999999999996</ns0:v>
      </ns0:c>
      <ns0:c r="J14" s="5" t="n">
        <ns0:f>IF(A14="","",I14+(Inputs!$B$28+Inputs!$B$29+Inputs!$B$30)/1440)</ns0:f>
        <ns0:v>0.39097222222222217</ns0:v>
      </ns0:c>
      <ns0:c r="K14" s="4" t="n">
        <ns0:f>IF(A14="","",(G14-INDEX('Normal schedule'!M:M,C14+2))*1440)</ns0:f>
        <ns0:v>45.0</ns0:v>
      </ns0:c>
      <ns0:c r="L14" s="4" t="str">
        <ns0:f>IF(A14="","",IF(E14&lt;=Inputs!$B$36,"MODEL FITS; CONFIRM ROUTE","CAPACITY EXCEEDED"))</ns0:f>
        <ns0:v>MODEL FITS; CONFIRM ROUTE</ns0:v>
      </ns0:c>
    </ns0:row>
    <ns0:row r="15">
      <ns0:c r="A15" s="4" t="str">
        <ns0:f>IF(4&lt;=Scenarios!B3,Scenarios!A3,"")</ns0:f>
        <ns0:v>PLAN-BAG-N</ns0:v>
      </ns0:c>
      <ns0:c r="B15" s="4" t="n">
        <ns0:f>IF(A15="","",3)</ns0:f>
        <ns0:v>3.0</ns0:v>
      </ns0:c>
      <ns0:c r="C15" s="4" t="n">
        <ns0:f>IF(A15="","",4)</ns0:f>
        <ns0:v>4.0</ns0:v>
      </ns0:c>
      <ns0:c r="D15" s="4" t="n">
        <ns0:f>IF(A15="","",MIN(Scenarios!B3,5))</ns0:f>
        <ns0:v>5</ns0:v>
      </ns0:c>
      <ns0:c r="E15" s="4" t="n">
        <ns0:f>IF(A15="","",(D15-C15+1)*Scenarios!O3)</ns0:f>
        <ns0:v>156.0</ns0:v>
      </ns0:c>
      <ns0:c r="F15" s="5" t="n">
        <ns0:f>IF(A15="","",INDEX('Normal schedule'!M:M,D15+2))</ns0:f>
        <ns0:v>0.3944444444444445</ns0:v>
      </ns0:c>
      <ns0:c r="G15" s="5" t="n">
        <ns0:f>IF(A15="","",MAX(F15,J14))</ns0:f>
        <ns0:v>0.3944444444444445</ns0:v>
      </ns0:c>
      <ns0:c r="H15" s="5" t="n">
        <ns0:f>IF(A15="","",G15+Inputs!$B$26/1440)</ns0:f>
        <ns0:v>0.3979166666666667</ns0:v>
      </ns0:c>
      <ns0:c r="I15" s="5" t="n">
        <ns0:f>IF(A15="","",H15+Inputs!$B$27/1440)</ns0:f>
        <ns0:v>0.41875</ns0:v>
      </ns0:c>
      <ns0:c r="J15" s="5" t="n">
        <ns0:f>IF(A15="","",I15+(Inputs!$B$28+Inputs!$B$29+Inputs!$B$30)/1440)</ns0:f>
        <ns0:v>0.4534722222222222</ns0:v>
      </ns0:c>
      <ns0:c r="K15" s="4" t="n">
        <ns0:f>IF(A15="","",(G15-INDEX('Normal schedule'!M:M,C15+2))*1440)</ns0:f>
        <ns0:v>45.00000000000008</ns0:v>
      </ns0:c>
      <ns0:c r="L15" s="4" t="str">
        <ns0:f>IF(A15="","",IF(E15&lt;=Inputs!$B$36,"MODEL FITS; CONFIRM ROUTE","CAPACITY EXCEEDED"))</ns0:f>
        <ns0:v>MODEL FITS; CONFIRM ROUTE</ns0:v>
      </ns0:c>
    </ns0:row>
    <ns0:row r="16">
      <ns0:c r="A16" s="4" t="str">
        <ns0:f>IF(6&lt;=Scenarios!B3,Scenarios!A3,"")</ns0:f>
        <ns0:v/>
      </ns0:c>
      <ns0:c r="B16" s="4" t="str">
        <ns0:f>IF(A16="","",4)</ns0:f>
        <ns0:v/>
      </ns0:c>
      <ns0:c r="C16" s="4" t="str">
        <ns0:f>IF(A16="","",6)</ns0:f>
        <ns0:v/>
      </ns0:c>
      <ns0:c r="D16" s="4" t="str">
        <ns0:f>IF(A16="","",MIN(Scenarios!B3,7))</ns0:f>
        <ns0:v/>
      </ns0:c>
      <ns0:c r="E16" s="4" t="str">
        <ns0:f>IF(A16="","",(D16-C16+1)*Scenarios!O3)</ns0:f>
        <ns0:v/>
      </ns0:c>
      <ns0:c r="F16" s="5" t="str">
        <ns0:f>IF(A16="","",INDEX('Normal schedule'!M:M,D16+2))</ns0:f>
        <ns0:v/>
      </ns0:c>
      <ns0:c r="G16" s="5" t="str">
        <ns0:f>IF(A16="","",MAX(F16,J15))</ns0:f>
        <ns0:v/>
      </ns0:c>
      <ns0:c r="H16" s="5" t="str">
        <ns0:f>IF(A16="","",G16+Inputs!$B$26/1440)</ns0:f>
        <ns0:v/>
      </ns0:c>
      <ns0:c r="I16" s="5" t="str">
        <ns0:f>IF(A16="","",H16+Inputs!$B$27/1440)</ns0:f>
        <ns0:v/>
      </ns0:c>
      <ns0:c r="J16" s="5" t="str">
        <ns0:f>IF(A16="","",I16+(Inputs!$B$28+Inputs!$B$29+Inputs!$B$30)/1440)</ns0:f>
        <ns0:v/>
      </ns0:c>
      <ns0:c r="K16" s="4" t="str">
        <ns0:f>IF(A16="","",(G16-INDEX('Normal schedule'!M:M,C16+2))*1440)</ns0:f>
        <ns0:v/>
      </ns0:c>
      <ns0:c r="L16" s="4" t="str">
        <ns0:f>IF(A16="","",IF(E16&lt;=Inputs!$B$36,"MODEL FITS; CONFIRM ROUTE","CAPACITY EXCEEDED"))</ns0:f>
        <ns0:v/>
      </ns0:c>
    </ns0:row>
    <ns0:row r="17">
      <ns0:c r="A17" s="4" t="str">
        <ns0:f>IF(8&lt;=Scenarios!B3,Scenarios!A3,"")</ns0:f>
        <ns0:v/>
      </ns0:c>
      <ns0:c r="B17" s="4" t="str">
        <ns0:f>IF(A17="","",5)</ns0:f>
        <ns0:v/>
      </ns0:c>
      <ns0:c r="C17" s="4" t="str">
        <ns0:f>IF(A17="","",8)</ns0:f>
        <ns0:v/>
      </ns0:c>
      <ns0:c r="D17" s="4" t="str">
        <ns0:f>IF(A17="","",MIN(Scenarios!B3,9))</ns0:f>
        <ns0:v/>
      </ns0:c>
      <ns0:c r="E17" s="4" t="str">
        <ns0:f>IF(A17="","",(D17-C17+1)*Scenarios!O3)</ns0:f>
        <ns0:v/>
      </ns0:c>
      <ns0:c r="F17" s="5" t="str">
        <ns0:f>IF(A17="","",INDEX('Normal schedule'!M:M,D17+2))</ns0:f>
        <ns0:v/>
      </ns0:c>
      <ns0:c r="G17" s="5" t="str">
        <ns0:f>IF(A17="","",MAX(F17,J16))</ns0:f>
        <ns0:v/>
      </ns0:c>
      <ns0:c r="H17" s="5" t="str">
        <ns0:f>IF(A17="","",G17+Inputs!$B$26/1440)</ns0:f>
        <ns0:v/>
      </ns0:c>
      <ns0:c r="I17" s="5" t="str">
        <ns0:f>IF(A17="","",H17+Inputs!$B$27/1440)</ns0:f>
        <ns0:v/>
      </ns0:c>
      <ns0:c r="J17" s="5" t="str">
        <ns0:f>IF(A17="","",I17+(Inputs!$B$28+Inputs!$B$29+Inputs!$B$30)/1440)</ns0:f>
        <ns0:v/>
      </ns0:c>
      <ns0:c r="K17" s="4" t="str">
        <ns0:f>IF(A17="","",(G17-INDEX('Normal schedule'!M:M,C17+2))*1440)</ns0:f>
        <ns0:v/>
      </ns0:c>
      <ns0:c r="L17" s="4" t="str">
        <ns0:f>IF(A17="","",IF(E17&lt;=Inputs!$B$36,"MODEL FITS; CONFIRM ROUTE","CAPACITY EXCEEDED"))</ns0:f>
        <ns0:v/>
      </ns0:c>
    </ns0:row>
    <ns0:row r="18">
      <ns0:c r="A18" s="4" t="str">
        <ns0:f>IF(10&lt;=Scenarios!B3,Scenarios!A3,"")</ns0:f>
        <ns0:v/>
      </ns0:c>
      <ns0:c r="B18" s="4" t="str">
        <ns0:f>IF(A18="","",6)</ns0:f>
        <ns0:v/>
      </ns0:c>
      <ns0:c r="C18" s="4" t="str">
        <ns0:f>IF(A18="","",10)</ns0:f>
        <ns0:v/>
      </ns0:c>
      <ns0:c r="D18" s="4" t="str">
        <ns0:f>IF(A18="","",MIN(Scenarios!B3,11))</ns0:f>
        <ns0:v/>
      </ns0:c>
      <ns0:c r="E18" s="4" t="str">
        <ns0:f>IF(A18="","",(D18-C18+1)*Scenarios!O3)</ns0:f>
        <ns0:v/>
      </ns0:c>
      <ns0:c r="F18" s="5" t="str">
        <ns0:f>IF(A18="","",INDEX('Normal schedule'!M:M,D18+2))</ns0:f>
        <ns0:v/>
      </ns0:c>
      <ns0:c r="G18" s="5" t="str">
        <ns0:f>IF(A18="","",MAX(F18,J17))</ns0:f>
        <ns0:v/>
      </ns0:c>
      <ns0:c r="H18" s="5" t="str">
        <ns0:f>IF(A18="","",G18+Inputs!$B$26/1440)</ns0:f>
        <ns0:v/>
      </ns0:c>
      <ns0:c r="I18" s="5" t="str">
        <ns0:f>IF(A18="","",H18+Inputs!$B$27/1440)</ns0:f>
        <ns0:v/>
      </ns0:c>
      <ns0:c r="J18" s="5" t="str">
        <ns0:f>IF(A18="","",I18+(Inputs!$B$28+Inputs!$B$29+Inputs!$B$30)/1440)</ns0:f>
        <ns0:v/>
      </ns0:c>
      <ns0:c r="K18" s="4" t="str">
        <ns0:f>IF(A18="","",(G18-INDEX('Normal schedule'!M:M,C18+2))*1440)</ns0:f>
        <ns0:v/>
      </ns0:c>
      <ns0:c r="L18" s="4" t="str">
        <ns0:f>IF(A18="","",IF(E18&lt;=Inputs!$B$36,"MODEL FITS; CONFIRM ROUTE","CAPACITY EXCEEDED"))</ns0:f>
        <ns0:v/>
      </ns0:c>
    </ns0:row>
    <ns0:row r="19">
      <ns0:c r="A19" s="4" t="str">
        <ns0:f>IF(12&lt;=Scenarios!B3,Scenarios!A3,"")</ns0:f>
        <ns0:v/>
      </ns0:c>
      <ns0:c r="B19" s="4" t="str">
        <ns0:f>IF(A19="","",7)</ns0:f>
        <ns0:v/>
      </ns0:c>
      <ns0:c r="C19" s="4" t="str">
        <ns0:f>IF(A19="","",12)</ns0:f>
        <ns0:v/>
      </ns0:c>
      <ns0:c r="D19" s="4" t="str">
        <ns0:f>IF(A19="","",MIN(Scenarios!B3,13))</ns0:f>
        <ns0:v/>
      </ns0:c>
      <ns0:c r="E19" s="4" t="str">
        <ns0:f>IF(A19="","",(D19-C19+1)*Scenarios!O3)</ns0:f>
        <ns0:v/>
      </ns0:c>
      <ns0:c r="F19" s="5" t="str">
        <ns0:f>IF(A19="","",INDEX('Normal schedule'!M:M,D19+2))</ns0:f>
        <ns0:v/>
      </ns0:c>
      <ns0:c r="G19" s="5" t="str">
        <ns0:f>IF(A19="","",MAX(F19,J18))</ns0:f>
        <ns0:v/>
      </ns0:c>
      <ns0:c r="H19" s="5" t="str">
        <ns0:f>IF(A19="","",G19+Inputs!$B$26/1440)</ns0:f>
        <ns0:v/>
      </ns0:c>
      <ns0:c r="I19" s="5" t="str">
        <ns0:f>IF(A19="","",H19+Inputs!$B$27/1440)</ns0:f>
        <ns0:v/>
      </ns0:c>
      <ns0:c r="J19" s="5" t="str">
        <ns0:f>IF(A19="","",I19+(Inputs!$B$28+Inputs!$B$29+Inputs!$B$30)/1440)</ns0:f>
        <ns0:v/>
      </ns0:c>
      <ns0:c r="K19" s="4" t="str">
        <ns0:f>IF(A19="","",(G19-INDEX('Normal schedule'!M:M,C19+2))*1440)</ns0:f>
        <ns0:v/>
      </ns0:c>
      <ns0:c r="L19" s="4" t="str">
        <ns0:f>IF(A19="","",IF(E19&lt;=Inputs!$B$36,"MODEL FITS; CONFIRM ROUTE","CAPACITY EXCEEDED"))</ns0:f>
        <ns0:v/>
      </ns0:c>
    </ns0:row>
    <ns0:row r="20">
      <ns0:c r="A20" s="4" t="str">
        <ns0:f>IF(14&lt;=Scenarios!B3,Scenarios!A3,"")</ns0:f>
        <ns0:v/>
      </ns0:c>
      <ns0:c r="B20" s="4" t="str">
        <ns0:f>IF(A20="","",8)</ns0:f>
        <ns0:v/>
      </ns0:c>
      <ns0:c r="C20" s="4" t="str">
        <ns0:f>IF(A20="","",14)</ns0:f>
        <ns0:v/>
      </ns0:c>
      <ns0:c r="D20" s="4" t="str">
        <ns0:f>IF(A20="","",MIN(Scenarios!B3,15))</ns0:f>
        <ns0:v/>
      </ns0:c>
      <ns0:c r="E20" s="4" t="str">
        <ns0:f>IF(A20="","",(D20-C20+1)*Scenarios!O3)</ns0:f>
        <ns0:v/>
      </ns0:c>
      <ns0:c r="F20" s="5" t="str">
        <ns0:f>IF(A20="","",INDEX('Normal schedule'!M:M,D20+2))</ns0:f>
        <ns0:v/>
      </ns0:c>
      <ns0:c r="G20" s="5" t="str">
        <ns0:f>IF(A20="","",MAX(F20,J19))</ns0:f>
        <ns0:v/>
      </ns0:c>
      <ns0:c r="H20" s="5" t="str">
        <ns0:f>IF(A20="","",G20+Inputs!$B$26/1440)</ns0:f>
        <ns0:v/>
      </ns0:c>
      <ns0:c r="I20" s="5" t="str">
        <ns0:f>IF(A20="","",H20+Inputs!$B$27/1440)</ns0:f>
        <ns0:v/>
      </ns0:c>
      <ns0:c r="J20" s="5" t="str">
        <ns0:f>IF(A20="","",I20+(Inputs!$B$28+Inputs!$B$29+Inputs!$B$30)/1440)</ns0:f>
        <ns0:v/>
      </ns0:c>
      <ns0:c r="K20" s="4" t="str">
        <ns0:f>IF(A20="","",(G20-INDEX('Normal schedule'!M:M,C20+2))*1440)</ns0:f>
        <ns0:v/>
      </ns0:c>
      <ns0:c r="L20" s="4" t="str">
        <ns0:f>IF(A20="","",IF(E20&lt;=Inputs!$B$36,"MODEL FITS; CONFIRM ROUTE","CAPACITY EXCEEDED"))</ns0:f>
        <ns0:v/>
      </ns0:c>
    </ns0:row>
    <ns0:row r="21">
      <ns0:c r="A21" s="4" t="str">
        <ns0:f>IF(16&lt;=Scenarios!B3,Scenarios!A3,"")</ns0:f>
        <ns0:v/>
      </ns0:c>
      <ns0:c r="B21" s="4" t="str">
        <ns0:f>IF(A21="","",9)</ns0:f>
        <ns0:v/>
      </ns0:c>
      <ns0:c r="C21" s="4" t="str">
        <ns0:f>IF(A21="","",16)</ns0:f>
        <ns0:v/>
      </ns0:c>
      <ns0:c r="D21" s="4" t="str">
        <ns0:f>IF(A21="","",MIN(Scenarios!B3,17))</ns0:f>
        <ns0:v/>
      </ns0:c>
      <ns0:c r="E21" s="4" t="str">
        <ns0:f>IF(A21="","",(D21-C21+1)*Scenarios!O3)</ns0:f>
        <ns0:v/>
      </ns0:c>
      <ns0:c r="F21" s="5" t="str">
        <ns0:f>IF(A21="","",INDEX('Normal schedule'!M:M,D21+2))</ns0:f>
        <ns0:v/>
      </ns0:c>
      <ns0:c r="G21" s="5" t="str">
        <ns0:f>IF(A21="","",MAX(F21,J20))</ns0:f>
        <ns0:v/>
      </ns0:c>
      <ns0:c r="H21" s="5" t="str">
        <ns0:f>IF(A21="","",G21+Inputs!$B$26/1440)</ns0:f>
        <ns0:v/>
      </ns0:c>
      <ns0:c r="I21" s="5" t="str">
        <ns0:f>IF(A21="","",H21+Inputs!$B$27/1440)</ns0:f>
        <ns0:v/>
      </ns0:c>
      <ns0:c r="J21" s="5" t="str">
        <ns0:f>IF(A21="","",I21+(Inputs!$B$28+Inputs!$B$29+Inputs!$B$30)/1440)</ns0:f>
        <ns0:v/>
      </ns0:c>
      <ns0:c r="K21" s="4" t="str">
        <ns0:f>IF(A21="","",(G21-INDEX('Normal schedule'!M:M,C21+2))*1440)</ns0:f>
        <ns0:v/>
      </ns0:c>
      <ns0:c r="L21" s="4" t="str">
        <ns0:f>IF(A21="","",IF(E21&lt;=Inputs!$B$36,"MODEL FITS; CONFIRM ROUTE","CAPACITY EXCEEDED"))</ns0:f>
        <ns0:v/>
      </ns0:c>
    </ns0:row>
    <ns0:row r="22">
      <ns0:c r="A22" s="4" t="str">
        <ns0:f>IF(18&lt;=Scenarios!B3,Scenarios!A3,"")</ns0:f>
        <ns0:v/>
      </ns0:c>
      <ns0:c r="B22" s="4" t="str">
        <ns0:f>IF(A22="","",10)</ns0:f>
        <ns0:v/>
      </ns0:c>
      <ns0:c r="C22" s="4" t="str">
        <ns0:f>IF(A22="","",18)</ns0:f>
        <ns0:v/>
      </ns0:c>
      <ns0:c r="D22" s="4" t="str">
        <ns0:f>IF(A22="","",MIN(Scenarios!B3,19))</ns0:f>
        <ns0:v/>
      </ns0:c>
      <ns0:c r="E22" s="4" t="str">
        <ns0:f>IF(A22="","",(D22-C22+1)*Scenarios!O3)</ns0:f>
        <ns0:v/>
      </ns0:c>
      <ns0:c r="F22" s="5" t="str">
        <ns0:f>IF(A22="","",INDEX('Normal schedule'!M:M,D22+2))</ns0:f>
        <ns0:v/>
      </ns0:c>
      <ns0:c r="G22" s="5" t="str">
        <ns0:f>IF(A22="","",MAX(F22,J21))</ns0:f>
        <ns0:v/>
      </ns0:c>
      <ns0:c r="H22" s="5" t="str">
        <ns0:f>IF(A22="","",G22+Inputs!$B$26/1440)</ns0:f>
        <ns0:v/>
      </ns0:c>
      <ns0:c r="I22" s="5" t="str">
        <ns0:f>IF(A22="","",H22+Inputs!$B$27/1440)</ns0:f>
        <ns0:v/>
      </ns0:c>
      <ns0:c r="J22" s="5" t="str">
        <ns0:f>IF(A22="","",I22+(Inputs!$B$28+Inputs!$B$29+Inputs!$B$30)/1440)</ns0:f>
        <ns0:v/>
      </ns0:c>
      <ns0:c r="K22" s="4" t="str">
        <ns0:f>IF(A22="","",(G22-INDEX('Normal schedule'!M:M,C22+2))*1440)</ns0:f>
        <ns0:v/>
      </ns0:c>
      <ns0:c r="L22" s="4" t="str">
        <ns0:f>IF(A22="","",IF(E22&lt;=Inputs!$B$36,"MODEL FITS; CONFIRM ROUTE","CAPACITY EXCEEDED"))</ns0:f>
        <ns0:v/>
      </ns0:c>
    </ns0:row>
    <ns0:row r="23">
      <ns0:c r="A23" s="4" t="str">
        <ns0:f>IF(20&lt;=Scenarios!B3,Scenarios!A3,"")</ns0:f>
        <ns0:v/>
      </ns0:c>
      <ns0:c r="B23" s="4" t="str">
        <ns0:f>IF(A23="","",11)</ns0:f>
        <ns0:v/>
      </ns0:c>
      <ns0:c r="C23" s="4" t="str">
        <ns0:f>IF(A23="","",20)</ns0:f>
        <ns0:v/>
      </ns0:c>
      <ns0:c r="D23" s="4" t="str">
        <ns0:f>IF(A23="","",MIN(Scenarios!B3,21))</ns0:f>
        <ns0:v/>
      </ns0:c>
      <ns0:c r="E23" s="4" t="str">
        <ns0:f>IF(A23="","",(D23-C23+1)*Scenarios!O3)</ns0:f>
        <ns0:v/>
      </ns0:c>
      <ns0:c r="F23" s="5" t="str">
        <ns0:f>IF(A23="","",INDEX('Normal schedule'!M:M,D23+2))</ns0:f>
        <ns0:v/>
      </ns0:c>
      <ns0:c r="G23" s="5" t="str">
        <ns0:f>IF(A23="","",MAX(F23,J22))</ns0:f>
        <ns0:v/>
      </ns0:c>
      <ns0:c r="H23" s="5" t="str">
        <ns0:f>IF(A23="","",G23+Inputs!$B$26/1440)</ns0:f>
        <ns0:v/>
      </ns0:c>
      <ns0:c r="I23" s="5" t="str">
        <ns0:f>IF(A23="","",H23+Inputs!$B$27/1440)</ns0:f>
        <ns0:v/>
      </ns0:c>
      <ns0:c r="J23" s="5" t="str">
        <ns0:f>IF(A23="","",I23+(Inputs!$B$28+Inputs!$B$29+Inputs!$B$30)/1440)</ns0:f>
        <ns0:v/>
      </ns0:c>
      <ns0:c r="K23" s="4" t="str">
        <ns0:f>IF(A23="","",(G23-INDEX('Normal schedule'!M:M,C23+2))*1440)</ns0:f>
        <ns0:v/>
      </ns0:c>
      <ns0:c r="L23" s="4" t="str">
        <ns0:f>IF(A23="","",IF(E23&lt;=Inputs!$B$36,"MODEL FITS; CONFIRM ROUTE","CAPACITY EXCEEDED"))</ns0:f>
        <ns0:v/>
      </ns0:c>
    </ns0:row>
    <ns0:row r="24">
      <ns0:c r="A24" s="4" t="str">
        <ns0:f>IF(1&lt;=Scenarios!B4,Scenarios!A4,"")</ns0:f>
        <ns0:v>PLAN-BAG-H</ns0:v>
      </ns0:c>
      <ns0:c r="B24" s="4" t="n">
        <ns0:f>IF(A24="","",1)</ns0:f>
        <ns0:v>1.0</ns0:v>
      </ns0:c>
      <ns0:c r="C24" s="4" t="n">
        <ns0:f>IF(A24="","",1)</ns0:f>
        <ns0:v>1.0</ns0:v>
      </ns0:c>
      <ns0:c r="D24" s="4" t="n">
        <ns0:f>IF(A24="","",MIN(Scenarios!B4,1))</ns0:f>
        <ns0:v>1.0</ns0:v>
      </ns0:c>
      <ns0:c r="E24" s="4" t="n">
        <ns0:f>IF(A24="","",(D24-C24+1)*Scenarios!O4)</ns0:f>
        <ns0:v>78.0</ns0:v>
      </ns0:c>
      <ns0:c r="F24" s="5" t="n">
        <ns0:f>IF(A24="","",INDEX('High schedule'!M:M,D24+2))</ns0:f>
        <ns0:v>0.26944444444444443</ns0:v>
      </ns0:c>
      <ns0:c r="G24" s="5" t="n">
        <ns0:f>IF(A24="","",F24)</ns0:f>
        <ns0:v>0.26944444444444443</ns0:v>
      </ns0:c>
      <ns0:c r="H24" s="5" t="n">
        <ns0:f>IF(A24="","",G24+Inputs!$B$26/1440)</ns0:f>
        <ns0:v>0.27291666666666664</ns0:v>
      </ns0:c>
      <ns0:c r="I24" s="5" t="n">
        <ns0:f>IF(A24="","",H24+Inputs!$B$27/1440)</ns0:f>
        <ns0:v>0.29374999999999996</ns0:v>
      </ns0:c>
      <ns0:c r="J24" s="5" t="n">
        <ns0:f>IF(A24="","",I24+(Inputs!$B$28+Inputs!$B$29+Inputs!$B$30)/1440)</ns0:f>
        <ns0:v>0.32847222222222217</ns0:v>
      </ns0:c>
      <ns0:c r="K24" s="4" t="n">
        <ns0:f>IF(A24="","",(G24-INDEX('High schedule'!M:M,C24+2))*1440)</ns0:f>
        <ns0:v>0.0</ns0:v>
      </ns0:c>
      <ns0:c r="L24" s="4" t="str">
        <ns0:f>IF(A24="","",IF(E24&lt;=Inputs!$B$36,"MODEL FITS; CONFIRM ROUTE","CAPACITY EXCEEDED"))</ns0:f>
        <ns0:v>MODEL FITS; CONFIRM ROUTE</ns0:v>
      </ns0:c>
    </ns0:row>
    <ns0:row r="25">
      <ns0:c r="A25" s="4" t="str">
        <ns0:f>IF(2&lt;=Scenarios!B4,Scenarios!A4,"")</ns0:f>
        <ns0:v>PLAN-BAG-H</ns0:v>
      </ns0:c>
      <ns0:c r="B25" s="4" t="n">
        <ns0:f>IF(A25="","",2)</ns0:f>
        <ns0:v>2.0</ns0:v>
      </ns0:c>
      <ns0:c r="C25" s="4" t="n">
        <ns0:f>IF(A25="","",2)</ns0:f>
        <ns0:v>2.0</ns0:v>
      </ns0:c>
      <ns0:c r="D25" s="4" t="n">
        <ns0:f>IF(A25="","",MIN(Scenarios!B4,3))</ns0:f>
        <ns0:v>3.0</ns0:v>
      </ns0:c>
      <ns0:c r="E25" s="4" t="n">
        <ns0:f>IF(A25="","",(D25-C25+1)*Scenarios!O4)</ns0:f>
        <ns0:v>156.0</ns0:v>
      </ns0:c>
      <ns0:c r="F25" s="5" t="n">
        <ns0:f>IF(A25="","",INDEX('High schedule'!M:M,D25+2))</ns0:f>
        <ns0:v>0.33194444444444443</ns0:v>
      </ns0:c>
      <ns0:c r="G25" s="5" t="n">
        <ns0:f>IF(A25="","",MAX(F25,J24))</ns0:f>
        <ns0:v>0.33194444444444443</ns0:v>
      </ns0:c>
      <ns0:c r="H25" s="5" t="n">
        <ns0:f>IF(A25="","",G25+Inputs!$B$26/1440)</ns0:f>
        <ns0:v>0.33541666666666664</ns0:v>
      </ns0:c>
      <ns0:c r="I25" s="5" t="n">
        <ns0:f>IF(A25="","",H25+Inputs!$B$27/1440)</ns0:f>
        <ns0:v>0.35624999999999996</ns0:v>
      </ns0:c>
      <ns0:c r="J25" s="5" t="n">
        <ns0:f>IF(A25="","",I25+(Inputs!$B$28+Inputs!$B$29+Inputs!$B$30)/1440)</ns0:f>
        <ns0:v>0.39097222222222217</ns0:v>
      </ns0:c>
      <ns0:c r="K25" s="4" t="n">
        <ns0:f>IF(A25="","",(G25-INDEX('High schedule'!M:M,C25+2))*1440)</ns0:f>
        <ns0:v>45.0</ns0:v>
      </ns0:c>
      <ns0:c r="L25" s="4" t="str">
        <ns0:f>IF(A25="","",IF(E25&lt;=Inputs!$B$36,"MODEL FITS; CONFIRM ROUTE","CAPACITY EXCEEDED"))</ns0:f>
        <ns0:v>MODEL FITS; CONFIRM ROUTE</ns0:v>
      </ns0:c>
    </ns0:row>
    <ns0:row r="26">
      <ns0:c r="A26" s="4" t="str">
        <ns0:f>IF(4&lt;=Scenarios!B4,Scenarios!A4,"")</ns0:f>
        <ns0:v>PLAN-BAG-H</ns0:v>
      </ns0:c>
      <ns0:c r="B26" s="4" t="n">
        <ns0:f>IF(A26="","",3)</ns0:f>
        <ns0:v>3.0</ns0:v>
      </ns0:c>
      <ns0:c r="C26" s="4" t="n">
        <ns0:f>IF(A26="","",4)</ns0:f>
        <ns0:v>4.0</ns0:v>
      </ns0:c>
      <ns0:c r="D26" s="4" t="n">
        <ns0:f>IF(A26="","",MIN(Scenarios!B4,5))</ns0:f>
        <ns0:v>5.0</ns0:v>
      </ns0:c>
      <ns0:c r="E26" s="4" t="n">
        <ns0:f>IF(A26="","",(D26-C26+1)*Scenarios!O4)</ns0:f>
        <ns0:v>156.0</ns0:v>
      </ns0:c>
      <ns0:c r="F26" s="5" t="n">
        <ns0:f>IF(A26="","",INDEX('High schedule'!M:M,D26+2))</ns0:f>
        <ns0:v>0.3944444444444445</ns0:v>
      </ns0:c>
      <ns0:c r="G26" s="5" t="n">
        <ns0:f>IF(A26="","",MAX(F26,J25))</ns0:f>
        <ns0:v>0.3944444444444445</ns0:v>
      </ns0:c>
      <ns0:c r="H26" s="5" t="n">
        <ns0:f>IF(A26="","",G26+Inputs!$B$26/1440)</ns0:f>
        <ns0:v>0.3979166666666667</ns0:v>
      </ns0:c>
      <ns0:c r="I26" s="5" t="n">
        <ns0:f>IF(A26="","",H26+Inputs!$B$27/1440)</ns0:f>
        <ns0:v>0.41875</ns0:v>
      </ns0:c>
      <ns0:c r="J26" s="5" t="n">
        <ns0:f>IF(A26="","",I26+(Inputs!$B$28+Inputs!$B$29+Inputs!$B$30)/1440)</ns0:f>
        <ns0:v>0.4534722222222222</ns0:v>
      </ns0:c>
      <ns0:c r="K26" s="4" t="n">
        <ns0:f>IF(A26="","",(G26-INDEX('High schedule'!M:M,C26+2))*1440)</ns0:f>
        <ns0:v>45.00000000000008</ns0:v>
      </ns0:c>
      <ns0:c r="L26" s="4" t="str">
        <ns0:f>IF(A26="","",IF(E26&lt;=Inputs!$B$36,"MODEL FITS; CONFIRM ROUTE","CAPACITY EXCEEDED"))</ns0:f>
        <ns0:v>MODEL FITS; CONFIRM ROUTE</ns0:v>
      </ns0:c>
    </ns0:row>
    <ns0:row r="27">
      <ns0:c r="A27" s="4" t="str">
        <ns0:f>IF(6&lt;=Scenarios!B4,Scenarios!A4,"")</ns0:f>
        <ns0:v>PLAN-BAG-H</ns0:v>
      </ns0:c>
      <ns0:c r="B27" s="4" t="n">
        <ns0:f>IF(A27="","",4)</ns0:f>
        <ns0:v>4.0</ns0:v>
      </ns0:c>
      <ns0:c r="C27" s="4" t="n">
        <ns0:f>IF(A27="","",6)</ns0:f>
        <ns0:v>6.0</ns0:v>
      </ns0:c>
      <ns0:c r="D27" s="4" t="n">
        <ns0:f>IF(A27="","",MIN(Scenarios!B4,7))</ns0:f>
        <ns0:v>7.0</ns0:v>
      </ns0:c>
      <ns0:c r="E27" s="4" t="n">
        <ns0:f>IF(A27="","",(D27-C27+1)*Scenarios!O4)</ns0:f>
        <ns0:v>156.0</ns0:v>
      </ns0:c>
      <ns0:c r="F27" s="5" t="n">
        <ns0:f>IF(A27="","",INDEX('High schedule'!M:M,D27+2))</ns0:f>
        <ns0:v>0.4569444444444445</ns0:v>
      </ns0:c>
      <ns0:c r="G27" s="5" t="n">
        <ns0:f>IF(A27="","",MAX(F27,J26))</ns0:f>
        <ns0:v>0.4569444444444445</ns0:v>
      </ns0:c>
      <ns0:c r="H27" s="5" t="n">
        <ns0:f>IF(A27="","",G27+Inputs!$B$26/1440)</ns0:f>
        <ns0:v>0.4604166666666667</ns0:v>
      </ns0:c>
      <ns0:c r="I27" s="5" t="n">
        <ns0:f>IF(A27="","",H27+Inputs!$B$27/1440)</ns0:f>
        <ns0:v>0.48125</ns0:v>
      </ns0:c>
      <ns0:c r="J27" s="5" t="n">
        <ns0:f>IF(A27="","",I27+(Inputs!$B$28+Inputs!$B$29+Inputs!$B$30)/1440)</ns0:f>
        <ns0:v>0.5159722222222223</ns0:v>
      </ns0:c>
      <ns0:c r="K27" s="4" t="n">
        <ns0:f>IF(A27="","",(G27-INDEX('High schedule'!M:M,C27+2))*1440)</ns0:f>
        <ns0:v>45.0</ns0:v>
      </ns0:c>
      <ns0:c r="L27" s="4" t="str">
        <ns0:f>IF(A27="","",IF(E27&lt;=Inputs!$B$36,"MODEL FITS; CONFIRM ROUTE","CAPACITY EXCEEDED"))</ns0:f>
        <ns0:v>MODEL FITS; CONFIRM ROUTE</ns0:v>
      </ns0:c>
    </ns0:row>
    <ns0:row r="28">
      <ns0:c r="A28" s="4" t="str">
        <ns0:f>IF(8&lt;=Scenarios!B4,Scenarios!A4,"")</ns0:f>
        <ns0:v>PLAN-BAG-H</ns0:v>
      </ns0:c>
      <ns0:c r="B28" s="4" t="n">
        <ns0:f>IF(A28="","",5)</ns0:f>
        <ns0:v>5.0</ns0:v>
      </ns0:c>
      <ns0:c r="C28" s="4" t="n">
        <ns0:f>IF(A28="","",8)</ns0:f>
        <ns0:v>8.0</ns0:v>
      </ns0:c>
      <ns0:c r="D28" s="4" t="n">
        <ns0:f>IF(A28="","",MIN(Scenarios!B4,9))</ns0:f>
        <ns0:v>9.0</ns0:v>
      </ns0:c>
      <ns0:c r="E28" s="4" t="n">
        <ns0:f>IF(A28="","",(D28-C28+1)*Scenarios!O4)</ns0:f>
        <ns0:v>156.0</ns0:v>
      </ns0:c>
      <ns0:c r="F28" s="5" t="n">
        <ns0:f>IF(A28="","",INDEX('High schedule'!M:M,D28+2))</ns0:f>
        <ns0:v>0.5194444444444445</ns0:v>
      </ns0:c>
      <ns0:c r="G28" s="5" t="n">
        <ns0:f>IF(A28="","",MAX(F28,J27))</ns0:f>
        <ns0:v>0.5194444444444445</ns0:v>
      </ns0:c>
      <ns0:c r="H28" s="5" t="n">
        <ns0:f>IF(A28="","",G28+Inputs!$B$26/1440)</ns0:f>
        <ns0:v>0.5229166666666667</ns0:v>
      </ns0:c>
      <ns0:c r="I28" s="5" t="n">
        <ns0:f>IF(A28="","",H28+Inputs!$B$27/1440)</ns0:f>
        <ns0:v>0.5437500000000001</ns0:v>
      </ns0:c>
      <ns0:c r="J28" s="5" t="n">
        <ns0:f>IF(A28="","",I28+(Inputs!$B$28+Inputs!$B$29+Inputs!$B$30)/1440)</ns0:f>
        <ns0:v>0.5784722222222223</ns0:v>
      </ns0:c>
      <ns0:c r="K28" s="4" t="n">
        <ns0:f>IF(A28="","",(G28-INDEX('High schedule'!M:M,C28+2))*1440)</ns0:f>
        <ns0:v>45.0</ns0:v>
      </ns0:c>
      <ns0:c r="L28" s="4" t="str">
        <ns0:f>IF(A28="","",IF(E28&lt;=Inputs!$B$36,"MODEL FITS; CONFIRM ROUTE","CAPACITY EXCEEDED"))</ns0:f>
        <ns0:v>MODEL FITS; CONFIRM ROUTE</ns0:v>
      </ns0:c>
    </ns0:row>
    <ns0:row r="29">
      <ns0:c r="A29" s="4" t="str">
        <ns0:f>IF(10&lt;=Scenarios!B4,Scenarios!A4,"")</ns0:f>
        <ns0:v>PLAN-BAG-H</ns0:v>
      </ns0:c>
      <ns0:c r="B29" s="4" t="n">
        <ns0:f>IF(A29="","",6)</ns0:f>
        <ns0:v>6.0</ns0:v>
      </ns0:c>
      <ns0:c r="C29" s="4" t="n">
        <ns0:f>IF(A29="","",10)</ns0:f>
        <ns0:v>10.0</ns0:v>
      </ns0:c>
      <ns0:c r="D29" s="4" t="n">
        <ns0:f>IF(A29="","",MIN(Scenarios!B4,11))</ns0:f>
        <ns0:v>10</ns0:v>
      </ns0:c>
      <ns0:c r="E29" s="4" t="n">
        <ns0:f>IF(A29="","",(D29-C29+1)*Scenarios!O4)</ns0:f>
        <ns0:v>78.0</ns0:v>
      </ns0:c>
      <ns0:c r="F29" s="5" t="n">
        <ns0:f>IF(A29="","",INDEX('High schedule'!M:M,D29+2))</ns0:f>
        <ns0:v>0.5506944444444444</ns0:v>
      </ns0:c>
      <ns0:c r="G29" s="5" t="n">
        <ns0:f>IF(A29="","",MAX(F29,J28))</ns0:f>
        <ns0:v>0.5784722222222223</ns0:v>
      </ns0:c>
      <ns0:c r="H29" s="5" t="n">
        <ns0:f>IF(A29="","",G29+Inputs!$B$26/1440)</ns0:f>
        <ns0:v>0.5819444444444445</ns0:v>
      </ns0:c>
      <ns0:c r="I29" s="5" t="n">
        <ns0:f>IF(A29="","",H29+Inputs!$B$27/1440)</ns0:f>
        <ns0:v>0.6027777777777779</ns0:v>
      </ns0:c>
      <ns0:c r="J29" s="5" t="n">
        <ns0:f>IF(A29="","",I29+(Inputs!$B$28+Inputs!$B$29+Inputs!$B$30)/1440)</ns0:f>
        <ns0:v>0.6375000000000001</ns0:v>
      </ns0:c>
      <ns0:c r="K29" s="4" t="n">
        <ns0:f>IF(A29="","",(G29-INDEX('High schedule'!M:M,C29+2))*1440)</ns0:f>
        <ns0:v>40.00000000000018</ns0:v>
      </ns0:c>
      <ns0:c r="L29" s="4" t="str">
        <ns0:f>IF(A29="","",IF(E29&lt;=Inputs!$B$36,"MODEL FITS; CONFIRM ROUTE","CAPACITY EXCEEDED"))</ns0:f>
        <ns0:v>MODEL FITS; CONFIRM ROUTE</ns0:v>
      </ns0:c>
    </ns0:row>
    <ns0:row r="30">
      <ns0:c r="A30" s="4" t="str">
        <ns0:f>IF(12&lt;=Scenarios!B4,Scenarios!A4,"")</ns0:f>
        <ns0:v/>
      </ns0:c>
      <ns0:c r="B30" s="4" t="str">
        <ns0:f>IF(A30="","",7)</ns0:f>
        <ns0:v/>
      </ns0:c>
      <ns0:c r="C30" s="4" t="str">
        <ns0:f>IF(A30="","",12)</ns0:f>
        <ns0:v/>
      </ns0:c>
      <ns0:c r="D30" s="4" t="str">
        <ns0:f>IF(A30="","",MIN(Scenarios!B4,13))</ns0:f>
        <ns0:v/>
      </ns0:c>
      <ns0:c r="E30" s="4" t="str">
        <ns0:f>IF(A30="","",(D30-C30+1)*Scenarios!O4)</ns0:f>
        <ns0:v/>
      </ns0:c>
      <ns0:c r="F30" s="5" t="str">
        <ns0:f>IF(A30="","",INDEX('High schedule'!M:M,D30+2))</ns0:f>
        <ns0:v/>
      </ns0:c>
      <ns0:c r="G30" s="5" t="str">
        <ns0:f>IF(A30="","",MAX(F30,J29))</ns0:f>
        <ns0:v/>
      </ns0:c>
      <ns0:c r="H30" s="5" t="str">
        <ns0:f>IF(A30="","",G30+Inputs!$B$26/1440)</ns0:f>
        <ns0:v/>
      </ns0:c>
      <ns0:c r="I30" s="5" t="str">
        <ns0:f>IF(A30="","",H30+Inputs!$B$27/1440)</ns0:f>
        <ns0:v/>
      </ns0:c>
      <ns0:c r="J30" s="5" t="str">
        <ns0:f>IF(A30="","",I30+(Inputs!$B$28+Inputs!$B$29+Inputs!$B$30)/1440)</ns0:f>
        <ns0:v/>
      </ns0:c>
      <ns0:c r="K30" s="4" t="str">
        <ns0:f>IF(A30="","",(G30-INDEX('High schedule'!M:M,C30+2))*1440)</ns0:f>
        <ns0:v/>
      </ns0:c>
      <ns0:c r="L30" s="4" t="str">
        <ns0:f>IF(A30="","",IF(E30&lt;=Inputs!$B$36,"MODEL FITS; CONFIRM ROUTE","CAPACITY EXCEEDED"))</ns0:f>
        <ns0:v/>
      </ns0:c>
    </ns0:row>
    <ns0:row r="31">
      <ns0:c r="A31" s="4" t="str">
        <ns0:f>IF(14&lt;=Scenarios!B4,Scenarios!A4,"")</ns0:f>
        <ns0:v/>
      </ns0:c>
      <ns0:c r="B31" s="4" t="str">
        <ns0:f>IF(A31="","",8)</ns0:f>
        <ns0:v/>
      </ns0:c>
      <ns0:c r="C31" s="4" t="str">
        <ns0:f>IF(A31="","",14)</ns0:f>
        <ns0:v/>
      </ns0:c>
      <ns0:c r="D31" s="4" t="str">
        <ns0:f>IF(A31="","",MIN(Scenarios!B4,15))</ns0:f>
        <ns0:v/>
      </ns0:c>
      <ns0:c r="E31" s="4" t="str">
        <ns0:f>IF(A31="","",(D31-C31+1)*Scenarios!O4)</ns0:f>
        <ns0:v/>
      </ns0:c>
      <ns0:c r="F31" s="5" t="str">
        <ns0:f>IF(A31="","",INDEX('High schedule'!M:M,D31+2))</ns0:f>
        <ns0:v/>
      </ns0:c>
      <ns0:c r="G31" s="5" t="str">
        <ns0:f>IF(A31="","",MAX(F31,J30))</ns0:f>
        <ns0:v/>
      </ns0:c>
      <ns0:c r="H31" s="5" t="str">
        <ns0:f>IF(A31="","",G31+Inputs!$B$26/1440)</ns0:f>
        <ns0:v/>
      </ns0:c>
      <ns0:c r="I31" s="5" t="str">
        <ns0:f>IF(A31="","",H31+Inputs!$B$27/1440)</ns0:f>
        <ns0:v/>
      </ns0:c>
      <ns0:c r="J31" s="5" t="str">
        <ns0:f>IF(A31="","",I31+(Inputs!$B$28+Inputs!$B$29+Inputs!$B$30)/1440)</ns0:f>
        <ns0:v/>
      </ns0:c>
      <ns0:c r="K31" s="4" t="str">
        <ns0:f>IF(A31="","",(G31-INDEX('High schedule'!M:M,C31+2))*1440)</ns0:f>
        <ns0:v/>
      </ns0:c>
      <ns0:c r="L31" s="4" t="str">
        <ns0:f>IF(A31="","",IF(E31&lt;=Inputs!$B$36,"MODEL FITS; CONFIRM ROUTE","CAPACITY EXCEEDED"))</ns0:f>
        <ns0:v/>
      </ns0:c>
    </ns0:row>
    <ns0:row r="32">
      <ns0:c r="A32" s="4" t="str">
        <ns0:f>IF(16&lt;=Scenarios!B4,Scenarios!A4,"")</ns0:f>
        <ns0:v/>
      </ns0:c>
      <ns0:c r="B32" s="4" t="str">
        <ns0:f>IF(A32="","",9)</ns0:f>
        <ns0:v/>
      </ns0:c>
      <ns0:c r="C32" s="4" t="str">
        <ns0:f>IF(A32="","",16)</ns0:f>
        <ns0:v/>
      </ns0:c>
      <ns0:c r="D32" s="4" t="str">
        <ns0:f>IF(A32="","",MIN(Scenarios!B4,17))</ns0:f>
        <ns0:v/>
      </ns0:c>
      <ns0:c r="E32" s="4" t="str">
        <ns0:f>IF(A32="","",(D32-C32+1)*Scenarios!O4)</ns0:f>
        <ns0:v/>
      </ns0:c>
      <ns0:c r="F32" s="5" t="str">
        <ns0:f>IF(A32="","",INDEX('High schedule'!M:M,D32+2))</ns0:f>
        <ns0:v/>
      </ns0:c>
      <ns0:c r="G32" s="5" t="str">
        <ns0:f>IF(A32="","",MAX(F32,J31))</ns0:f>
        <ns0:v/>
      </ns0:c>
      <ns0:c r="H32" s="5" t="str">
        <ns0:f>IF(A32="","",G32+Inputs!$B$26/1440)</ns0:f>
        <ns0:v/>
      </ns0:c>
      <ns0:c r="I32" s="5" t="str">
        <ns0:f>IF(A32="","",H32+Inputs!$B$27/1440)</ns0:f>
        <ns0:v/>
      </ns0:c>
      <ns0:c r="J32" s="5" t="str">
        <ns0:f>IF(A32="","",I32+(Inputs!$B$28+Inputs!$B$29+Inputs!$B$30)/1440)</ns0:f>
        <ns0:v/>
      </ns0:c>
      <ns0:c r="K32" s="4" t="str">
        <ns0:f>IF(A32="","",(G32-INDEX('High schedule'!M:M,C32+2))*1440)</ns0:f>
        <ns0:v/>
      </ns0:c>
      <ns0:c r="L32" s="4" t="str">
        <ns0:f>IF(A32="","",IF(E32&lt;=Inputs!$B$36,"MODEL FITS; CONFIRM ROUTE","CAPACITY EXCEEDED"))</ns0:f>
        <ns0:v/>
      </ns0:c>
    </ns0:row>
    <ns0:row r="33">
      <ns0:c r="A33" s="4" t="str">
        <ns0:f>IF(18&lt;=Scenarios!B4,Scenarios!A4,"")</ns0:f>
        <ns0:v/>
      </ns0:c>
      <ns0:c r="B33" s="4" t="str">
        <ns0:f>IF(A33="","",10)</ns0:f>
        <ns0:v/>
      </ns0:c>
      <ns0:c r="C33" s="4" t="str">
        <ns0:f>IF(A33="","",18)</ns0:f>
        <ns0:v/>
      </ns0:c>
      <ns0:c r="D33" s="4" t="str">
        <ns0:f>IF(A33="","",MIN(Scenarios!B4,19))</ns0:f>
        <ns0:v/>
      </ns0:c>
      <ns0:c r="E33" s="4" t="str">
        <ns0:f>IF(A33="","",(D33-C33+1)*Scenarios!O4)</ns0:f>
        <ns0:v/>
      </ns0:c>
      <ns0:c r="F33" s="5" t="str">
        <ns0:f>IF(A33="","",INDEX('High schedule'!M:M,D33+2))</ns0:f>
        <ns0:v/>
      </ns0:c>
      <ns0:c r="G33" s="5" t="str">
        <ns0:f>IF(A33="","",MAX(F33,J32))</ns0:f>
        <ns0:v/>
      </ns0:c>
      <ns0:c r="H33" s="5" t="str">
        <ns0:f>IF(A33="","",G33+Inputs!$B$26/1440)</ns0:f>
        <ns0:v/>
      </ns0:c>
      <ns0:c r="I33" s="5" t="str">
        <ns0:f>IF(A33="","",H33+Inputs!$B$27/1440)</ns0:f>
        <ns0:v/>
      </ns0:c>
      <ns0:c r="J33" s="5" t="str">
        <ns0:f>IF(A33="","",I33+(Inputs!$B$28+Inputs!$B$29+Inputs!$B$30)/1440)</ns0:f>
        <ns0:v/>
      </ns0:c>
      <ns0:c r="K33" s="4" t="str">
        <ns0:f>IF(A33="","",(G33-INDEX('High schedule'!M:M,C33+2))*1440)</ns0:f>
        <ns0:v/>
      </ns0:c>
      <ns0:c r="L33" s="4" t="str">
        <ns0:f>IF(A33="","",IF(E33&lt;=Inputs!$B$36,"MODEL FITS; CONFIRM ROUTE","CAPACITY EXCEEDED"))</ns0:f>
        <ns0:v/>
      </ns0:c>
    </ns0:row>
    <ns0:row r="34">
      <ns0:c r="A34" s="4" t="str">
        <ns0:f>IF(20&lt;=Scenarios!B4,Scenarios!A4,"")</ns0:f>
        <ns0:v/>
      </ns0:c>
      <ns0:c r="B34" s="4" t="str">
        <ns0:f>IF(A34="","",11)</ns0:f>
        <ns0:v/>
      </ns0:c>
      <ns0:c r="C34" s="4" t="str">
        <ns0:f>IF(A34="","",20)</ns0:f>
        <ns0:v/>
      </ns0:c>
      <ns0:c r="D34" s="4" t="str">
        <ns0:f>IF(A34="","",MIN(Scenarios!B4,21))</ns0:f>
        <ns0:v/>
      </ns0:c>
      <ns0:c r="E34" s="4" t="str">
        <ns0:f>IF(A34="","",(D34-C34+1)*Scenarios!O4)</ns0:f>
        <ns0:v/>
      </ns0:c>
      <ns0:c r="F34" s="5" t="str">
        <ns0:f>IF(A34="","",INDEX('High schedule'!M:M,D34+2))</ns0:f>
        <ns0:v/>
      </ns0:c>
      <ns0:c r="G34" s="5" t="str">
        <ns0:f>IF(A34="","",MAX(F34,J33))</ns0:f>
        <ns0:v/>
      </ns0:c>
      <ns0:c r="H34" s="5" t="str">
        <ns0:f>IF(A34="","",G34+Inputs!$B$26/1440)</ns0:f>
        <ns0:v/>
      </ns0:c>
      <ns0:c r="I34" s="5" t="str">
        <ns0:f>IF(A34="","",H34+Inputs!$B$27/1440)</ns0:f>
        <ns0:v/>
      </ns0:c>
      <ns0:c r="J34" s="5" t="str">
        <ns0:f>IF(A34="","",I34+(Inputs!$B$28+Inputs!$B$29+Inputs!$B$30)/1440)</ns0:f>
        <ns0:v/>
      </ns0:c>
      <ns0:c r="K34" s="4" t="str">
        <ns0:f>IF(A34="","",(G34-INDEX('High schedule'!M:M,C34+2))*1440)</ns0:f>
        <ns0:v/>
      </ns0:c>
      <ns0:c r="L34" s="4" t="str">
        <ns0:f>IF(A34="","",IF(E34&lt;=Inputs!$B$36,"MODEL FITS; CONFIRM ROUTE","CAPACITY EXCEEDED"))</ns0:f>
        <ns0:v/>
      </ns0:c>
    </ns0:row>
  </ns0:sheetData>
  <ns0:autoFilter ref="A1:L34"/>
  <ns0:printOptions horizontalCentered="1"/>
  <ns0:pageMargins left="0.75" right="0.75" top="1" bottom="1" header="0.5" footer="0.5"/>
  <ns0:pageSetup orientation="landscape" paperSize="8" fitToHeight="0" fitToWidth="1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Y4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0" customWidth="1" min="1" max="1"/>
    <ns0:col width="20" customWidth="1" min="2" max="2"/>
    <ns0:col width="20" customWidth="1" min="3" max="3"/>
    <ns0:col width="20" customWidth="1" min="4" max="4"/>
    <ns0:col width="20" customWidth="1" min="5" max="5"/>
    <ns0:col width="20" customWidth="1" min="6" max="6"/>
    <ns0:col width="20" customWidth="1" min="7" max="7"/>
    <ns0:col width="20" customWidth="1" min="8" max="8"/>
    <ns0:col width="20" customWidth="1" min="9" max="9"/>
    <ns0:col width="20" customWidth="1" min="10" max="10"/>
    <ns0:col width="20" customWidth="1" min="11" max="11"/>
    <ns0:col width="20" customWidth="1" min="12" max="12"/>
    <ns0:col width="20" customWidth="1" min="13" max="13"/>
    <ns0:col width="20" customWidth="1" min="14" max="14"/>
    <ns0:col width="20" customWidth="1" min="15" max="15"/>
    <ns0:col width="20" customWidth="1" min="16" max="16"/>
    <ns0:col width="20" customWidth="1" min="17" max="17"/>
    <ns0:col width="20" customWidth="1" min="18" max="18"/>
    <ns0:col width="20" customWidth="1" min="19" max="19"/>
    <ns0:col width="20" customWidth="1" min="20" max="20"/>
    <ns0:col width="20" customWidth="1" min="21" max="21"/>
    <ns0:col width="20" customWidth="1" min="22" max="22"/>
    <ns0:col width="20" customWidth="1" min="23" max="23"/>
    <ns0:col width="20" customWidth="1" min="24" max="24"/>
    <ns0:col width="20" customWidth="1" min="25" max="25"/>
  </ns0:cols>
  <ns0:sheetData>
    <ns0:row r="1" ht="44" customHeight="1">
      <ns0:c r="A1" s="1" t="inlineStr">
        <ns0:is>
          <ns0:t>Scenario</ns0:t>
        </ns0:is>
      </ns0:c>
      <ns0:c r="B1" s="1" t="inlineStr">
        <ns0:is>
          <ns0:t>Known flour/salt/yeast FCFA</ns0:t>
        </ns0:is>
      </ns0:c>
      <ns0:c r="C1" s="1" t="inlineStr">
        <ns0:is>
          <ns0:t>Water kg</ns0:t>
        </ns0:is>
      </ns0:c>
      <ns0:c r="D1" s="1" t="inlineStr">
        <ns0:is>
          <ns0:t>Water FCFA/kg INPUT</ns0:t>
        </ns0:is>
      </ns0:c>
      <ns0:c r="E1" s="1" t="inlineStr">
        <ns0:is>
          <ns0:t>Water cost</ns0:t>
        </ns0:is>
      </ns0:c>
      <ns0:c r="F1" s="1" t="inlineStr">
        <ns0:is>
          <ns0:t>Dusting/process allowance INPUT</ns0:t>
        </ns0:is>
      </ns0:c>
      <ns0:c r="G1" s="1" t="inlineStr">
        <ns0:is>
          <ns0:t>Pack FCFA/retained unit INPUT</ns0:t>
        </ns0:is>
      </ns0:c>
      <ns0:c r="H1" s="1" t="inlineStr">
        <ns0:is>
          <ns0:t>Packaging cost</ns0:t>
        </ns0:is>
      </ns0:c>
      <ns0:c r="I1" s="1" t="inlineStr">
        <ns0:is>
          <ns0:t>Electric kWh INPUT</ns0:t>
        </ns0:is>
      </ns0:c>
      <ns0:c r="J1" s="1" t="inlineStr">
        <ns0:is>
          <ns0:t>FCFA/kWh INPUT</ns0:t>
        </ns0:is>
      </ns0:c>
      <ns0:c r="K1" s="1" t="inlineStr">
        <ns0:is>
          <ns0:t>Electric cost</ns0:t>
        </ns0:is>
      </ns0:c>
      <ns0:c r="L1" s="1" t="inlineStr">
        <ns0:is>
          <ns0:t>Diesel litres INPUT</ns0:t>
        </ns0:is>
      </ns0:c>
      <ns0:c r="M1" s="1" t="inlineStr">
        <ns0:is>
          <ns0:t>FCFA/litre INPUT</ns0:t>
        </ns0:is>
      </ns0:c>
      <ns0:c r="N1" s="1" t="inlineStr">
        <ns0:is>
          <ns0:t>Diesel cost</ns0:t>
        </ns0:is>
      </ns0:c>
      <ns0:c r="O1" s="1" t="inlineStr">
        <ns0:is>
          <ns0:t>Paid staffing FCFA INPUT</ns0:t>
        </ns0:is>
      </ns0:c>
      <ns0:c r="P1" s="1" t="inlineStr">
        <ns0:is>
          <ns0:t>Transport FCFA INPUT</ns0:t>
        </ns0:is>
      </ns0:c>
      <ns0:c r="Q1" s="1" t="inlineStr">
        <ns0:is>
          <ns0:t>Other variable FCFA INPUT</ns0:t>
        </ns0:is>
      </ns0:c>
      <ns0:c r="R1" s="1" t="inlineStr">
        <ns0:is>
          <ns0:t>Expected SOLD units INPUT</ns0:t>
        </ns0:is>
      </ns0:c>
      <ns0:c r="S1" s="1" t="inlineStr">
        <ns0:is>
          <ns0:t>Selling FCFA/unit INPUT</ns0:t>
        </ns0:is>
      </ns0:c>
      <ns0:c r="T1" s="1" t="inlineStr">
        <ns0:is>
          <ns0:t>Full variable batch FCFA</ns0:t>
        </ns0:is>
      </ns0:c>
      <ns0:c r="U1" s="1" t="inlineStr">
        <ns0:is>
          <ns0:t>Cost per SOLD unit</ns0:t>
        </ns0:is>
      </ns0:c>
      <ns0:c r="V1" s="1" t="inlineStr">
        <ns0:is>
          <ns0:t>Revenue</ns0:t>
        </ns0:is>
      </ns0:c>
      <ns0:c r="W1" s="1" t="inlineStr">
        <ns0:is>
          <ns0:t>Contribution campaign</ns0:t>
        </ns0:is>
      </ns0:c>
      <ns0:c r="X1" s="1" t="inlineStr">
        <ns0:is>
          <ns0:t>Contribution per SOLD unit</ns0:t>
        </ns0:is>
      </ns0:c>
      <ns0:c r="Y1" s="1" t="inlineStr">
        <ns0:is>
          <ns0:t>Status</ns0:t>
        </ns0:is>
      </ns0:c>
    </ns0:row>
    <ns0:row r="2">
      <ns0:c r="A2" s="4" t="str">
        <ns0:f>Scenarios!A2</ns0:f>
        <ns0:v>PLAN-BAG-P</ns0:v>
      </ns0:c>
      <ns0:c r="B2" s="4" t="n">
        <ns0:f>Scenarios!R2</ns0:f>
        <ns0:v>6218.921111111111</ns0:v>
      </ns0:c>
      <ns0:c r="C2" s="4" t="n">
        <ns0:f>Scenarios!B2*Scenarios!F2/1000</ns0:f>
        <ns0:v>9.496</ns0:v>
      </ns0:c>
      <ns0:c r="D2" s="3" t="n"/>
      <ns0:c r="E2" s="4" t="str">
        <ns0:f>IF(D2="","",C2*D2)</ns0:f>
        <ns0:v/>
      </ns0:c>
      <ns0:c r="F2" s="3" t="n"/>
      <ns0:c r="G2" s="3" t="n"/>
      <ns0:c r="H2" s="4" t="str">
        <ns0:f>IF(G2="","",G2*Scenarios!Q2)</ns0:f>
        <ns0:v/>
      </ns0:c>
      <ns0:c r="I2" s="3" t="n"/>
      <ns0:c r="J2" s="3" t="n"/>
      <ns0:c r="K2" s="4" t="str">
        <ns0:f>IF(COUNT(I2:J2)&lt;2,"",I2*J2)</ns0:f>
        <ns0:v/>
      </ns0:c>
      <ns0:c r="L2" s="3" t="n"/>
      <ns0:c r="M2" s="3" t="n"/>
      <ns0:c r="N2" s="4" t="str">
        <ns0:f>IF(COUNT(L2:M2)&lt;2,"",L2*M2)</ns0:f>
        <ns0:v/>
      </ns0:c>
      <ns0:c r="O2" s="3" t="n"/>
      <ns0:c r="P2" s="3" t="n"/>
      <ns0:c r="Q2" s="3" t="n"/>
      <ns0:c r="R2" s="3" t="n"/>
      <ns0:c r="S2" s="3" t="n"/>
      <ns0:c r="T2" s="4" t="str">
        <ns0:f>IF(COUNT(E2,F2,H2,K2,N2,O2,P2,Q2)&lt;8,"",B2+SUM(E2,F2,H2,K2,N2,O2,P2,Q2))</ns0:f>
        <ns0:v/>
      </ns0:c>
      <ns0:c r="U2" s="4" t="str">
        <ns0:f>IF(OR(T2="",R2="",R2&lt;=0,R2&gt;Scenarios!Q2),"",T2/R2)</ns0:f>
        <ns0:v/>
      </ns0:c>
      <ns0:c r="V2" s="4" t="str">
        <ns0:f>IF(OR(R2="",S2="",R2&lt;0,R2&gt;Scenarios!Q2),"",R2*S2)</ns0:f>
        <ns0:v/>
      </ns0:c>
      <ns0:c r="W2" s="4" t="str">
        <ns0:f>IF(OR(T2="",V2=""),"",V2-T2)</ns0:f>
        <ns0:v/>
      </ns0:c>
      <ns0:c r="X2" s="4" t="str">
        <ns0:f>IF(OR(W2="",R2&lt;=0),"",W2/R2)</ns0:f>
        <ns0:v/>
      </ns0:c>
      <ns0:c r="Y2" s="4" t="str">
        <ns0:f>IF(T2="","MISSING COSTS",IF(OR(R2="",S2=""),"ENTER SOLD UNITS / PRICE",IF(R2&gt;Scenarios!Q2,"SOLD UNITS EXCEED RETAINED","ILLUSTRATION - NOT NET PROFIT")))</ns0:f>
        <ns0:v>MISSING COSTS</ns0:v>
      </ns0:c>
    </ns0:row>
    <ns0:row r="3">
      <ns0:c r="A3" s="4" t="str">
        <ns0:f>Scenarios!A3</ns0:f>
        <ns0:v>PLAN-BAG-N</ns0:v>
      </ns0:c>
      <ns0:c r="B3" s="4" t="n">
        <ns0:f>Scenarios!R3</ns0:f>
        <ns0:v>31093.772222222222</ns0:v>
      </ns0:c>
      <ns0:c r="C3" s="4" t="n">
        <ns0:f>Scenarios!B3*Scenarios!F3/1000</ns0:f>
        <ns0:v>47.48</ns0:v>
      </ns0:c>
      <ns0:c r="D3" s="3" t="n"/>
      <ns0:c r="E3" s="4" t="str">
        <ns0:f>IF(D3="","",C3*D3)</ns0:f>
        <ns0:v/>
      </ns0:c>
      <ns0:c r="F3" s="3" t="n"/>
      <ns0:c r="G3" s="3" t="n"/>
      <ns0:c r="H3" s="4" t="str">
        <ns0:f>IF(G3="","",G3*Scenarios!Q3)</ns0:f>
        <ns0:v/>
      </ns0:c>
      <ns0:c r="I3" s="3" t="n"/>
      <ns0:c r="J3" s="3" t="n"/>
      <ns0:c r="K3" s="4" t="str">
        <ns0:f>IF(COUNT(I3:J3)&lt;2,"",I3*J3)</ns0:f>
        <ns0:v/>
      </ns0:c>
      <ns0:c r="L3" s="3" t="n"/>
      <ns0:c r="M3" s="3" t="n"/>
      <ns0:c r="N3" s="4" t="str">
        <ns0:f>IF(COUNT(L3:M3)&lt;2,"",L3*M3)</ns0:f>
        <ns0:v/>
      </ns0:c>
      <ns0:c r="O3" s="3" t="n"/>
      <ns0:c r="P3" s="3" t="n"/>
      <ns0:c r="Q3" s="3" t="n"/>
      <ns0:c r="R3" s="3" t="n"/>
      <ns0:c r="S3" s="3" t="n"/>
      <ns0:c r="T3" s="4" t="str">
        <ns0:f>IF(COUNT(E3,F3,H3,K3,N3,O3,P3,Q3)&lt;8,"",B3+SUM(E3,F3,H3,K3,N3,O3,P3,Q3))</ns0:f>
        <ns0:v/>
      </ns0:c>
      <ns0:c r="U3" s="4" t="str">
        <ns0:f>IF(OR(T3="",R3="",R3&lt;=0,R3&gt;Scenarios!Q3),"",T3/R3)</ns0:f>
        <ns0:v/>
      </ns0:c>
      <ns0:c r="V3" s="4" t="str">
        <ns0:f>IF(OR(R3="",S3="",R3&lt;0,R3&gt;Scenarios!Q3),"",R3*S3)</ns0:f>
        <ns0:v/>
      </ns0:c>
      <ns0:c r="W3" s="4" t="str">
        <ns0:f>IF(OR(T3="",V3=""),"",V3-T3)</ns0:f>
        <ns0:v/>
      </ns0:c>
      <ns0:c r="X3" s="4" t="str">
        <ns0:f>IF(OR(W3="",R3&lt;=0),"",W3/R3)</ns0:f>
        <ns0:v/>
      </ns0:c>
      <ns0:c r="Y3" s="4" t="str">
        <ns0:f>IF(T3="","MISSING COSTS",IF(OR(R3="",S3=""),"ENTER SOLD UNITS / PRICE",IF(R3&gt;Scenarios!Q3,"SOLD UNITS EXCEED RETAINED","ILLUSTRATION - NOT NET PROFIT")))</ns0:f>
        <ns0:v>MISSING COSTS</ns0:v>
      </ns0:c>
    </ns0:row>
    <ns0:row r="4">
      <ns0:c r="A4" s="4" t="str">
        <ns0:f>Scenarios!A4</ns0:f>
        <ns0:v>PLAN-BAG-H</ns0:v>
      </ns0:c>
      <ns0:c r="B4" s="4" t="n">
        <ns0:f>Scenarios!R4</ns0:f>
        <ns0:v>62187.544444444444</ns0:v>
      </ns0:c>
      <ns0:c r="C4" s="4" t="n">
        <ns0:f>Scenarios!B4*Scenarios!F4/1000</ns0:f>
        <ns0:v>94.96</ns0:v>
      </ns0:c>
      <ns0:c r="D4" s="3" t="n"/>
      <ns0:c r="E4" s="4" t="str">
        <ns0:f>IF(D4="","",C4*D4)</ns0:f>
        <ns0:v/>
      </ns0:c>
      <ns0:c r="F4" s="3" t="n"/>
      <ns0:c r="G4" s="3" t="n"/>
      <ns0:c r="H4" s="4" t="str">
        <ns0:f>IF(G4="","",G4*Scenarios!Q4)</ns0:f>
        <ns0:v/>
      </ns0:c>
      <ns0:c r="I4" s="3" t="n"/>
      <ns0:c r="J4" s="3" t="n"/>
      <ns0:c r="K4" s="4" t="str">
        <ns0:f>IF(COUNT(I4:J4)&lt;2,"",I4*J4)</ns0:f>
        <ns0:v/>
      </ns0:c>
      <ns0:c r="L4" s="3" t="n"/>
      <ns0:c r="M4" s="3" t="n"/>
      <ns0:c r="N4" s="4" t="str">
        <ns0:f>IF(COUNT(L4:M4)&lt;2,"",L4*M4)</ns0:f>
        <ns0:v/>
      </ns0:c>
      <ns0:c r="O4" s="3" t="n"/>
      <ns0:c r="P4" s="3" t="n"/>
      <ns0:c r="Q4" s="3" t="n"/>
      <ns0:c r="R4" s="3" t="n"/>
      <ns0:c r="S4" s="3" t="n"/>
      <ns0:c r="T4" s="4" t="str">
        <ns0:f>IF(COUNT(E4,F4,H4,K4,N4,O4,P4,Q4)&lt;8,"",B4+SUM(E4,F4,H4,K4,N4,O4,P4,Q4))</ns0:f>
        <ns0:v/>
      </ns0:c>
      <ns0:c r="U4" s="4" t="str">
        <ns0:f>IF(OR(T4="",R4="",R4&lt;=0,R4&gt;Scenarios!Q4),"",T4/R4)</ns0:f>
        <ns0:v/>
      </ns0:c>
      <ns0:c r="V4" s="4" t="str">
        <ns0:f>IF(OR(R4="",S4="",R4&lt;0,R4&gt;Scenarios!Q4),"",R4*S4)</ns0:f>
        <ns0:v/>
      </ns0:c>
      <ns0:c r="W4" s="4" t="str">
        <ns0:f>IF(OR(T4="",V4=""),"",V4-T4)</ns0:f>
        <ns0:v/>
      </ns0:c>
      <ns0:c r="X4" s="4" t="str">
        <ns0:f>IF(OR(W4="",R4&lt;=0),"",W4/R4)</ns0:f>
        <ns0:v/>
      </ns0:c>
      <ns0:c r="Y4" s="4" t="str">
        <ns0:f>IF(T4="","MISSING COSTS",IF(OR(R4="",S4=""),"ENTER SOLD UNITS / PRICE",IF(R4&gt;Scenarios!Q4,"SOLD UNITS EXCEED RETAINED","ILLUSTRATION - NOT NET PROFIT")))</ns0:f>
        <ns0:v>MISSING COSTS</ns0:v>
      </ns0:c>
    </ns0:row>
  </ns0:sheetData>
  <ns0:autoFilter ref="A1:Y4"/>
  <ns0:printOptions horizontalCentered="1"/>
  <ns0:pageMargins left="0.75" right="0.75" top="1" bottom="1" header="0.5" footer="0.5"/>
  <ns0:pageSetup orientation="landscape" paperSize="8" fitToHeight="0" fitToWidth="1"/>
</ns0:worksheet>
</file>

<file path=xl/worksheets/sheet9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E8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0" customWidth="1" min="1" max="1"/>
    <ns0:col width="20" customWidth="1" min="2" max="2"/>
    <ns0:col width="20" customWidth="1" min="3" max="3"/>
    <ns0:col width="20" customWidth="1" min="4" max="4"/>
    <ns0:col width="20" customWidth="1" min="5" max="5"/>
  </ns0:cols>
  <ns0:sheetData>
    <ns0:row r="1" ht="44" customHeight="1">
      <ns0:c r="A1" s="1" t="inlineStr">
        <ns0:is>
          <ns0:t>Source</ns0:t>
        </ns0:is>
      </ns0:c>
      <ns0:c r="B1" s="1" t="inlineStr">
        <ns0:is>
          <ns0:t>Filename</ns0:t>
        </ns0:is>
      </ns0:c>
      <ns0:c r="C1" s="1" t="inlineStr">
        <ns0:is>
          <ns0:t>Full path</ns0:t>
        </ns0:is>
      </ns0:c>
      <ns0:c r="D1" s="1" t="inlineStr">
        <ns0:is>
          <ns0:t>File modified</ns0:t>
        </ns0:is>
      </ns0:c>
      <ns0:c r="E1" s="1" t="inlineStr">
        <ns0:is>
          <ns0:t>Hash agrees with H1</ns0:t>
        </ns0:is>
      </ns0:c>
    </ns0:row>
    <ns0:row r="2">
      <ns0:c r="A2" s="2" t="inlineStr">
        <ns0:is>
          <ns0:t>S038</ns0:t>
        </ns0:is>
      </ns0:c>
      <ns0:c r="B2" s="2" t="inlineStr">
        <ns0:is>
          <ns0:t>Staggered_Baguette_Production_Schedule.pdf</ns0:t>
        </ns0:is>
      </ns0:c>
      <ns0:c r="C2" s="2" t="inlineStr">
        <ns0:is>
          <ns0:t>C:\Users\J COMPUTER\Downloads\Staggered_Baguette_Production_Schedule.pdf</ns0:t>
        </ns0:is>
      </ns0:c>
      <ns0:c r="D2" s="2" t="inlineStr">
        <ns0:is>
          <ns0:t>2026-09-11T13:45:25.992631+00:00</ns0:t>
        </ns0:is>
      </ns0:c>
      <ns0:c r="E2" s="2" t="inlineStr">
        <ns0:is>
          <ns0:t>True</ns0:t>
        </ns0:is>
      </ns0:c>
    </ns0:row>
    <ns0:row r="3">
      <ns0:c r="A3" s="2" t="inlineStr">
        <ns0:is>
          <ns0:t>S030</ns0:t>
        </ns0:is>
      </ns0:c>
      <ns0:c r="B3" s="2" t="inlineStr">
        <ns0:is>
          <ns0:t>Commercial_Baguette_Production_Guide.pdf</ns0:t>
        </ns0:is>
      </ns0:c>
      <ns0:c r="C3" s="2" t="inlineStr">
        <ns0:is>
          <ns0:t>C:\Users\J COMPUTER\Downloads\Commercial_Baguette_Production_Guide.pdf</ns0:t>
        </ns0:is>
      </ns0:c>
      <ns0:c r="D3" s="2" t="inlineStr">
        <ns0:is>
          <ns0:t>2026-09-11T13:38:00.699475+00:00</ns0:t>
        </ns0:is>
      </ns0:c>
      <ns0:c r="E3" s="2" t="inlineStr">
        <ns0:is>
          <ns0:t>True</ns0:t>
        </ns0:is>
      </ns0:c>
    </ns0:row>
    <ns0:row r="4">
      <ns0:c r="A4" s="2" t="inlineStr">
        <ns0:is>
          <ns0:t>S027</ns0:t>
        </ns0:is>
      </ns0:c>
      <ns0:c r="B4" s="2" t="inlineStr">
        <ns0:is>
          <ns0:t>Bakery_Empire_Master_Operations_Manual.pdf</ns0:t>
        </ns0:is>
      </ns0:c>
      <ns0:c r="C4" s="2" t="inlineStr">
        <ns0:is>
          <ns0:t>C:\Users\J COMPUTER\Downloads\Bakery_Empire_Master_Operations_Manual.pdf</ns0:t>
        </ns0:is>
      </ns0:c>
      <ns0:c r="D4" s="2" t="inlineStr">
        <ns0:is>
          <ns0:t>2026-09-11T16:27:02.758401+00:00</ns0:t>
        </ns0:is>
      </ns0:c>
      <ns0:c r="E4" s="2" t="inlineStr">
        <ns0:is>
          <ns0:t>True</ns0:t>
        </ns0:is>
      </ns0:c>
    </ns0:row>
    <ns0:row r="5">
      <ns0:c r="A5" s="2" t="inlineStr">
        <ns0:is>
          <ns0:t>S026</ns0:t>
        </ns0:is>
      </ns0:c>
      <ns0:c r="B5" s="2" t="inlineStr">
        <ns0:is>
          <ns0:t>Bakery_Empire_Master_Operations_Manual.md</ns0:t>
        </ns0:is>
      </ns0:c>
      <ns0:c r="C5" s="2" t="inlineStr">
        <ns0:is>
          <ns0:t>C:\Users\J COMPUTER\Downloads\Bakery_Empire_Master_Operations_Manual.md</ns0:t>
        </ns0:is>
      </ns0:c>
      <ns0:c r="D5" s="2" t="inlineStr">
        <ns0:is>
          <ns0:t>2026-09-11T16:52:44.908908+00:00</ns0:t>
        </ns0:is>
      </ns0:c>
      <ns0:c r="E5" s="2" t="inlineStr">
        <ns0:is>
          <ns0:t>True</ns0:t>
        </ns0:is>
      </ns0:c>
    </ns0:row>
    <ns0:row r="6">
      <ns0:c r="A6" s="2" t="inlineStr">
        <ns0:is>
          <ns0:t>S001</ns0:t>
        </ns0:is>
      </ns0:c>
      <ns0:c r="B6" s="2" t="inlineStr">
        <ns0:is>
          <ns0:t>bakery_strategy_and_recipe_manual_updated.pdf</ns0:t>
        </ns0:is>
      </ns0:c>
      <ns0:c r="C6" s="2" t="inlineStr">
        <ns0:is>
          <ns0:t>C:\Users\J COMPUTER\Documents\Codex\2026-09-12\x20-go\docs\bakery\bakery_strategy_and_recipe_manual_updated.pdf</ns0:t>
        </ns0:is>
      </ns0:c>
      <ns0:c r="D6" s="2" t="inlineStr">
        <ns0:is>
          <ns0:t>2026-09-12T17:07:02.777893+00:00</ns0:t>
        </ns0:is>
      </ns0:c>
      <ns0:c r="E6" s="2" t="inlineStr">
        <ns0:is>
          <ns0:t>True</ns0:t>
        </ns0:is>
      </ns0:c>
    </ns0:row>
    <ns0:row r="7">
      <ns0:c r="A7" s="2" t="inlineStr">
        <ns0:is>
          <ns0:t>S131</ns0:t>
        </ns0:is>
      </ns0:c>
      <ns0:c r="B7" s="2" t="inlineStr">
        <ns0:is>
          <ns0:t>Nkambe_Bakery_Business_and_Production_Plan.pdf</ns0:t>
        </ns0:is>
      </ns0:c>
      <ns0:c r="C7" s="2" t="inlineStr">
        <ns0:is>
          <ns0:t>C:\Users\J COMPUTER\WPS Cloud Files\.3728209773449\cachedata\2B0BE17ABD444588A82615757DB640F5\Nkambe_Bakery_Business_and_Production_Plan.pdf</ns0:t>
        </ns0:is>
      </ns0:c>
      <ns0:c r="D7" s="2" t="inlineStr">
        <ns0:is>
          <ns0:t>2026-10-03T10:12:05.927905+00:00</ns0:t>
        </ns0:is>
      </ns0:c>
      <ns0:c r="E7" s="2" t="inlineStr">
        <ns0:is>
          <ns0:t>True</ns0:t>
        </ns0:is>
      </ns0:c>
    </ns0:row>
    <ns0:row r="8">
      <ns0:c r="A8" s="2" t="inlineStr">
        <ns0:is>
          <ns0:t>S137</ns0:t>
        </ns0:is>
      </ns0:c>
      <ns0:c r="B8" s="2" t="inlineStr">
        <ns0:is>
          <ns0:t>Nkambe_Bakery_Business_and_Production_Plan.pdf</ns0:t>
        </ns0:is>
      </ns0:c>
      <ns0:c r="C8" s="2" t="inlineStr">
        <ns0:is>
          <ns0:t>C:\Users\J COMPUTER\WPS Cloud Files\.3728209773449\cachedata\D084D8E5B0104800B3A610A601B8DF7B\Nkambe_Bakery_Business_and_Production_Plan.pdf</ns0:t>
        </ns0:is>
      </ns0:c>
      <ns0:c r="D8" s="2" t="inlineStr">
        <ns0:is>
          <ns0:t>2026-10-03T11:35:59.792504+00:00</ns0:t>
        </ns0:is>
      </ns0:c>
      <ns0:c r="E8" s="2" t="inlineStr">
        <ns0:is>
          <ns0:t>True</ns0:t>
        </ns0:is>
      </ns0:c>
    </ns0:row>
  </ns0:sheetData>
  <ns0:autoFilter ref="A1:E8"/>
  <ns0:printOptions horizontalCentered="1"/>
  <ns0:pageMargins left="0.75" right="0.75" top="1" bottom="1" header="0.5" footer="0.5"/>
  <ns0:pageSetup orientation="landscape" paperSize="8" fitToHeight="0" fitToWidth="1"/>
</ns0:worksheet>
</file>

<file path=xl/worksheets/sheet10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D14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0" customWidth="1" min="1" max="1"/>
    <ns0:col width="20" customWidth="1" min="2" max="2"/>
    <ns0:col width="20" customWidth="1" min="3" max="3"/>
    <ns0:col width="20" customWidth="1" min="4" max="4"/>
  </ns0:cols>
  <ns0:sheetData>
    <ns0:row r="1" ht="44" customHeight="1">
      <ns0:c r="A1" s="1" t="inlineStr">
        <ns0:is>
          <ns0:t>Change ID</ns0:t>
        </ns0:is>
      </ns0:c>
      <ns0:c r="B1" s="1" t="inlineStr">
        <ns0:is>
          <ns0:t>Source</ns0:t>
        </ns0:is>
      </ns0:c>
      <ns0:c r="C1" s="1" t="inlineStr">
        <ns0:is>
          <ns0:t>Change</ns0:t>
        </ns0:is>
      </ns0:c>
      <ns0:c r="D1" s="1" t="inlineStr">
        <ns0:is>
          <ns0:t>Reason</ns0:t>
        </ns0:is>
      </ns0:c>
    </ns0:row>
    <ns0:row r="2">
      <ns0:c r="A2" s="2" t="inlineStr">
        <ns0:is>
          <ns0:t>H2-C01</ns0:t>
        </ns0:is>
      </ns0:c>
      <ns0:c r="B2" s="2" t="inlineStr">
        <ns0:is>
          <ns0:t>S038/S030/S026/S027</ns0:t>
        </ns0:is>
      </ns0:c>
      <ns0:c r="C2" s="2" t="inlineStr">
        <ns0:is>
          <ns0:t>Ingredient total: Sum = 23.925 kg. At exactly 66% water, water would be 9.372 kg and total 23.927 kg. Neither is 24 kg.</ns0:t>
        </ns0:is>
      </ns0:c>
      <ns0:c r="D2" s="2" t="inlineStr">
        <ns0:is>
          <ns0:t>S038 lists flour 14.20 kg, water 9.37 kg, salt 284 g, yeast 71 g.</ns0:t>
        </ns0:is>
      </ns0:c>
    </ns0:row>
    <ns0:row r="3">
      <ns0:c r="A3" s="2" t="inlineStr">
        <ns0:is>
          <ns0:t>H2-C02</ns0:t>
        </ns0:is>
      </ns0:c>
      <ns0:c r="B3" s="2" t="inlineStr">
        <ns0:is>
          <ns0:t>S038/S030/S026/S027</ns0:t>
        </ns0:is>
      </ns0:c>
      <ns0:c r="C3" s="2" t="inlineStr">
        <ns0:is>
          <ns0:t>Whole pieces: 23,925 / 300 = 79 pieces and 225 g left before handling loss. With 1% handling loss: 23,685.75 g → 78 pieces and 285.75 g left.</ns0:t>
        </ns0:is>
      </ns0:c>
      <ns0:c r="D3" s="2" t="inlineStr">
        <ns0:is>
          <ns0:t>S038 says the batch yields exactly 80 × 300 g.</ns0:t>
        </ns0:is>
      </ns0:c>
    </ns0:row>
    <ns0:row r="4">
      <ns0:c r="A4" s="2" t="inlineStr">
        <ns0:is>
          <ns0:t>H2-C03</ns0:t>
        </ns0:is>
      </ns0:c>
      <ns0:c r="B4" s="2" t="inlineStr">
        <ns0:is>
          <ns0:t>S038/S030/S026/S027</ns0:t>
        </ns0:is>
      </ns0:c>
      <ns0:c r="C4" s="2" t="inlineStr">
        <ns0:is>
          <ns0:t>Cooled weight: 300 × 0.85 = 255 g. A mathematical 250 g target at 15% loss requires 294.118 g raw, before portion and process variation.</ns0:t>
        </ns0:is>
      </ns0:c>
      <ns0:c r="D4" s="2" t="inlineStr">
        <ns0:is>
          <ns0:t>300 g raw is described as 250 g at 15% bake loss.</ns0:t>
        </ns0:is>
      </ns0:c>
    </ns0:row>
    <ns0:row r="5">
      <ns0:c r="A5" s="2" t="inlineStr">
        <ns0:is>
          <ns0:t>H2-C04</ns0:t>
        </ns0:is>
      </ns0:c>
      <ns0:c r="B5" s="2" t="inlineStr">
        <ns0:is>
          <ns0:t>S038/S030/S026/S027</ns0:t>
        </ns0:is>
      </ns0:c>
      <ns0:c r="C5" s="2" t="inlineStr">
        <ns0:is>
          <ns0:t>18 kg flour variant: Total 30.330 kg, hydration 66% including ice. Before handling loss: 101 pieces + 30 g. At 1% loss: 100 pieces + 26.7 g.</ns0:t>
        </ns0:is>
      </ns0:c>
      <ns0:c r="D5" s="2" t="inlineStr">
        <ns0:is>
          <ns0:t>S027 uses 18 kg flour, 8.28 kg water, 3.6 kg ice, 360 g salt, 90 g yeast.</ns0:t>
        </ns0:is>
      </ns0:c>
    </ns0:row>
    <ns0:row r="6">
      <ns0:c r="A6" s="2" t="inlineStr">
        <ns0:is>
          <ns0:t>H2-C05</ns0:t>
        </ns0:is>
      </ns0:c>
      <ns0:c r="B6" s="2" t="inlineStr">
        <ns0:is>
          <ns0:t>S038/S030/S026/S027</ns0:t>
        </ns0:is>
      </ns0:c>
      <ns0:c r="C6" s="2" t="inlineStr">
        <ns0:is>
          <ns0:t>Five-batch output: With 1% handling loss and 300 g portions, five 18 kg-flour batches give 500 pieces before rejects. At 80/load, 7 pooled loads are needed; if every batch is kept separate, 10 loads (80+20 per batch). Proofing must be redesigned for either route.</ns0:t>
        </ns0:is>
      </ns0:c>
      <ns0:c r="D6" s="2" t="inlineStr">
        <ns0:is>
          <ns0:t>Five batches are claimed to yield 505 baguettes.</ns0:t>
        </ns0:is>
      </ns0:c>
    </ns0:row>
    <ns0:row r="7">
      <ns0:c r="A7" s="2" t="inlineStr">
        <ns0:is>
          <ns0:t>H2-C06</ns0:t>
        </ns0:is>
      </ns0:c>
      <ns0:c r="B7" s="2" t="inlineStr">
        <ns0:is>
          <ns0:t>S038/S030/S026/S027</ns0:t>
        </ns0:is>
      </ns0:c>
      <ns0:c r="C7" s="2" t="inlineStr">
        <ns0:is>
          <ns0:t>Rack geometry: 16 × 5 = 80. 101 requires at least 21 trays at 5/tray. It cannot fit the assumed one-load geometry.</ns0:t>
        </ns0:is>
      </ns0:c>
      <ns0:c r="D7" s="2" t="inlineStr">
        <ns0:is>
          <ns0:t>101 pieces are treated like one 16-tray load.</ns0:t>
        </ns0:is>
      </ns0:c>
    </ns0:row>
    <ns0:row r="8">
      <ns0:c r="A8" s="2" t="inlineStr">
        <ns0:is>
          <ns0:t>H2-C07</ns0:t>
        </ns0:is>
      </ns0:c>
      <ns0:c r="B8" s="2" t="inlineStr">
        <ns0:is>
          <ns0:t>S038/S030/S026/S027</ns0:t>
        </ns0:is>
      </ns0:c>
      <ns0:c r="C8" s="2" t="inlineStr">
        <ns0:is>
          <ns0:t>Proof window: That window is 45 min. Batch 2 proof 02:15–03:15 is 60 min. H2 uses a common explicit 60-minute planning slot, subject to dough endpoint.</ns0:t>
        </ns0:is>
      </ns0:c>
      <ns0:c r="D8" s="2" t="inlineStr">
        <ns0:is>
          <ns0:t>S038 p2 starts batch 1 proof at elapsed 01:30, promises 60 min, but loads at 02:15.</ns0:t>
        </ns0:is>
      </ns0:c>
    </ns0:row>
    <ns0:row r="9">
      <ns0:c r="A9" s="2" t="inlineStr">
        <ns0:is>
          <ns0:t>H2-C08</ns0:t>
        </ns0:is>
      </ns0:c>
      <ns0:c r="B9" s="2" t="inlineStr">
        <ns0:is>
          <ns0:t>S038/S030/S026/S027</ns0:t>
        </ns0:is>
      </ns0:c>
      <ns0:c r="C9" s="2" t="inlineStr">
        <ns0:is>
          <ns0:t>Remaining times: 18 min remain. Several remaining-time and overlap annotations disagree with their own start/end times.</ns0:t>
        </ns0:is>
      </ns0:c>
      <ns0:c r="D9" s="2" t="inlineStr">
        <ns0:is>
          <ns0:t>At 00:45, S038 says batch 1 has 27 min left in bulk; its bulk actually ends 01:03.</ns0:t>
        </ns0:is>
      </ns0:c>
    </ns0:row>
    <ns0:row r="10">
      <ns0:c r="A10" s="2" t="inlineStr">
        <ns0:is>
          <ns0:t>H2-C09</ns0:t>
        </ns0:is>
      </ns0:c>
      <ns0:c r="B10" s="2" t="inlineStr">
        <ns0:is>
          <ns0:t>S038/S030/S026/S027</ns0:t>
        </ns0:is>
      </ns0:c>
      <ns0:c r="C10" s="2" t="inlineStr">
        <ns0:is>
          <ns0:t>Cadence: These are three different intervals. H2 reserves 40 minutes for scoring/loading, baking, unloading and recovery; 45-minute starts leave 5 minutes of nominal slack.</ns0:t>
        </ns0:is>
      </ns0:c>
      <ns0:c r="D10" s="2" t="inlineStr">
        <ns0:is>
          <ns0:t>S038 calls the oven cycle 25 min, prescribes 45-minute mixing starts, then shows first/second oven starts 60 min apart.</ns0:t>
        </ns0:is>
      </ns0:c>
    </ns0:row>
    <ns0:row r="11">
      <ns0:c r="A11" s="2" t="inlineStr">
        <ns0:is>
          <ns0:t>H2-C10</ns0:t>
        </ns0:is>
      </ns0:c>
      <ns0:c r="B11" s="2" t="inlineStr">
        <ns0:is>
          <ns0:t>S038/S030/S026/S027</ns0:t>
        </ns0:is>
      </ns0:c>
      <ns0:c r="C11" s="2" t="inlineStr">
        <ns0:is>
          <ns0:t>Recovery: Neither is a measured requirement. Time actual recovery; H2 provisionally reserves 5 min after unloading. If 23 min is actually required, the H2 45-min cadence fails.</ns0:t>
        </ns0:is>
      </ns0:c>
      <ns0:c r="D11" s="2" t="inlineStr">
        <ns0:is>
          <ns0:t>S038 alternates 3-minute recovery and a mandatory 23-minute thermal recovery statement.</ns0:t>
        </ns0:is>
      </ns0:c>
    </ns0:row>
    <ns0:row r="12">
      <ns0:c r="A12" s="2" t="inlineStr">
        <ns0:is>
          <ns0:t>H2-C11</ns0:t>
        </ns0:is>
      </ns0:c>
      <ns0:c r="B12" s="2" t="inlineStr">
        <ns0:is>
          <ns0:t>S038/S030/S026/S027</ns0:t>
        </ns0:is>
      </ns0:c>
      <ns0:c r="C12" s="2" t="inlineStr">
        <ns0:is>
          <ns0:t>Mix rest: H2 calls it a hydrated-dough rest. A flour/water-only autolyse is a different method and must not be inserted as extra time without revising the schedule.</ns0:t>
        </ns0:is>
      </ns0:c>
      <ns0:c r="D12" s="2" t="inlineStr">
        <ns0:is>
          <ns0:t>A 10-minute rest with yeast already included is labelled autolyse.</ns0:t>
        </ns0:is>
      </ns0:c>
    </ns0:row>
    <ns0:row r="13">
      <ns0:c r="A13" s="2" t="inlineStr">
        <ns0:is>
          <ns0:t>H2-C12</ns0:t>
        </ns0:is>
      </ns0:c>
      <ns0:c r="B13" s="2" t="inlineStr">
        <ns0:is>
          <ns0:t>S038/S030/S026/S027</ns0:t>
        </ns0:is>
      </ns0:c>
      <ns0:c r="C13" s="2" t="inlineStr">
        <ns0:is>
          <ns0:t>Dispatch: Cool in a protected ventilated area; validate packing readiness. H2 uses explicit cooling, packing, vehicle loading, travel, handover and return assumptions.</ns0:t>
        </ns0:is>
      </ns0:c>
      <ns0:c r="D13" s="2" t="inlineStr">
        <ns0:is>
          <ns0:t>Some related manuals seal hot bread immediately and assume a 23-minute delivery.</ns0:t>
        </ns0:is>
      </ns0:c>
    </ns0:row>
    <ns0:row r="14">
      <ns0:c r="A14" s="2" t="inlineStr">
        <ns0:is>
          <ns0:t>H2-C13</ns0:t>
        </ns0:is>
      </ns0:c>
      <ns0:c r="B14" s="2" t="inlineStr">
        <ns0:is>
          <ns0:t>S038/S030/S026/S027</ns0:t>
        </ns0:is>
      </ns0:c>
      <ns0:c r="C14" s="2" t="inlineStr">
        <ns0:is>
          <ns0:t>Retail bake: This edition schedules full baking at A. A qualified second bake, cooling/storage process and suitable B oven have not been established.</ns0:t>
        </ns0:is>
      </ns0:c>
      <ns0:c r="D14" s="2" t="inlineStr">
        <ns0:is>
          <ns0:t>S026 offers a 15-minute par-bake option.</ns0:t>
        </ns0:is>
      </ns0:c>
    </ns0:row>
  </ns0:sheetData>
  <ns0:autoFilter ref="A1:D14"/>
  <ns0:printOptions horizontalCentered="1"/>
  <ns0:pageMargins left="0.75" right="0.75" top="1" bottom="1" header="0.5" footer="0.5"/>
  <ns0:pageSetup orientation="landscape" paperSize="8" fitToHeight="0" fitToWidth="1"/>
</ns0:worksheet>
</file>

<file path=xl/worksheets/sheet11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F137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0" customWidth="1" min="1" max="1"/>
    <ns0:col width="20" customWidth="1" min="2" max="2"/>
    <ns0:col width="20" customWidth="1" min="3" max="3"/>
    <ns0:col width="20" customWidth="1" min="4" max="4"/>
    <ns0:col width="20" customWidth="1" min="5" max="5"/>
    <ns0:col width="20" customWidth="1" min="6" max="6"/>
  </ns0:cols>
  <ns0:sheetData>
    <ns0:row r="1" ht="44" customHeight="1">
      <ns0:c r="A1" s="1" t="inlineStr">
        <ns0:is>
          <ns0:t>Scenario</ns0:t>
        </ns0:is>
      </ns0:c>
      <ns0:c r="B1" s="1" t="inlineStr">
        <ns0:is>
          <ns0:t>Batch</ns0:t>
        </ns0:is>
      </ns0:c>
      <ns0:c r="C1" s="1" t="inlineStr">
        <ns0:is>
          <ns0:t>Resource</ns0:t>
        </ns0:is>
      </ns0:c>
      <ns0:c r="D1" s="1" t="inlineStr">
        <ns0:is>
          <ns0:t>Start</ns0:t>
        </ns0:is>
      </ns0:c>
      <ns0:c r="E1" s="1" t="inlineStr">
        <ns0:is>
          <ns0:t>End</ns0:t>
        </ns0:is>
      </ns0:c>
      <ns0:c r="F1" s="1" t="inlineStr">
        <ns0:is>
          <ns0:t>Assigned role</ns0:t>
        </ns0:is>
      </ns0:c>
    </ns0:row>
    <ns0:row r="2">
      <ns0:c r="A2" s="2" t="inlineStr">
        <ns0:is>
          <ns0:t>PLAN-BAG-P</ns0:t>
        </ns0:is>
      </ns0:c>
      <ns0:c r="B2" s="2" t="inlineStr">
        <ns0:is>
          <ns0:t>1</ns0:t>
        </ns0:is>
      </ns0:c>
      <ns0:c r="C2" s="2" t="inlineStr">
        <ns0:is>
          <ns0:t>Mixer</ns0:t>
        </ns0:is>
      </ns0:c>
      <ns0:c r="D2" s="2" t="inlineStr">
        <ns0:is>
          <ns0:t>02:20</ns0:t>
        </ns0:is>
      </ns0:c>
      <ns0:c r="E2" s="2" t="inlineStr">
        <ns0:is>
          <ns0:t>02:45</ns0:t>
        </ns0:is>
      </ns0:c>
      <ns0:c r="F2" s="2" t="inlineStr">
        <ns0:is>
          <ns0:t>M1</ns0:t>
        </ns0:is>
      </ns0:c>
    </ns0:row>
    <ns0:row r="3">
      <ns0:c r="A3" s="2" t="inlineStr">
        <ns0:is>
          <ns0:t>PLAN-BAG-P</ns0:t>
        </ns0:is>
      </ns0:c>
      <ns0:c r="B3" s="2" t="inlineStr">
        <ns0:is>
          <ns0:t>1</ns0:t>
        </ns0:is>
      </ns0:c>
      <ns0:c r="C3" s="2" t="inlineStr">
        <ns0:is>
          <ns0:t>M1 weighing/mix/clean</ns0:t>
        </ns0:is>
      </ns0:c>
      <ns0:c r="D3" s="2" t="inlineStr">
        <ns0:is>
          <ns0:t>02:10</ns0:t>
        </ns0:is>
      </ns0:c>
      <ns0:c r="E3" s="2" t="inlineStr">
        <ns0:is>
          <ns0:t>02:45</ns0:t>
        </ns0:is>
      </ns0:c>
      <ns0:c r="F3" s="2" t="inlineStr">
        <ns0:is>
          <ns0:t>M1</ns0:t>
        </ns0:is>
      </ns0:c>
    </ns0:row>
    <ns0:row r="4">
      <ns0:c r="A4" s="2" t="inlineStr">
        <ns0:is>
          <ns0:t>PLAN-BAG-P</ns0:t>
        </ns0:is>
      </ns0:c>
      <ns0:c r="B4" s="2" t="inlineStr">
        <ns0:is>
          <ns0:t>1</ns0:t>
        </ns0:is>
      </ns0:c>
      <ns0:c r="C4" s="2" t="inlineStr">
        <ns0:is>
          <ns0:t>Division bench</ns0:t>
        </ns0:is>
      </ns0:c>
      <ns0:c r="D4" s="2" t="inlineStr">
        <ns0:is>
          <ns0:t>03:23</ns0:t>
        </ns0:is>
      </ns0:c>
      <ns0:c r="E4" s="2" t="inlineStr">
        <ns0:is>
          <ns0:t>03:43</ns0:t>
        </ns0:is>
      </ns0:c>
      <ns0:c r="F4" s="2" t="inlineStr">
        <ns0:is>
          <ns0:t>D2</ns0:t>
        </ns0:is>
      </ns0:c>
    </ns0:row>
    <ns0:row r="5">
      <ns0:c r="A5" s="2" t="inlineStr">
        <ns0:is>
          <ns0:t>PLAN-BAG-P</ns0:t>
        </ns0:is>
      </ns0:c>
      <ns0:c r="B5" s="2" t="inlineStr">
        <ns0:is>
          <ns0:t>1</ns0:t>
        </ns0:is>
      </ns0:c>
      <ns0:c r="C5" s="2" t="inlineStr">
        <ns0:is>
          <ns0:t>Moulder bench</ns0:t>
        </ns0:is>
      </ns0:c>
      <ns0:c r="D5" s="2" t="inlineStr">
        <ns0:is>
          <ns0:t>03:38</ns0:t>
        </ns0:is>
      </ns0:c>
      <ns0:c r="E5" s="2" t="inlineStr">
        <ns0:is>
          <ns0:t>03:58</ns0:t>
        </ns0:is>
      </ns0:c>
      <ns0:c r="F5" s="2" t="inlineStr">
        <ns0:is>
          <ns0:t>F3</ns0:t>
        </ns0:is>
      </ns0:c>
    </ns0:row>
    <ns0:row r="6">
      <ns0:c r="A6" s="2" t="inlineStr">
        <ns0:is>
          <ns0:t>PLAN-BAG-P</ns0:t>
        </ns0:is>
      </ns0:c>
      <ns0:c r="B6" s="2" t="inlineStr">
        <ns0:is>
          <ns0:t>1</ns0:t>
        </ns0:is>
      </ns0:c>
      <ns0:c r="C6" s="2" t="inlineStr">
        <ns0:is>
          <ns0:t>Proof bay 1</ns0:t>
        </ns0:is>
      </ns0:c>
      <ns0:c r="D6" s="2" t="inlineStr">
        <ns0:is>
          <ns0:t>03:53</ns0:t>
        </ns0:is>
      </ns0:c>
      <ns0:c r="E6" s="2" t="inlineStr">
        <ns0:is>
          <ns0:t>04:58</ns0:t>
        </ns0:is>
      </ns0:c>
      <ns0:c r="F6" s="2" t="inlineStr">
        <ns0:is>
          <ns0:t>Monitored by O4</ns0:t>
        </ns0:is>
      </ns0:c>
    </ns0:row>
    <ns0:row r="7">
      <ns0:c r="A7" s="2" t="inlineStr">
        <ns0:is>
          <ns0:t>PLAN-BAG-P</ns0:t>
        </ns0:is>
      </ns0:c>
      <ns0:c r="B7" s="2" t="inlineStr">
        <ns0:is>
          <ns0:t>1</ns0:t>
        </ns0:is>
      </ns0:c>
      <ns0:c r="C7" s="2" t="inlineStr">
        <ns0:is>
          <ns0:t>Oven booking</ns0:t>
        </ns0:is>
      </ns0:c>
      <ns0:c r="D7" s="2" t="inlineStr">
        <ns0:is>
          <ns0:t>04:53</ns0:t>
        </ns0:is>
      </ns0:c>
      <ns0:c r="E7" s="2" t="inlineStr">
        <ns0:is>
          <ns0:t>05:33</ns0:t>
        </ns0:is>
      </ns0:c>
      <ns0:c r="F7" s="2" t="inlineStr">
        <ns0:is>
          <ns0:t>O4</ns0:t>
        </ns0:is>
      </ns0:c>
    </ns0:row>
    <ns0:row r="8">
      <ns0:c r="A8" s="2" t="inlineStr">
        <ns0:is>
          <ns0:t>PLAN-BAG-P</ns0:t>
        </ns0:is>
      </ns0:c>
      <ns0:c r="B8" s="2" t="inlineStr">
        <ns0:is>
          <ns0:t>1</ns0:t>
        </ns0:is>
      </ns0:c>
      <ns0:c r="C8" s="2" t="inlineStr">
        <ns0:is>
          <ns0:t>Packing station</ns0:t>
        </ns0:is>
      </ns0:c>
      <ns0:c r="D8" s="2" t="inlineStr">
        <ns0:is>
          <ns0:t>06:13</ns0:t>
        </ns0:is>
      </ns0:c>
      <ns0:c r="E8" s="2" t="inlineStr">
        <ns0:is>
          <ns0:t>06:28</ns0:t>
        </ns0:is>
      </ns0:c>
      <ns0:c r="F8" s="2" t="inlineStr">
        <ns0:is>
          <ns0:t>P5</ns0:t>
        </ns0:is>
      </ns0:c>
    </ns0:row>
    <ns0:row r="9">
      <ns0:c r="A9" s="2" t="inlineStr">
        <ns0:is>
          <ns0:t>PLAN-BAG-P</ns0:t>
        </ns0:is>
      </ns0:c>
      <ns0:c r="B9" s="2" t="inlineStr">
        <ns0:is>
          <ns0:t>1</ns0:t>
        </ns0:is>
      </ns0:c>
      <ns0:c r="C9" s="2" t="inlineStr">
        <ns0:is>
          <ns0:t>Rack/tray set</ns0:t>
        </ns0:is>
      </ns0:c>
      <ns0:c r="D9" s="2" t="inlineStr">
        <ns0:is>
          <ns0:t>03:38</ns0:t>
        </ns0:is>
      </ns0:c>
      <ns0:c r="E9" s="2" t="inlineStr">
        <ns0:is>
          <ns0:t>06:38</ns0:t>
        </ns0:is>
      </ns0:c>
      <ns0:c r="F9" s="2" t="inlineStr">
        <ns0:is>
          <ns0:t>Shared</ns0:t>
        </ns0:is>
      </ns0:c>
    </ns0:row>
    <ns0:row r="10">
      <ns0:c r="A10" s="2" t="inlineStr">
        <ns0:is>
          <ns0:t>PLAN-BAG-P</ns0:t>
        </ns0:is>
      </ns0:c>
      <ns0:c r="B10" s="2" t="inlineStr">
        <ns0:is>
          <ns0:t>2</ns0:t>
        </ns0:is>
      </ns0:c>
      <ns0:c r="C10" s="2" t="inlineStr">
        <ns0:is>
          <ns0:t>Mixer</ns0:t>
        </ns0:is>
      </ns0:c>
      <ns0:c r="D10" s="2" t="inlineStr">
        <ns0:is>
          <ns0:t>03:50</ns0:t>
        </ns0:is>
      </ns0:c>
      <ns0:c r="E10" s="2" t="inlineStr">
        <ns0:is>
          <ns0:t>04:15</ns0:t>
        </ns0:is>
      </ns0:c>
      <ns0:c r="F10" s="2" t="inlineStr">
        <ns0:is>
          <ns0:t>M1</ns0:t>
        </ns0:is>
      </ns0:c>
    </ns0:row>
    <ns0:row r="11">
      <ns0:c r="A11" s="2" t="inlineStr">
        <ns0:is>
          <ns0:t>PLAN-BAG-P</ns0:t>
        </ns0:is>
      </ns0:c>
      <ns0:c r="B11" s="2" t="inlineStr">
        <ns0:is>
          <ns0:t>2</ns0:t>
        </ns0:is>
      </ns0:c>
      <ns0:c r="C11" s="2" t="inlineStr">
        <ns0:is>
          <ns0:t>M1 weighing/mix/clean</ns0:t>
        </ns0:is>
      </ns0:c>
      <ns0:c r="D11" s="2" t="inlineStr">
        <ns0:is>
          <ns0:t>03:40</ns0:t>
        </ns0:is>
      </ns0:c>
      <ns0:c r="E11" s="2" t="inlineStr">
        <ns0:is>
          <ns0:t>04:15</ns0:t>
        </ns0:is>
      </ns0:c>
      <ns0:c r="F11" s="2" t="inlineStr">
        <ns0:is>
          <ns0:t>M1</ns0:t>
        </ns0:is>
      </ns0:c>
    </ns0:row>
    <ns0:row r="12">
      <ns0:c r="A12" s="2" t="inlineStr">
        <ns0:is>
          <ns0:t>PLAN-BAG-P</ns0:t>
        </ns0:is>
      </ns0:c>
      <ns0:c r="B12" s="2" t="inlineStr">
        <ns0:is>
          <ns0:t>2</ns0:t>
        </ns0:is>
      </ns0:c>
      <ns0:c r="C12" s="2" t="inlineStr">
        <ns0:is>
          <ns0:t>Division bench</ns0:t>
        </ns0:is>
      </ns0:c>
      <ns0:c r="D12" s="2" t="inlineStr">
        <ns0:is>
          <ns0:t>04:53</ns0:t>
        </ns0:is>
      </ns0:c>
      <ns0:c r="E12" s="2" t="inlineStr">
        <ns0:is>
          <ns0:t>05:13</ns0:t>
        </ns0:is>
      </ns0:c>
      <ns0:c r="F12" s="2" t="inlineStr">
        <ns0:is>
          <ns0:t>D2</ns0:t>
        </ns0:is>
      </ns0:c>
    </ns0:row>
    <ns0:row r="13">
      <ns0:c r="A13" s="2" t="inlineStr">
        <ns0:is>
          <ns0:t>PLAN-BAG-P</ns0:t>
        </ns0:is>
      </ns0:c>
      <ns0:c r="B13" s="2" t="inlineStr">
        <ns0:is>
          <ns0:t>2</ns0:t>
        </ns0:is>
      </ns0:c>
      <ns0:c r="C13" s="2" t="inlineStr">
        <ns0:is>
          <ns0:t>Moulder bench</ns0:t>
        </ns0:is>
      </ns0:c>
      <ns0:c r="D13" s="2" t="inlineStr">
        <ns0:is>
          <ns0:t>05:08</ns0:t>
        </ns0:is>
      </ns0:c>
      <ns0:c r="E13" s="2" t="inlineStr">
        <ns0:is>
          <ns0:t>05:28</ns0:t>
        </ns0:is>
      </ns0:c>
      <ns0:c r="F13" s="2" t="inlineStr">
        <ns0:is>
          <ns0:t>F3</ns0:t>
        </ns0:is>
      </ns0:c>
    </ns0:row>
    <ns0:row r="14">
      <ns0:c r="A14" s="2" t="inlineStr">
        <ns0:is>
          <ns0:t>PLAN-BAG-P</ns0:t>
        </ns0:is>
      </ns0:c>
      <ns0:c r="B14" s="2" t="inlineStr">
        <ns0:is>
          <ns0:t>2</ns0:t>
        </ns0:is>
      </ns0:c>
      <ns0:c r="C14" s="2" t="inlineStr">
        <ns0:is>
          <ns0:t>Proof bay 2</ns0:t>
        </ns0:is>
      </ns0:c>
      <ns0:c r="D14" s="2" t="inlineStr">
        <ns0:is>
          <ns0:t>05:23</ns0:t>
        </ns0:is>
      </ns0:c>
      <ns0:c r="E14" s="2" t="inlineStr">
        <ns0:is>
          <ns0:t>06:28</ns0:t>
        </ns0:is>
      </ns0:c>
      <ns0:c r="F14" s="2" t="inlineStr">
        <ns0:is>
          <ns0:t>Monitored by O4</ns0:t>
        </ns0:is>
      </ns0:c>
    </ns0:row>
    <ns0:row r="15">
      <ns0:c r="A15" s="2" t="inlineStr">
        <ns0:is>
          <ns0:t>PLAN-BAG-P</ns0:t>
        </ns0:is>
      </ns0:c>
      <ns0:c r="B15" s="2" t="inlineStr">
        <ns0:is>
          <ns0:t>2</ns0:t>
        </ns0:is>
      </ns0:c>
      <ns0:c r="C15" s="2" t="inlineStr">
        <ns0:is>
          <ns0:t>Oven booking</ns0:t>
        </ns0:is>
      </ns0:c>
      <ns0:c r="D15" s="2" t="inlineStr">
        <ns0:is>
          <ns0:t>06:23</ns0:t>
        </ns0:is>
      </ns0:c>
      <ns0:c r="E15" s="2" t="inlineStr">
        <ns0:is>
          <ns0:t>07:03</ns0:t>
        </ns0:is>
      </ns0:c>
      <ns0:c r="F15" s="2" t="inlineStr">
        <ns0:is>
          <ns0:t>O4</ns0:t>
        </ns0:is>
      </ns0:c>
    </ns0:row>
    <ns0:row r="16">
      <ns0:c r="A16" s="2" t="inlineStr">
        <ns0:is>
          <ns0:t>PLAN-BAG-P</ns0:t>
        </ns0:is>
      </ns0:c>
      <ns0:c r="B16" s="2" t="inlineStr">
        <ns0:is>
          <ns0:t>2</ns0:t>
        </ns0:is>
      </ns0:c>
      <ns0:c r="C16" s="2" t="inlineStr">
        <ns0:is>
          <ns0:t>Packing station</ns0:t>
        </ns0:is>
      </ns0:c>
      <ns0:c r="D16" s="2" t="inlineStr">
        <ns0:is>
          <ns0:t>07:43</ns0:t>
        </ns0:is>
      </ns0:c>
      <ns0:c r="E16" s="2" t="inlineStr">
        <ns0:is>
          <ns0:t>07:58</ns0:t>
        </ns0:is>
      </ns0:c>
      <ns0:c r="F16" s="2" t="inlineStr">
        <ns0:is>
          <ns0:t>P5</ns0:t>
        </ns0:is>
      </ns0:c>
    </ns0:row>
    <ns0:row r="17">
      <ns0:c r="A17" s="2" t="inlineStr">
        <ns0:is>
          <ns0:t>PLAN-BAG-P</ns0:t>
        </ns0:is>
      </ns0:c>
      <ns0:c r="B17" s="2" t="inlineStr">
        <ns0:is>
          <ns0:t>2</ns0:t>
        </ns0:is>
      </ns0:c>
      <ns0:c r="C17" s="2" t="inlineStr">
        <ns0:is>
          <ns0:t>Rack/tray set</ns0:t>
        </ns0:is>
      </ns0:c>
      <ns0:c r="D17" s="2" t="inlineStr">
        <ns0:is>
          <ns0:t>05:08</ns0:t>
        </ns0:is>
      </ns0:c>
      <ns0:c r="E17" s="2" t="inlineStr">
        <ns0:is>
          <ns0:t>08:08</ns0:t>
        </ns0:is>
      </ns0:c>
      <ns0:c r="F17" s="2" t="inlineStr">
        <ns0:is>
          <ns0:t>Shared</ns0:t>
        </ns0:is>
      </ns0:c>
    </ns0:row>
    <ns0:row r="18">
      <ns0:c r="A18" s="2" t="inlineStr">
        <ns0:is>
          <ns0:t>PLAN-BAG-N</ns0:t>
        </ns0:is>
      </ns0:c>
      <ns0:c r="B18" s="2" t="inlineStr">
        <ns0:is>
          <ns0:t>1</ns0:t>
        </ns0:is>
      </ns0:c>
      <ns0:c r="C18" s="2" t="inlineStr">
        <ns0:is>
          <ns0:t>Mixer</ns0:t>
        </ns0:is>
      </ns0:c>
      <ns0:c r="D18" s="2" t="inlineStr">
        <ns0:is>
          <ns0:t>02:20</ns0:t>
        </ns0:is>
      </ns0:c>
      <ns0:c r="E18" s="2" t="inlineStr">
        <ns0:is>
          <ns0:t>02:45</ns0:t>
        </ns0:is>
      </ns0:c>
      <ns0:c r="F18" s="2" t="inlineStr">
        <ns0:is>
          <ns0:t>M1</ns0:t>
        </ns0:is>
      </ns0:c>
    </ns0:row>
    <ns0:row r="19">
      <ns0:c r="A19" s="2" t="inlineStr">
        <ns0:is>
          <ns0:t>PLAN-BAG-N</ns0:t>
        </ns0:is>
      </ns0:c>
      <ns0:c r="B19" s="2" t="inlineStr">
        <ns0:is>
          <ns0:t>1</ns0:t>
        </ns0:is>
      </ns0:c>
      <ns0:c r="C19" s="2" t="inlineStr">
        <ns0:is>
          <ns0:t>M1 weighing/mix/clean</ns0:t>
        </ns0:is>
      </ns0:c>
      <ns0:c r="D19" s="2" t="inlineStr">
        <ns0:is>
          <ns0:t>02:10</ns0:t>
        </ns0:is>
      </ns0:c>
      <ns0:c r="E19" s="2" t="inlineStr">
        <ns0:is>
          <ns0:t>02:45</ns0:t>
        </ns0:is>
      </ns0:c>
      <ns0:c r="F19" s="2" t="inlineStr">
        <ns0:is>
          <ns0:t>M1</ns0:t>
        </ns0:is>
      </ns0:c>
    </ns0:row>
    <ns0:row r="20">
      <ns0:c r="A20" s="2" t="inlineStr">
        <ns0:is>
          <ns0:t>PLAN-BAG-N</ns0:t>
        </ns0:is>
      </ns0:c>
      <ns0:c r="B20" s="2" t="inlineStr">
        <ns0:is>
          <ns0:t>1</ns0:t>
        </ns0:is>
      </ns0:c>
      <ns0:c r="C20" s="2" t="inlineStr">
        <ns0:is>
          <ns0:t>Division bench</ns0:t>
        </ns0:is>
      </ns0:c>
      <ns0:c r="D20" s="2" t="inlineStr">
        <ns0:is>
          <ns0:t>03:23</ns0:t>
        </ns0:is>
      </ns0:c>
      <ns0:c r="E20" s="2" t="inlineStr">
        <ns0:is>
          <ns0:t>03:43</ns0:t>
        </ns0:is>
      </ns0:c>
      <ns0:c r="F20" s="2" t="inlineStr">
        <ns0:is>
          <ns0:t>D2</ns0:t>
        </ns0:is>
      </ns0:c>
    </ns0:row>
    <ns0:row r="21">
      <ns0:c r="A21" s="2" t="inlineStr">
        <ns0:is>
          <ns0:t>PLAN-BAG-N</ns0:t>
        </ns0:is>
      </ns0:c>
      <ns0:c r="B21" s="2" t="inlineStr">
        <ns0:is>
          <ns0:t>1</ns0:t>
        </ns0:is>
      </ns0:c>
      <ns0:c r="C21" s="2" t="inlineStr">
        <ns0:is>
          <ns0:t>Moulder bench</ns0:t>
        </ns0:is>
      </ns0:c>
      <ns0:c r="D21" s="2" t="inlineStr">
        <ns0:is>
          <ns0:t>03:38</ns0:t>
        </ns0:is>
      </ns0:c>
      <ns0:c r="E21" s="2" t="inlineStr">
        <ns0:is>
          <ns0:t>03:58</ns0:t>
        </ns0:is>
      </ns0:c>
      <ns0:c r="F21" s="2" t="inlineStr">
        <ns0:is>
          <ns0:t>F3</ns0:t>
        </ns0:is>
      </ns0:c>
    </ns0:row>
    <ns0:row r="22">
      <ns0:c r="A22" s="2" t="inlineStr">
        <ns0:is>
          <ns0:t>PLAN-BAG-N</ns0:t>
        </ns0:is>
      </ns0:c>
      <ns0:c r="B22" s="2" t="inlineStr">
        <ns0:is>
          <ns0:t>1</ns0:t>
        </ns0:is>
      </ns0:c>
      <ns0:c r="C22" s="2" t="inlineStr">
        <ns0:is>
          <ns0:t>Proof bay 1</ns0:t>
        </ns0:is>
      </ns0:c>
      <ns0:c r="D22" s="2" t="inlineStr">
        <ns0:is>
          <ns0:t>03:53</ns0:t>
        </ns0:is>
      </ns0:c>
      <ns0:c r="E22" s="2" t="inlineStr">
        <ns0:is>
          <ns0:t>04:58</ns0:t>
        </ns0:is>
      </ns0:c>
      <ns0:c r="F22" s="2" t="inlineStr">
        <ns0:is>
          <ns0:t>Monitored by O4</ns0:t>
        </ns0:is>
      </ns0:c>
    </ns0:row>
    <ns0:row r="23">
      <ns0:c r="A23" s="2" t="inlineStr">
        <ns0:is>
          <ns0:t>PLAN-BAG-N</ns0:t>
        </ns0:is>
      </ns0:c>
      <ns0:c r="B23" s="2" t="inlineStr">
        <ns0:is>
          <ns0:t>1</ns0:t>
        </ns0:is>
      </ns0:c>
      <ns0:c r="C23" s="2" t="inlineStr">
        <ns0:is>
          <ns0:t>Oven booking</ns0:t>
        </ns0:is>
      </ns0:c>
      <ns0:c r="D23" s="2" t="inlineStr">
        <ns0:is>
          <ns0:t>04:53</ns0:t>
        </ns0:is>
      </ns0:c>
      <ns0:c r="E23" s="2" t="inlineStr">
        <ns0:is>
          <ns0:t>05:33</ns0:t>
        </ns0:is>
      </ns0:c>
      <ns0:c r="F23" s="2" t="inlineStr">
        <ns0:is>
          <ns0:t>O4</ns0:t>
        </ns0:is>
      </ns0:c>
    </ns0:row>
    <ns0:row r="24">
      <ns0:c r="A24" s="2" t="inlineStr">
        <ns0:is>
          <ns0:t>PLAN-BAG-N</ns0:t>
        </ns0:is>
      </ns0:c>
      <ns0:c r="B24" s="2" t="inlineStr">
        <ns0:is>
          <ns0:t>1</ns0:t>
        </ns0:is>
      </ns0:c>
      <ns0:c r="C24" s="2" t="inlineStr">
        <ns0:is>
          <ns0:t>Packing station</ns0:t>
        </ns0:is>
      </ns0:c>
      <ns0:c r="D24" s="2" t="inlineStr">
        <ns0:is>
          <ns0:t>06:13</ns0:t>
        </ns0:is>
      </ns0:c>
      <ns0:c r="E24" s="2" t="inlineStr">
        <ns0:is>
          <ns0:t>06:28</ns0:t>
        </ns0:is>
      </ns0:c>
      <ns0:c r="F24" s="2" t="inlineStr">
        <ns0:is>
          <ns0:t>P5</ns0:t>
        </ns0:is>
      </ns0:c>
    </ns0:row>
    <ns0:row r="25">
      <ns0:c r="A25" s="2" t="inlineStr">
        <ns0:is>
          <ns0:t>PLAN-BAG-N</ns0:t>
        </ns0:is>
      </ns0:c>
      <ns0:c r="B25" s="2" t="inlineStr">
        <ns0:is>
          <ns0:t>1</ns0:t>
        </ns0:is>
      </ns0:c>
      <ns0:c r="C25" s="2" t="inlineStr">
        <ns0:is>
          <ns0:t>Rack/tray set</ns0:t>
        </ns0:is>
      </ns0:c>
      <ns0:c r="D25" s="2" t="inlineStr">
        <ns0:is>
          <ns0:t>03:38</ns0:t>
        </ns0:is>
      </ns0:c>
      <ns0:c r="E25" s="2" t="inlineStr">
        <ns0:is>
          <ns0:t>06:38</ns0:t>
        </ns0:is>
      </ns0:c>
      <ns0:c r="F25" s="2" t="inlineStr">
        <ns0:is>
          <ns0:t>Shared</ns0:t>
        </ns0:is>
      </ns0:c>
    </ns0:row>
    <ns0:row r="26">
      <ns0:c r="A26" s="2" t="inlineStr">
        <ns0:is>
          <ns0:t>PLAN-BAG-N</ns0:t>
        </ns0:is>
      </ns0:c>
      <ns0:c r="B26" s="2" t="inlineStr">
        <ns0:is>
          <ns0:t>2</ns0:t>
        </ns0:is>
      </ns0:c>
      <ns0:c r="C26" s="2" t="inlineStr">
        <ns0:is>
          <ns0:t>Mixer</ns0:t>
        </ns0:is>
      </ns0:c>
      <ns0:c r="D26" s="2" t="inlineStr">
        <ns0:is>
          <ns0:t>03:05</ns0:t>
        </ns0:is>
      </ns0:c>
      <ns0:c r="E26" s="2" t="inlineStr">
        <ns0:is>
          <ns0:t>03:30</ns0:t>
        </ns0:is>
      </ns0:c>
      <ns0:c r="F26" s="2" t="inlineStr">
        <ns0:is>
          <ns0:t>M1</ns0:t>
        </ns0:is>
      </ns0:c>
    </ns0:row>
    <ns0:row r="27">
      <ns0:c r="A27" s="2" t="inlineStr">
        <ns0:is>
          <ns0:t>PLAN-BAG-N</ns0:t>
        </ns0:is>
      </ns0:c>
      <ns0:c r="B27" s="2" t="inlineStr">
        <ns0:is>
          <ns0:t>2</ns0:t>
        </ns0:is>
      </ns0:c>
      <ns0:c r="C27" s="2" t="inlineStr">
        <ns0:is>
          <ns0:t>M1 weighing/mix/clean</ns0:t>
        </ns0:is>
      </ns0:c>
      <ns0:c r="D27" s="2" t="inlineStr">
        <ns0:is>
          <ns0:t>02:55</ns0:t>
        </ns0:is>
      </ns0:c>
      <ns0:c r="E27" s="2" t="inlineStr">
        <ns0:is>
          <ns0:t>03:30</ns0:t>
        </ns0:is>
      </ns0:c>
      <ns0:c r="F27" s="2" t="inlineStr">
        <ns0:is>
          <ns0:t>M1</ns0:t>
        </ns0:is>
      </ns0:c>
    </ns0:row>
    <ns0:row r="28">
      <ns0:c r="A28" s="2" t="inlineStr">
        <ns0:is>
          <ns0:t>PLAN-BAG-N</ns0:t>
        </ns0:is>
      </ns0:c>
      <ns0:c r="B28" s="2" t="inlineStr">
        <ns0:is>
          <ns0:t>2</ns0:t>
        </ns0:is>
      </ns0:c>
      <ns0:c r="C28" s="2" t="inlineStr">
        <ns0:is>
          <ns0:t>Division bench</ns0:t>
        </ns0:is>
      </ns0:c>
      <ns0:c r="D28" s="2" t="inlineStr">
        <ns0:is>
          <ns0:t>04:08</ns0:t>
        </ns0:is>
      </ns0:c>
      <ns0:c r="E28" s="2" t="inlineStr">
        <ns0:is>
          <ns0:t>04:28</ns0:t>
        </ns0:is>
      </ns0:c>
      <ns0:c r="F28" s="2" t="inlineStr">
        <ns0:is>
          <ns0:t>D2</ns0:t>
        </ns0:is>
      </ns0:c>
    </ns0:row>
    <ns0:row r="29">
      <ns0:c r="A29" s="2" t="inlineStr">
        <ns0:is>
          <ns0:t>PLAN-BAG-N</ns0:t>
        </ns0:is>
      </ns0:c>
      <ns0:c r="B29" s="2" t="inlineStr">
        <ns0:is>
          <ns0:t>2</ns0:t>
        </ns0:is>
      </ns0:c>
      <ns0:c r="C29" s="2" t="inlineStr">
        <ns0:is>
          <ns0:t>Moulder bench</ns0:t>
        </ns0:is>
      </ns0:c>
      <ns0:c r="D29" s="2" t="inlineStr">
        <ns0:is>
          <ns0:t>04:23</ns0:t>
        </ns0:is>
      </ns0:c>
      <ns0:c r="E29" s="2" t="inlineStr">
        <ns0:is>
          <ns0:t>04:43</ns0:t>
        </ns0:is>
      </ns0:c>
      <ns0:c r="F29" s="2" t="inlineStr">
        <ns0:is>
          <ns0:t>F3</ns0:t>
        </ns0:is>
      </ns0:c>
    </ns0:row>
    <ns0:row r="30">
      <ns0:c r="A30" s="2" t="inlineStr">
        <ns0:is>
          <ns0:t>PLAN-BAG-N</ns0:t>
        </ns0:is>
      </ns0:c>
      <ns0:c r="B30" s="2" t="inlineStr">
        <ns0:is>
          <ns0:t>2</ns0:t>
        </ns0:is>
      </ns0:c>
      <ns0:c r="C30" s="2" t="inlineStr">
        <ns0:is>
          <ns0:t>Proof bay 2</ns0:t>
        </ns0:is>
      </ns0:c>
      <ns0:c r="D30" s="2" t="inlineStr">
        <ns0:is>
          <ns0:t>04:38</ns0:t>
        </ns0:is>
      </ns0:c>
      <ns0:c r="E30" s="2" t="inlineStr">
        <ns0:is>
          <ns0:t>05:43</ns0:t>
        </ns0:is>
      </ns0:c>
      <ns0:c r="F30" s="2" t="inlineStr">
        <ns0:is>
          <ns0:t>Monitored by O4</ns0:t>
        </ns0:is>
      </ns0:c>
    </ns0:row>
    <ns0:row r="31">
      <ns0:c r="A31" s="2" t="inlineStr">
        <ns0:is>
          <ns0:t>PLAN-BAG-N</ns0:t>
        </ns0:is>
      </ns0:c>
      <ns0:c r="B31" s="2" t="inlineStr">
        <ns0:is>
          <ns0:t>2</ns0:t>
        </ns0:is>
      </ns0:c>
      <ns0:c r="C31" s="2" t="inlineStr">
        <ns0:is>
          <ns0:t>Oven booking</ns0:t>
        </ns0:is>
      </ns0:c>
      <ns0:c r="D31" s="2" t="inlineStr">
        <ns0:is>
          <ns0:t>05:38</ns0:t>
        </ns0:is>
      </ns0:c>
      <ns0:c r="E31" s="2" t="inlineStr">
        <ns0:is>
          <ns0:t>06:18</ns0:t>
        </ns0:is>
      </ns0:c>
      <ns0:c r="F31" s="2" t="inlineStr">
        <ns0:is>
          <ns0:t>O4</ns0:t>
        </ns0:is>
      </ns0:c>
    </ns0:row>
    <ns0:row r="32">
      <ns0:c r="A32" s="2" t="inlineStr">
        <ns0:is>
          <ns0:t>PLAN-BAG-N</ns0:t>
        </ns0:is>
      </ns0:c>
      <ns0:c r="B32" s="2" t="inlineStr">
        <ns0:is>
          <ns0:t>2</ns0:t>
        </ns0:is>
      </ns0:c>
      <ns0:c r="C32" s="2" t="inlineStr">
        <ns0:is>
          <ns0:t>Packing station</ns0:t>
        </ns0:is>
      </ns0:c>
      <ns0:c r="D32" s="2" t="inlineStr">
        <ns0:is>
          <ns0:t>06:58</ns0:t>
        </ns0:is>
      </ns0:c>
      <ns0:c r="E32" s="2" t="inlineStr">
        <ns0:is>
          <ns0:t>07:13</ns0:t>
        </ns0:is>
      </ns0:c>
      <ns0:c r="F32" s="2" t="inlineStr">
        <ns0:is>
          <ns0:t>P5</ns0:t>
        </ns0:is>
      </ns0:c>
    </ns0:row>
    <ns0:row r="33">
      <ns0:c r="A33" s="2" t="inlineStr">
        <ns0:is>
          <ns0:t>PLAN-BAG-N</ns0:t>
        </ns0:is>
      </ns0:c>
      <ns0:c r="B33" s="2" t="inlineStr">
        <ns0:is>
          <ns0:t>2</ns0:t>
        </ns0:is>
      </ns0:c>
      <ns0:c r="C33" s="2" t="inlineStr">
        <ns0:is>
          <ns0:t>Rack/tray set</ns0:t>
        </ns0:is>
      </ns0:c>
      <ns0:c r="D33" s="2" t="inlineStr">
        <ns0:is>
          <ns0:t>04:23</ns0:t>
        </ns0:is>
      </ns0:c>
      <ns0:c r="E33" s="2" t="inlineStr">
        <ns0:is>
          <ns0:t>07:23</ns0:t>
        </ns0:is>
      </ns0:c>
      <ns0:c r="F33" s="2" t="inlineStr">
        <ns0:is>
          <ns0:t>Shared</ns0:t>
        </ns0:is>
      </ns0:c>
    </ns0:row>
    <ns0:row r="34">
      <ns0:c r="A34" s="2" t="inlineStr">
        <ns0:is>
          <ns0:t>PLAN-BAG-N</ns0:t>
        </ns0:is>
      </ns0:c>
      <ns0:c r="B34" s="2" t="inlineStr">
        <ns0:is>
          <ns0:t>3</ns0:t>
        </ns0:is>
      </ns0:c>
      <ns0:c r="C34" s="2" t="inlineStr">
        <ns0:is>
          <ns0:t>Mixer</ns0:t>
        </ns0:is>
      </ns0:c>
      <ns0:c r="D34" s="2" t="inlineStr">
        <ns0:is>
          <ns0:t>03:50</ns0:t>
        </ns0:is>
      </ns0:c>
      <ns0:c r="E34" s="2" t="inlineStr">
        <ns0:is>
          <ns0:t>04:15</ns0:t>
        </ns0:is>
      </ns0:c>
      <ns0:c r="F34" s="2" t="inlineStr">
        <ns0:is>
          <ns0:t>M1</ns0:t>
        </ns0:is>
      </ns0:c>
    </ns0:row>
    <ns0:row r="35">
      <ns0:c r="A35" s="2" t="inlineStr">
        <ns0:is>
          <ns0:t>PLAN-BAG-N</ns0:t>
        </ns0:is>
      </ns0:c>
      <ns0:c r="B35" s="2" t="inlineStr">
        <ns0:is>
          <ns0:t>3</ns0:t>
        </ns0:is>
      </ns0:c>
      <ns0:c r="C35" s="2" t="inlineStr">
        <ns0:is>
          <ns0:t>M1 weighing/mix/clean</ns0:t>
        </ns0:is>
      </ns0:c>
      <ns0:c r="D35" s="2" t="inlineStr">
        <ns0:is>
          <ns0:t>03:40</ns0:t>
        </ns0:is>
      </ns0:c>
      <ns0:c r="E35" s="2" t="inlineStr">
        <ns0:is>
          <ns0:t>04:15</ns0:t>
        </ns0:is>
      </ns0:c>
      <ns0:c r="F35" s="2" t="inlineStr">
        <ns0:is>
          <ns0:t>M1</ns0:t>
        </ns0:is>
      </ns0:c>
    </ns0:row>
    <ns0:row r="36">
      <ns0:c r="A36" s="2" t="inlineStr">
        <ns0:is>
          <ns0:t>PLAN-BAG-N</ns0:t>
        </ns0:is>
      </ns0:c>
      <ns0:c r="B36" s="2" t="inlineStr">
        <ns0:is>
          <ns0:t>3</ns0:t>
        </ns0:is>
      </ns0:c>
      <ns0:c r="C36" s="2" t="inlineStr">
        <ns0:is>
          <ns0:t>Division bench</ns0:t>
        </ns0:is>
      </ns0:c>
      <ns0:c r="D36" s="2" t="inlineStr">
        <ns0:is>
          <ns0:t>04:53</ns0:t>
        </ns0:is>
      </ns0:c>
      <ns0:c r="E36" s="2" t="inlineStr">
        <ns0:is>
          <ns0:t>05:13</ns0:t>
        </ns0:is>
      </ns0:c>
      <ns0:c r="F36" s="2" t="inlineStr">
        <ns0:is>
          <ns0:t>D2</ns0:t>
        </ns0:is>
      </ns0:c>
    </ns0:row>
    <ns0:row r="37">
      <ns0:c r="A37" s="2" t="inlineStr">
        <ns0:is>
          <ns0:t>PLAN-BAG-N</ns0:t>
        </ns0:is>
      </ns0:c>
      <ns0:c r="B37" s="2" t="inlineStr">
        <ns0:is>
          <ns0:t>3</ns0:t>
        </ns0:is>
      </ns0:c>
      <ns0:c r="C37" s="2" t="inlineStr">
        <ns0:is>
          <ns0:t>Moulder bench</ns0:t>
        </ns0:is>
      </ns0:c>
      <ns0:c r="D37" s="2" t="inlineStr">
        <ns0:is>
          <ns0:t>05:08</ns0:t>
        </ns0:is>
      </ns0:c>
      <ns0:c r="E37" s="2" t="inlineStr">
        <ns0:is>
          <ns0:t>05:28</ns0:t>
        </ns0:is>
      </ns0:c>
      <ns0:c r="F37" s="2" t="inlineStr">
        <ns0:is>
          <ns0:t>F3</ns0:t>
        </ns0:is>
      </ns0:c>
    </ns0:row>
    <ns0:row r="38">
      <ns0:c r="A38" s="2" t="inlineStr">
        <ns0:is>
          <ns0:t>PLAN-BAG-N</ns0:t>
        </ns0:is>
      </ns0:c>
      <ns0:c r="B38" s="2" t="inlineStr">
        <ns0:is>
          <ns0:t>3</ns0:t>
        </ns0:is>
      </ns0:c>
      <ns0:c r="C38" s="2" t="inlineStr">
        <ns0:is>
          <ns0:t>Proof bay 1</ns0:t>
        </ns0:is>
      </ns0:c>
      <ns0:c r="D38" s="2" t="inlineStr">
        <ns0:is>
          <ns0:t>05:23</ns0:t>
        </ns0:is>
      </ns0:c>
      <ns0:c r="E38" s="2" t="inlineStr">
        <ns0:is>
          <ns0:t>06:28</ns0:t>
        </ns0:is>
      </ns0:c>
      <ns0:c r="F38" s="2" t="inlineStr">
        <ns0:is>
          <ns0:t>Monitored by O4</ns0:t>
        </ns0:is>
      </ns0:c>
    </ns0:row>
    <ns0:row r="39">
      <ns0:c r="A39" s="2" t="inlineStr">
        <ns0:is>
          <ns0:t>PLAN-BAG-N</ns0:t>
        </ns0:is>
      </ns0:c>
      <ns0:c r="B39" s="2" t="inlineStr">
        <ns0:is>
          <ns0:t>3</ns0:t>
        </ns0:is>
      </ns0:c>
      <ns0:c r="C39" s="2" t="inlineStr">
        <ns0:is>
          <ns0:t>Oven booking</ns0:t>
        </ns0:is>
      </ns0:c>
      <ns0:c r="D39" s="2" t="inlineStr">
        <ns0:is>
          <ns0:t>06:23</ns0:t>
        </ns0:is>
      </ns0:c>
      <ns0:c r="E39" s="2" t="inlineStr">
        <ns0:is>
          <ns0:t>07:03</ns0:t>
        </ns0:is>
      </ns0:c>
      <ns0:c r="F39" s="2" t="inlineStr">
        <ns0:is>
          <ns0:t>O4</ns0:t>
        </ns0:is>
      </ns0:c>
    </ns0:row>
    <ns0:row r="40">
      <ns0:c r="A40" s="2" t="inlineStr">
        <ns0:is>
          <ns0:t>PLAN-BAG-N</ns0:t>
        </ns0:is>
      </ns0:c>
      <ns0:c r="B40" s="2" t="inlineStr">
        <ns0:is>
          <ns0:t>3</ns0:t>
        </ns0:is>
      </ns0:c>
      <ns0:c r="C40" s="2" t="inlineStr">
        <ns0:is>
          <ns0:t>Packing station</ns0:t>
        </ns0:is>
      </ns0:c>
      <ns0:c r="D40" s="2" t="inlineStr">
        <ns0:is>
          <ns0:t>07:43</ns0:t>
        </ns0:is>
      </ns0:c>
      <ns0:c r="E40" s="2" t="inlineStr">
        <ns0:is>
          <ns0:t>07:58</ns0:t>
        </ns0:is>
      </ns0:c>
      <ns0:c r="F40" s="2" t="inlineStr">
        <ns0:is>
          <ns0:t>P5</ns0:t>
        </ns0:is>
      </ns0:c>
    </ns0:row>
    <ns0:row r="41">
      <ns0:c r="A41" s="2" t="inlineStr">
        <ns0:is>
          <ns0:t>PLAN-BAG-N</ns0:t>
        </ns0:is>
      </ns0:c>
      <ns0:c r="B41" s="2" t="inlineStr">
        <ns0:is>
          <ns0:t>3</ns0:t>
        </ns0:is>
      </ns0:c>
      <ns0:c r="C41" s="2" t="inlineStr">
        <ns0:is>
          <ns0:t>Rack/tray set</ns0:t>
        </ns0:is>
      </ns0:c>
      <ns0:c r="D41" s="2" t="inlineStr">
        <ns0:is>
          <ns0:t>05:08</ns0:t>
        </ns0:is>
      </ns0:c>
      <ns0:c r="E41" s="2" t="inlineStr">
        <ns0:is>
          <ns0:t>08:08</ns0:t>
        </ns0:is>
      </ns0:c>
      <ns0:c r="F41" s="2" t="inlineStr">
        <ns0:is>
          <ns0:t>Shared</ns0:t>
        </ns0:is>
      </ns0:c>
    </ns0:row>
    <ns0:row r="42">
      <ns0:c r="A42" s="2" t="inlineStr">
        <ns0:is>
          <ns0:t>PLAN-BAG-N</ns0:t>
        </ns0:is>
      </ns0:c>
      <ns0:c r="B42" s="2" t="inlineStr">
        <ns0:is>
          <ns0:t>4</ns0:t>
        </ns0:is>
      </ns0:c>
      <ns0:c r="C42" s="2" t="inlineStr">
        <ns0:is>
          <ns0:t>Mixer</ns0:t>
        </ns0:is>
      </ns0:c>
      <ns0:c r="D42" s="2" t="inlineStr">
        <ns0:is>
          <ns0:t>04:35</ns0:t>
        </ns0:is>
      </ns0:c>
      <ns0:c r="E42" s="2" t="inlineStr">
        <ns0:is>
          <ns0:t>05:00</ns0:t>
        </ns0:is>
      </ns0:c>
      <ns0:c r="F42" s="2" t="inlineStr">
        <ns0:is>
          <ns0:t>M1</ns0:t>
        </ns0:is>
      </ns0:c>
    </ns0:row>
    <ns0:row r="43">
      <ns0:c r="A43" s="2" t="inlineStr">
        <ns0:is>
          <ns0:t>PLAN-BAG-N</ns0:t>
        </ns0:is>
      </ns0:c>
      <ns0:c r="B43" s="2" t="inlineStr">
        <ns0:is>
          <ns0:t>4</ns0:t>
        </ns0:is>
      </ns0:c>
      <ns0:c r="C43" s="2" t="inlineStr">
        <ns0:is>
          <ns0:t>M1 weighing/mix/clean</ns0:t>
        </ns0:is>
      </ns0:c>
      <ns0:c r="D43" s="2" t="inlineStr">
        <ns0:is>
          <ns0:t>04:25</ns0:t>
        </ns0:is>
      </ns0:c>
      <ns0:c r="E43" s="2" t="inlineStr">
        <ns0:is>
          <ns0:t>05:00</ns0:t>
        </ns0:is>
      </ns0:c>
      <ns0:c r="F43" s="2" t="inlineStr">
        <ns0:is>
          <ns0:t>M1</ns0:t>
        </ns0:is>
      </ns0:c>
    </ns0:row>
    <ns0:row r="44">
      <ns0:c r="A44" s="2" t="inlineStr">
        <ns0:is>
          <ns0:t>PLAN-BAG-N</ns0:t>
        </ns0:is>
      </ns0:c>
      <ns0:c r="B44" s="2" t="inlineStr">
        <ns0:is>
          <ns0:t>4</ns0:t>
        </ns0:is>
      </ns0:c>
      <ns0:c r="C44" s="2" t="inlineStr">
        <ns0:is>
          <ns0:t>Division bench</ns0:t>
        </ns0:is>
      </ns0:c>
      <ns0:c r="D44" s="2" t="inlineStr">
        <ns0:is>
          <ns0:t>05:38</ns0:t>
        </ns0:is>
      </ns0:c>
      <ns0:c r="E44" s="2" t="inlineStr">
        <ns0:is>
          <ns0:t>05:58</ns0:t>
        </ns0:is>
      </ns0:c>
      <ns0:c r="F44" s="2" t="inlineStr">
        <ns0:is>
          <ns0:t>D2</ns0:t>
        </ns0:is>
      </ns0:c>
    </ns0:row>
    <ns0:row r="45">
      <ns0:c r="A45" s="2" t="inlineStr">
        <ns0:is>
          <ns0:t>PLAN-BAG-N</ns0:t>
        </ns0:is>
      </ns0:c>
      <ns0:c r="B45" s="2" t="inlineStr">
        <ns0:is>
          <ns0:t>4</ns0:t>
        </ns0:is>
      </ns0:c>
      <ns0:c r="C45" s="2" t="inlineStr">
        <ns0:is>
          <ns0:t>Moulder bench</ns0:t>
        </ns0:is>
      </ns0:c>
      <ns0:c r="D45" s="2" t="inlineStr">
        <ns0:is>
          <ns0:t>05:53</ns0:t>
        </ns0:is>
      </ns0:c>
      <ns0:c r="E45" s="2" t="inlineStr">
        <ns0:is>
          <ns0:t>06:13</ns0:t>
        </ns0:is>
      </ns0:c>
      <ns0:c r="F45" s="2" t="inlineStr">
        <ns0:is>
          <ns0:t>F3</ns0:t>
        </ns0:is>
      </ns0:c>
    </ns0:row>
    <ns0:row r="46">
      <ns0:c r="A46" s="2" t="inlineStr">
        <ns0:is>
          <ns0:t>PLAN-BAG-N</ns0:t>
        </ns0:is>
      </ns0:c>
      <ns0:c r="B46" s="2" t="inlineStr">
        <ns0:is>
          <ns0:t>4</ns0:t>
        </ns0:is>
      </ns0:c>
      <ns0:c r="C46" s="2" t="inlineStr">
        <ns0:is>
          <ns0:t>Proof bay 2</ns0:t>
        </ns0:is>
      </ns0:c>
      <ns0:c r="D46" s="2" t="inlineStr">
        <ns0:is>
          <ns0:t>06:08</ns0:t>
        </ns0:is>
      </ns0:c>
      <ns0:c r="E46" s="2" t="inlineStr">
        <ns0:is>
          <ns0:t>07:13</ns0:t>
        </ns0:is>
      </ns0:c>
      <ns0:c r="F46" s="2" t="inlineStr">
        <ns0:is>
          <ns0:t>Monitored by O4</ns0:t>
        </ns0:is>
      </ns0:c>
    </ns0:row>
    <ns0:row r="47">
      <ns0:c r="A47" s="2" t="inlineStr">
        <ns0:is>
          <ns0:t>PLAN-BAG-N</ns0:t>
        </ns0:is>
      </ns0:c>
      <ns0:c r="B47" s="2" t="inlineStr">
        <ns0:is>
          <ns0:t>4</ns0:t>
        </ns0:is>
      </ns0:c>
      <ns0:c r="C47" s="2" t="inlineStr">
        <ns0:is>
          <ns0:t>Oven booking</ns0:t>
        </ns0:is>
      </ns0:c>
      <ns0:c r="D47" s="2" t="inlineStr">
        <ns0:is>
          <ns0:t>07:08</ns0:t>
        </ns0:is>
      </ns0:c>
      <ns0:c r="E47" s="2" t="inlineStr">
        <ns0:is>
          <ns0:t>07:48</ns0:t>
        </ns0:is>
      </ns0:c>
      <ns0:c r="F47" s="2" t="inlineStr">
        <ns0:is>
          <ns0:t>O4</ns0:t>
        </ns0:is>
      </ns0:c>
    </ns0:row>
    <ns0:row r="48">
      <ns0:c r="A48" s="2" t="inlineStr">
        <ns0:is>
          <ns0:t>PLAN-BAG-N</ns0:t>
        </ns0:is>
      </ns0:c>
      <ns0:c r="B48" s="2" t="inlineStr">
        <ns0:is>
          <ns0:t>4</ns0:t>
        </ns0:is>
      </ns0:c>
      <ns0:c r="C48" s="2" t="inlineStr">
        <ns0:is>
          <ns0:t>Packing station</ns0:t>
        </ns0:is>
      </ns0:c>
      <ns0:c r="D48" s="2" t="inlineStr">
        <ns0:is>
          <ns0:t>08:28</ns0:t>
        </ns0:is>
      </ns0:c>
      <ns0:c r="E48" s="2" t="inlineStr">
        <ns0:is>
          <ns0:t>08:43</ns0:t>
        </ns0:is>
      </ns0:c>
      <ns0:c r="F48" s="2" t="inlineStr">
        <ns0:is>
          <ns0:t>P5</ns0:t>
        </ns0:is>
      </ns0:c>
    </ns0:row>
    <ns0:row r="49">
      <ns0:c r="A49" s="2" t="inlineStr">
        <ns0:is>
          <ns0:t>PLAN-BAG-N</ns0:t>
        </ns0:is>
      </ns0:c>
      <ns0:c r="B49" s="2" t="inlineStr">
        <ns0:is>
          <ns0:t>4</ns0:t>
        </ns0:is>
      </ns0:c>
      <ns0:c r="C49" s="2" t="inlineStr">
        <ns0:is>
          <ns0:t>Rack/tray set</ns0:t>
        </ns0:is>
      </ns0:c>
      <ns0:c r="D49" s="2" t="inlineStr">
        <ns0:is>
          <ns0:t>05:53</ns0:t>
        </ns0:is>
      </ns0:c>
      <ns0:c r="E49" s="2" t="inlineStr">
        <ns0:is>
          <ns0:t>08:53</ns0:t>
        </ns0:is>
      </ns0:c>
      <ns0:c r="F49" s="2" t="inlineStr">
        <ns0:is>
          <ns0:t>Shared</ns0:t>
        </ns0:is>
      </ns0:c>
    </ns0:row>
    <ns0:row r="50">
      <ns0:c r="A50" s="2" t="inlineStr">
        <ns0:is>
          <ns0:t>PLAN-BAG-N</ns0:t>
        </ns0:is>
      </ns0:c>
      <ns0:c r="B50" s="2" t="inlineStr">
        <ns0:is>
          <ns0:t>5</ns0:t>
        </ns0:is>
      </ns0:c>
      <ns0:c r="C50" s="2" t="inlineStr">
        <ns0:is>
          <ns0:t>Mixer</ns0:t>
        </ns0:is>
      </ns0:c>
      <ns0:c r="D50" s="2" t="inlineStr">
        <ns0:is>
          <ns0:t>05:20</ns0:t>
        </ns0:is>
      </ns0:c>
      <ns0:c r="E50" s="2" t="inlineStr">
        <ns0:is>
          <ns0:t>05:45</ns0:t>
        </ns0:is>
      </ns0:c>
      <ns0:c r="F50" s="2" t="inlineStr">
        <ns0:is>
          <ns0:t>M1</ns0:t>
        </ns0:is>
      </ns0:c>
    </ns0:row>
    <ns0:row r="51">
      <ns0:c r="A51" s="2" t="inlineStr">
        <ns0:is>
          <ns0:t>PLAN-BAG-N</ns0:t>
        </ns0:is>
      </ns0:c>
      <ns0:c r="B51" s="2" t="inlineStr">
        <ns0:is>
          <ns0:t>5</ns0:t>
        </ns0:is>
      </ns0:c>
      <ns0:c r="C51" s="2" t="inlineStr">
        <ns0:is>
          <ns0:t>M1 weighing/mix/clean</ns0:t>
        </ns0:is>
      </ns0:c>
      <ns0:c r="D51" s="2" t="inlineStr">
        <ns0:is>
          <ns0:t>05:10</ns0:t>
        </ns0:is>
      </ns0:c>
      <ns0:c r="E51" s="2" t="inlineStr">
        <ns0:is>
          <ns0:t>05:45</ns0:t>
        </ns0:is>
      </ns0:c>
      <ns0:c r="F51" s="2" t="inlineStr">
        <ns0:is>
          <ns0:t>M1</ns0:t>
        </ns0:is>
      </ns0:c>
    </ns0:row>
    <ns0:row r="52">
      <ns0:c r="A52" s="2" t="inlineStr">
        <ns0:is>
          <ns0:t>PLAN-BAG-N</ns0:t>
        </ns0:is>
      </ns0:c>
      <ns0:c r="B52" s="2" t="inlineStr">
        <ns0:is>
          <ns0:t>5</ns0:t>
        </ns0:is>
      </ns0:c>
      <ns0:c r="C52" s="2" t="inlineStr">
        <ns0:is>
          <ns0:t>Division bench</ns0:t>
        </ns0:is>
      </ns0:c>
      <ns0:c r="D52" s="2" t="inlineStr">
        <ns0:is>
          <ns0:t>06:23</ns0:t>
        </ns0:is>
      </ns0:c>
      <ns0:c r="E52" s="2" t="inlineStr">
        <ns0:is>
          <ns0:t>06:43</ns0:t>
        </ns0:is>
      </ns0:c>
      <ns0:c r="F52" s="2" t="inlineStr">
        <ns0:is>
          <ns0:t>D2</ns0:t>
        </ns0:is>
      </ns0:c>
    </ns0:row>
    <ns0:row r="53">
      <ns0:c r="A53" s="2" t="inlineStr">
        <ns0:is>
          <ns0:t>PLAN-BAG-N</ns0:t>
        </ns0:is>
      </ns0:c>
      <ns0:c r="B53" s="2" t="inlineStr">
        <ns0:is>
          <ns0:t>5</ns0:t>
        </ns0:is>
      </ns0:c>
      <ns0:c r="C53" s="2" t="inlineStr">
        <ns0:is>
          <ns0:t>Moulder bench</ns0:t>
        </ns0:is>
      </ns0:c>
      <ns0:c r="D53" s="2" t="inlineStr">
        <ns0:is>
          <ns0:t>06:38</ns0:t>
        </ns0:is>
      </ns0:c>
      <ns0:c r="E53" s="2" t="inlineStr">
        <ns0:is>
          <ns0:t>06:58</ns0:t>
        </ns0:is>
      </ns0:c>
      <ns0:c r="F53" s="2" t="inlineStr">
        <ns0:is>
          <ns0:t>F3</ns0:t>
        </ns0:is>
      </ns0:c>
    </ns0:row>
    <ns0:row r="54">
      <ns0:c r="A54" s="2" t="inlineStr">
        <ns0:is>
          <ns0:t>PLAN-BAG-N</ns0:t>
        </ns0:is>
      </ns0:c>
      <ns0:c r="B54" s="2" t="inlineStr">
        <ns0:is>
          <ns0:t>5</ns0:t>
        </ns0:is>
      </ns0:c>
      <ns0:c r="C54" s="2" t="inlineStr">
        <ns0:is>
          <ns0:t>Proof bay 1</ns0:t>
        </ns0:is>
      </ns0:c>
      <ns0:c r="D54" s="2" t="inlineStr">
        <ns0:is>
          <ns0:t>06:53</ns0:t>
        </ns0:is>
      </ns0:c>
      <ns0:c r="E54" s="2" t="inlineStr">
        <ns0:is>
          <ns0:t>07:58</ns0:t>
        </ns0:is>
      </ns0:c>
      <ns0:c r="F54" s="2" t="inlineStr">
        <ns0:is>
          <ns0:t>Monitored by O4</ns0:t>
        </ns0:is>
      </ns0:c>
    </ns0:row>
    <ns0:row r="55">
      <ns0:c r="A55" s="2" t="inlineStr">
        <ns0:is>
          <ns0:t>PLAN-BAG-N</ns0:t>
        </ns0:is>
      </ns0:c>
      <ns0:c r="B55" s="2" t="inlineStr">
        <ns0:is>
          <ns0:t>5</ns0:t>
        </ns0:is>
      </ns0:c>
      <ns0:c r="C55" s="2" t="inlineStr">
        <ns0:is>
          <ns0:t>Oven booking</ns0:t>
        </ns0:is>
      </ns0:c>
      <ns0:c r="D55" s="2" t="inlineStr">
        <ns0:is>
          <ns0:t>07:53</ns0:t>
        </ns0:is>
      </ns0:c>
      <ns0:c r="E55" s="2" t="inlineStr">
        <ns0:is>
          <ns0:t>08:33</ns0:t>
        </ns0:is>
      </ns0:c>
      <ns0:c r="F55" s="2" t="inlineStr">
        <ns0:is>
          <ns0:t>O4</ns0:t>
        </ns0:is>
      </ns0:c>
    </ns0:row>
    <ns0:row r="56">
      <ns0:c r="A56" s="2" t="inlineStr">
        <ns0:is>
          <ns0:t>PLAN-BAG-N</ns0:t>
        </ns0:is>
      </ns0:c>
      <ns0:c r="B56" s="2" t="inlineStr">
        <ns0:is>
          <ns0:t>5</ns0:t>
        </ns0:is>
      </ns0:c>
      <ns0:c r="C56" s="2" t="inlineStr">
        <ns0:is>
          <ns0:t>Packing station</ns0:t>
        </ns0:is>
      </ns0:c>
      <ns0:c r="D56" s="2" t="inlineStr">
        <ns0:is>
          <ns0:t>09:13</ns0:t>
        </ns0:is>
      </ns0:c>
      <ns0:c r="E56" s="2" t="inlineStr">
        <ns0:is>
          <ns0:t>09:28</ns0:t>
        </ns0:is>
      </ns0:c>
      <ns0:c r="F56" s="2" t="inlineStr">
        <ns0:is>
          <ns0:t>P5</ns0:t>
        </ns0:is>
      </ns0:c>
    </ns0:row>
    <ns0:row r="57">
      <ns0:c r="A57" s="2" t="inlineStr">
        <ns0:is>
          <ns0:t>PLAN-BAG-N</ns0:t>
        </ns0:is>
      </ns0:c>
      <ns0:c r="B57" s="2" t="inlineStr">
        <ns0:is>
          <ns0:t>5</ns0:t>
        </ns0:is>
      </ns0:c>
      <ns0:c r="C57" s="2" t="inlineStr">
        <ns0:is>
          <ns0:t>Rack/tray set</ns0:t>
        </ns0:is>
      </ns0:c>
      <ns0:c r="D57" s="2" t="inlineStr">
        <ns0:is>
          <ns0:t>06:38</ns0:t>
        </ns0:is>
      </ns0:c>
      <ns0:c r="E57" s="2" t="inlineStr">
        <ns0:is>
          <ns0:t>09:38</ns0:t>
        </ns0:is>
      </ns0:c>
      <ns0:c r="F57" s="2" t="inlineStr">
        <ns0:is>
          <ns0:t>Shared</ns0:t>
        </ns0:is>
      </ns0:c>
    </ns0:row>
    <ns0:row r="58">
      <ns0:c r="A58" s="2" t="inlineStr">
        <ns0:is>
          <ns0:t>PLAN-BAG-H</ns0:t>
        </ns0:is>
      </ns0:c>
      <ns0:c r="B58" s="2" t="inlineStr">
        <ns0:is>
          <ns0:t>1</ns0:t>
        </ns0:is>
      </ns0:c>
      <ns0:c r="C58" s="2" t="inlineStr">
        <ns0:is>
          <ns0:t>Mixer</ns0:t>
        </ns0:is>
      </ns0:c>
      <ns0:c r="D58" s="2" t="inlineStr">
        <ns0:is>
          <ns0:t>02:20</ns0:t>
        </ns0:is>
      </ns0:c>
      <ns0:c r="E58" s="2" t="inlineStr">
        <ns0:is>
          <ns0:t>02:45</ns0:t>
        </ns0:is>
      </ns0:c>
      <ns0:c r="F58" s="2" t="inlineStr">
        <ns0:is>
          <ns0:t>M1</ns0:t>
        </ns0:is>
      </ns0:c>
    </ns0:row>
    <ns0:row r="59">
      <ns0:c r="A59" s="2" t="inlineStr">
        <ns0:is>
          <ns0:t>PLAN-BAG-H</ns0:t>
        </ns0:is>
      </ns0:c>
      <ns0:c r="B59" s="2" t="inlineStr">
        <ns0:is>
          <ns0:t>1</ns0:t>
        </ns0:is>
      </ns0:c>
      <ns0:c r="C59" s="2" t="inlineStr">
        <ns0:is>
          <ns0:t>M1 weighing/mix/clean</ns0:t>
        </ns0:is>
      </ns0:c>
      <ns0:c r="D59" s="2" t="inlineStr">
        <ns0:is>
          <ns0:t>02:10</ns0:t>
        </ns0:is>
      </ns0:c>
      <ns0:c r="E59" s="2" t="inlineStr">
        <ns0:is>
          <ns0:t>02:45</ns0:t>
        </ns0:is>
      </ns0:c>
      <ns0:c r="F59" s="2" t="inlineStr">
        <ns0:is>
          <ns0:t>M1</ns0:t>
        </ns0:is>
      </ns0:c>
    </ns0:row>
    <ns0:row r="60">
      <ns0:c r="A60" s="2" t="inlineStr">
        <ns0:is>
          <ns0:t>PLAN-BAG-H</ns0:t>
        </ns0:is>
      </ns0:c>
      <ns0:c r="B60" s="2" t="inlineStr">
        <ns0:is>
          <ns0:t>1</ns0:t>
        </ns0:is>
      </ns0:c>
      <ns0:c r="C60" s="2" t="inlineStr">
        <ns0:is>
          <ns0:t>Division bench</ns0:t>
        </ns0:is>
      </ns0:c>
      <ns0:c r="D60" s="2" t="inlineStr">
        <ns0:is>
          <ns0:t>03:23</ns0:t>
        </ns0:is>
      </ns0:c>
      <ns0:c r="E60" s="2" t="inlineStr">
        <ns0:is>
          <ns0:t>03:43</ns0:t>
        </ns0:is>
      </ns0:c>
      <ns0:c r="F60" s="2" t="inlineStr">
        <ns0:is>
          <ns0:t>D2</ns0:t>
        </ns0:is>
      </ns0:c>
    </ns0:row>
    <ns0:row r="61">
      <ns0:c r="A61" s="2" t="inlineStr">
        <ns0:is>
          <ns0:t>PLAN-BAG-H</ns0:t>
        </ns0:is>
      </ns0:c>
      <ns0:c r="B61" s="2" t="inlineStr">
        <ns0:is>
          <ns0:t>1</ns0:t>
        </ns0:is>
      </ns0:c>
      <ns0:c r="C61" s="2" t="inlineStr">
        <ns0:is>
          <ns0:t>Moulder bench</ns0:t>
        </ns0:is>
      </ns0:c>
      <ns0:c r="D61" s="2" t="inlineStr">
        <ns0:is>
          <ns0:t>03:38</ns0:t>
        </ns0:is>
      </ns0:c>
      <ns0:c r="E61" s="2" t="inlineStr">
        <ns0:is>
          <ns0:t>03:58</ns0:t>
        </ns0:is>
      </ns0:c>
      <ns0:c r="F61" s="2" t="inlineStr">
        <ns0:is>
          <ns0:t>F3</ns0:t>
        </ns0:is>
      </ns0:c>
    </ns0:row>
    <ns0:row r="62">
      <ns0:c r="A62" s="2" t="inlineStr">
        <ns0:is>
          <ns0:t>PLAN-BAG-H</ns0:t>
        </ns0:is>
      </ns0:c>
      <ns0:c r="B62" s="2" t="inlineStr">
        <ns0:is>
          <ns0:t>1</ns0:t>
        </ns0:is>
      </ns0:c>
      <ns0:c r="C62" s="2" t="inlineStr">
        <ns0:is>
          <ns0:t>Proof bay 1</ns0:t>
        </ns0:is>
      </ns0:c>
      <ns0:c r="D62" s="2" t="inlineStr">
        <ns0:is>
          <ns0:t>03:53</ns0:t>
        </ns0:is>
      </ns0:c>
      <ns0:c r="E62" s="2" t="inlineStr">
        <ns0:is>
          <ns0:t>04:58</ns0:t>
        </ns0:is>
      </ns0:c>
      <ns0:c r="F62" s="2" t="inlineStr">
        <ns0:is>
          <ns0:t>Monitored by O4</ns0:t>
        </ns0:is>
      </ns0:c>
    </ns0:row>
    <ns0:row r="63">
      <ns0:c r="A63" s="2" t="inlineStr">
        <ns0:is>
          <ns0:t>PLAN-BAG-H</ns0:t>
        </ns0:is>
      </ns0:c>
      <ns0:c r="B63" s="2" t="inlineStr">
        <ns0:is>
          <ns0:t>1</ns0:t>
        </ns0:is>
      </ns0:c>
      <ns0:c r="C63" s="2" t="inlineStr">
        <ns0:is>
          <ns0:t>Oven booking</ns0:t>
        </ns0:is>
      </ns0:c>
      <ns0:c r="D63" s="2" t="inlineStr">
        <ns0:is>
          <ns0:t>04:53</ns0:t>
        </ns0:is>
      </ns0:c>
      <ns0:c r="E63" s="2" t="inlineStr">
        <ns0:is>
          <ns0:t>05:33</ns0:t>
        </ns0:is>
      </ns0:c>
      <ns0:c r="F63" s="2" t="inlineStr">
        <ns0:is>
          <ns0:t>O4</ns0:t>
        </ns0:is>
      </ns0:c>
    </ns0:row>
    <ns0:row r="64">
      <ns0:c r="A64" s="2" t="inlineStr">
        <ns0:is>
          <ns0:t>PLAN-BAG-H</ns0:t>
        </ns0:is>
      </ns0:c>
      <ns0:c r="B64" s="2" t="inlineStr">
        <ns0:is>
          <ns0:t>1</ns0:t>
        </ns0:is>
      </ns0:c>
      <ns0:c r="C64" s="2" t="inlineStr">
        <ns0:is>
          <ns0:t>Packing station</ns0:t>
        </ns0:is>
      </ns0:c>
      <ns0:c r="D64" s="2" t="inlineStr">
        <ns0:is>
          <ns0:t>06:13</ns0:t>
        </ns0:is>
      </ns0:c>
      <ns0:c r="E64" s="2" t="inlineStr">
        <ns0:is>
          <ns0:t>06:28</ns0:t>
        </ns0:is>
      </ns0:c>
      <ns0:c r="F64" s="2" t="inlineStr">
        <ns0:is>
          <ns0:t>P5</ns0:t>
        </ns0:is>
      </ns0:c>
    </ns0:row>
    <ns0:row r="65">
      <ns0:c r="A65" s="2" t="inlineStr">
        <ns0:is>
          <ns0:t>PLAN-BAG-H</ns0:t>
        </ns0:is>
      </ns0:c>
      <ns0:c r="B65" s="2" t="inlineStr">
        <ns0:is>
          <ns0:t>1</ns0:t>
        </ns0:is>
      </ns0:c>
      <ns0:c r="C65" s="2" t="inlineStr">
        <ns0:is>
          <ns0:t>Rack/tray set</ns0:t>
        </ns0:is>
      </ns0:c>
      <ns0:c r="D65" s="2" t="inlineStr">
        <ns0:is>
          <ns0:t>03:38</ns0:t>
        </ns0:is>
      </ns0:c>
      <ns0:c r="E65" s="2" t="inlineStr">
        <ns0:is>
          <ns0:t>06:38</ns0:t>
        </ns0:is>
      </ns0:c>
      <ns0:c r="F65" s="2" t="inlineStr">
        <ns0:is>
          <ns0:t>Shared</ns0:t>
        </ns0:is>
      </ns0:c>
    </ns0:row>
    <ns0:row r="66">
      <ns0:c r="A66" s="2" t="inlineStr">
        <ns0:is>
          <ns0:t>PLAN-BAG-H</ns0:t>
        </ns0:is>
      </ns0:c>
      <ns0:c r="B66" s="2" t="inlineStr">
        <ns0:is>
          <ns0:t>2</ns0:t>
        </ns0:is>
      </ns0:c>
      <ns0:c r="C66" s="2" t="inlineStr">
        <ns0:is>
          <ns0:t>Mixer</ns0:t>
        </ns0:is>
      </ns0:c>
      <ns0:c r="D66" s="2" t="inlineStr">
        <ns0:is>
          <ns0:t>03:05</ns0:t>
        </ns0:is>
      </ns0:c>
      <ns0:c r="E66" s="2" t="inlineStr">
        <ns0:is>
          <ns0:t>03:30</ns0:t>
        </ns0:is>
      </ns0:c>
      <ns0:c r="F66" s="2" t="inlineStr">
        <ns0:is>
          <ns0:t>M1</ns0:t>
        </ns0:is>
      </ns0:c>
    </ns0:row>
    <ns0:row r="67">
      <ns0:c r="A67" s="2" t="inlineStr">
        <ns0:is>
          <ns0:t>PLAN-BAG-H</ns0:t>
        </ns0:is>
      </ns0:c>
      <ns0:c r="B67" s="2" t="inlineStr">
        <ns0:is>
          <ns0:t>2</ns0:t>
        </ns0:is>
      </ns0:c>
      <ns0:c r="C67" s="2" t="inlineStr">
        <ns0:is>
          <ns0:t>M1 weighing/mix/clean</ns0:t>
        </ns0:is>
      </ns0:c>
      <ns0:c r="D67" s="2" t="inlineStr">
        <ns0:is>
          <ns0:t>02:55</ns0:t>
        </ns0:is>
      </ns0:c>
      <ns0:c r="E67" s="2" t="inlineStr">
        <ns0:is>
          <ns0:t>03:30</ns0:t>
        </ns0:is>
      </ns0:c>
      <ns0:c r="F67" s="2" t="inlineStr">
        <ns0:is>
          <ns0:t>M1</ns0:t>
        </ns0:is>
      </ns0:c>
    </ns0:row>
    <ns0:row r="68">
      <ns0:c r="A68" s="2" t="inlineStr">
        <ns0:is>
          <ns0:t>PLAN-BAG-H</ns0:t>
        </ns0:is>
      </ns0:c>
      <ns0:c r="B68" s="2" t="inlineStr">
        <ns0:is>
          <ns0:t>2</ns0:t>
        </ns0:is>
      </ns0:c>
      <ns0:c r="C68" s="2" t="inlineStr">
        <ns0:is>
          <ns0:t>Division bench</ns0:t>
        </ns0:is>
      </ns0:c>
      <ns0:c r="D68" s="2" t="inlineStr">
        <ns0:is>
          <ns0:t>04:08</ns0:t>
        </ns0:is>
      </ns0:c>
      <ns0:c r="E68" s="2" t="inlineStr">
        <ns0:is>
          <ns0:t>04:28</ns0:t>
        </ns0:is>
      </ns0:c>
      <ns0:c r="F68" s="2" t="inlineStr">
        <ns0:is>
          <ns0:t>D2</ns0:t>
        </ns0:is>
      </ns0:c>
    </ns0:row>
    <ns0:row r="69">
      <ns0:c r="A69" s="2" t="inlineStr">
        <ns0:is>
          <ns0:t>PLAN-BAG-H</ns0:t>
        </ns0:is>
      </ns0:c>
      <ns0:c r="B69" s="2" t="inlineStr">
        <ns0:is>
          <ns0:t>2</ns0:t>
        </ns0:is>
      </ns0:c>
      <ns0:c r="C69" s="2" t="inlineStr">
        <ns0:is>
          <ns0:t>Moulder bench</ns0:t>
        </ns0:is>
      </ns0:c>
      <ns0:c r="D69" s="2" t="inlineStr">
        <ns0:is>
          <ns0:t>04:23</ns0:t>
        </ns0:is>
      </ns0:c>
      <ns0:c r="E69" s="2" t="inlineStr">
        <ns0:is>
          <ns0:t>04:43</ns0:t>
        </ns0:is>
      </ns0:c>
      <ns0:c r="F69" s="2" t="inlineStr">
        <ns0:is>
          <ns0:t>F3</ns0:t>
        </ns0:is>
      </ns0:c>
    </ns0:row>
    <ns0:row r="70">
      <ns0:c r="A70" s="2" t="inlineStr">
        <ns0:is>
          <ns0:t>PLAN-BAG-H</ns0:t>
        </ns0:is>
      </ns0:c>
      <ns0:c r="B70" s="2" t="inlineStr">
        <ns0:is>
          <ns0:t>2</ns0:t>
        </ns0:is>
      </ns0:c>
      <ns0:c r="C70" s="2" t="inlineStr">
        <ns0:is>
          <ns0:t>Proof bay 2</ns0:t>
        </ns0:is>
      </ns0:c>
      <ns0:c r="D70" s="2" t="inlineStr">
        <ns0:is>
          <ns0:t>04:38</ns0:t>
        </ns0:is>
      </ns0:c>
      <ns0:c r="E70" s="2" t="inlineStr">
        <ns0:is>
          <ns0:t>05:43</ns0:t>
        </ns0:is>
      </ns0:c>
      <ns0:c r="F70" s="2" t="inlineStr">
        <ns0:is>
          <ns0:t>Monitored by O4</ns0:t>
        </ns0:is>
      </ns0:c>
    </ns0:row>
    <ns0:row r="71">
      <ns0:c r="A71" s="2" t="inlineStr">
        <ns0:is>
          <ns0:t>PLAN-BAG-H</ns0:t>
        </ns0:is>
      </ns0:c>
      <ns0:c r="B71" s="2" t="inlineStr">
        <ns0:is>
          <ns0:t>2</ns0:t>
        </ns0:is>
      </ns0:c>
      <ns0:c r="C71" s="2" t="inlineStr">
        <ns0:is>
          <ns0:t>Oven booking</ns0:t>
        </ns0:is>
      </ns0:c>
      <ns0:c r="D71" s="2" t="inlineStr">
        <ns0:is>
          <ns0:t>05:38</ns0:t>
        </ns0:is>
      </ns0:c>
      <ns0:c r="E71" s="2" t="inlineStr">
        <ns0:is>
          <ns0:t>06:18</ns0:t>
        </ns0:is>
      </ns0:c>
      <ns0:c r="F71" s="2" t="inlineStr">
        <ns0:is>
          <ns0:t>O4</ns0:t>
        </ns0:is>
      </ns0:c>
    </ns0:row>
    <ns0:row r="72">
      <ns0:c r="A72" s="2" t="inlineStr">
        <ns0:is>
          <ns0:t>PLAN-BAG-H</ns0:t>
        </ns0:is>
      </ns0:c>
      <ns0:c r="B72" s="2" t="inlineStr">
        <ns0:is>
          <ns0:t>2</ns0:t>
        </ns0:is>
      </ns0:c>
      <ns0:c r="C72" s="2" t="inlineStr">
        <ns0:is>
          <ns0:t>Packing station</ns0:t>
        </ns0:is>
      </ns0:c>
      <ns0:c r="D72" s="2" t="inlineStr">
        <ns0:is>
          <ns0:t>06:58</ns0:t>
        </ns0:is>
      </ns0:c>
      <ns0:c r="E72" s="2" t="inlineStr">
        <ns0:is>
          <ns0:t>07:13</ns0:t>
        </ns0:is>
      </ns0:c>
      <ns0:c r="F72" s="2" t="inlineStr">
        <ns0:is>
          <ns0:t>P5</ns0:t>
        </ns0:is>
      </ns0:c>
    </ns0:row>
    <ns0:row r="73">
      <ns0:c r="A73" s="2" t="inlineStr">
        <ns0:is>
          <ns0:t>PLAN-BAG-H</ns0:t>
        </ns0:is>
      </ns0:c>
      <ns0:c r="B73" s="2" t="inlineStr">
        <ns0:is>
          <ns0:t>2</ns0:t>
        </ns0:is>
      </ns0:c>
      <ns0:c r="C73" s="2" t="inlineStr">
        <ns0:is>
          <ns0:t>Rack/tray set</ns0:t>
        </ns0:is>
      </ns0:c>
      <ns0:c r="D73" s="2" t="inlineStr">
        <ns0:is>
          <ns0:t>04:23</ns0:t>
        </ns0:is>
      </ns0:c>
      <ns0:c r="E73" s="2" t="inlineStr">
        <ns0:is>
          <ns0:t>07:23</ns0:t>
        </ns0:is>
      </ns0:c>
      <ns0:c r="F73" s="2" t="inlineStr">
        <ns0:is>
          <ns0:t>Shared</ns0:t>
        </ns0:is>
      </ns0:c>
    </ns0:row>
    <ns0:row r="74">
      <ns0:c r="A74" s="2" t="inlineStr">
        <ns0:is>
          <ns0:t>PLAN-BAG-H</ns0:t>
        </ns0:is>
      </ns0:c>
      <ns0:c r="B74" s="2" t="inlineStr">
        <ns0:is>
          <ns0:t>3</ns0:t>
        </ns0:is>
      </ns0:c>
      <ns0:c r="C74" s="2" t="inlineStr">
        <ns0:is>
          <ns0:t>Mixer</ns0:t>
        </ns0:is>
      </ns0:c>
      <ns0:c r="D74" s="2" t="inlineStr">
        <ns0:is>
          <ns0:t>03:50</ns0:t>
        </ns0:is>
      </ns0:c>
      <ns0:c r="E74" s="2" t="inlineStr">
        <ns0:is>
          <ns0:t>04:15</ns0:t>
        </ns0:is>
      </ns0:c>
      <ns0:c r="F74" s="2" t="inlineStr">
        <ns0:is>
          <ns0:t>M1</ns0:t>
        </ns0:is>
      </ns0:c>
    </ns0:row>
    <ns0:row r="75">
      <ns0:c r="A75" s="2" t="inlineStr">
        <ns0:is>
          <ns0:t>PLAN-BAG-H</ns0:t>
        </ns0:is>
      </ns0:c>
      <ns0:c r="B75" s="2" t="inlineStr">
        <ns0:is>
          <ns0:t>3</ns0:t>
        </ns0:is>
      </ns0:c>
      <ns0:c r="C75" s="2" t="inlineStr">
        <ns0:is>
          <ns0:t>M1 weighing/mix/clean</ns0:t>
        </ns0:is>
      </ns0:c>
      <ns0:c r="D75" s="2" t="inlineStr">
        <ns0:is>
          <ns0:t>03:40</ns0:t>
        </ns0:is>
      </ns0:c>
      <ns0:c r="E75" s="2" t="inlineStr">
        <ns0:is>
          <ns0:t>04:15</ns0:t>
        </ns0:is>
      </ns0:c>
      <ns0:c r="F75" s="2" t="inlineStr">
        <ns0:is>
          <ns0:t>M1</ns0:t>
        </ns0:is>
      </ns0:c>
    </ns0:row>
    <ns0:row r="76">
      <ns0:c r="A76" s="2" t="inlineStr">
        <ns0:is>
          <ns0:t>PLAN-BAG-H</ns0:t>
        </ns0:is>
      </ns0:c>
      <ns0:c r="B76" s="2" t="inlineStr">
        <ns0:is>
          <ns0:t>3</ns0:t>
        </ns0:is>
      </ns0:c>
      <ns0:c r="C76" s="2" t="inlineStr">
        <ns0:is>
          <ns0:t>Division bench</ns0:t>
        </ns0:is>
      </ns0:c>
      <ns0:c r="D76" s="2" t="inlineStr">
        <ns0:is>
          <ns0:t>04:53</ns0:t>
        </ns0:is>
      </ns0:c>
      <ns0:c r="E76" s="2" t="inlineStr">
        <ns0:is>
          <ns0:t>05:13</ns0:t>
        </ns0:is>
      </ns0:c>
      <ns0:c r="F76" s="2" t="inlineStr">
        <ns0:is>
          <ns0:t>D2</ns0:t>
        </ns0:is>
      </ns0:c>
    </ns0:row>
    <ns0:row r="77">
      <ns0:c r="A77" s="2" t="inlineStr">
        <ns0:is>
          <ns0:t>PLAN-BAG-H</ns0:t>
        </ns0:is>
      </ns0:c>
      <ns0:c r="B77" s="2" t="inlineStr">
        <ns0:is>
          <ns0:t>3</ns0:t>
        </ns0:is>
      </ns0:c>
      <ns0:c r="C77" s="2" t="inlineStr">
        <ns0:is>
          <ns0:t>Moulder bench</ns0:t>
        </ns0:is>
      </ns0:c>
      <ns0:c r="D77" s="2" t="inlineStr">
        <ns0:is>
          <ns0:t>05:08</ns0:t>
        </ns0:is>
      </ns0:c>
      <ns0:c r="E77" s="2" t="inlineStr">
        <ns0:is>
          <ns0:t>05:28</ns0:t>
        </ns0:is>
      </ns0:c>
      <ns0:c r="F77" s="2" t="inlineStr">
        <ns0:is>
          <ns0:t>F3</ns0:t>
        </ns0:is>
      </ns0:c>
    </ns0:row>
    <ns0:row r="78">
      <ns0:c r="A78" s="2" t="inlineStr">
        <ns0:is>
          <ns0:t>PLAN-BAG-H</ns0:t>
        </ns0:is>
      </ns0:c>
      <ns0:c r="B78" s="2" t="inlineStr">
        <ns0:is>
          <ns0:t>3</ns0:t>
        </ns0:is>
      </ns0:c>
      <ns0:c r="C78" s="2" t="inlineStr">
        <ns0:is>
          <ns0:t>Proof bay 1</ns0:t>
        </ns0:is>
      </ns0:c>
      <ns0:c r="D78" s="2" t="inlineStr">
        <ns0:is>
          <ns0:t>05:23</ns0:t>
        </ns0:is>
      </ns0:c>
      <ns0:c r="E78" s="2" t="inlineStr">
        <ns0:is>
          <ns0:t>06:28</ns0:t>
        </ns0:is>
      </ns0:c>
      <ns0:c r="F78" s="2" t="inlineStr">
        <ns0:is>
          <ns0:t>Monitored by O4</ns0:t>
        </ns0:is>
      </ns0:c>
    </ns0:row>
    <ns0:row r="79">
      <ns0:c r="A79" s="2" t="inlineStr">
        <ns0:is>
          <ns0:t>PLAN-BAG-H</ns0:t>
        </ns0:is>
      </ns0:c>
      <ns0:c r="B79" s="2" t="inlineStr">
        <ns0:is>
          <ns0:t>3</ns0:t>
        </ns0:is>
      </ns0:c>
      <ns0:c r="C79" s="2" t="inlineStr">
        <ns0:is>
          <ns0:t>Oven booking</ns0:t>
        </ns0:is>
      </ns0:c>
      <ns0:c r="D79" s="2" t="inlineStr">
        <ns0:is>
          <ns0:t>06:23</ns0:t>
        </ns0:is>
      </ns0:c>
      <ns0:c r="E79" s="2" t="inlineStr">
        <ns0:is>
          <ns0:t>07:03</ns0:t>
        </ns0:is>
      </ns0:c>
      <ns0:c r="F79" s="2" t="inlineStr">
        <ns0:is>
          <ns0:t>O4</ns0:t>
        </ns0:is>
      </ns0:c>
    </ns0:row>
    <ns0:row r="80">
      <ns0:c r="A80" s="2" t="inlineStr">
        <ns0:is>
          <ns0:t>PLAN-BAG-H</ns0:t>
        </ns0:is>
      </ns0:c>
      <ns0:c r="B80" s="2" t="inlineStr">
        <ns0:is>
          <ns0:t>3</ns0:t>
        </ns0:is>
      </ns0:c>
      <ns0:c r="C80" s="2" t="inlineStr">
        <ns0:is>
          <ns0:t>Packing station</ns0:t>
        </ns0:is>
      </ns0:c>
      <ns0:c r="D80" s="2" t="inlineStr">
        <ns0:is>
          <ns0:t>07:43</ns0:t>
        </ns0:is>
      </ns0:c>
      <ns0:c r="E80" s="2" t="inlineStr">
        <ns0:is>
          <ns0:t>07:58</ns0:t>
        </ns0:is>
      </ns0:c>
      <ns0:c r="F80" s="2" t="inlineStr">
        <ns0:is>
          <ns0:t>P5</ns0:t>
        </ns0:is>
      </ns0:c>
    </ns0:row>
    <ns0:row r="81">
      <ns0:c r="A81" s="2" t="inlineStr">
        <ns0:is>
          <ns0:t>PLAN-BAG-H</ns0:t>
        </ns0:is>
      </ns0:c>
      <ns0:c r="B81" s="2" t="inlineStr">
        <ns0:is>
          <ns0:t>3</ns0:t>
        </ns0:is>
      </ns0:c>
      <ns0:c r="C81" s="2" t="inlineStr">
        <ns0:is>
          <ns0:t>Rack/tray set</ns0:t>
        </ns0:is>
      </ns0:c>
      <ns0:c r="D81" s="2" t="inlineStr">
        <ns0:is>
          <ns0:t>05:08</ns0:t>
        </ns0:is>
      </ns0:c>
      <ns0:c r="E81" s="2" t="inlineStr">
        <ns0:is>
          <ns0:t>08:08</ns0:t>
        </ns0:is>
      </ns0:c>
      <ns0:c r="F81" s="2" t="inlineStr">
        <ns0:is>
          <ns0:t>Shared</ns0:t>
        </ns0:is>
      </ns0:c>
    </ns0:row>
    <ns0:row r="82">
      <ns0:c r="A82" s="2" t="inlineStr">
        <ns0:is>
          <ns0:t>PLAN-BAG-H</ns0:t>
        </ns0:is>
      </ns0:c>
      <ns0:c r="B82" s="2" t="inlineStr">
        <ns0:is>
          <ns0:t>4</ns0:t>
        </ns0:is>
      </ns0:c>
      <ns0:c r="C82" s="2" t="inlineStr">
        <ns0:is>
          <ns0:t>Mixer</ns0:t>
        </ns0:is>
      </ns0:c>
      <ns0:c r="D82" s="2" t="inlineStr">
        <ns0:is>
          <ns0:t>04:35</ns0:t>
        </ns0:is>
      </ns0:c>
      <ns0:c r="E82" s="2" t="inlineStr">
        <ns0:is>
          <ns0:t>05:00</ns0:t>
        </ns0:is>
      </ns0:c>
      <ns0:c r="F82" s="2" t="inlineStr">
        <ns0:is>
          <ns0:t>M1</ns0:t>
        </ns0:is>
      </ns0:c>
    </ns0:row>
    <ns0:row r="83">
      <ns0:c r="A83" s="2" t="inlineStr">
        <ns0:is>
          <ns0:t>PLAN-BAG-H</ns0:t>
        </ns0:is>
      </ns0:c>
      <ns0:c r="B83" s="2" t="inlineStr">
        <ns0:is>
          <ns0:t>4</ns0:t>
        </ns0:is>
      </ns0:c>
      <ns0:c r="C83" s="2" t="inlineStr">
        <ns0:is>
          <ns0:t>M1 weighing/mix/clean</ns0:t>
        </ns0:is>
      </ns0:c>
      <ns0:c r="D83" s="2" t="inlineStr">
        <ns0:is>
          <ns0:t>04:25</ns0:t>
        </ns0:is>
      </ns0:c>
      <ns0:c r="E83" s="2" t="inlineStr">
        <ns0:is>
          <ns0:t>05:00</ns0:t>
        </ns0:is>
      </ns0:c>
      <ns0:c r="F83" s="2" t="inlineStr">
        <ns0:is>
          <ns0:t>Relief R6</ns0:t>
        </ns0:is>
      </ns0:c>
    </ns0:row>
    <ns0:row r="84">
      <ns0:c r="A84" s="2" t="inlineStr">
        <ns0:is>
          <ns0:t>PLAN-BAG-H</ns0:t>
        </ns0:is>
      </ns0:c>
      <ns0:c r="B84" s="2" t="inlineStr">
        <ns0:is>
          <ns0:t>4</ns0:t>
        </ns0:is>
      </ns0:c>
      <ns0:c r="C84" s="2" t="inlineStr">
        <ns0:is>
          <ns0:t>Division bench</ns0:t>
        </ns0:is>
      </ns0:c>
      <ns0:c r="D84" s="2" t="inlineStr">
        <ns0:is>
          <ns0:t>05:38</ns0:t>
        </ns0:is>
      </ns0:c>
      <ns0:c r="E84" s="2" t="inlineStr">
        <ns0:is>
          <ns0:t>05:58</ns0:t>
        </ns0:is>
      </ns0:c>
      <ns0:c r="F84" s="2" t="inlineStr">
        <ns0:is>
          <ns0:t>D2</ns0:t>
        </ns0:is>
      </ns0:c>
    </ns0:row>
    <ns0:row r="85">
      <ns0:c r="A85" s="2" t="inlineStr">
        <ns0:is>
          <ns0:t>PLAN-BAG-H</ns0:t>
        </ns0:is>
      </ns0:c>
      <ns0:c r="B85" s="2" t="inlineStr">
        <ns0:is>
          <ns0:t>4</ns0:t>
        </ns0:is>
      </ns0:c>
      <ns0:c r="C85" s="2" t="inlineStr">
        <ns0:is>
          <ns0:t>Moulder bench</ns0:t>
        </ns0:is>
      </ns0:c>
      <ns0:c r="D85" s="2" t="inlineStr">
        <ns0:is>
          <ns0:t>05:53</ns0:t>
        </ns0:is>
      </ns0:c>
      <ns0:c r="E85" s="2" t="inlineStr">
        <ns0:is>
          <ns0:t>06:13</ns0:t>
        </ns0:is>
      </ns0:c>
      <ns0:c r="F85" s="2" t="inlineStr">
        <ns0:is>
          <ns0:t>F3</ns0:t>
        </ns0:is>
      </ns0:c>
    </ns0:row>
    <ns0:row r="86">
      <ns0:c r="A86" s="2" t="inlineStr">
        <ns0:is>
          <ns0:t>PLAN-BAG-H</ns0:t>
        </ns0:is>
      </ns0:c>
      <ns0:c r="B86" s="2" t="inlineStr">
        <ns0:is>
          <ns0:t>4</ns0:t>
        </ns0:is>
      </ns0:c>
      <ns0:c r="C86" s="2" t="inlineStr">
        <ns0:is>
          <ns0:t>Proof bay 2</ns0:t>
        </ns0:is>
      </ns0:c>
      <ns0:c r="D86" s="2" t="inlineStr">
        <ns0:is>
          <ns0:t>06:08</ns0:t>
        </ns0:is>
      </ns0:c>
      <ns0:c r="E86" s="2" t="inlineStr">
        <ns0:is>
          <ns0:t>07:13</ns0:t>
        </ns0:is>
      </ns0:c>
      <ns0:c r="F86" s="2" t="inlineStr">
        <ns0:is>
          <ns0:t>Monitored by O4</ns0:t>
        </ns0:is>
      </ns0:c>
    </ns0:row>
    <ns0:row r="87">
      <ns0:c r="A87" s="2" t="inlineStr">
        <ns0:is>
          <ns0:t>PLAN-BAG-H</ns0:t>
        </ns0:is>
      </ns0:c>
      <ns0:c r="B87" s="2" t="inlineStr">
        <ns0:is>
          <ns0:t>4</ns0:t>
        </ns0:is>
      </ns0:c>
      <ns0:c r="C87" s="2" t="inlineStr">
        <ns0:is>
          <ns0:t>Oven booking</ns0:t>
        </ns0:is>
      </ns0:c>
      <ns0:c r="D87" s="2" t="inlineStr">
        <ns0:is>
          <ns0:t>07:08</ns0:t>
        </ns0:is>
      </ns0:c>
      <ns0:c r="E87" s="2" t="inlineStr">
        <ns0:is>
          <ns0:t>07:48</ns0:t>
        </ns0:is>
      </ns0:c>
      <ns0:c r="F87" s="2" t="inlineStr">
        <ns0:is>
          <ns0:t>O4</ns0:t>
        </ns0:is>
      </ns0:c>
    </ns0:row>
    <ns0:row r="88">
      <ns0:c r="A88" s="2" t="inlineStr">
        <ns0:is>
          <ns0:t>PLAN-BAG-H</ns0:t>
        </ns0:is>
      </ns0:c>
      <ns0:c r="B88" s="2" t="inlineStr">
        <ns0:is>
          <ns0:t>4</ns0:t>
        </ns0:is>
      </ns0:c>
      <ns0:c r="C88" s="2" t="inlineStr">
        <ns0:is>
          <ns0:t>Packing station</ns0:t>
        </ns0:is>
      </ns0:c>
      <ns0:c r="D88" s="2" t="inlineStr">
        <ns0:is>
          <ns0:t>08:28</ns0:t>
        </ns0:is>
      </ns0:c>
      <ns0:c r="E88" s="2" t="inlineStr">
        <ns0:is>
          <ns0:t>08:43</ns0:t>
        </ns0:is>
      </ns0:c>
      <ns0:c r="F88" s="2" t="inlineStr">
        <ns0:is>
          <ns0:t>P5</ns0:t>
        </ns0:is>
      </ns0:c>
    </ns0:row>
    <ns0:row r="89">
      <ns0:c r="A89" s="2" t="inlineStr">
        <ns0:is>
          <ns0:t>PLAN-BAG-H</ns0:t>
        </ns0:is>
      </ns0:c>
      <ns0:c r="B89" s="2" t="inlineStr">
        <ns0:is>
          <ns0:t>4</ns0:t>
        </ns0:is>
      </ns0:c>
      <ns0:c r="C89" s="2" t="inlineStr">
        <ns0:is>
          <ns0:t>Rack/tray set</ns0:t>
        </ns0:is>
      </ns0:c>
      <ns0:c r="D89" s="2" t="inlineStr">
        <ns0:is>
          <ns0:t>05:53</ns0:t>
        </ns0:is>
      </ns0:c>
      <ns0:c r="E89" s="2" t="inlineStr">
        <ns0:is>
          <ns0:t>08:53</ns0:t>
        </ns0:is>
      </ns0:c>
      <ns0:c r="F89" s="2" t="inlineStr">
        <ns0:is>
          <ns0:t>Shared</ns0:t>
        </ns0:is>
      </ns0:c>
    </ns0:row>
    <ns0:row r="90">
      <ns0:c r="A90" s="2" t="inlineStr">
        <ns0:is>
          <ns0:t>PLAN-BAG-H</ns0:t>
        </ns0:is>
      </ns0:c>
      <ns0:c r="B90" s="2" t="inlineStr">
        <ns0:is>
          <ns0:t>5</ns0:t>
        </ns0:is>
      </ns0:c>
      <ns0:c r="C90" s="2" t="inlineStr">
        <ns0:is>
          <ns0:t>Mixer</ns0:t>
        </ns0:is>
      </ns0:c>
      <ns0:c r="D90" s="2" t="inlineStr">
        <ns0:is>
          <ns0:t>05:20</ns0:t>
        </ns0:is>
      </ns0:c>
      <ns0:c r="E90" s="2" t="inlineStr">
        <ns0:is>
          <ns0:t>05:45</ns0:t>
        </ns0:is>
      </ns0:c>
      <ns0:c r="F90" s="2" t="inlineStr">
        <ns0:is>
          <ns0:t>M1</ns0:t>
        </ns0:is>
      </ns0:c>
    </ns0:row>
    <ns0:row r="91">
      <ns0:c r="A91" s="2" t="inlineStr">
        <ns0:is>
          <ns0:t>PLAN-BAG-H</ns0:t>
        </ns0:is>
      </ns0:c>
      <ns0:c r="B91" s="2" t="inlineStr">
        <ns0:is>
          <ns0:t>5</ns0:t>
        </ns0:is>
      </ns0:c>
      <ns0:c r="C91" s="2" t="inlineStr">
        <ns0:is>
          <ns0:t>M1 weighing/mix/clean</ns0:t>
        </ns0:is>
      </ns0:c>
      <ns0:c r="D91" s="2" t="inlineStr">
        <ns0:is>
          <ns0:t>05:10</ns0:t>
        </ns0:is>
      </ns0:c>
      <ns0:c r="E91" s="2" t="inlineStr">
        <ns0:is>
          <ns0:t>05:45</ns0:t>
        </ns0:is>
      </ns0:c>
      <ns0:c r="F91" s="2" t="inlineStr">
        <ns0:is>
          <ns0:t>M1</ns0:t>
        </ns0:is>
      </ns0:c>
    </ns0:row>
    <ns0:row r="92">
      <ns0:c r="A92" s="2" t="inlineStr">
        <ns0:is>
          <ns0:t>PLAN-BAG-H</ns0:t>
        </ns0:is>
      </ns0:c>
      <ns0:c r="B92" s="2" t="inlineStr">
        <ns0:is>
          <ns0:t>5</ns0:t>
        </ns0:is>
      </ns0:c>
      <ns0:c r="C92" s="2" t="inlineStr">
        <ns0:is>
          <ns0:t>Division bench</ns0:t>
        </ns0:is>
      </ns0:c>
      <ns0:c r="D92" s="2" t="inlineStr">
        <ns0:is>
          <ns0:t>06:23</ns0:t>
        </ns0:is>
      </ns0:c>
      <ns0:c r="E92" s="2" t="inlineStr">
        <ns0:is>
          <ns0:t>06:43</ns0:t>
        </ns0:is>
      </ns0:c>
      <ns0:c r="F92" s="2" t="inlineStr">
        <ns0:is>
          <ns0:t>D2</ns0:t>
        </ns0:is>
      </ns0:c>
    </ns0:row>
    <ns0:row r="93">
      <ns0:c r="A93" s="2" t="inlineStr">
        <ns0:is>
          <ns0:t>PLAN-BAG-H</ns0:t>
        </ns0:is>
      </ns0:c>
      <ns0:c r="B93" s="2" t="inlineStr">
        <ns0:is>
          <ns0:t>5</ns0:t>
        </ns0:is>
      </ns0:c>
      <ns0:c r="C93" s="2" t="inlineStr">
        <ns0:is>
          <ns0:t>Moulder bench</ns0:t>
        </ns0:is>
      </ns0:c>
      <ns0:c r="D93" s="2" t="inlineStr">
        <ns0:is>
          <ns0:t>06:38</ns0:t>
        </ns0:is>
      </ns0:c>
      <ns0:c r="E93" s="2" t="inlineStr">
        <ns0:is>
          <ns0:t>06:58</ns0:t>
        </ns0:is>
      </ns0:c>
      <ns0:c r="F93" s="2" t="inlineStr">
        <ns0:is>
          <ns0:t>F3</ns0:t>
        </ns0:is>
      </ns0:c>
    </ns0:row>
    <ns0:row r="94">
      <ns0:c r="A94" s="2" t="inlineStr">
        <ns0:is>
          <ns0:t>PLAN-BAG-H</ns0:t>
        </ns0:is>
      </ns0:c>
      <ns0:c r="B94" s="2" t="inlineStr">
        <ns0:is>
          <ns0:t>5</ns0:t>
        </ns0:is>
      </ns0:c>
      <ns0:c r="C94" s="2" t="inlineStr">
        <ns0:is>
          <ns0:t>Proof bay 1</ns0:t>
        </ns0:is>
      </ns0:c>
      <ns0:c r="D94" s="2" t="inlineStr">
        <ns0:is>
          <ns0:t>06:53</ns0:t>
        </ns0:is>
      </ns0:c>
      <ns0:c r="E94" s="2" t="inlineStr">
        <ns0:is>
          <ns0:t>07:58</ns0:t>
        </ns0:is>
      </ns0:c>
      <ns0:c r="F94" s="2" t="inlineStr">
        <ns0:is>
          <ns0:t>Monitored by O4</ns0:t>
        </ns0:is>
      </ns0:c>
    </ns0:row>
    <ns0:row r="95">
      <ns0:c r="A95" s="2" t="inlineStr">
        <ns0:is>
          <ns0:t>PLAN-BAG-H</ns0:t>
        </ns0:is>
      </ns0:c>
      <ns0:c r="B95" s="2" t="inlineStr">
        <ns0:is>
          <ns0:t>5</ns0:t>
        </ns0:is>
      </ns0:c>
      <ns0:c r="C95" s="2" t="inlineStr">
        <ns0:is>
          <ns0:t>Oven booking</ns0:t>
        </ns0:is>
      </ns0:c>
      <ns0:c r="D95" s="2" t="inlineStr">
        <ns0:is>
          <ns0:t>07:53</ns0:t>
        </ns0:is>
      </ns0:c>
      <ns0:c r="E95" s="2" t="inlineStr">
        <ns0:is>
          <ns0:t>08:33</ns0:t>
        </ns0:is>
      </ns0:c>
      <ns0:c r="F95" s="2" t="inlineStr">
        <ns0:is>
          <ns0:t>O4</ns0:t>
        </ns0:is>
      </ns0:c>
    </ns0:row>
    <ns0:row r="96">
      <ns0:c r="A96" s="2" t="inlineStr">
        <ns0:is>
          <ns0:t>PLAN-BAG-H</ns0:t>
        </ns0:is>
      </ns0:c>
      <ns0:c r="B96" s="2" t="inlineStr">
        <ns0:is>
          <ns0:t>5</ns0:t>
        </ns0:is>
      </ns0:c>
      <ns0:c r="C96" s="2" t="inlineStr">
        <ns0:is>
          <ns0:t>Packing station</ns0:t>
        </ns0:is>
      </ns0:c>
      <ns0:c r="D96" s="2" t="inlineStr">
        <ns0:is>
          <ns0:t>09:13</ns0:t>
        </ns0:is>
      </ns0:c>
      <ns0:c r="E96" s="2" t="inlineStr">
        <ns0:is>
          <ns0:t>09:28</ns0:t>
        </ns0:is>
      </ns0:c>
      <ns0:c r="F96" s="2" t="inlineStr">
        <ns0:is>
          <ns0:t>P5</ns0:t>
        </ns0:is>
      </ns0:c>
    </ns0:row>
    <ns0:row r="97">
      <ns0:c r="A97" s="2" t="inlineStr">
        <ns0:is>
          <ns0:t>PLAN-BAG-H</ns0:t>
        </ns0:is>
      </ns0:c>
      <ns0:c r="B97" s="2" t="inlineStr">
        <ns0:is>
          <ns0:t>5</ns0:t>
        </ns0:is>
      </ns0:c>
      <ns0:c r="C97" s="2" t="inlineStr">
        <ns0:is>
          <ns0:t>Rack/tray set</ns0:t>
        </ns0:is>
      </ns0:c>
      <ns0:c r="D97" s="2" t="inlineStr">
        <ns0:is>
          <ns0:t>06:38</ns0:t>
        </ns0:is>
      </ns0:c>
      <ns0:c r="E97" s="2" t="inlineStr">
        <ns0:is>
          <ns0:t>09:38</ns0:t>
        </ns0:is>
      </ns0:c>
      <ns0:c r="F97" s="2" t="inlineStr">
        <ns0:is>
          <ns0:t>Shared</ns0:t>
        </ns0:is>
      </ns0:c>
    </ns0:row>
    <ns0:row r="98">
      <ns0:c r="A98" s="2" t="inlineStr">
        <ns0:is>
          <ns0:t>PLAN-BAG-H</ns0:t>
        </ns0:is>
      </ns0:c>
      <ns0:c r="B98" s="2" t="inlineStr">
        <ns0:is>
          <ns0:t>6</ns0:t>
        </ns0:is>
      </ns0:c>
      <ns0:c r="C98" s="2" t="inlineStr">
        <ns0:is>
          <ns0:t>Mixer</ns0:t>
        </ns0:is>
      </ns0:c>
      <ns0:c r="D98" s="2" t="inlineStr">
        <ns0:is>
          <ns0:t>06:05</ns0:t>
        </ns0:is>
      </ns0:c>
      <ns0:c r="E98" s="2" t="inlineStr">
        <ns0:is>
          <ns0:t>06:30</ns0:t>
        </ns0:is>
      </ns0:c>
      <ns0:c r="F98" s="2" t="inlineStr">
        <ns0:is>
          <ns0:t>M1</ns0:t>
        </ns0:is>
      </ns0:c>
    </ns0:row>
    <ns0:row r="99">
      <ns0:c r="A99" s="2" t="inlineStr">
        <ns0:is>
          <ns0:t>PLAN-BAG-H</ns0:t>
        </ns0:is>
      </ns0:c>
      <ns0:c r="B99" s="2" t="inlineStr">
        <ns0:is>
          <ns0:t>6</ns0:t>
        </ns0:is>
      </ns0:c>
      <ns0:c r="C99" s="2" t="inlineStr">
        <ns0:is>
          <ns0:t>M1 weighing/mix/clean</ns0:t>
        </ns0:is>
      </ns0:c>
      <ns0:c r="D99" s="2" t="inlineStr">
        <ns0:is>
          <ns0:t>05:55</ns0:t>
        </ns0:is>
      </ns0:c>
      <ns0:c r="E99" s="2" t="inlineStr">
        <ns0:is>
          <ns0:t>06:30</ns0:t>
        </ns0:is>
      </ns0:c>
      <ns0:c r="F99" s="2" t="inlineStr">
        <ns0:is>
          <ns0:t>M1</ns0:t>
        </ns0:is>
      </ns0:c>
    </ns0:row>
    <ns0:row r="100">
      <ns0:c r="A100" s="2" t="inlineStr">
        <ns0:is>
          <ns0:t>PLAN-BAG-H</ns0:t>
        </ns0:is>
      </ns0:c>
      <ns0:c r="B100" s="2" t="inlineStr">
        <ns0:is>
          <ns0:t>6</ns0:t>
        </ns0:is>
      </ns0:c>
      <ns0:c r="C100" s="2" t="inlineStr">
        <ns0:is>
          <ns0:t>Division bench</ns0:t>
        </ns0:is>
      </ns0:c>
      <ns0:c r="D100" s="2" t="inlineStr">
        <ns0:is>
          <ns0:t>07:08</ns0:t>
        </ns0:is>
      </ns0:c>
      <ns0:c r="E100" s="2" t="inlineStr">
        <ns0:is>
          <ns0:t>07:28</ns0:t>
        </ns0:is>
      </ns0:c>
      <ns0:c r="F100" s="2" t="inlineStr">
        <ns0:is>
          <ns0:t>D2</ns0:t>
        </ns0:is>
      </ns0:c>
    </ns0:row>
    <ns0:row r="101">
      <ns0:c r="A101" s="2" t="inlineStr">
        <ns0:is>
          <ns0:t>PLAN-BAG-H</ns0:t>
        </ns0:is>
      </ns0:c>
      <ns0:c r="B101" s="2" t="inlineStr">
        <ns0:is>
          <ns0:t>6</ns0:t>
        </ns0:is>
      </ns0:c>
      <ns0:c r="C101" s="2" t="inlineStr">
        <ns0:is>
          <ns0:t>Moulder bench</ns0:t>
        </ns0:is>
      </ns0:c>
      <ns0:c r="D101" s="2" t="inlineStr">
        <ns0:is>
          <ns0:t>07:23</ns0:t>
        </ns0:is>
      </ns0:c>
      <ns0:c r="E101" s="2" t="inlineStr">
        <ns0:is>
          <ns0:t>07:43</ns0:t>
        </ns0:is>
      </ns0:c>
      <ns0:c r="F101" s="2" t="inlineStr">
        <ns0:is>
          <ns0:t>F3</ns0:t>
        </ns0:is>
      </ns0:c>
    </ns0:row>
    <ns0:row r="102">
      <ns0:c r="A102" s="2" t="inlineStr">
        <ns0:is>
          <ns0:t>PLAN-BAG-H</ns0:t>
        </ns0:is>
      </ns0:c>
      <ns0:c r="B102" s="2" t="inlineStr">
        <ns0:is>
          <ns0:t>6</ns0:t>
        </ns0:is>
      </ns0:c>
      <ns0:c r="C102" s="2" t="inlineStr">
        <ns0:is>
          <ns0:t>Proof bay 2</ns0:t>
        </ns0:is>
      </ns0:c>
      <ns0:c r="D102" s="2" t="inlineStr">
        <ns0:is>
          <ns0:t>07:38</ns0:t>
        </ns0:is>
      </ns0:c>
      <ns0:c r="E102" s="2" t="inlineStr">
        <ns0:is>
          <ns0:t>08:43</ns0:t>
        </ns0:is>
      </ns0:c>
      <ns0:c r="F102" s="2" t="inlineStr">
        <ns0:is>
          <ns0:t>Monitored by O4</ns0:t>
        </ns0:is>
      </ns0:c>
    </ns0:row>
    <ns0:row r="103">
      <ns0:c r="A103" s="2" t="inlineStr">
        <ns0:is>
          <ns0:t>PLAN-BAG-H</ns0:t>
        </ns0:is>
      </ns0:c>
      <ns0:c r="B103" s="2" t="inlineStr">
        <ns0:is>
          <ns0:t>6</ns0:t>
        </ns0:is>
      </ns0:c>
      <ns0:c r="C103" s="2" t="inlineStr">
        <ns0:is>
          <ns0:t>Oven booking</ns0:t>
        </ns0:is>
      </ns0:c>
      <ns0:c r="D103" s="2" t="inlineStr">
        <ns0:is>
          <ns0:t>08:38</ns0:t>
        </ns0:is>
      </ns0:c>
      <ns0:c r="E103" s="2" t="inlineStr">
        <ns0:is>
          <ns0:t>09:18</ns0:t>
        </ns0:is>
      </ns0:c>
      <ns0:c r="F103" s="2" t="inlineStr">
        <ns0:is>
          <ns0:t>O4</ns0:t>
        </ns0:is>
      </ns0:c>
    </ns0:row>
    <ns0:row r="104">
      <ns0:c r="A104" s="2" t="inlineStr">
        <ns0:is>
          <ns0:t>PLAN-BAG-H</ns0:t>
        </ns0:is>
      </ns0:c>
      <ns0:c r="B104" s="2" t="inlineStr">
        <ns0:is>
          <ns0:t>6</ns0:t>
        </ns0:is>
      </ns0:c>
      <ns0:c r="C104" s="2" t="inlineStr">
        <ns0:is>
          <ns0:t>Packing station</ns0:t>
        </ns0:is>
      </ns0:c>
      <ns0:c r="D104" s="2" t="inlineStr">
        <ns0:is>
          <ns0:t>09:58</ns0:t>
        </ns0:is>
      </ns0:c>
      <ns0:c r="E104" s="2" t="inlineStr">
        <ns0:is>
          <ns0:t>10:13</ns0:t>
        </ns0:is>
      </ns0:c>
      <ns0:c r="F104" s="2" t="inlineStr">
        <ns0:is>
          <ns0:t>P5</ns0:t>
        </ns0:is>
      </ns0:c>
    </ns0:row>
    <ns0:row r="105">
      <ns0:c r="A105" s="2" t="inlineStr">
        <ns0:is>
          <ns0:t>PLAN-BAG-H</ns0:t>
        </ns0:is>
      </ns0:c>
      <ns0:c r="B105" s="2" t="inlineStr">
        <ns0:is>
          <ns0:t>6</ns0:t>
        </ns0:is>
      </ns0:c>
      <ns0:c r="C105" s="2" t="inlineStr">
        <ns0:is>
          <ns0:t>Rack/tray set</ns0:t>
        </ns0:is>
      </ns0:c>
      <ns0:c r="D105" s="2" t="inlineStr">
        <ns0:is>
          <ns0:t>07:23</ns0:t>
        </ns0:is>
      </ns0:c>
      <ns0:c r="E105" s="2" t="inlineStr">
        <ns0:is>
          <ns0:t>10:23</ns0:t>
        </ns0:is>
      </ns0:c>
      <ns0:c r="F105" s="2" t="inlineStr">
        <ns0:is>
          <ns0:t>Shared</ns0:t>
        </ns0:is>
      </ns0:c>
    </ns0:row>
    <ns0:row r="106">
      <ns0:c r="A106" s="2" t="inlineStr">
        <ns0:is>
          <ns0:t>PLAN-BAG-H</ns0:t>
        </ns0:is>
      </ns0:c>
      <ns0:c r="B106" s="2" t="inlineStr">
        <ns0:is>
          <ns0:t>7</ns0:t>
        </ns0:is>
      </ns0:c>
      <ns0:c r="C106" s="2" t="inlineStr">
        <ns0:is>
          <ns0:t>Mixer</ns0:t>
        </ns0:is>
      </ns0:c>
      <ns0:c r="D106" s="2" t="inlineStr">
        <ns0:is>
          <ns0:t>06:50</ns0:t>
        </ns0:is>
      </ns0:c>
      <ns0:c r="E106" s="2" t="inlineStr">
        <ns0:is>
          <ns0:t>07:15</ns0:t>
        </ns0:is>
      </ns0:c>
      <ns0:c r="F106" s="2" t="inlineStr">
        <ns0:is>
          <ns0:t>M1</ns0:t>
        </ns0:is>
      </ns0:c>
    </ns0:row>
    <ns0:row r="107">
      <ns0:c r="A107" s="2" t="inlineStr">
        <ns0:is>
          <ns0:t>PLAN-BAG-H</ns0:t>
        </ns0:is>
      </ns0:c>
      <ns0:c r="B107" s="2" t="inlineStr">
        <ns0:is>
          <ns0:t>7</ns0:t>
        </ns0:is>
      </ns0:c>
      <ns0:c r="C107" s="2" t="inlineStr">
        <ns0:is>
          <ns0:t>M1 weighing/mix/clean</ns0:t>
        </ns0:is>
      </ns0:c>
      <ns0:c r="D107" s="2" t="inlineStr">
        <ns0:is>
          <ns0:t>06:40</ns0:t>
        </ns0:is>
      </ns0:c>
      <ns0:c r="E107" s="2" t="inlineStr">
        <ns0:is>
          <ns0:t>07:15</ns0:t>
        </ns0:is>
      </ns0:c>
      <ns0:c r="F107" s="2" t="inlineStr">
        <ns0:is>
          <ns0:t>M1</ns0:t>
        </ns0:is>
      </ns0:c>
    </ns0:row>
    <ns0:row r="108">
      <ns0:c r="A108" s="2" t="inlineStr">
        <ns0:is>
          <ns0:t>PLAN-BAG-H</ns0:t>
        </ns0:is>
      </ns0:c>
      <ns0:c r="B108" s="2" t="inlineStr">
        <ns0:is>
          <ns0:t>7</ns0:t>
        </ns0:is>
      </ns0:c>
      <ns0:c r="C108" s="2" t="inlineStr">
        <ns0:is>
          <ns0:t>Division bench</ns0:t>
        </ns0:is>
      </ns0:c>
      <ns0:c r="D108" s="2" t="inlineStr">
        <ns0:is>
          <ns0:t>07:53</ns0:t>
        </ns0:is>
      </ns0:c>
      <ns0:c r="E108" s="2" t="inlineStr">
        <ns0:is>
          <ns0:t>08:13</ns0:t>
        </ns0:is>
      </ns0:c>
      <ns0:c r="F108" s="2" t="inlineStr">
        <ns0:is>
          <ns0:t>D2</ns0:t>
        </ns0:is>
      </ns0:c>
    </ns0:row>
    <ns0:row r="109">
      <ns0:c r="A109" s="2" t="inlineStr">
        <ns0:is>
          <ns0:t>PLAN-BAG-H</ns0:t>
        </ns0:is>
      </ns0:c>
      <ns0:c r="B109" s="2" t="inlineStr">
        <ns0:is>
          <ns0:t>7</ns0:t>
        </ns0:is>
      </ns0:c>
      <ns0:c r="C109" s="2" t="inlineStr">
        <ns0:is>
          <ns0:t>Moulder bench</ns0:t>
        </ns0:is>
      </ns0:c>
      <ns0:c r="D109" s="2" t="inlineStr">
        <ns0:is>
          <ns0:t>08:08</ns0:t>
        </ns0:is>
      </ns0:c>
      <ns0:c r="E109" s="2" t="inlineStr">
        <ns0:is>
          <ns0:t>08:28</ns0:t>
        </ns0:is>
      </ns0:c>
      <ns0:c r="F109" s="2" t="inlineStr">
        <ns0:is>
          <ns0:t>F3</ns0:t>
        </ns0:is>
      </ns0:c>
    </ns0:row>
    <ns0:row r="110">
      <ns0:c r="A110" s="2" t="inlineStr">
        <ns0:is>
          <ns0:t>PLAN-BAG-H</ns0:t>
        </ns0:is>
      </ns0:c>
      <ns0:c r="B110" s="2" t="inlineStr">
        <ns0:is>
          <ns0:t>7</ns0:t>
        </ns0:is>
      </ns0:c>
      <ns0:c r="C110" s="2" t="inlineStr">
        <ns0:is>
          <ns0:t>Proof bay 1</ns0:t>
        </ns0:is>
      </ns0:c>
      <ns0:c r="D110" s="2" t="inlineStr">
        <ns0:is>
          <ns0:t>08:23</ns0:t>
        </ns0:is>
      </ns0:c>
      <ns0:c r="E110" s="2" t="inlineStr">
        <ns0:is>
          <ns0:t>09:28</ns0:t>
        </ns0:is>
      </ns0:c>
      <ns0:c r="F110" s="2" t="inlineStr">
        <ns0:is>
          <ns0:t>Monitored by O4</ns0:t>
        </ns0:is>
      </ns0:c>
    </ns0:row>
    <ns0:row r="111">
      <ns0:c r="A111" s="2" t="inlineStr">
        <ns0:is>
          <ns0:t>PLAN-BAG-H</ns0:t>
        </ns0:is>
      </ns0:c>
      <ns0:c r="B111" s="2" t="inlineStr">
        <ns0:is>
          <ns0:t>7</ns0:t>
        </ns0:is>
      </ns0:c>
      <ns0:c r="C111" s="2" t="inlineStr">
        <ns0:is>
          <ns0:t>Oven booking</ns0:t>
        </ns0:is>
      </ns0:c>
      <ns0:c r="D111" s="2" t="inlineStr">
        <ns0:is>
          <ns0:t>09:23</ns0:t>
        </ns0:is>
      </ns0:c>
      <ns0:c r="E111" s="2" t="inlineStr">
        <ns0:is>
          <ns0:t>10:03</ns0:t>
        </ns0:is>
      </ns0:c>
      <ns0:c r="F111" s="2" t="inlineStr">
        <ns0:is>
          <ns0:t>O4</ns0:t>
        </ns0:is>
      </ns0:c>
    </ns0:row>
    <ns0:row r="112">
      <ns0:c r="A112" s="2" t="inlineStr">
        <ns0:is>
          <ns0:t>PLAN-BAG-H</ns0:t>
        </ns0:is>
      </ns0:c>
      <ns0:c r="B112" s="2" t="inlineStr">
        <ns0:is>
          <ns0:t>7</ns0:t>
        </ns0:is>
      </ns0:c>
      <ns0:c r="C112" s="2" t="inlineStr">
        <ns0:is>
          <ns0:t>Packing station</ns0:t>
        </ns0:is>
      </ns0:c>
      <ns0:c r="D112" s="2" t="inlineStr">
        <ns0:is>
          <ns0:t>10:43</ns0:t>
        </ns0:is>
      </ns0:c>
      <ns0:c r="E112" s="2" t="inlineStr">
        <ns0:is>
          <ns0:t>10:58</ns0:t>
        </ns0:is>
      </ns0:c>
      <ns0:c r="F112" s="2" t="inlineStr">
        <ns0:is>
          <ns0:t>P5</ns0:t>
        </ns0:is>
      </ns0:c>
    </ns0:row>
    <ns0:row r="113">
      <ns0:c r="A113" s="2" t="inlineStr">
        <ns0:is>
          <ns0:t>PLAN-BAG-H</ns0:t>
        </ns0:is>
      </ns0:c>
      <ns0:c r="B113" s="2" t="inlineStr">
        <ns0:is>
          <ns0:t>7</ns0:t>
        </ns0:is>
      </ns0:c>
      <ns0:c r="C113" s="2" t="inlineStr">
        <ns0:is>
          <ns0:t>Rack/tray set</ns0:t>
        </ns0:is>
      </ns0:c>
      <ns0:c r="D113" s="2" t="inlineStr">
        <ns0:is>
          <ns0:t>08:08</ns0:t>
        </ns0:is>
      </ns0:c>
      <ns0:c r="E113" s="2" t="inlineStr">
        <ns0:is>
          <ns0:t>11:08</ns0:t>
        </ns0:is>
      </ns0:c>
      <ns0:c r="F113" s="2" t="inlineStr">
        <ns0:is>
          <ns0:t>Shared</ns0:t>
        </ns0:is>
      </ns0:c>
    </ns0:row>
    <ns0:row r="114">
      <ns0:c r="A114" s="2" t="inlineStr">
        <ns0:is>
          <ns0:t>PLAN-BAG-H</ns0:t>
        </ns0:is>
      </ns0:c>
      <ns0:c r="B114" s="2" t="inlineStr">
        <ns0:is>
          <ns0:t>8</ns0:t>
        </ns0:is>
      </ns0:c>
      <ns0:c r="C114" s="2" t="inlineStr">
        <ns0:is>
          <ns0:t>Mixer</ns0:t>
        </ns0:is>
      </ns0:c>
      <ns0:c r="D114" s="2" t="inlineStr">
        <ns0:is>
          <ns0:t>07:35</ns0:t>
        </ns0:is>
      </ns0:c>
      <ns0:c r="E114" s="2" t="inlineStr">
        <ns0:is>
          <ns0:t>08:00</ns0:t>
        </ns0:is>
      </ns0:c>
      <ns0:c r="F114" s="2" t="inlineStr">
        <ns0:is>
          <ns0:t>M1</ns0:t>
        </ns0:is>
      </ns0:c>
    </ns0:row>
    <ns0:row r="115">
      <ns0:c r="A115" s="2" t="inlineStr">
        <ns0:is>
          <ns0:t>PLAN-BAG-H</ns0:t>
        </ns0:is>
      </ns0:c>
      <ns0:c r="B115" s="2" t="inlineStr">
        <ns0:is>
          <ns0:t>8</ns0:t>
        </ns0:is>
      </ns0:c>
      <ns0:c r="C115" s="2" t="inlineStr">
        <ns0:is>
          <ns0:t>M1 weighing/mix/clean</ns0:t>
        </ns0:is>
      </ns0:c>
      <ns0:c r="D115" s="2" t="inlineStr">
        <ns0:is>
          <ns0:t>07:25</ns0:t>
        </ns0:is>
      </ns0:c>
      <ns0:c r="E115" s="2" t="inlineStr">
        <ns0:is>
          <ns0:t>08:00</ns0:t>
        </ns0:is>
      </ns0:c>
      <ns0:c r="F115" s="2" t="inlineStr">
        <ns0:is>
          <ns0:t>M1</ns0:t>
        </ns0:is>
      </ns0:c>
    </ns0:row>
    <ns0:row r="116">
      <ns0:c r="A116" s="2" t="inlineStr">
        <ns0:is>
          <ns0:t>PLAN-BAG-H</ns0:t>
        </ns0:is>
      </ns0:c>
      <ns0:c r="B116" s="2" t="inlineStr">
        <ns0:is>
          <ns0:t>8</ns0:t>
        </ns0:is>
      </ns0:c>
      <ns0:c r="C116" s="2" t="inlineStr">
        <ns0:is>
          <ns0:t>Division bench</ns0:t>
        </ns0:is>
      </ns0:c>
      <ns0:c r="D116" s="2" t="inlineStr">
        <ns0:is>
          <ns0:t>08:38</ns0:t>
        </ns0:is>
      </ns0:c>
      <ns0:c r="E116" s="2" t="inlineStr">
        <ns0:is>
          <ns0:t>08:58</ns0:t>
        </ns0:is>
      </ns0:c>
      <ns0:c r="F116" s="2" t="inlineStr">
        <ns0:is>
          <ns0:t>D2</ns0:t>
        </ns0:is>
      </ns0:c>
    </ns0:row>
    <ns0:row r="117">
      <ns0:c r="A117" s="2" t="inlineStr">
        <ns0:is>
          <ns0:t>PLAN-BAG-H</ns0:t>
        </ns0:is>
      </ns0:c>
      <ns0:c r="B117" s="2" t="inlineStr">
        <ns0:is>
          <ns0:t>8</ns0:t>
        </ns0:is>
      </ns0:c>
      <ns0:c r="C117" s="2" t="inlineStr">
        <ns0:is>
          <ns0:t>Moulder bench</ns0:t>
        </ns0:is>
      </ns0:c>
      <ns0:c r="D117" s="2" t="inlineStr">
        <ns0:is>
          <ns0:t>08:53</ns0:t>
        </ns0:is>
      </ns0:c>
      <ns0:c r="E117" s="2" t="inlineStr">
        <ns0:is>
          <ns0:t>09:13</ns0:t>
        </ns0:is>
      </ns0:c>
      <ns0:c r="F117" s="2" t="inlineStr">
        <ns0:is>
          <ns0:t>F3</ns0:t>
        </ns0:is>
      </ns0:c>
    </ns0:row>
    <ns0:row r="118">
      <ns0:c r="A118" s="2" t="inlineStr">
        <ns0:is>
          <ns0:t>PLAN-BAG-H</ns0:t>
        </ns0:is>
      </ns0:c>
      <ns0:c r="B118" s="2" t="inlineStr">
        <ns0:is>
          <ns0:t>8</ns0:t>
        </ns0:is>
      </ns0:c>
      <ns0:c r="C118" s="2" t="inlineStr">
        <ns0:is>
          <ns0:t>Proof bay 2</ns0:t>
        </ns0:is>
      </ns0:c>
      <ns0:c r="D118" s="2" t="inlineStr">
        <ns0:is>
          <ns0:t>09:08</ns0:t>
        </ns0:is>
      </ns0:c>
      <ns0:c r="E118" s="2" t="inlineStr">
        <ns0:is>
          <ns0:t>10:13</ns0:t>
        </ns0:is>
      </ns0:c>
      <ns0:c r="F118" s="2" t="inlineStr">
        <ns0:is>
          <ns0:t>Monitored by O4</ns0:t>
        </ns0:is>
      </ns0:c>
    </ns0:row>
    <ns0:row r="119">
      <ns0:c r="A119" s="2" t="inlineStr">
        <ns0:is>
          <ns0:t>PLAN-BAG-H</ns0:t>
        </ns0:is>
      </ns0:c>
      <ns0:c r="B119" s="2" t="inlineStr">
        <ns0:is>
          <ns0:t>8</ns0:t>
        </ns0:is>
      </ns0:c>
      <ns0:c r="C119" s="2" t="inlineStr">
        <ns0:is>
          <ns0:t>Oven booking</ns0:t>
        </ns0:is>
      </ns0:c>
      <ns0:c r="D119" s="2" t="inlineStr">
        <ns0:is>
          <ns0:t>10:08</ns0:t>
        </ns0:is>
      </ns0:c>
      <ns0:c r="E119" s="2" t="inlineStr">
        <ns0:is>
          <ns0:t>10:48</ns0:t>
        </ns0:is>
      </ns0:c>
      <ns0:c r="F119" s="2" t="inlineStr">
        <ns0:is>
          <ns0:t>O4</ns0:t>
        </ns0:is>
      </ns0:c>
    </ns0:row>
    <ns0:row r="120">
      <ns0:c r="A120" s="2" t="inlineStr">
        <ns0:is>
          <ns0:t>PLAN-BAG-H</ns0:t>
        </ns0:is>
      </ns0:c>
      <ns0:c r="B120" s="2" t="inlineStr">
        <ns0:is>
          <ns0:t>8</ns0:t>
        </ns0:is>
      </ns0:c>
      <ns0:c r="C120" s="2" t="inlineStr">
        <ns0:is>
          <ns0:t>Packing station</ns0:t>
        </ns0:is>
      </ns0:c>
      <ns0:c r="D120" s="2" t="inlineStr">
        <ns0:is>
          <ns0:t>11:28</ns0:t>
        </ns0:is>
      </ns0:c>
      <ns0:c r="E120" s="2" t="inlineStr">
        <ns0:is>
          <ns0:t>11:43</ns0:t>
        </ns0:is>
      </ns0:c>
      <ns0:c r="F120" s="2" t="inlineStr">
        <ns0:is>
          <ns0:t>P5</ns0:t>
        </ns0:is>
      </ns0:c>
    </ns0:row>
    <ns0:row r="121">
      <ns0:c r="A121" s="2" t="inlineStr">
        <ns0:is>
          <ns0:t>PLAN-BAG-H</ns0:t>
        </ns0:is>
      </ns0:c>
      <ns0:c r="B121" s="2" t="inlineStr">
        <ns0:is>
          <ns0:t>8</ns0:t>
        </ns0:is>
      </ns0:c>
      <ns0:c r="C121" s="2" t="inlineStr">
        <ns0:is>
          <ns0:t>Rack/tray set</ns0:t>
        </ns0:is>
      </ns0:c>
      <ns0:c r="D121" s="2" t="inlineStr">
        <ns0:is>
          <ns0:t>08:53</ns0:t>
        </ns0:is>
      </ns0:c>
      <ns0:c r="E121" s="2" t="inlineStr">
        <ns0:is>
          <ns0:t>11:53</ns0:t>
        </ns0:is>
      </ns0:c>
      <ns0:c r="F121" s="2" t="inlineStr">
        <ns0:is>
          <ns0:t>Shared</ns0:t>
        </ns0:is>
      </ns0:c>
    </ns0:row>
    <ns0:row r="122">
      <ns0:c r="A122" s="2" t="inlineStr">
        <ns0:is>
          <ns0:t>PLAN-BAG-H</ns0:t>
        </ns0:is>
      </ns0:c>
      <ns0:c r="B122" s="2" t="inlineStr">
        <ns0:is>
          <ns0:t>9</ns0:t>
        </ns0:is>
      </ns0:c>
      <ns0:c r="C122" s="2" t="inlineStr">
        <ns0:is>
          <ns0:t>Mixer</ns0:t>
        </ns0:is>
      </ns0:c>
      <ns0:c r="D122" s="2" t="inlineStr">
        <ns0:is>
          <ns0:t>08:20</ns0:t>
        </ns0:is>
      </ns0:c>
      <ns0:c r="E122" s="2" t="inlineStr">
        <ns0:is>
          <ns0:t>08:45</ns0:t>
        </ns0:is>
      </ns0:c>
      <ns0:c r="F122" s="2" t="inlineStr">
        <ns0:is>
          <ns0:t>M1</ns0:t>
        </ns0:is>
      </ns0:c>
    </ns0:row>
    <ns0:row r="123">
      <ns0:c r="A123" s="2" t="inlineStr">
        <ns0:is>
          <ns0:t>PLAN-BAG-H</ns0:t>
        </ns0:is>
      </ns0:c>
      <ns0:c r="B123" s="2" t="inlineStr">
        <ns0:is>
          <ns0:t>9</ns0:t>
        </ns0:is>
      </ns0:c>
      <ns0:c r="C123" s="2" t="inlineStr">
        <ns0:is>
          <ns0:t>M1 weighing/mix/clean</ns0:t>
        </ns0:is>
      </ns0:c>
      <ns0:c r="D123" s="2" t="inlineStr">
        <ns0:is>
          <ns0:t>08:10</ns0:t>
        </ns0:is>
      </ns0:c>
      <ns0:c r="E123" s="2" t="inlineStr">
        <ns0:is>
          <ns0:t>08:45</ns0:t>
        </ns0:is>
      </ns0:c>
      <ns0:c r="F123" s="2" t="inlineStr">
        <ns0:is>
          <ns0:t>M1</ns0:t>
        </ns0:is>
      </ns0:c>
    </ns0:row>
    <ns0:row r="124">
      <ns0:c r="A124" s="2" t="inlineStr">
        <ns0:is>
          <ns0:t>PLAN-BAG-H</ns0:t>
        </ns0:is>
      </ns0:c>
      <ns0:c r="B124" s="2" t="inlineStr">
        <ns0:is>
          <ns0:t>9</ns0:t>
        </ns0:is>
      </ns0:c>
      <ns0:c r="C124" s="2" t="inlineStr">
        <ns0:is>
          <ns0:t>Division bench</ns0:t>
        </ns0:is>
      </ns0:c>
      <ns0:c r="D124" s="2" t="inlineStr">
        <ns0:is>
          <ns0:t>09:23</ns0:t>
        </ns0:is>
      </ns0:c>
      <ns0:c r="E124" s="2" t="inlineStr">
        <ns0:is>
          <ns0:t>09:43</ns0:t>
        </ns0:is>
      </ns0:c>
      <ns0:c r="F124" s="2" t="inlineStr">
        <ns0:is>
          <ns0:t>D2</ns0:t>
        </ns0:is>
      </ns0:c>
    </ns0:row>
    <ns0:row r="125">
      <ns0:c r="A125" s="2" t="inlineStr">
        <ns0:is>
          <ns0:t>PLAN-BAG-H</ns0:t>
        </ns0:is>
      </ns0:c>
      <ns0:c r="B125" s="2" t="inlineStr">
        <ns0:is>
          <ns0:t>9</ns0:t>
        </ns0:is>
      </ns0:c>
      <ns0:c r="C125" s="2" t="inlineStr">
        <ns0:is>
          <ns0:t>Moulder bench</ns0:t>
        </ns0:is>
      </ns0:c>
      <ns0:c r="D125" s="2" t="inlineStr">
        <ns0:is>
          <ns0:t>09:38</ns0:t>
        </ns0:is>
      </ns0:c>
      <ns0:c r="E125" s="2" t="inlineStr">
        <ns0:is>
          <ns0:t>09:58</ns0:t>
        </ns0:is>
      </ns0:c>
      <ns0:c r="F125" s="2" t="inlineStr">
        <ns0:is>
          <ns0:t>F3</ns0:t>
        </ns0:is>
      </ns0:c>
    </ns0:row>
    <ns0:row r="126">
      <ns0:c r="A126" s="2" t="inlineStr">
        <ns0:is>
          <ns0:t>PLAN-BAG-H</ns0:t>
        </ns0:is>
      </ns0:c>
      <ns0:c r="B126" s="2" t="inlineStr">
        <ns0:is>
          <ns0:t>9</ns0:t>
        </ns0:is>
      </ns0:c>
      <ns0:c r="C126" s="2" t="inlineStr">
        <ns0:is>
          <ns0:t>Proof bay 1</ns0:t>
        </ns0:is>
      </ns0:c>
      <ns0:c r="D126" s="2" t="inlineStr">
        <ns0:is>
          <ns0:t>09:53</ns0:t>
        </ns0:is>
      </ns0:c>
      <ns0:c r="E126" s="2" t="inlineStr">
        <ns0:is>
          <ns0:t>10:58</ns0:t>
        </ns0:is>
      </ns0:c>
      <ns0:c r="F126" s="2" t="inlineStr">
        <ns0:is>
          <ns0:t>Monitored by O4</ns0:t>
        </ns0:is>
      </ns0:c>
    </ns0:row>
    <ns0:row r="127">
      <ns0:c r="A127" s="2" t="inlineStr">
        <ns0:is>
          <ns0:t>PLAN-BAG-H</ns0:t>
        </ns0:is>
      </ns0:c>
      <ns0:c r="B127" s="2" t="inlineStr">
        <ns0:is>
          <ns0:t>9</ns0:t>
        </ns0:is>
      </ns0:c>
      <ns0:c r="C127" s="2" t="inlineStr">
        <ns0:is>
          <ns0:t>Oven booking</ns0:t>
        </ns0:is>
      </ns0:c>
      <ns0:c r="D127" s="2" t="inlineStr">
        <ns0:is>
          <ns0:t>10:53</ns0:t>
        </ns0:is>
      </ns0:c>
      <ns0:c r="E127" s="2" t="inlineStr">
        <ns0:is>
          <ns0:t>11:33</ns0:t>
        </ns0:is>
      </ns0:c>
      <ns0:c r="F127" s="2" t="inlineStr">
        <ns0:is>
          <ns0:t>O4</ns0:t>
        </ns0:is>
      </ns0:c>
    </ns0:row>
    <ns0:row r="128">
      <ns0:c r="A128" s="2" t="inlineStr">
        <ns0:is>
          <ns0:t>PLAN-BAG-H</ns0:t>
        </ns0:is>
      </ns0:c>
      <ns0:c r="B128" s="2" t="inlineStr">
        <ns0:is>
          <ns0:t>9</ns0:t>
        </ns0:is>
      </ns0:c>
      <ns0:c r="C128" s="2" t="inlineStr">
        <ns0:is>
          <ns0:t>Packing station</ns0:t>
        </ns0:is>
      </ns0:c>
      <ns0:c r="D128" s="2" t="inlineStr">
        <ns0:is>
          <ns0:t>12:13</ns0:t>
        </ns0:is>
      </ns0:c>
      <ns0:c r="E128" s="2" t="inlineStr">
        <ns0:is>
          <ns0:t>12:28</ns0:t>
        </ns0:is>
      </ns0:c>
      <ns0:c r="F128" s="2" t="inlineStr">
        <ns0:is>
          <ns0:t>P5</ns0:t>
        </ns0:is>
      </ns0:c>
    </ns0:row>
    <ns0:row r="129">
      <ns0:c r="A129" s="2" t="inlineStr">
        <ns0:is>
          <ns0:t>PLAN-BAG-H</ns0:t>
        </ns0:is>
      </ns0:c>
      <ns0:c r="B129" s="2" t="inlineStr">
        <ns0:is>
          <ns0:t>9</ns0:t>
        </ns0:is>
      </ns0:c>
      <ns0:c r="C129" s="2" t="inlineStr">
        <ns0:is>
          <ns0:t>Rack/tray set</ns0:t>
        </ns0:is>
      </ns0:c>
      <ns0:c r="D129" s="2" t="inlineStr">
        <ns0:is>
          <ns0:t>09:38</ns0:t>
        </ns0:is>
      </ns0:c>
      <ns0:c r="E129" s="2" t="inlineStr">
        <ns0:is>
          <ns0:t>12:38</ns0:t>
        </ns0:is>
      </ns0:c>
      <ns0:c r="F129" s="2" t="inlineStr">
        <ns0:is>
          <ns0:t>Shared</ns0:t>
        </ns0:is>
      </ns0:c>
    </ns0:row>
    <ns0:row r="130">
      <ns0:c r="A130" s="2" t="inlineStr">
        <ns0:is>
          <ns0:t>PLAN-BAG-H</ns0:t>
        </ns0:is>
      </ns0:c>
      <ns0:c r="B130" s="2" t="inlineStr">
        <ns0:is>
          <ns0:t>10</ns0:t>
        </ns0:is>
      </ns0:c>
      <ns0:c r="C130" s="2" t="inlineStr">
        <ns0:is>
          <ns0:t>Mixer</ns0:t>
        </ns0:is>
      </ns0:c>
      <ns0:c r="D130" s="2" t="inlineStr">
        <ns0:is>
          <ns0:t>09:05</ns0:t>
        </ns0:is>
      </ns0:c>
      <ns0:c r="E130" s="2" t="inlineStr">
        <ns0:is>
          <ns0:t>09:30</ns0:t>
        </ns0:is>
      </ns0:c>
      <ns0:c r="F130" s="2" t="inlineStr">
        <ns0:is>
          <ns0:t>M1</ns0:t>
        </ns0:is>
      </ns0:c>
    </ns0:row>
    <ns0:row r="131">
      <ns0:c r="A131" s="2" t="inlineStr">
        <ns0:is>
          <ns0:t>PLAN-BAG-H</ns0:t>
        </ns0:is>
      </ns0:c>
      <ns0:c r="B131" s="2" t="inlineStr">
        <ns0:is>
          <ns0:t>10</ns0:t>
        </ns0:is>
      </ns0:c>
      <ns0:c r="C131" s="2" t="inlineStr">
        <ns0:is>
          <ns0:t>M1 weighing/mix/clean</ns0:t>
        </ns0:is>
      </ns0:c>
      <ns0:c r="D131" s="2" t="inlineStr">
        <ns0:is>
          <ns0:t>08:55</ns0:t>
        </ns0:is>
      </ns0:c>
      <ns0:c r="E131" s="2" t="inlineStr">
        <ns0:is>
          <ns0:t>09:30</ns0:t>
        </ns0:is>
      </ns0:c>
      <ns0:c r="F131" s="2" t="inlineStr">
        <ns0:is>
          <ns0:t>M1</ns0:t>
        </ns0:is>
      </ns0:c>
    </ns0:row>
    <ns0:row r="132">
      <ns0:c r="A132" s="2" t="inlineStr">
        <ns0:is>
          <ns0:t>PLAN-BAG-H</ns0:t>
        </ns0:is>
      </ns0:c>
      <ns0:c r="B132" s="2" t="inlineStr">
        <ns0:is>
          <ns0:t>10</ns0:t>
        </ns0:is>
      </ns0:c>
      <ns0:c r="C132" s="2" t="inlineStr">
        <ns0:is>
          <ns0:t>Division bench</ns0:t>
        </ns0:is>
      </ns0:c>
      <ns0:c r="D132" s="2" t="inlineStr">
        <ns0:is>
          <ns0:t>10:08</ns0:t>
        </ns0:is>
      </ns0:c>
      <ns0:c r="E132" s="2" t="inlineStr">
        <ns0:is>
          <ns0:t>10:28</ns0:t>
        </ns0:is>
      </ns0:c>
      <ns0:c r="F132" s="2" t="inlineStr">
        <ns0:is>
          <ns0:t>D2</ns0:t>
        </ns0:is>
      </ns0:c>
    </ns0:row>
    <ns0:row r="133">
      <ns0:c r="A133" s="2" t="inlineStr">
        <ns0:is>
          <ns0:t>PLAN-BAG-H</ns0:t>
        </ns0:is>
      </ns0:c>
      <ns0:c r="B133" s="2" t="inlineStr">
        <ns0:is>
          <ns0:t>10</ns0:t>
        </ns0:is>
      </ns0:c>
      <ns0:c r="C133" s="2" t="inlineStr">
        <ns0:is>
          <ns0:t>Moulder bench</ns0:t>
        </ns0:is>
      </ns0:c>
      <ns0:c r="D133" s="2" t="inlineStr">
        <ns0:is>
          <ns0:t>10:23</ns0:t>
        </ns0:is>
      </ns0:c>
      <ns0:c r="E133" s="2" t="inlineStr">
        <ns0:is>
          <ns0:t>10:43</ns0:t>
        </ns0:is>
      </ns0:c>
      <ns0:c r="F133" s="2" t="inlineStr">
        <ns0:is>
          <ns0:t>F3</ns0:t>
        </ns0:is>
      </ns0:c>
    </ns0:row>
    <ns0:row r="134">
      <ns0:c r="A134" s="2" t="inlineStr">
        <ns0:is>
          <ns0:t>PLAN-BAG-H</ns0:t>
        </ns0:is>
      </ns0:c>
      <ns0:c r="B134" s="2" t="inlineStr">
        <ns0:is>
          <ns0:t>10</ns0:t>
        </ns0:is>
      </ns0:c>
      <ns0:c r="C134" s="2" t="inlineStr">
        <ns0:is>
          <ns0:t>Proof bay 2</ns0:t>
        </ns0:is>
      </ns0:c>
      <ns0:c r="D134" s="2" t="inlineStr">
        <ns0:is>
          <ns0:t>10:38</ns0:t>
        </ns0:is>
      </ns0:c>
      <ns0:c r="E134" s="2" t="inlineStr">
        <ns0:is>
          <ns0:t>11:43</ns0:t>
        </ns0:is>
      </ns0:c>
      <ns0:c r="F134" s="2" t="inlineStr">
        <ns0:is>
          <ns0:t>Monitored by O4</ns0:t>
        </ns0:is>
      </ns0:c>
    </ns0:row>
    <ns0:row r="135">
      <ns0:c r="A135" s="2" t="inlineStr">
        <ns0:is>
          <ns0:t>PLAN-BAG-H</ns0:t>
        </ns0:is>
      </ns0:c>
      <ns0:c r="B135" s="2" t="inlineStr">
        <ns0:is>
          <ns0:t>10</ns0:t>
        </ns0:is>
      </ns0:c>
      <ns0:c r="C135" s="2" t="inlineStr">
        <ns0:is>
          <ns0:t>Oven booking</ns0:t>
        </ns0:is>
      </ns0:c>
      <ns0:c r="D135" s="2" t="inlineStr">
        <ns0:is>
          <ns0:t>11:38</ns0:t>
        </ns0:is>
      </ns0:c>
      <ns0:c r="E135" s="2" t="inlineStr">
        <ns0:is>
          <ns0:t>12:18</ns0:t>
        </ns0:is>
      </ns0:c>
      <ns0:c r="F135" s="2" t="inlineStr">
        <ns0:is>
          <ns0:t>O4</ns0:t>
        </ns0:is>
      </ns0:c>
    </ns0:row>
    <ns0:row r="136">
      <ns0:c r="A136" s="2" t="inlineStr">
        <ns0:is>
          <ns0:t>PLAN-BAG-H</ns0:t>
        </ns0:is>
      </ns0:c>
      <ns0:c r="B136" s="2" t="inlineStr">
        <ns0:is>
          <ns0:t>10</ns0:t>
        </ns0:is>
      </ns0:c>
      <ns0:c r="C136" s="2" t="inlineStr">
        <ns0:is>
          <ns0:t>Packing station</ns0:t>
        </ns0:is>
      </ns0:c>
      <ns0:c r="D136" s="2" t="inlineStr">
        <ns0:is>
          <ns0:t>12:58</ns0:t>
        </ns0:is>
      </ns0:c>
      <ns0:c r="E136" s="2" t="inlineStr">
        <ns0:is>
          <ns0:t>13:13</ns0:t>
        </ns0:is>
      </ns0:c>
      <ns0:c r="F136" s="2" t="inlineStr">
        <ns0:is>
          <ns0:t>P5</ns0:t>
        </ns0:is>
      </ns0:c>
    </ns0:row>
    <ns0:row r="137">
      <ns0:c r="A137" s="2" t="inlineStr">
        <ns0:is>
          <ns0:t>PLAN-BAG-H</ns0:t>
        </ns0:is>
      </ns0:c>
      <ns0:c r="B137" s="2" t="inlineStr">
        <ns0:is>
          <ns0:t>10</ns0:t>
        </ns0:is>
      </ns0:c>
      <ns0:c r="C137" s="2" t="inlineStr">
        <ns0:is>
          <ns0:t>Rack/tray set</ns0:t>
        </ns0:is>
      </ns0:c>
      <ns0:c r="D137" s="2" t="inlineStr">
        <ns0:is>
          <ns0:t>10:23</ns0:t>
        </ns0:is>
      </ns0:c>
      <ns0:c r="E137" s="2" t="inlineStr">
        <ns0:is>
          <ns0:t>13:23</ns0:t>
        </ns0:is>
      </ns0:c>
      <ns0:c r="F137" s="2" t="inlineStr">
        <ns0:is>
          <ns0:t>Shared</ns0:t>
        </ns0:is>
      </ns0:c>
    </ns0:row>
  </ns0:sheetData>
  <ns0:autoFilter ref="A1:F137"/>
  <ns0:printOptions horizontalCentered="1"/>
  <ns0:pageMargins left="0.75" right="0.75" top="1" bottom="1" header="0.5" footer="0.5"/>
  <ns0:pageSetup orientation="landscape" paperSize="8" fitToHeight="0" fitToWidth="1"/>
</ns0:worksheet>
</file>

<file path=xl/worksheets/sheet12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E15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0" customWidth="1" min="1" max="1"/>
    <ns0:col width="20" customWidth="1" min="2" max="2"/>
    <ns0:col width="20" customWidth="1" min="3" max="3"/>
    <ns0:col width="20" customWidth="1" min="4" max="4"/>
    <ns0:col width="20" customWidth="1" min="5" max="5"/>
  </ns0:cols>
  <ns0:sheetData>
    <ns0:row r="1" ht="44" customHeight="1">
      <ns0:c r="A1" s="1" t="inlineStr">
        <ns0:is>
          <ns0:t>Gate</ns0:t>
        </ns0:is>
      </ns0:c>
      <ns0:c r="B1" s="1" t="inlineStr">
        <ns0:is>
          <ns0:t>Actual finding / measurement</ns0:t>
        </ns0:is>
      </ns0:c>
      <ns0:c r="C1" s="1" t="inlineStr">
        <ns0:is>
          <ns0:t>Reviewer</ns0:t>
        </ns0:is>
      </ns0:c>
      <ns0:c r="D1" s="1" t="inlineStr">
        <ns0:is>
          <ns0:t>Date</ns0:t>
        </ns0:is>
      </ns0:c>
      <ns0:c r="E1" s="1" t="inlineStr">
        <ns0:is>
          <ns0:t>Released?</ns0:t>
        </ns0:is>
      </ns0:c>
    </ns0:row>
    <ns0:row r="2">
      <ns0:c r="A2" s="2" t="inlineStr">
        <ns0:is>
          <ns0:t>Flour and yeast specification</ns0:t>
        </ns0:is>
      </ns0:c>
      <ns0:c r="B2" s="4" t="n"/>
      <ns0:c r="C2" s="4" t="n"/>
      <ns0:c r="D2" s="4" t="n"/>
      <ns0:c r="E2" s="2" t="inlineStr">
        <ns0:is>
          <ns0:t>OPEN</ns0:t>
        </ns0:is>
      </ns0:c>
    </ns0:row>
    <ns0:row r="3">
      <ns0:c r="A3" s="2" t="inlineStr">
        <ns0:is>
          <ns0:t>Mixer minimum and maximum verified</ns0:t>
        </ns0:is>
      </ns0:c>
      <ns0:c r="B3" s="4" t="n"/>
      <ns0:c r="C3" s="4" t="n"/>
      <ns0:c r="D3" s="4" t="n"/>
      <ns0:c r="E3" s="2" t="inlineStr">
        <ns0:is>
          <ns0:t>OPEN</ns0:t>
        </ns0:is>
      </ns0:c>
    </ns0:row>
    <ns0:row r="4">
      <ns0:c r="A4" s="2" t="inlineStr">
        <ns0:is>
          <ns0:t>5 pieces/tray and 16 loaded positions</ns0:t>
        </ns0:is>
      </ns0:c>
      <ns0:c r="B4" s="4" t="n"/>
      <ns0:c r="C4" s="4" t="n"/>
      <ns0:c r="D4" s="4" t="n"/>
      <ns0:c r="E4" s="2" t="inlineStr">
        <ns0:is>
          <ns0:t>OPEN</ns0:t>
        </ns0:is>
      </ns0:c>
    </ns0:row>
    <ns0:row r="5">
      <ns0:c r="A5" s="2" t="inlineStr">
        <ns0:is>
          <ns0:t>Full rack-set inventory</ns0:t>
        </ns0:is>
      </ns0:c>
      <ns0:c r="B5" s="4" t="n"/>
      <ns0:c r="C5" s="4" t="n"/>
      <ns0:c r="D5" s="4" t="n"/>
      <ns0:c r="E5" s="2" t="inlineStr">
        <ns0:is>
          <ns0:t>OPEN</ns0:t>
        </ns0:is>
      </ns0:c>
    </ns0:row>
    <ns0:row r="6">
      <ns0:c r="A6" s="2" t="inlineStr">
        <ns0:is>
          <ns0:t>Two full-rack proof bays verified</ns0:t>
        </ns0:is>
      </ns0:c>
      <ns0:c r="B6" s="4" t="n"/>
      <ns0:c r="C6" s="4" t="n"/>
      <ns0:c r="D6" s="4" t="n"/>
      <ns0:c r="E6" s="2" t="inlineStr">
        <ns0:is>
          <ns0:t>OPEN</ns0:t>
        </ns0:is>
      </ns0:c>
    </ns0:row>
    <ns0:row r="7">
      <ns0:c r="A7" s="2" t="inlineStr">
        <ns0:is>
          <ns0:t>Dough/fermentation endpoints</ns0:t>
        </ns0:is>
      </ns0:c>
      <ns0:c r="B7" s="4" t="n"/>
      <ns0:c r="C7" s="4" t="n"/>
      <ns0:c r="D7" s="4" t="n"/>
      <ns0:c r="E7" s="2" t="inlineStr">
        <ns0:is>
          <ns0:t>OPEN</ns0:t>
        </ns0:is>
      </ns0:c>
    </ns0:row>
    <ns0:row r="8">
      <ns0:c r="A8" s="2" t="inlineStr">
        <ns0:is>
          <ns0:t>Score/load and bake recovery timing</ns0:t>
        </ns0:is>
      </ns0:c>
      <ns0:c r="B8" s="4" t="n"/>
      <ns0:c r="C8" s="4" t="n"/>
      <ns0:c r="D8" s="4" t="n"/>
      <ns0:c r="E8" s="2" t="inlineStr">
        <ns0:is>
          <ns0:t>OPEN</ns0:t>
        </ns0:is>
      </ns0:c>
    </ns0:row>
    <ns0:row r="9">
      <ns0:c r="A9" s="2" t="inlineStr">
        <ns0:is>
          <ns0:t>Cooling and packing release</ns0:t>
        </ns0:is>
      </ns0:c>
      <ns0:c r="B9" s="4" t="n"/>
      <ns0:c r="C9" s="4" t="n"/>
      <ns0:c r="D9" s="4" t="n"/>
      <ns0:c r="E9" s="2" t="inlineStr">
        <ns0:is>
          <ns0:t>OPEN</ns0:t>
        </ns0:is>
      </ns0:c>
    </ns0:row>
    <ns0:row r="10">
      <ns0:c r="A10" s="2" t="inlineStr">
        <ns0:is>
          <ns0:t>FIFO portion rest measured</ns0:t>
        </ns0:is>
      </ns0:c>
      <ns0:c r="B10" s="4" t="n"/>
      <ns0:c r="C10" s="4" t="n"/>
      <ns0:c r="D10" s="4" t="n"/>
      <ns0:c r="E10" s="2" t="inlineStr">
        <ns0:is>
          <ns0:t>OPEN</ns0:t>
        </ns0:is>
      </ns0:c>
    </ns0:row>
    <ns0:row r="11">
      <ns0:c r="A11" s="2" t="inlineStr">
        <ns0:is>
          <ns0:t>Named staffing and covered breaks</ns0:t>
        </ns0:is>
      </ns0:c>
      <ns0:c r="B11" s="4" t="n"/>
      <ns0:c r="C11" s="4" t="n"/>
      <ns0:c r="D11" s="4" t="n"/>
      <ns0:c r="E11" s="2" t="inlineStr">
        <ns0:is>
          <ns0:t>OPEN</ns0:t>
        </ns0:is>
      </ns0:c>
    </ns0:row>
    <ns0:row r="12">
      <ns0:c r="A12" s="2" t="inlineStr">
        <ns0:is>
          <ns0:t>Vehicle capacity and full route timing</ns0:t>
        </ns0:is>
      </ns0:c>
      <ns0:c r="B12" s="4" t="n"/>
      <ns0:c r="C12" s="4" t="n"/>
      <ns0:c r="D12" s="4" t="n"/>
      <ns0:c r="E12" s="2" t="inlineStr">
        <ns0:is>
          <ns0:t>OPEN</ns0:t>
        </ns0:is>
      </ns0:c>
    </ns0:row>
    <ns0:row r="13">
      <ns0:c r="A13" s="2" t="inlineStr">
        <ns0:is>
          <ns0:t>Retail display and staging capacity</ns0:t>
        </ns0:is>
      </ns0:c>
      <ns0:c r="B13" s="4" t="n"/>
      <ns0:c r="C13" s="4" t="n"/>
      <ns0:c r="D13" s="4" t="n"/>
      <ns0:c r="E13" s="2" t="inlineStr">
        <ns0:is>
          <ns0:t>OPEN</ns0:t>
        </ns0:is>
      </ns0:c>
    </ns0:row>
    <ns0:row r="14">
      <ns0:c r="A14" s="2" t="inlineStr">
        <ns0:is>
          <ns0:t>Three independent acceptable campaigns</ns0:t>
        </ns0:is>
      </ns0:c>
      <ns0:c r="B14" s="4" t="n"/>
      <ns0:c r="C14" s="4" t="n"/>
      <ns0:c r="D14" s="4" t="n"/>
      <ns0:c r="E14" s="2" t="inlineStr">
        <ns0:is>
          <ns0:t>OPEN</ns0:t>
        </ns0:is>
      </ns0:c>
    </ns0:row>
    <ns0:row r="15">
      <ns0:c r="A15" s="2" t="inlineStr">
        <ns0:is>
          <ns0:t>Complete cost and demand evidence</ns0:t>
        </ns0:is>
      </ns0:c>
      <ns0:c r="B15" s="4" t="n"/>
      <ns0:c r="C15" s="4" t="n"/>
      <ns0:c r="D15" s="4" t="n"/>
      <ns0:c r="E15" s="2" t="inlineStr">
        <ns0:is>
          <ns0:t>OPEN</ns0:t>
        </ns0:is>
      </ns0:c>
    </ns0:row>
  </ns0:sheetData>
  <ns0:autoFilter ref="A1:E15"/>
  <ns0:printOptions horizontalCentered="1"/>
  <ns0:pageMargins left="0.75" right="0.75" top="1" bottom="1" header="0.5" footer="0.5"/>
  <ns0:pageSetup orientation="landscape" paperSize="8" fitToHeight="0" fitToWidth="1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2026-10-08T19:01:52Z</dcterms:created>
  <dcterms:modified xmlns:dcterms="http://purl.org/dc/terms/" xmlns:xsi="http://www.w3.org/2001/XMLSchema-instance" xsi:type="dcterms:W3CDTF">2026-10-08T19:01:53Z</dcterms:modified>
</cp:coreProperties>
</file>