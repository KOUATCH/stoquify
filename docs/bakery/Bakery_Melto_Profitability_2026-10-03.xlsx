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885badf43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ability" sheetId="1" r:id="R710b7c9a03d14b51"/>
    <x:sheet xmlns:r="http://schemas.openxmlformats.org/officeDocument/2006/relationships" name="Sale formats" sheetId="2" r:id="R6209a006ba3941ae"/>
    <x:sheet xmlns:r="http://schemas.openxmlformats.org/officeDocument/2006/relationships" name="Batches" sheetId="3" r:id="R6d4e1d584ecf4c82"/>
    <x:sheet xmlns:r="http://schemas.openxmlformats.org/officeDocument/2006/relationships" name="Ingredients" sheetId="4" r:id="Rdc52f9d886d842e5"/>
    <x:sheet xmlns:r="http://schemas.openxmlformats.org/officeDocument/2006/relationships" name="Prices" sheetId="5" r:id="R7ed8f6a6f3df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–&quot;"/>
    <x:numFmt numFmtId="201" formatCode="0.0000"/>
    <x:numFmt numFmtId="202" formatCode="  @"/>
    <x:numFmt numFmtId="203" formatCode="#,##0;(#,##0);&quot;–&quot;"/>
    <x:numFmt numFmtId="204" formatCode="0.0%"/>
  </x:numFmts>
  <x:fonts count="8">
    <x:font>
      <x:sz val="11"/>
      <x:name val="Carlito"/>
    </x:font>
    <x:font>
      <x:sz val="10"/>
      <x:color rgb="FF172D40"/>
      <x:name val="Arial"/>
    </x:font>
    <x:font>
      <x:b/>
      <x:sz val="15"/>
      <x:color rgb="FF172D40"/>
      <x:name val="Arial"/>
    </x:font>
    <x:font>
      <x:i/>
      <x:sz val="10"/>
      <x:color rgb="FF172D4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40"/>
      <x:name val="Arial"/>
    </x:font>
    <x:font>
      <x:sz val="10"/>
      <x:color rgb="FF43576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E53"/>
      </x:patternFill>
    </x:fill>
    <x:fill>
      <x:patternFill patternType="solid">
        <x:fgColor rgb="FFF0F4F6"/>
      </x:patternFill>
    </x:fill>
    <x:fill>
      <x:patternFill patternType="solid">
        <x:fgColor rgb="FFFFF0BF"/>
      </x:patternFill>
    </x:fill>
  </x:fills>
  <x:borders count="2">
    <x:border/>
    <x:border>
      <x:bottom style="thin">
        <x:color rgb="FFBBC6CC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0" fontId="6" fillId="3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color rgb="FFA32F26"/>
      </x:font>
      <x:fill>
        <x:patternFill patternType="solid">
          <x:bgColor rgb="FFFBE2DE"/>
        </x:patternFill>
      </x:fill>
    </x:dxf>
    <x:dxf>
      <x:font>
        <x:color rgb="FFA32F26"/>
      </x:font>
      <x:fill>
        <x:patternFill patternType="solid">
          <x:bgColor rgb="FFFBE2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311db0f364db6" /><Relationship Type="http://schemas.openxmlformats.org/officeDocument/2006/relationships/theme" Target="/xl/theme/theme1.xml" Id="R2101d2cbde2845d1" /><Relationship Type="http://schemas.openxmlformats.org/officeDocument/2006/relationships/sharedStrings" Target="/xl/sharedStrings.xml" Id="R2fe80619ba2f4e30" /><Relationship Type="http://schemas.openxmlformats.org/officeDocument/2006/relationships/worksheet" Target="/xl/worksheets/sheet1.xml" Id="R710b7c9a03d14b51" /><Relationship Type="http://schemas.openxmlformats.org/officeDocument/2006/relationships/worksheet" Target="/xl/worksheets/sheet2.xml" Id="R6209a006ba3941ae" /><Relationship Type="http://schemas.openxmlformats.org/officeDocument/2006/relationships/worksheet" Target="/xl/worksheets/sheet3.xml" Id="R6d4e1d584ecf4c82" /><Relationship Type="http://schemas.openxmlformats.org/officeDocument/2006/relationships/worksheet" Target="/xl/worksheets/sheet4.xml" Id="Rdc52f9d886d842e5" /><Relationship Type="http://schemas.openxmlformats.org/officeDocument/2006/relationships/worksheet" Target="/xl/worksheets/sheet5.xml" Id="R7ed8f6a6f3df43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E53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18" hidden="0" customWidth="1"/>
    <x:col min="3" max="3" width="23" hidden="0" customWidth="1"/>
    <x:col min="4" max="4" width="15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1" hidden="0" customWidth="1"/>
    <x:col min="10" max="10" width="29" hidden="0" customWidth="1"/>
    <x:col min="11" max="11" width="24" hidden="0" customWidth="1"/>
    <x:col min="12" max="12" width="37" hidden="0" customWidth="1"/>
    <x:col min="14" max="14" width="155" hidden="0" customWidth="1"/>
    <x:col min="13" max="13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Melto recipe profitability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4" t="str">
        <x:v>41 recipes. First main offer shown; all 182 offers are on Sale formats. CFA (XAF assumed). Theoretical ingredient returns, not verified net profits.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3" customHeight="1">
      <x:c r="A6" s="9" t="str">
        <x:v>Recipe</x:v>
      </x:c>
      <x:c r="B6" s="9" t="str">
        <x:v>Batch mass kg</x:v>
      </x:c>
      <x:c r="C6" s="9" t="str">
        <x:v>Known batch cost CFA</x:v>
      </x:c>
      <x:c r="D6" s="9" t="str">
        <x:v>Portion g</x:v>
      </x:c>
      <x:c r="E6" s="9" t="str">
        <x:v>Price / pc CFA</x:v>
      </x:c>
      <x:c r="F6" s="9" t="str">
        <x:v>Whole pieces</x:v>
      </x:c>
      <x:c r="G6" s="9" t="str">
        <x:v>Ingredients / pc CFA</x:v>
      </x:c>
      <x:c r="H6" s="9" t="str">
        <x:v>Remainder / pc CFA</x:v>
      </x:c>
      <x:c r="I6" s="9" t="str">
        <x:v>Ingredient margin</x:v>
      </x:c>
      <x:c r="J6" s="9" t="str">
        <x:v>Ingredient surplus / batch CFA</x:v>
      </x:c>
      <x:c r="K6" s="9" t="str">
        <x:v>Operating profit CFA</x:v>
      </x:c>
      <x:c r="L6" s="9" t="str">
        <x:v>Calculation status</x:v>
      </x:c>
      <x:c r="N6" t="str">
        <x:v>Key problem / action</x:v>
      </x:c>
    </x:row>
    <x:row r="7" ht="28" customHeight="1">
      <x:c r="A7" s="2" t="str">
        <x:v>baguette</x:v>
      </x:c>
      <x:c r="B7" s="11" t="n">
        <x:f>Batches!B7/1000</x:f>
        <x:v>9.89</x:v>
      </x:c>
      <x:c r="C7" s="11" t="n">
        <x:f>'Sale formats'!G7</x:f>
        <x:v>3378.85</x:v>
      </x:c>
      <x:c r="D7" s="11" t="n">
        <x:f>'Sale formats'!C7</x:f>
        <x:v>90</x:v>
      </x:c>
      <x:c r="E7" s="11" t="n">
        <x:f>'Sale formats'!D7</x:f>
        <x:v>100</x:v>
      </x:c>
      <x:c r="F7" s="28" t="n">
        <x:f>'Sale formats'!H7</x:f>
        <x:v>109</x:v>
      </x:c>
      <x:c r="G7" s="11" t="n">
        <x:f>'Sale formats'!K7</x:f>
        <x:v>30.998623853211008</x:v>
      </x:c>
      <x:c r="H7" s="11" t="n">
        <x:f>IF(ISNUMBER(G7),E7-G7,"n.a.")</x:f>
        <x:v>69.001376146789</x:v>
      </x:c>
      <x:c r="I7" s="34" t="n">
        <x:f>'Sale formats'!M7</x:f>
        <x:v>0.6900137614678898</x:v>
      </x:c>
      <x:c r="J7" s="11" t="n">
        <x:f>'Sale formats'!L7</x:f>
        <x:v>7521.15</x:v>
      </x:c>
      <x:c r="K7" s="26" t="str">
        <x:f>'Sale formats'!Q7</x:f>
        <x:v>n.a.</x:v>
      </x:c>
      <x:c r="L7" s="11" t="str">
        <x:f>'Sale formats'!R7</x:f>
        <x:v>Other operating costs missing</x:v>
      </x:c>
      <x:c r="N7" s="39" t="str">
        <x:v>The 18 kg column actually starts with 111 kg flour. Improver is 3% of flour; verify its specified dose. The 200 g/100 CFA format is much weaker than the 90 g format.</x:v>
      </x:c>
    </x:row>
    <x:row r="8" ht="28" customHeight="1">
      <x:c r="A8" s="10" t="str">
        <x:v>Baguette AI</x:v>
      </x:c>
      <x:c r="B8" s="12" t="n">
        <x:f>Batches!B8/1000</x:f>
        <x:v>30.52</x:v>
      </x:c>
      <x:c r="C8" s="12" t="n">
        <x:f>'Sale formats'!G11</x:f>
        <x:v>8109.144444444444</x:v>
      </x:c>
      <x:c r="D8" s="12" t="n">
        <x:f>'Sale formats'!C11</x:f>
        <x:v>85</x:v>
      </x:c>
      <x:c r="E8" s="12" t="n">
        <x:f>'Sale formats'!D11</x:f>
        <x:v>100</x:v>
      </x:c>
      <x:c r="F8" s="29" t="n">
        <x:f>'Sale formats'!H11</x:f>
        <x:v>359</x:v>
      </x:c>
      <x:c r="G8" s="12" t="n">
        <x:f>'Sale formats'!K11</x:f>
        <x:v>22.588146084803466</x:v>
      </x:c>
      <x:c r="H8" s="12" t="n">
        <x:f>IF(ISNUMBER(G8),E8-G8,"n.a.")</x:f>
        <x:v>77.41185391519653</x:v>
      </x:c>
      <x:c r="I8" s="35" t="n">
        <x:f>'Sale formats'!M11</x:f>
        <x:v>0.7741185391519654</x:v>
      </x:c>
      <x:c r="J8" s="12" t="n">
        <x:f>'Sale formats'!L11</x:f>
        <x:v>27790.855555555558</x:v>
      </x:c>
      <x:c r="K8" s="27" t="str">
        <x:f>'Sale formats'!Q11</x:f>
        <x:v>n.a.</x:v>
      </x:c>
      <x:c r="L8" s="12" t="str">
        <x:f>'Sale formats'!R11</x:f>
        <x:v>Other operating costs missing</x:v>
      </x:c>
      <x:c r="N8" s="39" t="str">
        <x:v>D uses 18 kg flour despite its 10 kg heading. F and J use different salt/improver ratios, so they are separate formulas. Bulk revenue uses 12 pieces for 1,000 CFA.</x:v>
      </x:c>
    </x:row>
    <x:row r="9" ht="28" customHeight="1">
      <x:c r="A9" s="2" t="str">
        <x:v>Banh Mi</x:v>
      </x:c>
      <x:c r="B9" s="11" t="n">
        <x:f>Batches!B9/1000</x:f>
        <x:v>10.53</x:v>
      </x:c>
      <x:c r="C9" s="11" t="n">
        <x:f>'Sale formats'!G15</x:f>
        <x:v>3230.4700000000003</x:v>
      </x:c>
      <x:c r="D9" s="11" t="n">
        <x:f>'Sale formats'!C15</x:f>
        <x:v>90</x:v>
      </x:c>
      <x:c r="E9" s="11" t="n">
        <x:f>'Sale formats'!D15</x:f>
        <x:v>100</x:v>
      </x:c>
      <x:c r="F9" s="28" t="n">
        <x:f>'Sale formats'!H15</x:f>
        <x:v>117</x:v>
      </x:c>
      <x:c r="G9" s="11" t="n">
        <x:f>'Sale formats'!K15</x:f>
        <x:v>27.610854700854702</x:v>
      </x:c>
      <x:c r="H9" s="11" t="n">
        <x:f>IF(ISNUMBER(G9),E9-G9,"n.a.")</x:f>
        <x:v>72.3891452991453</x:v>
      </x:c>
      <x:c r="I9" s="34" t="n">
        <x:f>'Sale formats'!M15</x:f>
        <x:v>0.7238914529914529</x:v>
      </x:c>
      <x:c r="J9" s="11" t="n">
        <x:f>'Sale formats'!L15</x:f>
        <x:v>8469.529999999999</x:v>
      </x:c>
      <x:c r="K9" s="26" t="str">
        <x:f>'Sale formats'!Q15</x:f>
        <x:v>n.a.</x:v>
      </x:c>
      <x:c r="L9" s="11" t="str">
        <x:f>'Sale formats'!R15</x:f>
        <x:v>Other operating costs missing</x:v>
      </x:c>
      <x:c r="N9" s="39" t="str">
        <x:v>The 50 kg column actually has 150 kg flour. Correct sugar from 37,000 to the master 32,000 per 50 kg. Very low salt and 2.5% improver require recipe review.</x:v>
      </x:c>
    </x:row>
    <x:row r="10" ht="28" customHeight="1">
      <x:c r="A10" s="10" t="str">
        <x:v>cake marbre</x:v>
      </x:c>
      <x:c r="B10" s="12" t="n">
        <x:f>Batches!B10/1000</x:f>
        <x:v>5.227</x:v>
      </x:c>
      <x:c r="C10" s="12" t="n">
        <x:f>'Sale formats'!G19</x:f>
        <x:v>3303.419005847953</x:v>
      </x:c>
      <x:c r="D10" s="12" t="n">
        <x:f>'Sale formats'!C19</x:f>
        <x:v>60</x:v>
      </x:c>
      <x:c r="E10" s="12" t="n">
        <x:f>'Sale formats'!D19</x:f>
        <x:v>150</x:v>
      </x:c>
      <x:c r="F10" s="29" t="n">
        <x:f>'Sale formats'!H19</x:f>
        <x:v>87</x:v>
      </x:c>
      <x:c r="G10" s="12" t="n">
        <x:f>'Sale formats'!K19</x:f>
        <x:v>37.97033340055118</x:v>
      </x:c>
      <x:c r="H10" s="12" t="n">
        <x:f>IF(ISNUMBER(G10),E10-G10,"n.a.")</x:f>
        <x:v>112.02966659944882</x:v>
      </x:c>
      <x:c r="I10" s="35" t="n">
        <x:f>'Sale formats'!M19</x:f>
        <x:v>0.7468644439963255</x:v>
      </x:c>
      <x:c r="J10" s="12" t="n">
        <x:f>'Sale formats'!L19</x:f>
        <x:v>9746.580994152047</x:v>
      </x:c>
      <x:c r="K10" s="27" t="str">
        <x:f>'Sale formats'!Q19</x:f>
        <x:v>n.a.</x:v>
      </x:c>
      <x:c r="L10" s="12" t="str">
        <x:f>'Sale formats'!R19</x:f>
        <x:v>Other operating costs missing</x:v>
      </x:c>
      <x:c r="N10" s="39" t="str">
        <x:v>Piece-count formulas divide batch COST by piece weight. Historical ingredient rates differ sharply from the master. Milk identity is unclear. No cocoa/chocolate line identifies the marbling.</x:v>
      </x:c>
    </x:row>
    <x:row r="11" ht="28" customHeight="1">
      <x:c r="A11" s="2" t="str">
        <x:v>gateau</x:v>
      </x:c>
      <x:c r="B11" s="11" t="n">
        <x:f>Batches!B11/1000</x:f>
        <x:v>39.87</x:v>
      </x:c>
      <x:c r="C11" s="11" t="n">
        <x:f>'Sale formats'!G21</x:f>
        <x:v>16354.771929824561</x:v>
      </x:c>
      <x:c r="D11" s="11" t="n">
        <x:f>'Sale formats'!C21</x:f>
        <x:v>81</x:v>
      </x:c>
      <x:c r="E11" s="11" t="n">
        <x:f>'Sale formats'!D21</x:f>
        <x:v>100</x:v>
      </x:c>
      <x:c r="F11" s="28" t="n">
        <x:f>'Sale formats'!H21</x:f>
        <x:v>492</x:v>
      </x:c>
      <x:c r="G11" s="11" t="n">
        <x:f>'Sale formats'!K21</x:f>
        <x:v>33.241406361432034</x:v>
      </x:c>
      <x:c r="H11" s="11" t="n">
        <x:f>IF(ISNUMBER(G11),E11-G11,"n.a.")</x:f>
        <x:v>66.75859363856796</x:v>
      </x:c>
      <x:c r="I11" s="34" t="n">
        <x:f>'Sale formats'!M21</x:f>
        <x:v>0.6675859363856795</x:v>
      </x:c>
      <x:c r="J11" s="11" t="n">
        <x:f>'Sale formats'!L21</x:f>
        <x:v>32845.228070175435</x:v>
      </x:c>
      <x:c r="K11" s="26" t="str">
        <x:f>'Sale formats'!Q21</x:f>
        <x:v>n.a.</x:v>
      </x:c>
      <x:c r="L11" s="11" t="str">
        <x:f>'Sale formats'!R21</x:f>
        <x:v>Partial ingredient costs</x:v>
      </x:c>
      <x:c r="N11" s="39" t="str">
        <x:v>Frying oil is entered as 10 against a pack weight of 20; units and net oil consumption are unresolved. Butter uses 20,000 g instead of 9,500 g. Condensed milk and egg mass need confirmation.</x:v>
      </x:c>
    </x:row>
    <x:row r="12" ht="28" customHeight="1">
      <x:c r="A12" s="10" t="str">
        <x:v>buns new look</x:v>
      </x:c>
      <x:c r="B12" s="12" t="n">
        <x:f>Batches!B12/1000</x:f>
        <x:v>24.75</x:v>
      </x:c>
      <x:c r="C12" s="12" t="n">
        <x:f>'Sale formats'!G25</x:f>
        <x:v>12433.85350877193</x:v>
      </x:c>
      <x:c r="D12" s="12" t="n">
        <x:f>'Sale formats'!C25</x:f>
        <x:v>160</x:v>
      </x:c>
      <x:c r="E12" s="12" t="n">
        <x:f>'Sale formats'!D25</x:f>
        <x:v>200</x:v>
      </x:c>
      <x:c r="F12" s="29" t="n">
        <x:f>'Sale formats'!H25</x:f>
        <x:v>154</x:v>
      </x:c>
      <x:c r="G12" s="12" t="n">
        <x:f>'Sale formats'!K25</x:f>
        <x:v>80.73930849851902</x:v>
      </x:c>
      <x:c r="H12" s="12" t="n">
        <x:f>IF(ISNUMBER(G12),E12-G12,"n.a.")</x:f>
        <x:v>119.26069150148098</x:v>
      </x:c>
      <x:c r="I12" s="35" t="n">
        <x:f>'Sale formats'!M25</x:f>
        <x:v>0.5963034575074049</x:v>
      </x:c>
      <x:c r="J12" s="12" t="n">
        <x:f>'Sale formats'!L25</x:f>
        <x:v>18366.14649122807</x:v>
      </x:c>
      <x:c r="K12" s="27" t="str">
        <x:f>'Sale formats'!Q25</x:f>
        <x:v>n.a.</x:v>
      </x:c>
      <x:c r="L12" s="12" t="str">
        <x:f>'Sale formats'!R25</x:f>
        <x:v>Other operating costs missing</x:v>
      </x:c>
      <x:c r="N12" s="39" t="str">
        <x:v>D/F/H/N are different formulas, not exact scales. D16 omits the 100 g EDC. Manual per-bun costs use selling weight/price instead of ingredient cost.</x:v>
      </x:c>
    </x:row>
    <x:row r="13" ht="28" customHeight="1">
      <x:c r="A13" s="2" t="str">
        <x:v>Donuts</x:v>
      </x:c>
      <x:c r="B13" s="11" t="n">
        <x:f>Batches!B13/1000</x:f>
        <x:v>22.45</x:v>
      </x:c>
      <x:c r="C13" s="11" t="n">
        <x:f>'Sale formats'!G30</x:f>
        <x:v>14597.735</x:v>
      </x:c>
      <x:c r="D13" s="11" t="n">
        <x:f>'Sale formats'!C30</x:f>
        <x:v>40</x:v>
      </x:c>
      <x:c r="E13" s="11" t="n">
        <x:f>'Sale formats'!D30</x:f>
        <x:v>50</x:v>
      </x:c>
      <x:c r="F13" s="28" t="n">
        <x:f>'Sale formats'!H30</x:f>
        <x:v>561</x:v>
      </x:c>
      <x:c r="G13" s="11" t="n">
        <x:f>'Sale formats'!K30</x:f>
        <x:v>26.020918003565065</x:v>
      </x:c>
      <x:c r="H13" s="11" t="n">
        <x:f>IF(ISNUMBER(G13),E13-G13,"n.a.")</x:f>
        <x:v>23.979081996434935</x:v>
      </x:c>
      <x:c r="I13" s="34" t="n">
        <x:f>'Sale formats'!M30</x:f>
        <x:v>0.47958163992869873</x:v>
      </x:c>
      <x:c r="J13" s="11" t="n">
        <x:f>'Sale formats'!L30</x:f>
        <x:v>13452.265</x:v>
      </x:c>
      <x:c r="K13" s="26" t="str">
        <x:f>'Sale formats'!Q30</x:f>
        <x:v>n.a.</x:v>
      </x:c>
      <x:c r="L13" s="11" t="str">
        <x:f>'Sale formats'!R30</x:f>
        <x:v>Other operating costs missing</x:v>
      </x:c>
      <x:c r="N13" s="39" t="str">
        <x:v>Keep the 5 kg frying-oil charge out of dough yield. Its full cost is charged provisionally; measure oil consumed/discarded. Large-scale cost and quantity use different multipliers; sales formulas have broken references.</x:v>
      </x:c>
    </x:row>
    <x:row r="14" ht="28" customHeight="1">
      <x:c r="A14" s="10" t="str">
        <x:v>Fish Pie</x:v>
      </x:c>
      <x:c r="B14" s="12" t="n">
        <x:f>Batches!B14/1000</x:f>
        <x:v>5.7</x:v>
      </x:c>
      <x:c r="C14" s="12" t="n">
        <x:f>'Sale formats'!G37</x:f>
        <x:v>4186.646616541353</x:v>
      </x:c>
      <x:c r="D14" s="12" t="n">
        <x:f>'Sale formats'!C37</x:f>
        <x:v>85</x:v>
      </x:c>
      <x:c r="E14" s="12" t="n">
        <x:f>'Sale formats'!D37</x:f>
        <x:v>100</x:v>
      </x:c>
      <x:c r="F14" s="29" t="n">
        <x:f>'Sale formats'!H37</x:f>
        <x:v>67</x:v>
      </x:c>
      <x:c r="G14" s="12" t="n">
        <x:f>'Sale formats'!K37</x:f>
        <x:v>62.48726293345303</x:v>
      </x:c>
      <x:c r="H14" s="12" t="n">
        <x:f>IF(ISNUMBER(G14),E14-G14,"n.a.")</x:f>
        <x:v>37.51273706654697</x:v>
      </x:c>
      <x:c r="I14" s="35" t="n">
        <x:f>'Sale formats'!M37</x:f>
        <x:v>0.3751273706654697</x:v>
      </x:c>
      <x:c r="J14" s="12" t="n">
        <x:f>'Sale formats'!L37</x:f>
        <x:v>2513.353383458647</x:v>
      </x:c>
      <x:c r="K14" s="27" t="str">
        <x:f>'Sale formats'!Q37</x:f>
        <x:v>n.a.</x:v>
      </x:c>
      <x:c r="L14" s="12" t="str">
        <x:f>'Sale formats'!R37</x:f>
        <x:v>Partial ingredient costs</x:v>
      </x:c>
      <x:c r="N14" s="39" t="str">
        <x:v>Cabbage (200 g) is unpriced. Improver points to baking powder. Filling trim/cook losses and labour are missing. Manual 60 g/100 CFA differs from the main 85 g/100 CFA format.</x:v>
      </x:c>
    </x:row>
    <x:row r="15" ht="28" customHeight="1">
      <x:c r="A15" s="2" t="str">
        <x:v>Galette</x:v>
      </x:c>
      <x:c r="B15" s="11" t="n">
        <x:f>Batches!B15/1000</x:f>
        <x:v>16.995</x:v>
      </x:c>
      <x:c r="C15" s="11" t="n">
        <x:f>'Sale formats'!G44</x:f>
        <x:v>10788.44269005848</x:v>
      </x:c>
      <x:c r="D15" s="11" t="n">
        <x:f>'Sale formats'!C44</x:f>
        <x:v>79</x:v>
      </x:c>
      <x:c r="E15" s="11" t="n">
        <x:f>'Sale formats'!D44</x:f>
        <x:v>100</x:v>
      </x:c>
      <x:c r="F15" s="28" t="n">
        <x:f>'Sale formats'!H44</x:f>
        <x:v>215</x:v>
      </x:c>
      <x:c r="G15" s="11" t="n">
        <x:f>'Sale formats'!K44</x:f>
        <x:v>50.178803209574326</x:v>
      </x:c>
      <x:c r="H15" s="11" t="n">
        <x:f>IF(ISNUMBER(G15),E15-G15,"n.a.")</x:f>
        <x:v>49.821196790425674</x:v>
      </x:c>
      <x:c r="I15" s="34" t="n">
        <x:f>'Sale formats'!M44</x:f>
        <x:v>0.4982119679042567</x:v>
      </x:c>
      <x:c r="J15" s="11" t="n">
        <x:f>'Sale formats'!L44</x:f>
        <x:v>10711.55730994152</x:v>
      </x:c>
      <x:c r="K15" s="26" t="str">
        <x:f>'Sale formats'!Q44</x:f>
        <x:v>n.a.</x:v>
      </x:c>
      <x:c r="L15" s="11" t="str">
        <x:f>'Sale formats'!R44</x:f>
        <x:v>Other operating costs missing</x:v>
      </x:c>
      <x:c r="N15" s="39" t="str">
        <x:v>Baking powder uses a 4,000 g milk-tantalizer denominator instead of 500 g. Manual per-piece cost is a price/weight ratio, not ingredient cost. EDC identity needs confirmation.</x:v>
      </x:c>
    </x:row>
    <x:row r="16" ht="28" customHeight="1">
      <x:c r="A16" s="10" t="str">
        <x:v>New bread</x:v>
      </x:c>
      <x:c r="B16" s="12" t="n">
        <x:f>Batches!B16/1000</x:f>
        <x:v>24.16</x:v>
      </x:c>
      <x:c r="C16" s="12" t="n">
        <x:f>'Sale formats'!G50</x:f>
        <x:v>9079.983625730994</x:v>
      </x:c>
      <x:c r="D16" s="12" t="n">
        <x:f>'Sale formats'!C50</x:f>
        <x:v>90</x:v>
      </x:c>
      <x:c r="E16" s="12" t="n">
        <x:f>'Sale formats'!D50</x:f>
        <x:v>100</x:v>
      </x:c>
      <x:c r="F16" s="29" t="n">
        <x:f>'Sale formats'!H50</x:f>
        <x:v>268</x:v>
      </x:c>
      <x:c r="G16" s="12" t="n">
        <x:f>'Sale formats'!K50</x:f>
        <x:v>33.880535916906695</x:v>
      </x:c>
      <x:c r="H16" s="12" t="n">
        <x:f>IF(ISNUMBER(G16),E16-G16,"n.a.")</x:f>
        <x:v>66.1194640830933</x:v>
      </x:c>
      <x:c r="I16" s="35" t="n">
        <x:f>'Sale formats'!M50</x:f>
        <x:v>0.661194640830933</x:v>
      </x:c>
      <x:c r="J16" s="12" t="n">
        <x:f>'Sale formats'!L50</x:f>
        <x:v>17720.016374269006</x:v>
      </x:c>
      <x:c r="K16" s="27" t="str">
        <x:f>'Sale formats'!Q50</x:f>
        <x:v>n.a.</x:v>
      </x:c>
      <x:c r="L16" s="12" t="str">
        <x:f>'Sale formats'!R50</x:f>
        <x:v>Other operating costs missing</x:v>
      </x:c>
      <x:c r="N16" s="39" t="str">
        <x:v>Condensed milk combines a milk price with a 25 kg powder-milk pack. Egg denominator is 540 g rather than the master 1,500 g. The purported 50 kg batch contains 125 kg flour.</x:v>
      </x:c>
    </x:row>
    <x:row r="17" ht="28" customHeight="1">
      <x:c r="A17" s="2" t="str">
        <x:v>NGALA BREAD</x:v>
      </x:c>
      <x:c r="B17" s="11" t="n">
        <x:f>Batches!B17/1000</x:f>
        <x:v>15.43</x:v>
      </x:c>
      <x:c r="C17" s="11" t="n">
        <x:f>'Sale formats'!G53</x:f>
        <x:v>7351.391228070174</x:v>
      </x:c>
      <x:c r="D17" s="11" t="n">
        <x:f>'Sale formats'!C53</x:f>
        <x:v>90</x:v>
      </x:c>
      <x:c r="E17" s="11" t="n">
        <x:f>'Sale formats'!D53</x:f>
        <x:v>100</x:v>
      </x:c>
      <x:c r="F17" s="28" t="n">
        <x:f>'Sale formats'!H53</x:f>
        <x:v>171</x:v>
      </x:c>
      <x:c r="G17" s="11" t="n">
        <x:f>'Sale formats'!K53</x:f>
        <x:v>42.99059197701856</x:v>
      </x:c>
      <x:c r="H17" s="11" t="n">
        <x:f>IF(ISNUMBER(G17),E17-G17,"n.a.")</x:f>
        <x:v>57.00940802298144</x:v>
      </x:c>
      <x:c r="I17" s="34" t="n">
        <x:f>'Sale formats'!M53</x:f>
        <x:v>0.5700940802298144</x:v>
      </x:c>
      <x:c r="J17" s="11" t="n">
        <x:f>'Sale formats'!L53</x:f>
        <x:v>9748.608771929827</x:v>
      </x:c>
      <x:c r="K17" s="26" t="str">
        <x:f>'Sale formats'!Q53</x:f>
        <x:v>n.a.</x:v>
      </x:c>
      <x:c r="L17" s="11" t="str">
        <x:f>'Sale formats'!R53</x:f>
        <x:v>Other operating costs missing</x:v>
      </x:c>
      <x:c r="N17" s="39" t="str">
        <x:v>Condensed milk uses the 25 kg powder-milk denominator. Egg pack weight is inconsistent. Manual cost formulas contain broken references.</x:v>
      </x:c>
    </x:row>
    <x:row r="18" ht="28" customHeight="1">
      <x:c r="A18" s="10" t="str">
        <x:v>Pain au lait</x:v>
      </x:c>
      <x:c r="B18" s="12" t="n">
        <x:f>Batches!B18/1000</x:f>
        <x:v>20.457</x:v>
      </x:c>
      <x:c r="C18" s="12" t="n">
        <x:f>'Sale formats'!G56</x:f>
        <x:v>9645.830116959065</x:v>
      </x:c>
      <x:c r="D18" s="12" t="n">
        <x:f>'Sale formats'!C56</x:f>
        <x:v>136</x:v>
      </x:c>
      <x:c r="E18" s="12" t="n">
        <x:f>'Sale formats'!D56</x:f>
        <x:v>150</x:v>
      </x:c>
      <x:c r="F18" s="29" t="n">
        <x:f>'Sale formats'!H56</x:f>
        <x:v>150</x:v>
      </x:c>
      <x:c r="G18" s="12" t="n">
        <x:f>'Sale formats'!K56</x:f>
        <x:v>64.30553411306043</x:v>
      </x:c>
      <x:c r="H18" s="12" t="n">
        <x:f>IF(ISNUMBER(G18),E18-G18,"n.a.")</x:f>
        <x:v>85.69446588693957</x:v>
      </x:c>
      <x:c r="I18" s="35" t="n">
        <x:f>'Sale formats'!M56</x:f>
        <x:v>0.5712964392462638</x:v>
      </x:c>
      <x:c r="J18" s="12" t="n">
        <x:f>'Sale formats'!L56</x:f>
        <x:v>12854.169883040935</x:v>
      </x:c>
      <x:c r="K18" s="27" t="str">
        <x:f>'Sale formats'!Q56</x:f>
        <x:v>n.a.</x:v>
      </x:c>
      <x:c r="L18" s="12" t="str">
        <x:f>'Sale formats'!R56</x:f>
        <x:v>Other operating costs missing</x:v>
      </x:c>
      <x:c r="N18" s="39" t="str">
        <x:v>E19 omits ingredients after yeast although D19 includes them. The purported 18 kg batch starts with 43.2 kg flour. Confirm milk identity, EDC and flavour dosage.</x:v>
      </x:c>
    </x:row>
    <x:row r="19" ht="28" customHeight="1">
      <x:c r="A19" s="2" t="str">
        <x:v>NEW BRIOCHE</x:v>
      </x:c>
      <x:c r="B19" s="11" t="n">
        <x:f>Batches!B19/1000</x:f>
        <x:v>17.213</x:v>
      </x:c>
      <x:c r="C19" s="11" t="n">
        <x:f>'Sale formats'!G62</x:f>
        <x:v>10838.378070175437</x:v>
      </x:c>
      <x:c r="D19" s="11" t="n">
        <x:f>'Sale formats'!C62</x:f>
        <x:v>82</x:v>
      </x:c>
      <x:c r="E19" s="11" t="n">
        <x:f>'Sale formats'!D62</x:f>
        <x:v>100</x:v>
      </x:c>
      <x:c r="F19" s="28" t="n">
        <x:f>'Sale formats'!H62</x:f>
        <x:v>209</x:v>
      </x:c>
      <x:c r="G19" s="11" t="n">
        <x:f>'Sale formats'!K62</x:f>
        <x:v>51.858268278351375</x:v>
      </x:c>
      <x:c r="H19" s="11" t="n">
        <x:f>IF(ISNUMBER(G19),E19-G19,"n.a.")</x:f>
        <x:v>48.141731721648625</x:v>
      </x:c>
      <x:c r="I19" s="34" t="n">
        <x:f>'Sale formats'!M62</x:f>
        <x:v>0.4814173172164863</x:v>
      </x:c>
      <x:c r="J19" s="11" t="n">
        <x:f>'Sale formats'!L62</x:f>
        <x:v>10061.621929824563</x:v>
      </x:c>
      <x:c r="K19" s="26" t="str">
        <x:f>'Sale formats'!Q62</x:f>
        <x:v>n.a.</x:v>
      </x:c>
      <x:c r="L19" s="11" t="str">
        <x:f>'Sale formats'!R62</x:f>
        <x:v>Other operating costs missing</x:v>
      </x:c>
      <x:c r="N19" s="39" t="str">
        <x:v>The secondary batch total omits rows and is not a faithful scale. The 82 g/100 CFA entry needs separate economics from 140 g/200 CFA. Compare flavour and demand before combining with brioche.</x:v>
      </x:c>
    </x:row>
    <x:row r="20" ht="28" customHeight="1">
      <x:c r="A20" s="10" t="str">
        <x:v>Brioche Professionel</x:v>
      </x:c>
      <x:c r="B20" s="12" t="n">
        <x:f>Batches!B20/1000</x:f>
        <x:v>10.75</x:v>
      </x:c>
      <x:c r="C20" s="12" t="n">
        <x:f>'Sale formats'!G68</x:f>
        <x:v>8800.684210526317</x:v>
      </x:c>
      <x:c r="D20" s="12" t="n">
        <x:f>'Sale formats'!C68</x:f>
        <x:v>70</x:v>
      </x:c>
      <x:c r="E20" s="12" t="n">
        <x:f>'Sale formats'!D68</x:f>
        <x:v>100</x:v>
      </x:c>
      <x:c r="F20" s="29" t="n">
        <x:f>'Sale formats'!H68</x:f>
        <x:v>153</x:v>
      </x:c>
      <x:c r="G20" s="12" t="n">
        <x:f>'Sale formats'!K68</x:f>
        <x:v>57.52081183350534</x:v>
      </x:c>
      <x:c r="H20" s="12" t="n">
        <x:f>IF(ISNUMBER(G20),E20-G20,"n.a.")</x:f>
        <x:v>42.47918816649466</x:v>
      </x:c>
      <x:c r="I20" s="35" t="n">
        <x:f>'Sale formats'!M68</x:f>
        <x:v>0.42479188166494664</x:v>
      </x:c>
      <x:c r="J20" s="12" t="n">
        <x:f>'Sale formats'!L68</x:f>
        <x:v>6499.315789473683</x:v>
      </x:c>
      <x:c r="K20" s="27" t="str">
        <x:f>'Sale formats'!Q68</x:f>
        <x:v>n.a.</x:v>
      </x:c>
      <x:c r="L20" s="12" t="str">
        <x:f>'Sale formats'!R68</x:f>
        <x:v>Other operating costs missing</x:v>
      </x:c>
      <x:c r="N20" s="39" t="str">
        <x:v>E15 omits yeast and nutmeg. The 50 kg column starts with only 13.64 kg flour. Condensed-milk identity is unresolved; the manual 80 g/100 CFA is weaker than 70 g/100 CFA.</x:v>
      </x:c>
    </x:row>
    <x:row r="21" ht="28" customHeight="1">
      <x:c r="A21" s="2" t="str">
        <x:v>professinal Buns</x:v>
      </x:c>
      <x:c r="B21" s="11" t="n">
        <x:f>Batches!B21/1000</x:f>
        <x:v>13.905</x:v>
      </x:c>
      <x:c r="C21" s="11" t="n">
        <x:f>'Sale formats'!G72</x:f>
        <x:v>9383.410116959063</x:v>
      </x:c>
      <x:c r="D21" s="11" t="n">
        <x:f>'Sale formats'!C72</x:f>
        <x:v>95</x:v>
      </x:c>
      <x:c r="E21" s="11" t="n">
        <x:f>'Sale formats'!D72</x:f>
        <x:v>100</x:v>
      </x:c>
      <x:c r="F21" s="28" t="n">
        <x:f>'Sale formats'!H72</x:f>
        <x:v>146</x:v>
      </x:c>
      <x:c r="G21" s="11" t="n">
        <x:f>'Sale formats'!K72</x:f>
        <x:v>64.26993230793879</x:v>
      </x:c>
      <x:c r="H21" s="11" t="n">
        <x:f>IF(ISNUMBER(G21),E21-G21,"n.a.")</x:f>
        <x:v>35.73006769206121</x:v>
      </x:c>
      <x:c r="I21" s="34" t="n">
        <x:f>'Sale formats'!M72</x:f>
        <x:v>0.3573006769206121</x:v>
      </x:c>
      <x:c r="J21" s="11" t="n">
        <x:f>'Sale formats'!L72</x:f>
        <x:v>5216.589883040937</x:v>
      </x:c>
      <x:c r="K21" s="26" t="str">
        <x:f>'Sale formats'!Q72</x:f>
        <x:v>n.a.</x:v>
      </x:c>
      <x:c r="L21" s="11" t="str">
        <x:f>'Sale formats'!R72</x:f>
        <x:v>Other operating costs missing</x:v>
      </x:c>
      <x:c r="N21" s="39" t="str">
        <x:v>E19 omits milk flavour, oil and nutmeg. Sales formulas multiply price twice. Water is only 300 g per 10 kg flour: confirm an omitted liquid before production.</x:v>
      </x:c>
    </x:row>
    <x:row r="22" ht="28" customHeight="1">
      <x:c r="A22" s="10" t="str">
        <x:v>brioche</x:v>
      </x:c>
      <x:c r="B22" s="12" t="n">
        <x:f>Batches!B22/1000</x:f>
        <x:v>17.4</x:v>
      </x:c>
      <x:c r="C22" s="12" t="n">
        <x:f>'Sale formats'!G77</x:f>
        <x:v>10861.148070175437</x:v>
      </x:c>
      <x:c r="D22" s="12" t="n">
        <x:f>'Sale formats'!C77</x:f>
        <x:v>82</x:v>
      </x:c>
      <x:c r="E22" s="12" t="n">
        <x:f>'Sale formats'!D77</x:f>
        <x:v>100</x:v>
      </x:c>
      <x:c r="F22" s="29" t="n">
        <x:f>'Sale formats'!H77</x:f>
        <x:v>212</x:v>
      </x:c>
      <x:c r="G22" s="12" t="n">
        <x:f>'Sale formats'!K77</x:f>
        <x:v>51.23183051969546</x:v>
      </x:c>
      <x:c r="H22" s="12" t="n">
        <x:f>IF(ISNUMBER(G22),E22-G22,"n.a.")</x:f>
        <x:v>48.76816948030454</x:v>
      </x:c>
      <x:c r="I22" s="35" t="n">
        <x:f>'Sale formats'!M77</x:f>
        <x:v>0.4876816948030454</x:v>
      </x:c>
      <x:c r="J22" s="12" t="n">
        <x:f>'Sale formats'!L77</x:f>
        <x:v>10338.851929824563</x:v>
      </x:c>
      <x:c r="K22" s="27" t="str">
        <x:f>'Sale formats'!Q77</x:f>
        <x:v>n.a.</x:v>
      </x:c>
      <x:c r="L22" s="12" t="str">
        <x:f>'Sale formats'!R77</x:f>
        <x:v>Other operating costs missing</x:v>
      </x:c>
      <x:c r="N22" s="39" t="str">
        <x:v>Secondary batch quantities are blank. Some profit cells deduct 16% of ingredient surplus without a supported expense basis. Compare with NEW BRIOCHE by taste and measured yield.</x:v>
      </x:c>
    </x:row>
    <x:row r="23" ht="28" customHeight="1">
      <x:c r="A23" s="2" t="str">
        <x:v>Chinchin</x:v>
      </x:c>
      <x:c r="B23" s="11" t="n">
        <x:f>Batches!B23/1000</x:f>
        <x:v>6.065</x:v>
      </x:c>
      <x:c r="C23" s="11" t="n">
        <x:f>'Sale formats'!G80</x:f>
        <x:v>4445.698830409357</x:v>
      </x:c>
      <x:c r="D23" s="11" t="n">
        <x:f>'Sale formats'!C80</x:f>
        <x:v>45</x:v>
      </x:c>
      <x:c r="E23" s="11" t="n">
        <x:f>'Sale formats'!D80</x:f>
        <x:v>100</x:v>
      </x:c>
      <x:c r="F23" s="28" t="n">
        <x:f>'Sale formats'!H80</x:f>
        <x:v>134</x:v>
      </x:c>
      <x:c r="G23" s="11" t="n">
        <x:f>'Sale formats'!K80</x:f>
        <x:v>33.17685694335341</x:v>
      </x:c>
      <x:c r="H23" s="11" t="n">
        <x:f>IF(ISNUMBER(G23),E23-G23,"n.a.")</x:f>
        <x:v>66.82314305664659</x:v>
      </x:c>
      <x:c r="I23" s="34" t="n">
        <x:f>'Sale formats'!M80</x:f>
        <x:v>0.6682314305664658</x:v>
      </x:c>
      <x:c r="J23" s="11" t="n">
        <x:f>'Sale formats'!L80</x:f>
        <x:v>8954.301169590643</x:v>
      </x:c>
      <x:c r="K23" s="26" t="str">
        <x:f>'Sale formats'!Q80</x:f>
        <x:v>n.a.</x:v>
      </x:c>
      <x:c r="L23" s="11" t="str">
        <x:f>'Sale formats'!R80</x:f>
        <x:v>Partial ingredient costs</x:v>
      </x:c>
      <x:c r="N23" s="39" t="str">
        <x:v>Oil is entered as 2 and priced as 2 g; confirm its unit and consumption. The manual 30 g / 1,200 CFA pair lacks a price header and is only a possible offer, requiring confirmation. Egg mass is 1,200 g for 3,600 g flour.</x:v>
      </x:c>
    </x:row>
    <x:row r="24" ht="28" customHeight="1">
      <x:c r="A24" s="10" t="str">
        <x:v>choko bread</x:v>
      </x:c>
      <x:c r="B24" s="12" t="n">
        <x:f>Batches!B24/1000</x:f>
        <x:v>8.384</x:v>
      </x:c>
      <x:c r="C24" s="12" t="n">
        <x:f>'Sale formats'!G85</x:f>
        <x:v>4175.685087719297</x:v>
      </x:c>
      <x:c r="D24" s="12" t="n">
        <x:f>'Sale formats'!C85</x:f>
        <x:v>100</x:v>
      </x:c>
      <x:c r="E24" s="12" t="n">
        <x:f>'Sale formats'!D85</x:f>
        <x:v>100</x:v>
      </x:c>
      <x:c r="F24" s="29" t="n">
        <x:f>'Sale formats'!H85</x:f>
        <x:v>83</x:v>
      </x:c>
      <x:c r="G24" s="12" t="n">
        <x:f>'Sale formats'!K85</x:f>
        <x:v>50.3094588881843</x:v>
      </x:c>
      <x:c r="H24" s="12" t="n">
        <x:f>IF(ISNUMBER(G24),E24-G24,"n.a.")</x:f>
        <x:v>49.6905411118157</x:v>
      </x:c>
      <x:c r="I24" s="35" t="n">
        <x:f>'Sale formats'!M85</x:f>
        <x:v>0.49690541111815695</x:v>
      </x:c>
      <x:c r="J24" s="12" t="n">
        <x:f>'Sale formats'!L85</x:f>
        <x:v>4124.314912280703</x:v>
      </x:c>
      <x:c r="K24" s="27" t="str">
        <x:f>'Sale formats'!Q85</x:f>
        <x:v>n.a.</x:v>
      </x:c>
      <x:c r="L24" s="12" t="str">
        <x:f>'Sale formats'!R85</x:f>
        <x:v>Other operating costs missing</x:v>
      </x:c>
      <x:c r="N24" s="39" t="str">
        <x:v>Old hard-coded prices and a powder-sized milk pack. Milk is provisionally mapped to powder milk. Base-cost total omits chocolate while scaled cost includes it.</x:v>
      </x:c>
    </x:row>
    <x:row r="25" ht="28" customHeight="1">
      <x:c r="A25" s="2" t="str">
        <x:v>YUMMY BREAD</x:v>
      </x:c>
      <x:c r="B25" s="11" t="n">
        <x:f>Batches!B25/1000</x:f>
        <x:v>24.75</x:v>
      </x:c>
      <x:c r="C25" s="11" t="n">
        <x:f>'Sale formats'!G88</x:f>
        <x:v>12133.85350877193</x:v>
      </x:c>
      <x:c r="D25" s="11" t="n">
        <x:f>'Sale formats'!C88</x:f>
        <x:v>139</x:v>
      </x:c>
      <x:c r="E25" s="11" t="n">
        <x:f>'Sale formats'!D88</x:f>
        <x:v>150</x:v>
      </x:c>
      <x:c r="F25" s="28" t="n">
        <x:f>'Sale formats'!H88</x:f>
        <x:v>178</x:v>
      </x:c>
      <x:c r="G25" s="11" t="n">
        <x:f>'Sale formats'!K88</x:f>
        <x:v>68.16771634141534</x:v>
      </x:c>
      <x:c r="H25" s="11" t="n">
        <x:f>IF(ISNUMBER(G25),E25-G25,"n.a.")</x:f>
        <x:v>81.83228365858466</x:v>
      </x:c>
      <x:c r="I25" s="34" t="n">
        <x:f>'Sale formats'!M88</x:f>
        <x:v>0.5455485577238978</x:v>
      </x:c>
      <x:c r="J25" s="11" t="n">
        <x:f>'Sale formats'!L88</x:f>
        <x:v>14566.14649122807</x:v>
      </x:c>
      <x:c r="K25" s="26" t="str">
        <x:f>'Sale formats'!Q88</x:f>
        <x:v>n.a.</x:v>
      </x:c>
      <x:c r="L25" s="11" t="str">
        <x:f>'Sale formats'!R88</x:f>
        <x:v>Other operating costs missing</x:v>
      </x:c>
      <x:c r="N25" s="39" t="str">
        <x:v>Flour Bir at 20,000/50 kg is retained. The source total omits 100 g EDC. D/F/H are different formulas; 125 and 150 CFA are separate prices for the same 139 g piece.</x:v>
      </x:c>
    </x:row>
    <x:row r="26" ht="28" customHeight="1">
      <x:c r="A26" s="10" t="str">
        <x:v>Kouatchoua gato</x:v>
      </x:c>
      <x:c r="B26" s="12" t="n">
        <x:f>Batches!B26/1000</x:f>
        <x:v>42.71</x:v>
      </x:c>
      <x:c r="C26" s="12" t="n">
        <x:f>'Sale formats'!G93</x:f>
        <x:v>27540.04970760234</x:v>
      </x:c>
      <x:c r="D26" s="12" t="n">
        <x:f>'Sale formats'!C93</x:f>
        <x:v>81.4</x:v>
      </x:c>
      <x:c r="E26" s="12" t="n">
        <x:f>'Sale formats'!D93</x:f>
        <x:v>100</x:v>
      </x:c>
      <x:c r="F26" s="29" t="n">
        <x:f>'Sale formats'!H93</x:f>
        <x:v>524</x:v>
      </x:c>
      <x:c r="G26" s="12" t="n">
        <x:f>'Sale formats'!K93</x:f>
        <x:v>52.55734677023347</x:v>
      </x:c>
      <x:c r="H26" s="12" t="n">
        <x:f>IF(ISNUMBER(G26),E26-G26,"n.a.")</x:f>
        <x:v>47.44265322976653</x:v>
      </x:c>
      <x:c r="I26" s="35" t="n">
        <x:f>'Sale formats'!M93</x:f>
        <x:v>0.4744265322976653</x:v>
      </x:c>
      <x:c r="J26" s="12" t="n">
        <x:f>'Sale formats'!L93</x:f>
        <x:v>24859.95029239766</x:v>
      </x:c>
      <x:c r="K26" s="27" t="str">
        <x:f>'Sale formats'!Q93</x:f>
        <x:v>n.a.</x:v>
      </x:c>
      <x:c r="L26" s="12" t="str">
        <x:f>'Sale formats'!R93</x:f>
        <x:v>Other operating costs missing</x:v>
      </x:c>
      <x:c r="N26" s="39" t="str">
        <x:v>Exclude 8 kg frying oil from dough yield, while provisionally charging its full cost. Condensed-milk identity remains unclear. The older report included fryer oil in saleable mass.</x:v>
      </x:c>
    </x:row>
    <x:row r="27" ht="28" customHeight="1">
      <x:c r="A27" s="2" t="str">
        <x:v>Cake Prof</x:v>
      </x:c>
      <x:c r="B27" s="11" t="n">
        <x:f>Batches!B27/1000</x:f>
        <x:v>9.26</x:v>
      </x:c>
      <x:c r="C27" s="11" t="n">
        <x:f>'Sale formats'!G99</x:f>
        <x:v>7511.196198830409</x:v>
      </x:c>
      <x:c r="D27" s="11" t="n">
        <x:f>'Sale formats'!C99</x:f>
        <x:v>230</x:v>
      </x:c>
      <x:c r="E27" s="11" t="n">
        <x:f>'Sale formats'!D99</x:f>
        <x:v>500</x:v>
      </x:c>
      <x:c r="F27" s="28" t="n">
        <x:f>'Sale formats'!H99</x:f>
        <x:v>40</x:v>
      </x:c>
      <x:c r="G27" s="11" t="n">
        <x:f>'Sale formats'!K99</x:f>
        <x:v>187.77990497076024</x:v>
      </x:c>
      <x:c r="H27" s="11" t="n">
        <x:f>IF(ISNUMBER(G27),E27-G27,"n.a.")</x:f>
        <x:v>312.22009502923976</x:v>
      </x:c>
      <x:c r="I27" s="34" t="n">
        <x:f>'Sale formats'!M99</x:f>
        <x:v>0.6244401900584795</x:v>
      </x:c>
      <x:c r="J27" s="11" t="n">
        <x:f>'Sale formats'!L99</x:f>
        <x:v>12488.80380116959</x:v>
      </x:c>
      <x:c r="K27" s="26" t="str">
        <x:f>'Sale formats'!Q99</x:f>
        <x:v>n.a.</x:v>
      </x:c>
      <x:c r="L27" s="11" t="str">
        <x:f>'Sale formats'!R99</x:f>
        <x:v>Other operating costs missing</x:v>
      </x:c>
      <x:c r="N27" s="39" t="str">
        <x:v>D and H are materially different egg/butter/sugar formulas. Its profit-margin cell is a markup on cost. Use one approved formula and a measured cooled yield.</x:v>
      </x:c>
    </x:row>
    <x:row r="28" ht="28" customHeight="1">
      <x:c r="A28" s="10" t="str">
        <x:v>Best Chinchin</x:v>
      </x:c>
      <x:c r="B28" s="12" t="n">
        <x:f>Batches!B28/1000</x:f>
        <x:v>45.4</x:v>
      </x:c>
      <x:c r="C28" s="12" t="n">
        <x:f>'Sale formats'!G101</x:f>
        <x:v>54165.35380116959</x:v>
      </x:c>
      <x:c r="D28" s="12" t="n">
        <x:f>'Sale formats'!C101</x:f>
        <x:v>45</x:v>
      </x:c>
      <x:c r="E28" s="12" t="n">
        <x:f>'Sale formats'!D101</x:f>
        <x:v>100</x:v>
      </x:c>
      <x:c r="F28" s="29" t="n">
        <x:f>'Sale formats'!H101</x:f>
        <x:v>1008</x:v>
      </x:c>
      <x:c r="G28" s="12" t="n">
        <x:f>'Sale formats'!K101</x:f>
        <x:v>53.73547004084285</x:v>
      </x:c>
      <x:c r="H28" s="12" t="n">
        <x:f>IF(ISNUMBER(G28),E28-G28,"n.a.")</x:f>
        <x:v>46.26452995915715</x:v>
      </x:c>
      <x:c r="I28" s="35" t="n">
        <x:f>'Sale formats'!M101</x:f>
        <x:v>0.4626452995915715</x:v>
      </x:c>
      <x:c r="J28" s="12" t="n">
        <x:f>'Sale formats'!L101</x:f>
        <x:v>46634.64619883041</x:v>
      </x:c>
      <x:c r="K28" s="27" t="str">
        <x:f>'Sale formats'!Q101</x:f>
        <x:v>n.a.</x:v>
      </x:c>
      <x:c r="L28" s="12" t="str">
        <x:f>'Sale formats'!R101</x:f>
        <x:v>Other operating costs missing</x:v>
      </x:c>
      <x:c r="N28" s="39" t="str">
        <x:v>The 15 kg frying-oil line is excluded from dough mass but fully charged provisionally. Improver is incorrectly priced as milk. Smaller-batch ingredient ratios differ.</x:v>
      </x:c>
    </x:row>
    <x:row r="29" ht="28" customHeight="1">
      <x:c r="A29" s="2" t="str">
        <x:v>Sugar Balls</x:v>
      </x:c>
      <x:c r="B29" s="11" t="n">
        <x:f>Batches!B29/1000</x:f>
        <x:v>17.01</x:v>
      </x:c>
      <x:c r="C29" s="11" t="n">
        <x:f>'Sale formats'!G106</x:f>
        <x:v>7198.274561403508</x:v>
      </x:c>
      <x:c r="D29" s="11" t="n">
        <x:f>'Sale formats'!C106</x:f>
        <x:v>70</x:v>
      </x:c>
      <x:c r="E29" s="11" t="n">
        <x:f>'Sale formats'!D106</x:f>
        <x:v>100</x:v>
      </x:c>
      <x:c r="F29" s="28" t="n">
        <x:f>'Sale formats'!H106</x:f>
        <x:v>243</x:v>
      </x:c>
      <x:c r="G29" s="11" t="n">
        <x:f>'Sale formats'!K106</x:f>
        <x:v>29.6225290592737</x:v>
      </x:c>
      <x:c r="H29" s="11" t="n">
        <x:f>IF(ISNUMBER(G29),E29-G29,"n.a.")</x:f>
        <x:v>70.3774709407263</x:v>
      </x:c>
      <x:c r="I29" s="34" t="n">
        <x:f>'Sale formats'!M106</x:f>
        <x:v>0.703774709407263</x:v>
      </x:c>
      <x:c r="J29" s="11" t="n">
        <x:f>'Sale formats'!L106</x:f>
        <x:v>17101.72543859649</x:v>
      </x:c>
      <x:c r="K29" s="26" t="str">
        <x:f>'Sale formats'!Q106</x:f>
        <x:v>n.a.</x:v>
      </x:c>
      <x:c r="L29" s="11" t="str">
        <x:f>'Sale formats'!R106</x:f>
        <x:v>Partial ingredient costs</x:v>
      </x:c>
      <x:c r="N29" s="39" t="str">
        <x:v>Improver is priced as baking powder. No frying-oil consumption is costed. Small and large batch formulas differ. The 500 CFA offer is a price hypothesis, not evidence of demand.</x:v>
      </x:c>
    </x:row>
    <x:row r="30" ht="28" customHeight="1">
      <x:c r="A30" s="10" t="str">
        <x:v>Beignet soufle</x:v>
      </x:c>
      <x:c r="B30" s="12" t="n">
        <x:f>Batches!B30/1000</x:f>
        <x:v>12.38</x:v>
      </x:c>
      <x:c r="C30" s="12" t="n">
        <x:f>'Sale formats'!G112</x:f>
        <x:v>7474.6912280701745</x:v>
      </x:c>
      <x:c r="D30" s="12" t="n">
        <x:f>'Sale formats'!C112</x:f>
        <x:v>37</x:v>
      </x:c>
      <x:c r="E30" s="12" t="n">
        <x:f>'Sale formats'!D112</x:f>
        <x:v>50</x:v>
      </x:c>
      <x:c r="F30" s="29" t="n">
        <x:f>'Sale formats'!H112</x:f>
        <x:v>334</x:v>
      </x:c>
      <x:c r="G30" s="12" t="n">
        <x:f>'Sale formats'!K112</x:f>
        <x:v>22.379315054102317</x:v>
      </x:c>
      <x:c r="H30" s="12" t="n">
        <x:f>IF(ISNUMBER(G30),E30-G30,"n.a.")</x:f>
        <x:v>27.620684945897683</x:v>
      </x:c>
      <x:c r="I30" s="35" t="n">
        <x:f>'Sale formats'!M112</x:f>
        <x:v>0.5524136989179537</x:v>
      </x:c>
      <x:c r="J30" s="12" t="n">
        <x:f>'Sale formats'!L112</x:f>
        <x:v>9225.308771929826</x:v>
      </x:c>
      <x:c r="K30" s="27" t="str">
        <x:f>'Sale formats'!Q112</x:f>
        <x:v>n.a.</x:v>
      </x:c>
      <x:c r="L30" s="12" t="str">
        <x:f>'Sale formats'!R112</x:f>
        <x:v>Partial ingredient costs</x:v>
      </x:c>
      <x:c r="N30" s="39" t="str">
        <x:v>Use the explicit 6 kg-flour F column. D/H are scaled from a different 7 kg formula. Frying oil is absent. Confirm EDC identity and dose.</x:v>
      </x:c>
    </x:row>
    <x:row r="31" ht="28" customHeight="1">
      <x:c r="A31" s="2" t="str">
        <x:v>Zebree</x:v>
      </x:c>
      <x:c r="B31" s="11" t="n">
        <x:f>Batches!B31/1000</x:f>
        <x:v>19.505</x:v>
      </x:c>
      <x:c r="C31" s="11" t="n">
        <x:f>'Sale formats'!G115</x:f>
        <x:v>12605.066374269005</x:v>
      </x:c>
      <x:c r="D31" s="11" t="n">
        <x:f>'Sale formats'!C115</x:f>
        <x:v>370</x:v>
      </x:c>
      <x:c r="E31" s="11" t="n">
        <x:f>'Sale formats'!D115</x:f>
        <x:v>500</x:v>
      </x:c>
      <x:c r="F31" s="28" t="n">
        <x:f>'Sale formats'!H115</x:f>
        <x:v>52</x:v>
      </x:c>
      <x:c r="G31" s="11" t="n">
        <x:f>'Sale formats'!K115</x:f>
        <x:v>242.40512258209625</x:v>
      </x:c>
      <x:c r="H31" s="11" t="n">
        <x:f>IF(ISNUMBER(G31),E31-G31,"n.a.")</x:f>
        <x:v>257.5948774179037</x:v>
      </x:c>
      <x:c r="I31" s="34" t="n">
        <x:f>'Sale formats'!M115</x:f>
        <x:v>0.5151897548358075</x:v>
      </x:c>
      <x:c r="J31" s="11" t="n">
        <x:f>'Sale formats'!L115</x:f>
        <x:v>13394.933625730995</x:v>
      </x:c>
      <x:c r="K31" s="26" t="str">
        <x:f>'Sale formats'!Q115</x:f>
        <x:v>n.a.</x:v>
      </x:c>
      <x:c r="L31" s="11" t="str">
        <x:f>'Sale formats'!R115</x:f>
        <x:v>Other operating costs missing</x:v>
      </x:c>
      <x:c r="N31" s="39" t="str">
        <x:v>Baking powder uses the wrong pack weight; EDC uses a 25 kg milk-powder pack. Large and small formulas differ, including chocolate and butter.</x:v>
      </x:c>
    </x:row>
    <x:row r="32" ht="28" customHeight="1">
      <x:c r="A32" s="10" t="str">
        <x:v>Danisa biscuits</x:v>
      </x:c>
      <x:c r="B32" s="12" t="n">
        <x:f>Batches!B32/1000</x:f>
        <x:v>35.59</x:v>
      </x:c>
      <x:c r="C32" s="12" t="n">
        <x:f>'Sale formats'!G120</x:f>
        <x:v>28624.309941520467</x:v>
      </x:c>
      <x:c r="D32" s="12" t="n">
        <x:f>'Sale formats'!C120</x:f>
        <x:v>30</x:v>
      </x:c>
      <x:c r="E32" s="12" t="n">
        <x:f>'Sale formats'!D120</x:f>
        <x:v>50</x:v>
      </x:c>
      <x:c r="F32" s="29" t="n">
        <x:f>'Sale formats'!H120</x:f>
        <x:v>1186</x:v>
      </x:c>
      <x:c r="G32" s="12" t="n">
        <x:f>'Sale formats'!K120</x:f>
        <x:v>24.135168584755874</x:v>
      </x:c>
      <x:c r="H32" s="12" t="n">
        <x:f>IF(ISNUMBER(G32),E32-G32,"n.a.")</x:f>
        <x:v>25.864831415244126</x:v>
      </x:c>
      <x:c r="I32" s="35" t="n">
        <x:f>'Sale formats'!M120</x:f>
        <x:v>0.5172966283048825</x:v>
      </x:c>
      <x:c r="J32" s="12" t="n">
        <x:f>'Sale formats'!L120</x:f>
        <x:v>30675.690058479533</x:v>
      </x:c>
      <x:c r="K32" s="27" t="str">
        <x:f>'Sale formats'!Q120</x:f>
        <x:v>n.a.</x:v>
      </x:c>
      <x:c r="L32" s="12" t="str">
        <x:f>'Sale formats'!R120</x:f>
        <x:v>Other operating costs missing</x:v>
      </x:c>
      <x:c r="N32" s="39" t="str">
        <x:v>The 2 kg and trial formulas change sugar/egg ratios. The 30 g/50 CFA offer has a different price per gram from large packs. Packaging and cooled biscuit yield are missing.</x:v>
      </x:c>
    </x:row>
    <x:row r="33" ht="28" customHeight="1">
      <x:c r="A33" s="2" t="str">
        <x:v>Delice</x:v>
      </x:c>
      <x:c r="B33" s="11" t="n">
        <x:f>Batches!B33/1000</x:f>
        <x:v>6.785</x:v>
      </x:c>
      <x:c r="C33" s="11" t="n">
        <x:f>'Sale formats'!G125</x:f>
        <x:v>4893.358304093566</x:v>
      </x:c>
      <x:c r="D33" s="11" t="n">
        <x:f>'Sale formats'!C125</x:f>
        <x:v>700</x:v>
      </x:c>
      <x:c r="E33" s="11" t="n">
        <x:f>'Sale formats'!D125</x:f>
        <x:v>1000</x:v>
      </x:c>
      <x:c r="F33" s="28" t="n">
        <x:f>'Sale formats'!H125</x:f>
        <x:v>9</x:v>
      </x:c>
      <x:c r="G33" s="11" t="n">
        <x:f>'Sale formats'!K125</x:f>
        <x:v>543.7064782326185</x:v>
      </x:c>
      <x:c r="H33" s="11" t="n">
        <x:f>IF(ISNUMBER(G33),E33-G33,"n.a.")</x:f>
        <x:v>456.29352176738155</x:v>
      </x:c>
      <x:c r="I33" s="34" t="n">
        <x:f>'Sale formats'!M125</x:f>
        <x:v>0.4562935217673815</x:v>
      </x:c>
      <x:c r="J33" s="11" t="n">
        <x:f>'Sale formats'!L125</x:f>
        <x:v>4106.641695906434</x:v>
      </x:c>
      <x:c r="K33" s="26" t="str">
        <x:f>'Sale formats'!Q125</x:f>
        <x:v>n.a.</x:v>
      </x:c>
      <x:c r="L33" s="11" t="str">
        <x:f>'Sale formats'!R125</x:f>
        <x:v>Other operating costs missing</x:v>
      </x:c>
      <x:c r="N33" s="39" t="str">
        <x:v>Baking powder pack weight is wrong. The smaller formula omits honey and changes butter/sugar. Manual 86 g/100 CFA needs its own lower-margin calculation.</x:v>
      </x:c>
    </x:row>
    <x:row r="34" ht="28" customHeight="1">
      <x:c r="A34" s="10" t="str">
        <x:v>Okinawa</x:v>
      </x:c>
      <x:c r="B34" s="12" t="n">
        <x:f>Batches!B34/1000</x:f>
        <x:v>6.4</x:v>
      </x:c>
      <x:c r="C34" s="12" t="n">
        <x:f>'Sale formats'!G130</x:f>
        <x:v>4447.944444444444</x:v>
      </x:c>
      <x:c r="D34" s="12" t="n">
        <x:f>'Sale formats'!C130</x:f>
        <x:v>80</x:v>
      </x:c>
      <x:c r="E34" s="12" t="n">
        <x:f>'Sale formats'!D130</x:f>
        <x:v>100</x:v>
      </x:c>
      <x:c r="F34" s="29" t="n">
        <x:f>'Sale formats'!H130</x:f>
        <x:v>80</x:v>
      </x:c>
      <x:c r="G34" s="12" t="n">
        <x:f>'Sale formats'!K130</x:f>
        <x:v>55.59930555555555</x:v>
      </x:c>
      <x:c r="H34" s="12" t="n">
        <x:f>IF(ISNUMBER(G34),E34-G34,"n.a.")</x:f>
        <x:v>44.40069444444445</x:v>
      </x:c>
      <x:c r="I34" s="35" t="n">
        <x:f>'Sale formats'!M130</x:f>
        <x:v>0.44400694444444444</x:v>
      </x:c>
      <x:c r="J34" s="12" t="n">
        <x:f>'Sale formats'!L130</x:f>
        <x:v>3552.0555555555557</x:v>
      </x:c>
      <x:c r="K34" s="27" t="str">
        <x:f>'Sale formats'!Q130</x:f>
        <x:v>n.a.</x:v>
      </x:c>
      <x:c r="L34" s="12" t="str">
        <x:f>'Sale formats'!R130</x:f>
        <x:v>Other operating costs missing</x:v>
      </x:c>
      <x:c r="N34" s="39" t="str">
        <x:v>Egg is priced as butter. Exclude the 1 kg frying-oil line from yield but charge it provisionally. No water line is supplied; confirm the formula before judging texture or yield.</x:v>
      </x:c>
    </x:row>
    <x:row r="35" ht="28" customHeight="1">
      <x:c r="A35" s="2" t="str">
        <x:v>CAKE NOW</x:v>
      </x:c>
      <x:c r="B35" s="11" t="n">
        <x:f>Batches!B35/1000</x:f>
        <x:v>7.1</x:v>
      </x:c>
      <x:c r="C35" s="11" t="n">
        <x:f>'Sale formats'!G136</x:f>
        <x:v>6138.070175438596</x:v>
      </x:c>
      <x:c r="D35" s="11" t="n">
        <x:f>'Sale formats'!C136</x:f>
        <x:v>220</x:v>
      </x:c>
      <x:c r="E35" s="11" t="n">
        <x:f>'Sale formats'!D136</x:f>
        <x:v>500</x:v>
      </x:c>
      <x:c r="F35" s="28" t="n">
        <x:f>'Sale formats'!H136</x:f>
        <x:v>32</x:v>
      </x:c>
      <x:c r="G35" s="11" t="n">
        <x:f>'Sale formats'!K136</x:f>
        <x:v>191.81469298245614</x:v>
      </x:c>
      <x:c r="H35" s="11" t="n">
        <x:f>IF(ISNUMBER(G35),E35-G35,"n.a.")</x:f>
        <x:v>308.1853070175439</x:v>
      </x:c>
      <x:c r="I35" s="34" t="n">
        <x:f>'Sale formats'!M136</x:f>
        <x:v>0.6163706140350877</x:v>
      </x:c>
      <x:c r="J35" s="11" t="n">
        <x:f>'Sale formats'!L136</x:f>
        <x:v>9861.929824561405</x:v>
      </x:c>
      <x:c r="K35" s="26" t="str">
        <x:f>'Sale formats'!Q136</x:f>
        <x:v>n.a.</x:v>
      </x:c>
      <x:c r="L35" s="11" t="str">
        <x:f>'Sale formats'!R136</x:f>
        <x:v>Other operating costs missing</x:v>
      </x:c>
      <x:c r="N35" s="39" t="str">
        <x:v>Water row is blank and treated as unused in the listed formula. The 100 CFA row without a weight cannot be costed. Source margin is markup, not sales margin.</x:v>
      </x:c>
    </x:row>
    <x:row r="36" ht="28" customHeight="1">
      <x:c r="A36" s="10" t="str">
        <x:v>Short bread</x:v>
      </x:c>
      <x:c r="B36" s="12" t="n">
        <x:f>Batches!B36/1000</x:f>
        <x:v>3.95</x:v>
      </x:c>
      <x:c r="C36" s="12" t="n">
        <x:f>'Sale formats'!G138</x:f>
        <x:v>2982.8801169590643</x:v>
      </x:c>
      <x:c r="D36" s="12" t="n">
        <x:f>'Sale formats'!C138</x:f>
        <x:v>38</x:v>
      </x:c>
      <x:c r="E36" s="12" t="n">
        <x:f>'Sale formats'!D138</x:f>
        <x:v>50</x:v>
      </x:c>
      <x:c r="F36" s="29" t="n">
        <x:f>'Sale formats'!H138</x:f>
        <x:v>103</x:v>
      </x:c>
      <x:c r="G36" s="12" t="n">
        <x:f>'Sale formats'!K138</x:f>
        <x:v>28.960001135524895</x:v>
      </x:c>
      <x:c r="H36" s="12" t="n">
        <x:f>IF(ISNUMBER(G36),E36-G36,"n.a.")</x:f>
        <x:v>21.039998864475105</x:v>
      </x:c>
      <x:c r="I36" s="35" t="n">
        <x:f>'Sale formats'!M138</x:f>
        <x:v>0.4207999772895021</x:v>
      </x:c>
      <x:c r="J36" s="12" t="n">
        <x:f>'Sale formats'!L138</x:f>
        <x:v>2167.1198830409357</x:v>
      </x:c>
      <x:c r="K36" s="27" t="str">
        <x:f>'Sale formats'!Q138</x:f>
        <x:v>n.a.</x:v>
      </x:c>
      <x:c r="L36" s="12" t="str">
        <x:f>'Sale formats'!R138</x:f>
        <x:v>Other operating costs missing</x:v>
      </x:c>
      <x:c r="N36" s="39" t="str">
        <x:v>Salt is 150 g per 2 kg flour (7.5%): confirm transcription before production. The smaller formula changes ratios. Two weights are sold at the same 50 CFA price.</x:v>
      </x:c>
    </x:row>
    <x:row r="37" ht="28" customHeight="1">
      <x:c r="A37" s="2" t="str">
        <x:v>Melto</x:v>
      </x:c>
      <x:c r="B37" s="11" t="n">
        <x:f>Batches!B37/1000</x:f>
        <x:v>7.49</x:v>
      </x:c>
      <x:c r="C37" s="11" t="n">
        <x:f>'Sale formats'!G140</x:f>
        <x:v>5768.87134502924</x:v>
      </x:c>
      <x:c r="D37" s="11" t="n">
        <x:f>'Sale formats'!C140</x:f>
        <x:v>34</x:v>
      </x:c>
      <x:c r="E37" s="11" t="n">
        <x:f>'Sale formats'!D140</x:f>
        <x:v>50</x:v>
      </x:c>
      <x:c r="F37" s="28" t="n">
        <x:f>'Sale formats'!H140</x:f>
        <x:v>220</x:v>
      </x:c>
      <x:c r="G37" s="11" t="n">
        <x:f>'Sale formats'!K140</x:f>
        <x:v>26.222142477405637</x:v>
      </x:c>
      <x:c r="H37" s="11" t="n">
        <x:f>IF(ISNUMBER(G37),E37-G37,"n.a.")</x:f>
        <x:v>23.777857522594363</x:v>
      </x:c>
      <x:c r="I37" s="34" t="n">
        <x:f>'Sale formats'!M140</x:f>
        <x:v>0.4755571504518873</x:v>
      </x:c>
      <x:c r="J37" s="11" t="n">
        <x:f>'Sale formats'!L140</x:f>
        <x:v>5231.12865497076</x:v>
      </x:c>
      <x:c r="K37" s="26" t="str">
        <x:f>'Sale formats'!Q140</x:f>
        <x:v>n.a.</x:v>
      </x:c>
      <x:c r="L37" s="11" t="str">
        <x:f>'Sale formats'!R140</x:f>
        <x:v>Other operating costs missing</x:v>
      </x:c>
      <x:c r="N37" s="39" t="str">
        <x:v>F scales H, but H has 50 g egg while D has 150 g. The 50 kg column has 56.25 kg flour. At 50 CFA, moving from 34 to 45 g sharply reduces margin.</x:v>
      </x:c>
    </x:row>
    <x:row r="38" ht="28" customHeight="1">
      <x:c r="A38" s="10" t="str">
        <x:v>Kumba bread</x:v>
      </x:c>
      <x:c r="B38" s="12" t="n">
        <x:f>Batches!B38/1000</x:f>
        <x:v>43.575</x:v>
      </x:c>
      <x:c r="C38" s="12" t="n">
        <x:f>'Sale formats'!G142</x:f>
        <x:v>16401.686257309942</x:v>
      </x:c>
      <x:c r="D38" s="12" t="n">
        <x:f>'Sale formats'!C142</x:f>
        <x:v>900</x:v>
      </x:c>
      <x:c r="E38" s="12" t="n">
        <x:f>'Sale formats'!D142</x:f>
        <x:v>1000</x:v>
      </x:c>
      <x:c r="F38" s="29" t="n">
        <x:f>'Sale formats'!H142</x:f>
        <x:v>48</x:v>
      </x:c>
      <x:c r="G38" s="12" t="n">
        <x:f>'Sale formats'!K142</x:f>
        <x:v>341.70179702729047</x:v>
      </x:c>
      <x:c r="H38" s="12" t="n">
        <x:f>IF(ISNUMBER(G38),E38-G38,"n.a.")</x:f>
        <x:v>658.2982029727095</x:v>
      </x:c>
      <x:c r="I38" s="35" t="n">
        <x:f>'Sale formats'!M142</x:f>
        <x:v>0.6582982029727096</x:v>
      </x:c>
      <x:c r="J38" s="12" t="n">
        <x:f>'Sale formats'!L142</x:f>
        <x:v>31598.313742690058</x:v>
      </x:c>
      <x:c r="K38" s="27" t="str">
        <x:f>'Sale formats'!Q142</x:f>
        <x:v>n.a.</x:v>
      </x:c>
      <x:c r="L38" s="12" t="str">
        <x:f>'Sale formats'!R142</x:f>
        <x:v>Other operating costs missing</x:v>
      </x:c>
      <x:c r="N38" s="39" t="str">
        <x:v>Secondary sales rows reference empty batches. Wholesale formulas imply 12 pieces of 900 g for only 1,000 CFA, apparently a copied pricing error. The 80 g manual offer differs from 90 g main offer.</x:v>
      </x:c>
    </x:row>
    <x:row r="39" ht="28" customHeight="1">
      <x:c r="A39" s="2" t="str">
        <x:v>Hamburger buns</x:v>
      </x:c>
      <x:c r="B39" s="11" t="n">
        <x:f>Batches!B39/1000</x:f>
        <x:v>17.48</x:v>
      </x:c>
      <x:c r="C39" s="11" t="n">
        <x:f>'Sale formats'!G148</x:f>
        <x:v>5899.211111111112</x:v>
      </x:c>
      <x:c r="D39" s="11" t="n">
        <x:f>'Sale formats'!C148</x:f>
        <x:v>370</x:v>
      </x:c>
      <x:c r="E39" s="11" t="n">
        <x:f>'Sale formats'!D148</x:f>
        <x:v>500</x:v>
      </x:c>
      <x:c r="F39" s="28" t="n">
        <x:f>'Sale formats'!H148</x:f>
        <x:v>47</x:v>
      </x:c>
      <x:c r="G39" s="11" t="n">
        <x:f>'Sale formats'!K148</x:f>
        <x:v>125.51513002364068</x:v>
      </x:c>
      <x:c r="H39" s="11" t="n">
        <x:f>IF(ISNUMBER(G39),E39-G39,"n.a.")</x:f>
        <x:v>374.48486997635933</x:v>
      </x:c>
      <x:c r="I39" s="34" t="n">
        <x:f>'Sale formats'!M148</x:f>
        <x:v>0.7489697399527186</x:v>
      </x:c>
      <x:c r="J39" s="11" t="n">
        <x:f>'Sale formats'!L148</x:f>
        <x:v>17600.78888888889</x:v>
      </x:c>
      <x:c r="K39" s="26" t="str">
        <x:f>'Sale formats'!Q148</x:f>
        <x:v>n.a.</x:v>
      </x:c>
      <x:c r="L39" s="11" t="str">
        <x:f>'Sale formats'!R148</x:f>
        <x:v>Other operating costs missing</x:v>
      </x:c>
      <x:c r="N39" s="39" t="str">
        <x:v>EDC uses powder-milk pack weight. Scaled batches use a different formula. The 370–700 g sale sizes look like loaves/packs; confirm units and whether any filling is included.</x:v>
      </x:c>
    </x:row>
    <x:row r="40" ht="28" customHeight="1">
      <x:c r="A40" s="10" t="str">
        <x:v>Taste it</x:v>
      </x:c>
      <x:c r="B40" s="12" t="n">
        <x:f>Batches!B40/1000</x:f>
        <x:v>16.045</x:v>
      </x:c>
      <x:c r="C40" s="12" t="n">
        <x:f>'Sale formats'!G153</x:f>
        <x:v>9065.63567251462</x:v>
      </x:c>
      <x:c r="D40" s="12" t="n">
        <x:f>'Sale formats'!C153</x:f>
        <x:v>800</x:v>
      </x:c>
      <x:c r="E40" s="12" t="n">
        <x:f>'Sale formats'!D153</x:f>
        <x:v>1000</x:v>
      </x:c>
      <x:c r="F40" s="29" t="n">
        <x:f>'Sale formats'!H153</x:f>
        <x:v>20</x:v>
      </x:c>
      <x:c r="G40" s="12" t="n">
        <x:f>'Sale formats'!K153</x:f>
        <x:v>453.281783625731</x:v>
      </x:c>
      <x:c r="H40" s="12" t="n">
        <x:f>IF(ISNUMBER(G40),E40-G40,"n.a.")</x:f>
        <x:v>546.718216374269</x:v>
      </x:c>
      <x:c r="I40" s="35" t="n">
        <x:f>'Sale formats'!M153</x:f>
        <x:v>0.546718216374269</x:v>
      </x:c>
      <x:c r="J40" s="12" t="n">
        <x:f>'Sale formats'!L153</x:f>
        <x:v>10934.36432748538</x:v>
      </x:c>
      <x:c r="K40" s="27" t="str">
        <x:f>'Sale formats'!Q153</x:f>
        <x:v>n.a.</x:v>
      </x:c>
      <x:c r="L40" s="12" t="str">
        <x:f>'Sale formats'!R153</x:f>
        <x:v>Other operating costs missing</x:v>
      </x:c>
      <x:c r="N40" s="39" t="str">
        <x:v>Baking powder denominator is wrong. The 800 g/1,000 CFA format has a lower margin than 700 g at the same price. Manual costs use price/weight, not recipe cost.</x:v>
      </x:c>
    </x:row>
    <x:row r="41" ht="28" customHeight="1">
      <x:c r="A41" s="2" t="str">
        <x:v>Samosa</x:v>
      </x:c>
      <x:c r="B41" s="11" t="n">
        <x:f>Batches!B41/1000</x:f>
        <x:v>5.21</x:v>
      </x:c>
      <x:c r="C41" s="11" t="n">
        <x:f>'Sale formats'!G158</x:f>
        <x:v>6402.721111111111</x:v>
      </x:c>
      <x:c r="D41" s="11" t="n">
        <x:f>'Sale formats'!C158</x:f>
        <x:v>25</x:v>
      </x:c>
      <x:c r="E41" s="11" t="n">
        <x:f>'Sale formats'!D158</x:f>
        <x:v>50</x:v>
      </x:c>
      <x:c r="F41" s="28" t="n">
        <x:f>'Sale formats'!H158</x:f>
        <x:v>208</x:v>
      </x:c>
      <x:c r="G41" s="11" t="n">
        <x:f>'Sale formats'!K158</x:f>
        <x:v>30.782313034188032</x:v>
      </x:c>
      <x:c r="H41" s="11" t="n">
        <x:f>IF(ISNUMBER(G41),E41-G41,"n.a.")</x:f>
        <x:v>19.217686965811968</x:v>
      </x:c>
      <x:c r="I41" s="34" t="n">
        <x:f>'Sale formats'!M158</x:f>
        <x:v>0.38435373931623934</x:v>
      </x:c>
      <x:c r="J41" s="11" t="n">
        <x:f>'Sale formats'!L158</x:f>
        <x:v>3997.278888888889</x:v>
      </x:c>
      <x:c r="K41" s="26" t="str">
        <x:f>'Sale formats'!Q158</x:f>
        <x:v>n.a.</x:v>
      </x:c>
      <x:c r="L41" s="11" t="str">
        <x:f>'Sale formats'!R158</x:f>
        <x:v>Partial ingredient costs</x:v>
      </x:c>
      <x:c r="N41" s="39" t="str">
        <x:v>No frying oil or spices are listed. Filling cooking loss and assembly labour are missing. Salt is 110 g for 1,500 g flour; check formula and batch basis.</x:v>
      </x:c>
    </x:row>
    <x:row r="42" ht="28" customHeight="1">
      <x:c r="A42" s="10" t="str">
        <x:v>Ice Cream</x:v>
      </x:c>
      <x:c r="B42" s="12" t="n">
        <x:f>Batches!B42/1000</x:f>
        <x:v>15.5</x:v>
      </x:c>
      <x:c r="C42" s="12" t="n">
        <x:f>'Sale formats'!G164</x:f>
        <x:v>9361.2</x:v>
      </x:c>
      <x:c r="D42" s="12" t="n">
        <x:f>'Sale formats'!C164</x:f>
        <x:v>70</x:v>
      </x:c>
      <x:c r="E42" s="12" t="n">
        <x:f>'Sale formats'!D164</x:f>
        <x:v>100</x:v>
      </x:c>
      <x:c r="F42" s="29" t="n">
        <x:f>'Sale formats'!H164</x:f>
        <x:v>221</x:v>
      </x:c>
      <x:c r="G42" s="12" t="n">
        <x:f>'Sale formats'!K164</x:f>
        <x:v>42.35837104072399</x:v>
      </x:c>
      <x:c r="H42" s="12" t="n">
        <x:f>IF(ISNUMBER(G42),E42-G42,"n.a.")</x:f>
        <x:v>57.64162895927601</x:v>
      </x:c>
      <x:c r="I42" s="35" t="n">
        <x:f>'Sale formats'!M164</x:f>
        <x:v>0.5764162895927601</x:v>
      </x:c>
      <x:c r="J42" s="12" t="n">
        <x:f>'Sale formats'!L164</x:f>
        <x:v>12738.8</x:v>
      </x:c>
      <x:c r="K42" s="27" t="str">
        <x:f>'Sale formats'!Q164</x:f>
        <x:v>n.a.</x:v>
      </x:c>
      <x:c r="L42" s="12" t="str">
        <x:f>'Sale formats'!R164</x:f>
        <x:v>Other operating costs missing</x:v>
      </x:c>
      <x:c r="N42" s="39" t="str">
        <x:v>The 200 g stabilizer is 1.29% of mix: verify the specific product dose. The 200 g others are priced but unidentified. Overrun cannot increase saleable grams; cups, refrigeration and cleaning are missing.</x:v>
      </x:c>
    </x:row>
    <x:row r="43" ht="28" customHeight="1">
      <x:c r="A43" s="2" t="str">
        <x:v>Melto1</x:v>
      </x:c>
      <x:c r="B43" s="11" t="n">
        <x:f>Batches!B43/1000</x:f>
        <x:v>7.54</x:v>
      </x:c>
      <x:c r="C43" s="11" t="n">
        <x:f>'Sale formats'!G166</x:f>
        <x:v>5682.315789473684</x:v>
      </x:c>
      <x:c r="D43" s="11" t="n">
        <x:f>'Sale formats'!C166</x:f>
        <x:v>35</x:v>
      </x:c>
      <x:c r="E43" s="11" t="n">
        <x:f>'Sale formats'!D166</x:f>
        <x:v>50</x:v>
      </x:c>
      <x:c r="F43" s="28" t="n">
        <x:f>'Sale formats'!H166</x:f>
        <x:v>215</x:v>
      </x:c>
      <x:c r="G43" s="11" t="n">
        <x:f>'Sale formats'!K166</x:f>
        <x:v>26.42937576499388</x:v>
      </x:c>
      <x:c r="H43" s="11" t="n">
        <x:f>IF(ISNUMBER(G43),E43-G43,"n.a.")</x:f>
        <x:v>23.57062423500612</x:v>
      </x:c>
      <x:c r="I43" s="34" t="n">
        <x:f>'Sale formats'!M166</x:f>
        <x:v>0.4714124847001224</x:v>
      </x:c>
      <x:c r="J43" s="11" t="n">
        <x:f>'Sale formats'!L166</x:f>
        <x:v>5067.684210526316</x:v>
      </x:c>
      <x:c r="K43" s="26" t="str">
        <x:f>'Sale formats'!Q166</x:f>
        <x:v>n.a.</x:v>
      </x:c>
      <x:c r="L43" s="11" t="str">
        <x:f>'Sale formats'!R166</x:f>
        <x:v>Other operating costs missing</x:v>
      </x:c>
      <x:c r="N43" s="39" t="str">
        <x:v>H is not an exact scale of D. Its 50 kg column uses 50.04 kg flour. Confirm the distinct product purpose versus Melto; the 45 g/50 CFA format is weaker.</x:v>
      </x:c>
    </x:row>
    <x:row r="44" ht="28" customHeight="1">
      <x:c r="A44" s="10" t="str">
        <x:v>Croissant</x:v>
      </x:c>
      <x:c r="B44" s="12" t="n">
        <x:f>Batches!B44/1000</x:f>
        <x:v>6.59</x:v>
      </x:c>
      <x:c r="C44" s="12" t="n">
        <x:f>'Sale formats'!G168</x:f>
        <x:v>3070.413450292397</x:v>
      </x:c>
      <x:c r="D44" s="12" t="n">
        <x:f>'Sale formats'!C168</x:f>
        <x:v>45</x:v>
      </x:c>
      <x:c r="E44" s="12" t="n">
        <x:f>'Sale formats'!D168</x:f>
        <x:v>100</x:v>
      </x:c>
      <x:c r="F44" s="29" t="n">
        <x:f>'Sale formats'!H168</x:f>
        <x:v>146</x:v>
      </x:c>
      <x:c r="G44" s="12" t="n">
        <x:f>'Sale formats'!K168</x:f>
        <x:v>21.030229111591762</x:v>
      </x:c>
      <x:c r="H44" s="12" t="n">
        <x:f>IF(ISNUMBER(G44),E44-G44,"n.a.")</x:f>
        <x:v>78.96977088840823</x:v>
      </x:c>
      <x:c r="I44" s="35" t="n">
        <x:f>'Sale formats'!M168</x:f>
        <x:v>0.7896977088840824</x:v>
      </x:c>
      <x:c r="J44" s="12" t="n">
        <x:f>'Sale formats'!L168</x:f>
        <x:v>11529.586549707603</x:v>
      </x:c>
      <x:c r="K44" s="27" t="str">
        <x:f>'Sale formats'!Q168</x:f>
        <x:v>n.a.</x:v>
      </x:c>
      <x:c r="L44" s="12" t="str">
        <x:f>'Sale formats'!R168</x:f>
        <x:v>Other operating costs missing</x:v>
      </x:c>
      <x:c r="N44" s="39" t="str">
        <x:v>Source margin uses D18=350 rather than C18=45. Confirm whether 1,000 g butter includes all lamination butter. Lamination labour, trim and refrigeration are uncosted.</x:v>
      </x:c>
    </x:row>
    <x:row r="45" ht="28" customHeight="1">
      <x:c r="A45" s="2" t="str">
        <x:v>Universal bread</x:v>
      </x:c>
      <x:c r="B45" s="11" t="n">
        <x:f>Batches!B45/1000</x:f>
        <x:v>41.17</x:v>
      </x:c>
      <x:c r="C45" s="11" t="n">
        <x:f>'Sale formats'!G173</x:f>
        <x:v>27727.698830409354</x:v>
      </x:c>
      <x:c r="D45" s="11" t="n">
        <x:f>'Sale formats'!C173</x:f>
        <x:v>81.4</x:v>
      </x:c>
      <x:c r="E45" s="11" t="n">
        <x:f>'Sale formats'!D173</x:f>
        <x:v>100</x:v>
      </x:c>
      <x:c r="F45" s="28" t="n">
        <x:f>'Sale formats'!H173</x:f>
        <x:v>505</x:v>
      </x:c>
      <x:c r="G45" s="11" t="n">
        <x:f>'Sale formats'!K173</x:f>
        <x:v>54.90633431764228</x:v>
      </x:c>
      <x:c r="H45" s="11" t="n">
        <x:f>IF(ISNUMBER(G45),E45-G45,"n.a.")</x:f>
        <x:v>45.09366568235772</x:v>
      </x:c>
      <x:c r="I45" s="34" t="n">
        <x:f>'Sale formats'!M173</x:f>
        <x:v>0.45093665682357714</x:v>
      </x:c>
      <x:c r="J45" s="11" t="n">
        <x:f>'Sale formats'!L173</x:f>
        <x:v>22772.301169590646</x:v>
      </x:c>
      <x:c r="K45" s="26" t="str">
        <x:f>'Sale formats'!Q173</x:f>
        <x:v>n.a.</x:v>
      </x:c>
      <x:c r="L45" s="11" t="str">
        <x:f>'Sale formats'!R173</x:f>
        <x:v>Other operating costs missing</x:v>
      </x:c>
      <x:c r="N45" s="39" t="str">
        <x:v>Exclude 9 kg frying oil from dough yield while provisionally charging it in full. Condensed-milk identity is unresolved. The old report overstated output by including fryer oil.</x:v>
      </x:c>
    </x:row>
    <x:row r="46" ht="28" customHeight="1">
      <x:c r="A46" s="10" t="str">
        <x:v>Sheet3</x:v>
      </x:c>
      <x:c r="B46" s="12" t="n">
        <x:f>Batches!B46/1000</x:f>
        <x:v>19.25</x:v>
      </x:c>
      <x:c r="C46" s="12" t="n">
        <x:f>'Sale formats'!G179</x:f>
        <x:v>9161.491228070176</x:v>
      </x:c>
      <x:c r="D46" s="12" t="n">
        <x:f>'Sale formats'!C179</x:f>
        <x:v>144</x:v>
      </x:c>
      <x:c r="E46" s="12" t="n">
        <x:f>'Sale formats'!D179</x:f>
        <x:v>125</x:v>
      </x:c>
      <x:c r="F46" s="29" t="n">
        <x:f>'Sale formats'!H179</x:f>
        <x:v>133</x:v>
      </x:c>
      <x:c r="G46" s="12" t="n">
        <x:f>'Sale formats'!K179</x:f>
        <x:v>68.88339269225696</x:v>
      </x:c>
      <x:c r="H46" s="12" t="n">
        <x:f>IF(ISNUMBER(G46),E46-G46,"n.a.")</x:f>
        <x:v>56.11660730774304</x:v>
      </x:c>
      <x:c r="I46" s="35" t="n">
        <x:f>'Sale formats'!M179</x:f>
        <x:v>0.4489328584619443</x:v>
      </x:c>
      <x:c r="J46" s="12" t="n">
        <x:f>'Sale formats'!L179</x:f>
        <x:v>7463.508771929824</x:v>
      </x:c>
      <x:c r="K46" s="27" t="str">
        <x:f>'Sale formats'!Q179</x:f>
        <x:v>n.a.</x:v>
      </x:c>
      <x:c r="L46" s="12" t="str">
        <x:f>'Sale formats'!R179</x:f>
        <x:v>Other operating costs missing</x:v>
      </x:c>
      <x:c r="N46" s="39" t="str">
        <x:v>This is an unnamed but populated bread recipe, so it is included. Name and approve it before use. D/F/H formulations and manual price calculations differ.</x:v>
      </x:c>
    </x:row>
    <x:row r="47" ht="28" customHeight="1">
      <x:c r="A47" s="2" t="str">
        <x:v>Croissant new</x:v>
      </x:c>
      <x:c r="B47" s="11" t="n">
        <x:f>Batches!B47/1000</x:f>
        <x:v>5.8</x:v>
      </x:c>
      <x:c r="C47" s="11" t="n">
        <x:f>'Sale formats'!G184</x:f>
        <x:v>3639.554678362573</x:v>
      </x:c>
      <x:c r="D47" s="11" t="n">
        <x:f>'Sale formats'!C184</x:f>
        <x:v>50</x:v>
      </x:c>
      <x:c r="E47" s="11" t="n">
        <x:f>'Sale formats'!D184</x:f>
        <x:v>100</x:v>
      </x:c>
      <x:c r="F47" s="28" t="n">
        <x:f>'Sale formats'!H184</x:f>
        <x:v>116</x:v>
      </x:c>
      <x:c r="G47" s="11" t="n">
        <x:f>'Sale formats'!K184</x:f>
        <x:v>31.375471365194596</x:v>
      </x:c>
      <x:c r="H47" s="11" t="n">
        <x:f>IF(ISNUMBER(G47),E47-G47,"n.a.")</x:f>
        <x:v>68.6245286348054</x:v>
      </x:c>
      <x:c r="I47" s="34" t="n">
        <x:f>'Sale formats'!M184</x:f>
        <x:v>0.686245286348054</x:v>
      </x:c>
      <x:c r="J47" s="11" t="n">
        <x:f>'Sale formats'!L184</x:f>
        <x:v>7960.445321637427</x:v>
      </x:c>
      <x:c r="K47" s="26" t="str">
        <x:f>'Sale formats'!Q184</x:f>
        <x:v>n.a.</x:v>
      </x:c>
      <x:c r="L47" s="11" t="str">
        <x:f>'Sale formats'!R184</x:f>
        <x:v>Other operating costs missing</x:v>
      </x:c>
      <x:c r="N47" s="39" t="str">
        <x:v>Layering butter points to EDC price divided by powder-milk weight. Reprice its 600 g at the master butter rate, provisionally. Confirm that the quoted fat is suitable for lamination.</x:v>
      </x:c>
    </x:row>
    <x:row r="50">
      <x:c r="A50" t="str">
        <x:v>Missing costs: gateau oil units; Fish Pie cabbage; Chinchin oil units; Sugar Balls, Beignet soufle and Samosa frying oil.</x:v>
      </x:c>
    </x:row>
    <x:row r="52">
      <x:c r="A52" t="str">
        <x:v>Milk identities and edible purchase weights are provisional. Usable mass factors and sell-through default to 100%; replace with measured values.</x:v>
      </x:c>
    </x:row>
    <x:row r="54">
      <x:c r="A54" t="str">
        <x:v>Blue numeric cells are editable. Amber inputs are missing. Operating profit requires all five operating-cost inputs, even when an explicit zero is appropriate.</x:v>
      </x:c>
    </x:row>
    <x:row r="56">
      <x:c r="A56" t="str">
        <x:v>All per-piece remainder must still cover missing ingredients, packaging, production, spoilage, overhead and tax. No sales-volume forecast is implied.</x:v>
      </x:c>
    </x:row>
  </x:sheetData>
  <x:conditionalFormatting sqref="L7:L47">
    <x:cfRule type="containsText" dxfId="1" priority="1" operator="containsText" text="Partia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29" hidden="0" customWidth="1"/>
    <x:col min="3" max="3" width="15" hidden="0" customWidth="1"/>
    <x:col min="4" max="4" width="18" hidden="0" customWidth="1"/>
    <x:col min="5" max="5" width="18" hidden="0" customWidth="1"/>
    <x:col min="6" max="6" width="21" hidden="0" customWidth="1"/>
    <x:col min="7" max="7" width="22" hidden="0" customWidth="1"/>
    <x:col min="8" max="8" width="19" hidden="0" customWidth="1"/>
    <x:col min="9" max="9" width="19" hidden="0" customWidth="1"/>
    <x:col min="10" max="10" width="20" hidden="0" customWidth="1"/>
    <x:col min="11" max="11" width="24" hidden="0" customWidth="1"/>
    <x:col min="12" max="12" width="23" hidden="0" customWidth="1"/>
    <x:col min="13" max="13" width="20" hidden="0" customWidth="1"/>
    <x:col min="14" max="14" width="25" hidden="0" customWidth="1"/>
    <x:col min="15" max="15" width="23" hidden="0" customWidth="1"/>
    <x:col min="16" max="16" width="18" hidden="0" customWidth="1"/>
    <x:col min="17" max="17" width="23" hidden="0" customWidth="1"/>
    <x:col min="18" max="18" width="38" hidden="0" customWidth="1"/>
    <x:col min="19" max="19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Profitability by selling format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>
      <x:c r="A4" s="4" t="str">
        <x:v>Each row is an alternative use of one batch. Do not add row profits. Ingredient surplus excludes packaging, labour, energy, overhead and tax.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43" customHeight="1">
      <x:c r="A6" s="9" t="str">
        <x:v>Recipe</x:v>
      </x:c>
      <x:c r="B6" s="9" t="str">
        <x:v>Offer basis</x:v>
      </x:c>
      <x:c r="C6" s="9" t="str">
        <x:v>Portion g</x:v>
      </x:c>
      <x:c r="D6" s="9" t="str">
        <x:v>Price / pc CFA</x:v>
      </x:c>
      <x:c r="E6" s="9" t="str">
        <x:v>Pieces / pack</x:v>
      </x:c>
      <x:c r="F6" s="9" t="str">
        <x:v>Usable mass g</x:v>
      </x:c>
      <x:c r="G6" s="9" t="str">
        <x:v>Known batch cost CFA</x:v>
      </x:c>
      <x:c r="H6" s="9" t="str">
        <x:v>Produced pieces</x:v>
      </x:c>
      <x:c r="I6" s="9" t="str">
        <x:v>Sold pieces</x:v>
      </x:c>
      <x:c r="J6" s="9" t="str">
        <x:v>Revenue CFA</x:v>
      </x:c>
      <x:c r="K6" s="9" t="str">
        <x:v>Ingredients / sold pc CFA</x:v>
      </x:c>
      <x:c r="L6" s="9" t="str">
        <x:v>Ingredient surplus CFA</x:v>
      </x:c>
      <x:c r="M6" s="9" t="str">
        <x:v>Ingredient margin</x:v>
      </x:c>
      <x:c r="N6" s="9" t="str">
        <x:v>Ingredient break-even pieces</x:v>
      </x:c>
      <x:c r="O6" s="9" t="str">
        <x:v>Break-even sell-through</x:v>
      </x:c>
      <x:c r="P6" s="9" t="str">
        <x:v>Missing cost lines</x:v>
      </x:c>
      <x:c r="Q6" s="9" t="str">
        <x:v>Operating profit CFA</x:v>
      </x:c>
      <x:c r="R6" s="9" t="str">
        <x:v>Calculation status</x:v>
      </x:c>
      <x:c r="S6" s="9" t="str">
        <x:v>Offer source</x:v>
      </x:c>
    </x:row>
    <x:row r="7" ht="28" customHeight="1">
      <x:c r="A7" s="2" t="str">
        <x:v>baguette</x:v>
      </x:c>
      <x:c r="B7" s="11" t="str">
        <x:v>Main offer</x:v>
      </x:c>
      <x:c r="C7" s="13" t="n">
        <x:v>90</x:v>
      </x:c>
      <x:c r="D7" s="13" t="n">
        <x:v>100</x:v>
      </x:c>
      <x:c r="E7" s="13" t="n">
        <x:v>1</x:v>
      </x:c>
      <x:c r="F7" s="20" t="n">
        <x:f>Batches!L7</x:f>
        <x:v>9890</x:v>
      </x:c>
      <x:c r="G7" s="20" t="n">
        <x:f>Batches!C7</x:f>
        <x:v>3378.85</x:v>
      </x:c>
      <x:c r="H7" s="28" t="n">
        <x:f>IF(AND(ISNUMBER(F7),ISNUMBER(C7),C7&gt;0,E7&gt;0),ROUNDDOWN(F7/C7/E7,0)*E7,"n.a.")</x:f>
        <x:v>109</x:v>
      </x:c>
      <x:c r="I7" s="32" t="n">
        <x:f>IF(AND(ISNUMBER(H7),ISNUMBER(Batches!F7),Batches!F7&gt;=0,Batches!F7&lt;=1),ROUNDDOWN(H7*Batches!F7/E7,0)*E7,"n.a.")</x:f>
        <x:v>109</x:v>
      </x:c>
      <x:c r="J7" s="11" t="n">
        <x:f>IF(AND(ISNUMBER(I7),ISNUMBER(D7)),I7*D7,"n.a.")</x:f>
        <x:v>10900</x:v>
      </x:c>
      <x:c r="K7" s="11" t="n">
        <x:f>IF(AND(ISNUMBER(I7),I7&gt;0),G7/I7,"n.a.")</x:f>
        <x:v>30.998623853211008</x:v>
      </x:c>
      <x:c r="L7" s="11" t="n">
        <x:f>IF(ISNUMBER(J7),J7-G7,"n.a.")</x:f>
        <x:v>7521.15</x:v>
      </x:c>
      <x:c r="M7" s="34" t="n">
        <x:f>IF(AND(ISNUMBER(J7),J7&gt;0),L7/J7,"n.a.")</x:f>
        <x:v>0.6900137614678898</x:v>
      </x:c>
      <x:c r="N7" s="28" t="n">
        <x:f>IF(AND(ISNUMBER(D7),D7&gt;0),ROUNDUP(G7/(D7*E7),0)*E7,"n.a.")</x:f>
        <x:v>34</x:v>
      </x:c>
      <x:c r="O7" s="34" t="n">
        <x:f>IF(AND(ISNUMBER(H7),H7&gt;0,ISNUMBER(N7)),N7/H7,"n.a.")</x:f>
        <x:v>0.3119266055045872</x:v>
      </x:c>
      <x:c r="P7" s="32" t="n">
        <x:f>Batches!D7</x:f>
        <x:v>0</x:v>
      </x:c>
      <x:c r="Q7" s="36" t="str">
        <x:f>IF(AND(P7=0,ISNUMBER(J7),COUNT(Batches!G7:K7)=5),J7-G7-H7*Batches!G7-Batches!M7,"n.a.")</x:f>
        <x:v>n.a.</x:v>
      </x:c>
      <x:c r="R7" s="11" t="str">
        <x:f>IF(P7&gt;0,"Partial ingredient costs",IF(ISNUMBER(Q7),"Modeled operating profit","Other operating costs missing"))</x:f>
        <x:v>Other operating costs missing</x:v>
      </x:c>
      <x:c r="S7" s="11" t="str">
        <x:v>'baguette'!B16:C16</x:v>
      </x:c>
    </x:row>
    <x:row r="8" ht="28" customHeight="1">
      <x:c r="A8" s="10" t="str">
        <x:v>baguette</x:v>
      </x:c>
      <x:c r="B8" s="12" t="str">
        <x:v>Main offer</x:v>
      </x:c>
      <x:c r="C8" s="14" t="n">
        <x:v>200</x:v>
      </x:c>
      <x:c r="D8" s="14" t="n">
        <x:v>100</x:v>
      </x:c>
      <x:c r="E8" s="14" t="n">
        <x:v>1</x:v>
      </x:c>
      <x:c r="F8" s="21" t="n">
        <x:f>Batches!L7</x:f>
        <x:v>9890</x:v>
      </x:c>
      <x:c r="G8" s="21" t="n">
        <x:f>Batches!C7</x:f>
        <x:v>3378.85</x:v>
      </x:c>
      <x:c r="H8" s="29" t="n">
        <x:f>IF(AND(ISNUMBER(F8),ISNUMBER(C8),C8&gt;0,E8&gt;0),ROUNDDOWN(F8/C8/E8,0)*E8,"n.a.")</x:f>
        <x:v>49</x:v>
      </x:c>
      <x:c r="I8" s="33" t="n">
        <x:f>IF(AND(ISNUMBER(H8),ISNUMBER(Batches!F7),Batches!F7&gt;=0,Batches!F7&lt;=1),ROUNDDOWN(H8*Batches!F7/E8,0)*E8,"n.a.")</x:f>
        <x:v>49</x:v>
      </x:c>
      <x:c r="J8" s="12" t="n">
        <x:f>IF(AND(ISNUMBER(I8),ISNUMBER(D8)),I8*D8,"n.a.")</x:f>
        <x:v>4900</x:v>
      </x:c>
      <x:c r="K8" s="12" t="n">
        <x:f>IF(AND(ISNUMBER(I8),I8&gt;0),G8/I8,"n.a.")</x:f>
        <x:v>68.95612244897958</x:v>
      </x:c>
      <x:c r="L8" s="12" t="n">
        <x:f>IF(ISNUMBER(J8),J8-G8,"n.a.")</x:f>
        <x:v>1521.15</x:v>
      </x:c>
      <x:c r="M8" s="35" t="n">
        <x:f>IF(AND(ISNUMBER(J8),J8&gt;0),L8/J8,"n.a.")</x:f>
        <x:v>0.3104387755102041</x:v>
      </x:c>
      <x:c r="N8" s="29" t="n">
        <x:f>IF(AND(ISNUMBER(D8),D8&gt;0),ROUNDUP(G8/(D8*E8),0)*E8,"n.a.")</x:f>
        <x:v>34</x:v>
      </x:c>
      <x:c r="O8" s="35" t="n">
        <x:f>IF(AND(ISNUMBER(H8),H8&gt;0,ISNUMBER(N8)),N8/H8,"n.a.")</x:f>
        <x:v>0.6938775510204082</x:v>
      </x:c>
      <x:c r="P8" s="33" t="n">
        <x:f>Batches!D7</x:f>
        <x:v>0</x:v>
      </x:c>
      <x:c r="Q8" s="37" t="str">
        <x:f>IF(AND(P8=0,ISNUMBER(J8),COUNT(Batches!G7:K7)=5),J8-G8-H8*Batches!G7-Batches!M7,"n.a.")</x:f>
        <x:v>n.a.</x:v>
      </x:c>
      <x:c r="R8" s="12" t="str">
        <x:f>IF(P8&gt;0,"Partial ingredient costs",IF(ISNUMBER(Q8),"Modeled operating profit","Other operating costs missing"))</x:f>
        <x:v>Other operating costs missing</x:v>
      </x:c>
      <x:c r="S8" s="12" t="str">
        <x:v>'baguette'!B17:C17</x:v>
      </x:c>
    </x:row>
    <x:row r="9" ht="28" customHeight="1">
      <x:c r="A9" s="2" t="str">
        <x:v>baguette</x:v>
      </x:c>
      <x:c r="B9" s="11" t="str">
        <x:v>Main offer</x:v>
      </x:c>
      <x:c r="C9" s="13" t="n">
        <x:v>65</x:v>
      </x:c>
      <x:c r="D9" s="13" t="n">
        <x:v>50</x:v>
      </x:c>
      <x:c r="E9" s="13" t="n">
        <x:v>1</x:v>
      </x:c>
      <x:c r="F9" s="20" t="n">
        <x:f>Batches!L7</x:f>
        <x:v>9890</x:v>
      </x:c>
      <x:c r="G9" s="20" t="n">
        <x:f>Batches!C7</x:f>
        <x:v>3378.85</x:v>
      </x:c>
      <x:c r="H9" s="28" t="n">
        <x:f>IF(AND(ISNUMBER(F9),ISNUMBER(C9),C9&gt;0,E9&gt;0),ROUNDDOWN(F9/C9/E9,0)*E9,"n.a.")</x:f>
        <x:v>152</x:v>
      </x:c>
      <x:c r="I9" s="32" t="n">
        <x:f>IF(AND(ISNUMBER(H9),ISNUMBER(Batches!F7),Batches!F7&gt;=0,Batches!F7&lt;=1),ROUNDDOWN(H9*Batches!F7/E9,0)*E9,"n.a.")</x:f>
        <x:v>152</x:v>
      </x:c>
      <x:c r="J9" s="11" t="n">
        <x:f>IF(AND(ISNUMBER(I9),ISNUMBER(D9)),I9*D9,"n.a.")</x:f>
        <x:v>7600</x:v>
      </x:c>
      <x:c r="K9" s="11" t="n">
        <x:f>IF(AND(ISNUMBER(I9),I9&gt;0),G9/I9,"n.a.")</x:f>
        <x:v>22.229276315789473</x:v>
      </x:c>
      <x:c r="L9" s="11" t="n">
        <x:f>IF(ISNUMBER(J9),J9-G9,"n.a.")</x:f>
        <x:v>4221.15</x:v>
      </x:c>
      <x:c r="M9" s="34" t="n">
        <x:f>IF(AND(ISNUMBER(J9),J9&gt;0),L9/J9,"n.a.")</x:f>
        <x:v>0.5554144736842105</x:v>
      </x:c>
      <x:c r="N9" s="28" t="n">
        <x:f>IF(AND(ISNUMBER(D9),D9&gt;0),ROUNDUP(G9/(D9*E9),0)*E9,"n.a.")</x:f>
        <x:v>68</x:v>
      </x:c>
      <x:c r="O9" s="34" t="n">
        <x:f>IF(AND(ISNUMBER(H9),H9&gt;0,ISNUMBER(N9)),N9/H9,"n.a.")</x:f>
        <x:v>0.4473684210526316</x:v>
      </x:c>
      <x:c r="P9" s="32" t="n">
        <x:f>Batches!D7</x:f>
        <x:v>0</x:v>
      </x:c>
      <x:c r="Q9" s="36" t="str">
        <x:f>IF(AND(P9=0,ISNUMBER(J9),COUNT(Batches!G7:K7)=5),J9-G9-H9*Batches!G7-Batches!M7,"n.a.")</x:f>
        <x:v>n.a.</x:v>
      </x:c>
      <x:c r="R9" s="11" t="str">
        <x:f>IF(P9&gt;0,"Partial ingredient costs",IF(ISNUMBER(Q9),"Modeled operating profit","Other operating costs missing"))</x:f>
        <x:v>Other operating costs missing</x:v>
      </x:c>
      <x:c r="S9" s="11" t="str">
        <x:v>'baguette'!B18:C18</x:v>
      </x:c>
    </x:row>
    <x:row r="10" ht="28" customHeight="1">
      <x:c r="A10" s="10" t="str">
        <x:v>baguette</x:v>
      </x:c>
      <x:c r="B10" s="12" t="str">
        <x:v>12-piece wholesale pack</x:v>
      </x:c>
      <x:c r="C10" s="14" t="n">
        <x:v>90</x:v>
      </x:c>
      <x:c r="D10" s="14" t="n">
        <x:v>83.33333333333333</x:v>
      </x:c>
      <x:c r="E10" s="14" t="n">
        <x:v>12</x:v>
      </x:c>
      <x:c r="F10" s="21" t="n">
        <x:f>Batches!L7</x:f>
        <x:v>9890</x:v>
      </x:c>
      <x:c r="G10" s="21" t="n">
        <x:f>Batches!C7</x:f>
        <x:v>3378.85</x:v>
      </x:c>
      <x:c r="H10" s="29" t="n">
        <x:f>IF(AND(ISNUMBER(F10),ISNUMBER(C10),C10&gt;0,E10&gt;0),ROUNDDOWN(F10/C10/E10,0)*E10,"n.a.")</x:f>
        <x:v>108</x:v>
      </x:c>
      <x:c r="I10" s="33" t="n">
        <x:f>IF(AND(ISNUMBER(H10),ISNUMBER(Batches!F7),Batches!F7&gt;=0,Batches!F7&lt;=1),ROUNDDOWN(H10*Batches!F7/E10,0)*E10,"n.a.")</x:f>
        <x:v>108</x:v>
      </x:c>
      <x:c r="J10" s="12" t="n">
        <x:f>IF(AND(ISNUMBER(I10),ISNUMBER(D10)),I10*D10,"n.a.")</x:f>
        <x:v>9000</x:v>
      </x:c>
      <x:c r="K10" s="12" t="n">
        <x:f>IF(AND(ISNUMBER(I10),I10&gt;0),G10/I10,"n.a.")</x:f>
        <x:v>31.285648148148148</x:v>
      </x:c>
      <x:c r="L10" s="12" t="n">
        <x:f>IF(ISNUMBER(J10),J10-G10,"n.a.")</x:f>
        <x:v>5621.15</x:v>
      </x:c>
      <x:c r="M10" s="35" t="n">
        <x:f>IF(AND(ISNUMBER(J10),J10&gt;0),L10/J10,"n.a.")</x:f>
        <x:v>0.6245722222222222</x:v>
      </x:c>
      <x:c r="N10" s="29" t="n">
        <x:f>IF(AND(ISNUMBER(D10),D10&gt;0),ROUNDUP(G10/(D10*E10),0)*E10,"n.a.")</x:f>
        <x:v>48</x:v>
      </x:c>
      <x:c r="O10" s="35" t="n">
        <x:f>IF(AND(ISNUMBER(H10),H10&gt;0,ISNUMBER(N10)),N10/H10,"n.a.")</x:f>
        <x:v>0.4444444444444444</x:v>
      </x:c>
      <x:c r="P10" s="33" t="n">
        <x:f>Batches!D7</x:f>
        <x:v>0</x:v>
      </x:c>
      <x:c r="Q10" s="37" t="str">
        <x:f>IF(AND(P10=0,ISNUMBER(J10),COUNT(Batches!G7:K7)=5),J10-G10-H10*Batches!G7-Batches!M7,"n.a.")</x:f>
        <x:v>n.a.</x:v>
      </x:c>
      <x:c r="R10" s="12" t="str">
        <x:f>IF(P10&gt;0,"Partial ingredient costs",IF(ISNUMBER(Q10),"Modeled operating profit","Other operating costs missing"))</x:f>
        <x:v>Other operating costs missing</x:v>
      </x:c>
      <x:c r="S10" s="12" t="str">
        <x:v>'baguette'!K16</x:v>
      </x:c>
    </x:row>
    <x:row r="11" ht="28" customHeight="1">
      <x:c r="A11" s="2" t="str">
        <x:v>Baguette AI</x:v>
      </x:c>
      <x:c r="B11" s="11" t="str">
        <x:v>Main offer</x:v>
      </x:c>
      <x:c r="C11" s="13" t="n">
        <x:v>85</x:v>
      </x:c>
      <x:c r="D11" s="13" t="n">
        <x:v>100</x:v>
      </x:c>
      <x:c r="E11" s="13" t="n">
        <x:v>1</x:v>
      </x:c>
      <x:c r="F11" s="20" t="n">
        <x:f>Batches!L8</x:f>
        <x:v>30520</x:v>
      </x:c>
      <x:c r="G11" s="20" t="n">
        <x:f>Batches!C8</x:f>
        <x:v>8109.144444444444</x:v>
      </x:c>
      <x:c r="H11" s="28" t="n">
        <x:f>IF(AND(ISNUMBER(F11),ISNUMBER(C11),C11&gt;0,E11&gt;0),ROUNDDOWN(F11/C11/E11,0)*E11,"n.a.")</x:f>
        <x:v>359</x:v>
      </x:c>
      <x:c r="I11" s="32" t="n">
        <x:f>IF(AND(ISNUMBER(H11),ISNUMBER(Batches!F8),Batches!F8&gt;=0,Batches!F8&lt;=1),ROUNDDOWN(H11*Batches!F8/E11,0)*E11,"n.a.")</x:f>
        <x:v>359</x:v>
      </x:c>
      <x:c r="J11" s="11" t="n">
        <x:f>IF(AND(ISNUMBER(I11),ISNUMBER(D11)),I11*D11,"n.a.")</x:f>
        <x:v>35900</x:v>
      </x:c>
      <x:c r="K11" s="11" t="n">
        <x:f>IF(AND(ISNUMBER(I11),I11&gt;0),G11/I11,"n.a.")</x:f>
        <x:v>22.588146084803466</x:v>
      </x:c>
      <x:c r="L11" s="11" t="n">
        <x:f>IF(ISNUMBER(J11),J11-G11,"n.a.")</x:f>
        <x:v>27790.855555555558</x:v>
      </x:c>
      <x:c r="M11" s="34" t="n">
        <x:f>IF(AND(ISNUMBER(J11),J11&gt;0),L11/J11,"n.a.")</x:f>
        <x:v>0.7741185391519654</x:v>
      </x:c>
      <x:c r="N11" s="28" t="n">
        <x:f>IF(AND(ISNUMBER(D11),D11&gt;0),ROUNDUP(G11/(D11*E11),0)*E11,"n.a.")</x:f>
        <x:v>82</x:v>
      </x:c>
      <x:c r="O11" s="34" t="n">
        <x:f>IF(AND(ISNUMBER(H11),H11&gt;0,ISNUMBER(N11)),N11/H11,"n.a.")</x:f>
        <x:v>0.22841225626740946</x:v>
      </x:c>
      <x:c r="P11" s="32" t="n">
        <x:f>Batches!D8</x:f>
        <x:v>0</x:v>
      </x:c>
      <x:c r="Q11" s="36" t="str">
        <x:f>IF(AND(P11=0,ISNUMBER(J11),COUNT(Batches!G8:K8)=5),J11-G11-H11*Batches!G8-Batches!M8,"n.a.")</x:f>
        <x:v>n.a.</x:v>
      </x:c>
      <x:c r="R11" s="11" t="str">
        <x:f>IF(P11&gt;0,"Partial ingredient costs",IF(ISNUMBER(Q11),"Modeled operating profit","Other operating costs missing"))</x:f>
        <x:v>Other operating costs missing</x:v>
      </x:c>
      <x:c r="S11" s="11" t="str">
        <x:v>'Baguette AI'!B16:C16</x:v>
      </x:c>
    </x:row>
    <x:row r="12" ht="28" customHeight="1">
      <x:c r="A12" s="10" t="str">
        <x:v>Baguette AI</x:v>
      </x:c>
      <x:c r="B12" s="12" t="str">
        <x:v>Main offer</x:v>
      </x:c>
      <x:c r="C12" s="14" t="n">
        <x:v>500</x:v>
      </x:c>
      <x:c r="D12" s="14" t="n">
        <x:v>200</x:v>
      </x:c>
      <x:c r="E12" s="14" t="n">
        <x:v>1</x:v>
      </x:c>
      <x:c r="F12" s="21" t="n">
        <x:f>Batches!L8</x:f>
        <x:v>30520</x:v>
      </x:c>
      <x:c r="G12" s="21" t="n">
        <x:f>Batches!C8</x:f>
        <x:v>8109.144444444444</x:v>
      </x:c>
      <x:c r="H12" s="29" t="n">
        <x:f>IF(AND(ISNUMBER(F12),ISNUMBER(C12),C12&gt;0,E12&gt;0),ROUNDDOWN(F12/C12/E12,0)*E12,"n.a.")</x:f>
        <x:v>61</x:v>
      </x:c>
      <x:c r="I12" s="33" t="n">
        <x:f>IF(AND(ISNUMBER(H12),ISNUMBER(Batches!F8),Batches!F8&gt;=0,Batches!F8&lt;=1),ROUNDDOWN(H12*Batches!F8/E12,0)*E12,"n.a.")</x:f>
        <x:v>61</x:v>
      </x:c>
      <x:c r="J12" s="12" t="n">
        <x:f>IF(AND(ISNUMBER(I12),ISNUMBER(D12)),I12*D12,"n.a.")</x:f>
        <x:v>12200</x:v>
      </x:c>
      <x:c r="K12" s="12" t="n">
        <x:f>IF(AND(ISNUMBER(I12),I12&gt;0),G12/I12,"n.a.")</x:f>
        <x:v>132.93679417122038</x:v>
      </x:c>
      <x:c r="L12" s="12" t="n">
        <x:f>IF(ISNUMBER(J12),J12-G12,"n.a.")</x:f>
        <x:v>4090.855555555556</x:v>
      </x:c>
      <x:c r="M12" s="35" t="n">
        <x:f>IF(AND(ISNUMBER(J12),J12&gt;0),L12/J12,"n.a.")</x:f>
        <x:v>0.335316029143898</x:v>
      </x:c>
      <x:c r="N12" s="29" t="n">
        <x:f>IF(AND(ISNUMBER(D12),D12&gt;0),ROUNDUP(G12/(D12*E12),0)*E12,"n.a.")</x:f>
        <x:v>41</x:v>
      </x:c>
      <x:c r="O12" s="35" t="n">
        <x:f>IF(AND(ISNUMBER(H12),H12&gt;0,ISNUMBER(N12)),N12/H12,"n.a.")</x:f>
        <x:v>0.6721311475409836</x:v>
      </x:c>
      <x:c r="P12" s="33" t="n">
        <x:f>Batches!D8</x:f>
        <x:v>0</x:v>
      </x:c>
      <x:c r="Q12" s="37" t="str">
        <x:f>IF(AND(P12=0,ISNUMBER(J12),COUNT(Batches!G8:K8)=5),J12-G12-H12*Batches!G8-Batches!M8,"n.a.")</x:f>
        <x:v>n.a.</x:v>
      </x:c>
      <x:c r="R12" s="12" t="str">
        <x:f>IF(P12&gt;0,"Partial ingredient costs",IF(ISNUMBER(Q12),"Modeled operating profit","Other operating costs missing"))</x:f>
        <x:v>Other operating costs missing</x:v>
      </x:c>
      <x:c r="S12" s="12" t="str">
        <x:v>'Baguette AI'!B17:C17</x:v>
      </x:c>
    </x:row>
    <x:row r="13" ht="28" customHeight="1">
      <x:c r="A13" s="2" t="str">
        <x:v>Baguette AI</x:v>
      </x:c>
      <x:c r="B13" s="11" t="str">
        <x:v>Main offer</x:v>
      </x:c>
      <x:c r="C13" s="13" t="n">
        <x:v>65</x:v>
      </x:c>
      <x:c r="D13" s="13" t="n">
        <x:v>50</x:v>
      </x:c>
      <x:c r="E13" s="13" t="n">
        <x:v>1</x:v>
      </x:c>
      <x:c r="F13" s="20" t="n">
        <x:f>Batches!L8</x:f>
        <x:v>30520</x:v>
      </x:c>
      <x:c r="G13" s="20" t="n">
        <x:f>Batches!C8</x:f>
        <x:v>8109.144444444444</x:v>
      </x:c>
      <x:c r="H13" s="28" t="n">
        <x:f>IF(AND(ISNUMBER(F13),ISNUMBER(C13),C13&gt;0,E13&gt;0),ROUNDDOWN(F13/C13/E13,0)*E13,"n.a.")</x:f>
        <x:v>469</x:v>
      </x:c>
      <x:c r="I13" s="32" t="n">
        <x:f>IF(AND(ISNUMBER(H13),ISNUMBER(Batches!F8),Batches!F8&gt;=0,Batches!F8&lt;=1),ROUNDDOWN(H13*Batches!F8/E13,0)*E13,"n.a.")</x:f>
        <x:v>469</x:v>
      </x:c>
      <x:c r="J13" s="11" t="n">
        <x:f>IF(AND(ISNUMBER(I13),ISNUMBER(D13)),I13*D13,"n.a.")</x:f>
        <x:v>23450</x:v>
      </x:c>
      <x:c r="K13" s="11" t="n">
        <x:f>IF(AND(ISNUMBER(I13),I13&gt;0),G13/I13,"n.a.")</x:f>
        <x:v>17.29028666192845</x:v>
      </x:c>
      <x:c r="L13" s="11" t="n">
        <x:f>IF(ISNUMBER(J13),J13-G13,"n.a.")</x:f>
        <x:v>15340.855555555556</x:v>
      </x:c>
      <x:c r="M13" s="34" t="n">
        <x:f>IF(AND(ISNUMBER(J13),J13&gt;0),L13/J13,"n.a.")</x:f>
        <x:v>0.654194266761431</x:v>
      </x:c>
      <x:c r="N13" s="28" t="n">
        <x:f>IF(AND(ISNUMBER(D13),D13&gt;0),ROUNDUP(G13/(D13*E13),0)*E13,"n.a.")</x:f>
        <x:v>163</x:v>
      </x:c>
      <x:c r="O13" s="34" t="n">
        <x:f>IF(AND(ISNUMBER(H13),H13&gt;0,ISNUMBER(N13)),N13/H13,"n.a.")</x:f>
        <x:v>0.34754797441364604</x:v>
      </x:c>
      <x:c r="P13" s="32" t="n">
        <x:f>Batches!D8</x:f>
        <x:v>0</x:v>
      </x:c>
      <x:c r="Q13" s="36" t="str">
        <x:f>IF(AND(P13=0,ISNUMBER(J13),COUNT(Batches!G8:K8)=5),J13-G13-H13*Batches!G8-Batches!M8,"n.a.")</x:f>
        <x:v>n.a.</x:v>
      </x:c>
      <x:c r="R13" s="11" t="str">
        <x:f>IF(P13&gt;0,"Partial ingredient costs",IF(ISNUMBER(Q13),"Modeled operating profit","Other operating costs missing"))</x:f>
        <x:v>Other operating costs missing</x:v>
      </x:c>
      <x:c r="S13" s="11" t="str">
        <x:v>'Baguette AI'!B18:C18</x:v>
      </x:c>
    </x:row>
    <x:row r="14" ht="28" customHeight="1">
      <x:c r="A14" s="10" t="str">
        <x:v>Baguette AI</x:v>
      </x:c>
      <x:c r="B14" s="12" t="str">
        <x:v>12-piece wholesale pack</x:v>
      </x:c>
      <x:c r="C14" s="14" t="n">
        <x:v>85</x:v>
      </x:c>
      <x:c r="D14" s="14" t="n">
        <x:v>83.33333333333333</x:v>
      </x:c>
      <x:c r="E14" s="14" t="n">
        <x:v>12</x:v>
      </x:c>
      <x:c r="F14" s="21" t="n">
        <x:f>Batches!L8</x:f>
        <x:v>30520</x:v>
      </x:c>
      <x:c r="G14" s="21" t="n">
        <x:f>Batches!C8</x:f>
        <x:v>8109.144444444444</x:v>
      </x:c>
      <x:c r="H14" s="29" t="n">
        <x:f>IF(AND(ISNUMBER(F14),ISNUMBER(C14),C14&gt;0,E14&gt;0),ROUNDDOWN(F14/C14/E14,0)*E14,"n.a.")</x:f>
        <x:v>348</x:v>
      </x:c>
      <x:c r="I14" s="33" t="n">
        <x:f>IF(AND(ISNUMBER(H14),ISNUMBER(Batches!F8),Batches!F8&gt;=0,Batches!F8&lt;=1),ROUNDDOWN(H14*Batches!F8/E14,0)*E14,"n.a.")</x:f>
        <x:v>348</x:v>
      </x:c>
      <x:c r="J14" s="12" t="n">
        <x:f>IF(AND(ISNUMBER(I14),ISNUMBER(D14)),I14*D14,"n.a.")</x:f>
        <x:v>29000</x:v>
      </x:c>
      <x:c r="K14" s="12" t="n">
        <x:f>IF(AND(ISNUMBER(I14),I14&gt;0),G14/I14,"n.a.")</x:f>
        <x:v>23.30213920817369</x:v>
      </x:c>
      <x:c r="L14" s="12" t="n">
        <x:f>IF(ISNUMBER(J14),J14-G14,"n.a.")</x:f>
        <x:v>20890.855555555558</x:v>
      </x:c>
      <x:c r="M14" s="35" t="n">
        <x:f>IF(AND(ISNUMBER(J14),J14&gt;0),L14/J14,"n.a.")</x:f>
        <x:v>0.7203743295019158</x:v>
      </x:c>
      <x:c r="N14" s="29" t="n">
        <x:f>IF(AND(ISNUMBER(D14),D14&gt;0),ROUNDUP(G14/(D14*E14),0)*E14,"n.a.")</x:f>
        <x:v>108</x:v>
      </x:c>
      <x:c r="O14" s="35" t="n">
        <x:f>IF(AND(ISNUMBER(H14),H14&gt;0,ISNUMBER(N14)),N14/H14,"n.a.")</x:f>
        <x:v>0.3103448275862069</x:v>
      </x:c>
      <x:c r="P14" s="33" t="n">
        <x:f>Batches!D8</x:f>
        <x:v>0</x:v>
      </x:c>
      <x:c r="Q14" s="37" t="str">
        <x:f>IF(AND(P14=0,ISNUMBER(J14),COUNT(Batches!G8:K8)=5),J14-G14-H14*Batches!G8-Batches!M8,"n.a.")</x:f>
        <x:v>n.a.</x:v>
      </x:c>
      <x:c r="R14" s="12" t="str">
        <x:f>IF(P14&gt;0,"Partial ingredient costs",IF(ISNUMBER(Q14),"Modeled operating profit","Other operating costs missing"))</x:f>
        <x:v>Other operating costs missing</x:v>
      </x:c>
      <x:c r="S14" s="12" t="str">
        <x:v>'Baguette AI'!M16</x:v>
      </x:c>
    </x:row>
    <x:row r="15" ht="28" customHeight="1">
      <x:c r="A15" s="2" t="str">
        <x:v>Banh Mi</x:v>
      </x:c>
      <x:c r="B15" s="11" t="str">
        <x:v>Main offer</x:v>
      </x:c>
      <x:c r="C15" s="13" t="n">
        <x:v>90</x:v>
      </x:c>
      <x:c r="D15" s="13" t="n">
        <x:v>100</x:v>
      </x:c>
      <x:c r="E15" s="13" t="n">
        <x:v>1</x:v>
      </x:c>
      <x:c r="F15" s="20" t="n">
        <x:f>Batches!L9</x:f>
        <x:v>10530</x:v>
      </x:c>
      <x:c r="G15" s="20" t="n">
        <x:f>Batches!C9</x:f>
        <x:v>3230.4700000000003</x:v>
      </x:c>
      <x:c r="H15" s="28" t="n">
        <x:f>IF(AND(ISNUMBER(F15),ISNUMBER(C15),C15&gt;0,E15&gt;0),ROUNDDOWN(F15/C15/E15,0)*E15,"n.a.")</x:f>
        <x:v>117</x:v>
      </x:c>
      <x:c r="I15" s="32" t="n">
        <x:f>IF(AND(ISNUMBER(H15),ISNUMBER(Batches!F9),Batches!F9&gt;=0,Batches!F9&lt;=1),ROUNDDOWN(H15*Batches!F9/E15,0)*E15,"n.a.")</x:f>
        <x:v>117</x:v>
      </x:c>
      <x:c r="J15" s="11" t="n">
        <x:f>IF(AND(ISNUMBER(I15),ISNUMBER(D15)),I15*D15,"n.a.")</x:f>
        <x:v>11700</x:v>
      </x:c>
      <x:c r="K15" s="11" t="n">
        <x:f>IF(AND(ISNUMBER(I15),I15&gt;0),G15/I15,"n.a.")</x:f>
        <x:v>27.610854700854702</x:v>
      </x:c>
      <x:c r="L15" s="11" t="n">
        <x:f>IF(ISNUMBER(J15),J15-G15,"n.a.")</x:f>
        <x:v>8469.529999999999</x:v>
      </x:c>
      <x:c r="M15" s="34" t="n">
        <x:f>IF(AND(ISNUMBER(J15),J15&gt;0),L15/J15,"n.a.")</x:f>
        <x:v>0.7238914529914529</x:v>
      </x:c>
      <x:c r="N15" s="28" t="n">
        <x:f>IF(AND(ISNUMBER(D15),D15&gt;0),ROUNDUP(G15/(D15*E15),0)*E15,"n.a.")</x:f>
        <x:v>33</x:v>
      </x:c>
      <x:c r="O15" s="34" t="n">
        <x:f>IF(AND(ISNUMBER(H15),H15&gt;0,ISNUMBER(N15)),N15/H15,"n.a.")</x:f>
        <x:v>0.28205128205128205</x:v>
      </x:c>
      <x:c r="P15" s="32" t="n">
        <x:f>Batches!D9</x:f>
        <x:v>0</x:v>
      </x:c>
      <x:c r="Q15" s="36" t="str">
        <x:f>IF(AND(P15=0,ISNUMBER(J15),COUNT(Batches!G9:K9)=5),J15-G15-H15*Batches!G9-Batches!M9,"n.a.")</x:f>
        <x:v>n.a.</x:v>
      </x:c>
      <x:c r="R15" s="11" t="str">
        <x:f>IF(P15&gt;0,"Partial ingredient costs",IF(ISNUMBER(Q15),"Modeled operating profit","Other operating costs missing"))</x:f>
        <x:v>Other operating costs missing</x:v>
      </x:c>
      <x:c r="S15" s="11" t="str">
        <x:v>'Banh Mi'!B17:C17</x:v>
      </x:c>
    </x:row>
    <x:row r="16" ht="28" customHeight="1">
      <x:c r="A16" s="10" t="str">
        <x:v>Banh Mi</x:v>
      </x:c>
      <x:c r="B16" s="12" t="str">
        <x:v>Main offer</x:v>
      </x:c>
      <x:c r="C16" s="14" t="n">
        <x:v>500</x:v>
      </x:c>
      <x:c r="D16" s="14" t="n">
        <x:v>200</x:v>
      </x:c>
      <x:c r="E16" s="14" t="n">
        <x:v>1</x:v>
      </x:c>
      <x:c r="F16" s="21" t="n">
        <x:f>Batches!L9</x:f>
        <x:v>10530</x:v>
      </x:c>
      <x:c r="G16" s="21" t="n">
        <x:f>Batches!C9</x:f>
        <x:v>3230.4700000000003</x:v>
      </x:c>
      <x:c r="H16" s="29" t="n">
        <x:f>IF(AND(ISNUMBER(F16),ISNUMBER(C16),C16&gt;0,E16&gt;0),ROUNDDOWN(F16/C16/E16,0)*E16,"n.a.")</x:f>
        <x:v>21</x:v>
      </x:c>
      <x:c r="I16" s="33" t="n">
        <x:f>IF(AND(ISNUMBER(H16),ISNUMBER(Batches!F9),Batches!F9&gt;=0,Batches!F9&lt;=1),ROUNDDOWN(H16*Batches!F9/E16,0)*E16,"n.a.")</x:f>
        <x:v>21</x:v>
      </x:c>
      <x:c r="J16" s="12" t="n">
        <x:f>IF(AND(ISNUMBER(I16),ISNUMBER(D16)),I16*D16,"n.a.")</x:f>
        <x:v>4200</x:v>
      </x:c>
      <x:c r="K16" s="12" t="n">
        <x:f>IF(AND(ISNUMBER(I16),I16&gt;0),G16/I16,"n.a.")</x:f>
        <x:v>153.83190476190478</x:v>
      </x:c>
      <x:c r="L16" s="12" t="n">
        <x:f>IF(ISNUMBER(J16),J16-G16,"n.a.")</x:f>
        <x:v>969.5299999999997</x:v>
      </x:c>
      <x:c r="M16" s="35" t="n">
        <x:f>IF(AND(ISNUMBER(J16),J16&gt;0),L16/J16,"n.a.")</x:f>
        <x:v>0.23084047619047612</x:v>
      </x:c>
      <x:c r="N16" s="29" t="n">
        <x:f>IF(AND(ISNUMBER(D16),D16&gt;0),ROUNDUP(G16/(D16*E16),0)*E16,"n.a.")</x:f>
        <x:v>17</x:v>
      </x:c>
      <x:c r="O16" s="35" t="n">
        <x:f>IF(AND(ISNUMBER(H16),H16&gt;0,ISNUMBER(N16)),N16/H16,"n.a.")</x:f>
        <x:v>0.8095238095238095</x:v>
      </x:c>
      <x:c r="P16" s="33" t="n">
        <x:f>Batches!D9</x:f>
        <x:v>0</x:v>
      </x:c>
      <x:c r="Q16" s="37" t="str">
        <x:f>IF(AND(P16=0,ISNUMBER(J16),COUNT(Batches!G9:K9)=5),J16-G16-H16*Batches!G9-Batches!M9,"n.a.")</x:f>
        <x:v>n.a.</x:v>
      </x:c>
      <x:c r="R16" s="12" t="str">
        <x:f>IF(P16&gt;0,"Partial ingredient costs",IF(ISNUMBER(Q16),"Modeled operating profit","Other operating costs missing"))</x:f>
        <x:v>Other operating costs missing</x:v>
      </x:c>
      <x:c r="S16" s="12" t="str">
        <x:v>'Banh Mi'!B18:C18</x:v>
      </x:c>
    </x:row>
    <x:row r="17" ht="28" customHeight="1">
      <x:c r="A17" s="2" t="str">
        <x:v>Banh Mi</x:v>
      </x:c>
      <x:c r="B17" s="11" t="str">
        <x:v>Main offer</x:v>
      </x:c>
      <x:c r="C17" s="13" t="n">
        <x:v>65</x:v>
      </x:c>
      <x:c r="D17" s="13" t="n">
        <x:v>50</x:v>
      </x:c>
      <x:c r="E17" s="13" t="n">
        <x:v>1</x:v>
      </x:c>
      <x:c r="F17" s="20" t="n">
        <x:f>Batches!L9</x:f>
        <x:v>10530</x:v>
      </x:c>
      <x:c r="G17" s="20" t="n">
        <x:f>Batches!C9</x:f>
        <x:v>3230.4700000000003</x:v>
      </x:c>
      <x:c r="H17" s="28" t="n">
        <x:f>IF(AND(ISNUMBER(F17),ISNUMBER(C17),C17&gt;0,E17&gt;0),ROUNDDOWN(F17/C17/E17,0)*E17,"n.a.")</x:f>
        <x:v>162</x:v>
      </x:c>
      <x:c r="I17" s="32" t="n">
        <x:f>IF(AND(ISNUMBER(H17),ISNUMBER(Batches!F9),Batches!F9&gt;=0,Batches!F9&lt;=1),ROUNDDOWN(H17*Batches!F9/E17,0)*E17,"n.a.")</x:f>
        <x:v>162</x:v>
      </x:c>
      <x:c r="J17" s="11" t="n">
        <x:f>IF(AND(ISNUMBER(I17),ISNUMBER(D17)),I17*D17,"n.a.")</x:f>
        <x:v>8100</x:v>
      </x:c>
      <x:c r="K17" s="11" t="n">
        <x:f>IF(AND(ISNUMBER(I17),I17&gt;0),G17/I17,"n.a.")</x:f>
        <x:v>19.941172839506173</x:v>
      </x:c>
      <x:c r="L17" s="11" t="n">
        <x:f>IF(ISNUMBER(J17),J17-G17,"n.a.")</x:f>
        <x:v>4869.53</x:v>
      </x:c>
      <x:c r="M17" s="34" t="n">
        <x:f>IF(AND(ISNUMBER(J17),J17&gt;0),L17/J17,"n.a.")</x:f>
        <x:v>0.6011765432098765</x:v>
      </x:c>
      <x:c r="N17" s="28" t="n">
        <x:f>IF(AND(ISNUMBER(D17),D17&gt;0),ROUNDUP(G17/(D17*E17),0)*E17,"n.a.")</x:f>
        <x:v>65</x:v>
      </x:c>
      <x:c r="O17" s="34" t="n">
        <x:f>IF(AND(ISNUMBER(H17),H17&gt;0,ISNUMBER(N17)),N17/H17,"n.a.")</x:f>
        <x:v>0.4012345679012346</x:v>
      </x:c>
      <x:c r="P17" s="32" t="n">
        <x:f>Batches!D9</x:f>
        <x:v>0</x:v>
      </x:c>
      <x:c r="Q17" s="36" t="str">
        <x:f>IF(AND(P17=0,ISNUMBER(J17),COUNT(Batches!G9:K9)=5),J17-G17-H17*Batches!G9-Batches!M9,"n.a.")</x:f>
        <x:v>n.a.</x:v>
      </x:c>
      <x:c r="R17" s="11" t="str">
        <x:f>IF(P17&gt;0,"Partial ingredient costs",IF(ISNUMBER(Q17),"Modeled operating profit","Other operating costs missing"))</x:f>
        <x:v>Other operating costs missing</x:v>
      </x:c>
      <x:c r="S17" s="11" t="str">
        <x:v>'Banh Mi'!B19:C19</x:v>
      </x:c>
    </x:row>
    <x:row r="18" ht="28" customHeight="1">
      <x:c r="A18" s="10" t="str">
        <x:v>Banh Mi</x:v>
      </x:c>
      <x:c r="B18" s="12" t="str">
        <x:v>12-piece wholesale pack</x:v>
      </x:c>
      <x:c r="C18" s="14" t="n">
        <x:v>90</x:v>
      </x:c>
      <x:c r="D18" s="14" t="n">
        <x:v>83.33333333333333</x:v>
      </x:c>
      <x:c r="E18" s="14" t="n">
        <x:v>12</x:v>
      </x:c>
      <x:c r="F18" s="21" t="n">
        <x:f>Batches!L9</x:f>
        <x:v>10530</x:v>
      </x:c>
      <x:c r="G18" s="21" t="n">
        <x:f>Batches!C9</x:f>
        <x:v>3230.4700000000003</x:v>
      </x:c>
      <x:c r="H18" s="29" t="n">
        <x:f>IF(AND(ISNUMBER(F18),ISNUMBER(C18),C18&gt;0,E18&gt;0),ROUNDDOWN(F18/C18/E18,0)*E18,"n.a.")</x:f>
        <x:v>108</x:v>
      </x:c>
      <x:c r="I18" s="33" t="n">
        <x:f>IF(AND(ISNUMBER(H18),ISNUMBER(Batches!F9),Batches!F9&gt;=0,Batches!F9&lt;=1),ROUNDDOWN(H18*Batches!F9/E18,0)*E18,"n.a.")</x:f>
        <x:v>108</x:v>
      </x:c>
      <x:c r="J18" s="12" t="n">
        <x:f>IF(AND(ISNUMBER(I18),ISNUMBER(D18)),I18*D18,"n.a.")</x:f>
        <x:v>9000</x:v>
      </x:c>
      <x:c r="K18" s="12" t="n">
        <x:f>IF(AND(ISNUMBER(I18),I18&gt;0),G18/I18,"n.a.")</x:f>
        <x:v>29.911759259259263</x:v>
      </x:c>
      <x:c r="L18" s="12" t="n">
        <x:f>IF(ISNUMBER(J18),J18-G18,"n.a.")</x:f>
        <x:v>5769.53</x:v>
      </x:c>
      <x:c r="M18" s="35" t="n">
        <x:f>IF(AND(ISNUMBER(J18),J18&gt;0),L18/J18,"n.a.")</x:f>
        <x:v>0.6410588888888888</x:v>
      </x:c>
      <x:c r="N18" s="29" t="n">
        <x:f>IF(AND(ISNUMBER(D18),D18&gt;0),ROUNDUP(G18/(D18*E18),0)*E18,"n.a.")</x:f>
        <x:v>48</x:v>
      </x:c>
      <x:c r="O18" s="35" t="n">
        <x:f>IF(AND(ISNUMBER(H18),H18&gt;0,ISNUMBER(N18)),N18/H18,"n.a.")</x:f>
        <x:v>0.4444444444444444</x:v>
      </x:c>
      <x:c r="P18" s="33" t="n">
        <x:f>Batches!D9</x:f>
        <x:v>0</x:v>
      </x:c>
      <x:c r="Q18" s="37" t="str">
        <x:f>IF(AND(P18=0,ISNUMBER(J18),COUNT(Batches!G9:K9)=5),J18-G18-H18*Batches!G9-Batches!M9,"n.a.")</x:f>
        <x:v>n.a.</x:v>
      </x:c>
      <x:c r="R18" s="12" t="str">
        <x:f>IF(P18&gt;0,"Partial ingredient costs",IF(ISNUMBER(Q18),"Modeled operating profit","Other operating costs missing"))</x:f>
        <x:v>Other operating costs missing</x:v>
      </x:c>
      <x:c r="S18" s="12" t="str">
        <x:v>'Banh Mi'!M17</x:v>
      </x:c>
    </x:row>
    <x:row r="19" ht="28" customHeight="1">
      <x:c r="A19" s="2" t="str">
        <x:v>cake marbre</x:v>
      </x:c>
      <x:c r="B19" s="11" t="str">
        <x:v>Main offer</x:v>
      </x:c>
      <x:c r="C19" s="13" t="n">
        <x:v>60</x:v>
      </x:c>
      <x:c r="D19" s="13" t="n">
        <x:v>150</x:v>
      </x:c>
      <x:c r="E19" s="13" t="n">
        <x:v>1</x:v>
      </x:c>
      <x:c r="F19" s="20" t="n">
        <x:f>Batches!L10</x:f>
        <x:v>5227</x:v>
      </x:c>
      <x:c r="G19" s="20" t="n">
        <x:f>Batches!C10</x:f>
        <x:v>3303.419005847953</x:v>
      </x:c>
      <x:c r="H19" s="28" t="n">
        <x:f>IF(AND(ISNUMBER(F19),ISNUMBER(C19),C19&gt;0,E19&gt;0),ROUNDDOWN(F19/C19/E19,0)*E19,"n.a.")</x:f>
        <x:v>87</x:v>
      </x:c>
      <x:c r="I19" s="32" t="n">
        <x:f>IF(AND(ISNUMBER(H19),ISNUMBER(Batches!F10),Batches!F10&gt;=0,Batches!F10&lt;=1),ROUNDDOWN(H19*Batches!F10/E19,0)*E19,"n.a.")</x:f>
        <x:v>87</x:v>
      </x:c>
      <x:c r="J19" s="11" t="n">
        <x:f>IF(AND(ISNUMBER(I19),ISNUMBER(D19)),I19*D19,"n.a.")</x:f>
        <x:v>13050</x:v>
      </x:c>
      <x:c r="K19" s="11" t="n">
        <x:f>IF(AND(ISNUMBER(I19),I19&gt;0),G19/I19,"n.a.")</x:f>
        <x:v>37.97033340055118</x:v>
      </x:c>
      <x:c r="L19" s="11" t="n">
        <x:f>IF(ISNUMBER(J19),J19-G19,"n.a.")</x:f>
        <x:v>9746.580994152047</x:v>
      </x:c>
      <x:c r="M19" s="34" t="n">
        <x:f>IF(AND(ISNUMBER(J19),J19&gt;0),L19/J19,"n.a.")</x:f>
        <x:v>0.7468644439963255</x:v>
      </x:c>
      <x:c r="N19" s="28" t="n">
        <x:f>IF(AND(ISNUMBER(D19),D19&gt;0),ROUNDUP(G19/(D19*E19),0)*E19,"n.a.")</x:f>
        <x:v>23</x:v>
      </x:c>
      <x:c r="O19" s="34" t="n">
        <x:f>IF(AND(ISNUMBER(H19),H19&gt;0,ISNUMBER(N19)),N19/H19,"n.a.")</x:f>
        <x:v>0.26436781609195403</x:v>
      </x:c>
      <x:c r="P19" s="32" t="n">
        <x:f>Batches!D10</x:f>
        <x:v>0</x:v>
      </x:c>
      <x:c r="Q19" s="36" t="str">
        <x:f>IF(AND(P19=0,ISNUMBER(J19),COUNT(Batches!G10:K10)=5),J19-G19-H19*Batches!G10-Batches!M10,"n.a.")</x:f>
        <x:v>n.a.</x:v>
      </x:c>
      <x:c r="R19" s="11" t="str">
        <x:f>IF(P19&gt;0,"Partial ingredient costs",IF(ISNUMBER(Q19),"Modeled operating profit","Other operating costs missing"))</x:f>
        <x:v>Other operating costs missing</x:v>
      </x:c>
      <x:c r="S19" s="11" t="str">
        <x:v>'cake marbre'!B20:C20</x:v>
      </x:c>
    </x:row>
    <x:row r="20" ht="28" customHeight="1">
      <x:c r="A20" s="10" t="str">
        <x:v>cake marbre</x:v>
      </x:c>
      <x:c r="B20" s="12" t="str">
        <x:v>Main offer</x:v>
      </x:c>
      <x:c r="C20" s="14" t="n">
        <x:v>50</x:v>
      </x:c>
      <x:c r="D20" s="14" t="n">
        <x:v>100</x:v>
      </x:c>
      <x:c r="E20" s="14" t="n">
        <x:v>1</x:v>
      </x:c>
      <x:c r="F20" s="21" t="n">
        <x:f>Batches!L10</x:f>
        <x:v>5227</x:v>
      </x:c>
      <x:c r="G20" s="21" t="n">
        <x:f>Batches!C10</x:f>
        <x:v>3303.419005847953</x:v>
      </x:c>
      <x:c r="H20" s="29" t="n">
        <x:f>IF(AND(ISNUMBER(F20),ISNUMBER(C20),C20&gt;0,E20&gt;0),ROUNDDOWN(F20/C20/E20,0)*E20,"n.a.")</x:f>
        <x:v>104</x:v>
      </x:c>
      <x:c r="I20" s="33" t="n">
        <x:f>IF(AND(ISNUMBER(H20),ISNUMBER(Batches!F10),Batches!F10&gt;=0,Batches!F10&lt;=1),ROUNDDOWN(H20*Batches!F10/E20,0)*E20,"n.a.")</x:f>
        <x:v>104</x:v>
      </x:c>
      <x:c r="J20" s="12" t="n">
        <x:f>IF(AND(ISNUMBER(I20),ISNUMBER(D20)),I20*D20,"n.a.")</x:f>
        <x:v>10400</x:v>
      </x:c>
      <x:c r="K20" s="12" t="n">
        <x:f>IF(AND(ISNUMBER(I20),I20&gt;0),G20/I20,"n.a.")</x:f>
        <x:v>31.763644286999547</x:v>
      </x:c>
      <x:c r="L20" s="12" t="n">
        <x:f>IF(ISNUMBER(J20),J20-G20,"n.a.")</x:f>
        <x:v>7096.580994152047</x:v>
      </x:c>
      <x:c r="M20" s="35" t="n">
        <x:f>IF(AND(ISNUMBER(J20),J20&gt;0),L20/J20,"n.a.")</x:f>
        <x:v>0.6823635571300045</x:v>
      </x:c>
      <x:c r="N20" s="29" t="n">
        <x:f>IF(AND(ISNUMBER(D20),D20&gt;0),ROUNDUP(G20/(D20*E20),0)*E20,"n.a.")</x:f>
        <x:v>34</x:v>
      </x:c>
      <x:c r="O20" s="35" t="n">
        <x:f>IF(AND(ISNUMBER(H20),H20&gt;0,ISNUMBER(N20)),N20/H20,"n.a.")</x:f>
        <x:v>0.3269230769230769</x:v>
      </x:c>
      <x:c r="P20" s="33" t="n">
        <x:f>Batches!D10</x:f>
        <x:v>0</x:v>
      </x:c>
      <x:c r="Q20" s="37" t="str">
        <x:f>IF(AND(P20=0,ISNUMBER(J20),COUNT(Batches!G10:K10)=5),J20-G20-H20*Batches!G10-Batches!M10,"n.a.")</x:f>
        <x:v>n.a.</x:v>
      </x:c>
      <x:c r="R20" s="12" t="str">
        <x:f>IF(P20&gt;0,"Partial ingredient costs",IF(ISNUMBER(Q20),"Modeled operating profit","Other operating costs missing"))</x:f>
        <x:v>Other operating costs missing</x:v>
      </x:c>
      <x:c r="S20" s="12" t="str">
        <x:v>'cake marbre'!B21:C21</x:v>
      </x:c>
    </x:row>
    <x:row r="21" ht="28" customHeight="1">
      <x:c r="A21" s="2" t="str">
        <x:v>gateau</x:v>
      </x:c>
      <x:c r="B21" s="11" t="str">
        <x:v>Main offer</x:v>
      </x:c>
      <x:c r="C21" s="13" t="n">
        <x:v>81</x:v>
      </x:c>
      <x:c r="D21" s="13" t="n">
        <x:v>100</x:v>
      </x:c>
      <x:c r="E21" s="13" t="n">
        <x:v>1</x:v>
      </x:c>
      <x:c r="F21" s="20" t="n">
        <x:f>Batches!L11</x:f>
        <x:v>39870</x:v>
      </x:c>
      <x:c r="G21" s="20" t="n">
        <x:f>Batches!C11</x:f>
        <x:v>16354.771929824561</x:v>
      </x:c>
      <x:c r="H21" s="28" t="n">
        <x:f>IF(AND(ISNUMBER(F21),ISNUMBER(C21),C21&gt;0,E21&gt;0),ROUNDDOWN(F21/C21/E21,0)*E21,"n.a.")</x:f>
        <x:v>492</x:v>
      </x:c>
      <x:c r="I21" s="32" t="n">
        <x:f>IF(AND(ISNUMBER(H21),ISNUMBER(Batches!F11),Batches!F11&gt;=0,Batches!F11&lt;=1),ROUNDDOWN(H21*Batches!F11/E21,0)*E21,"n.a.")</x:f>
        <x:v>492</x:v>
      </x:c>
      <x:c r="J21" s="11" t="n">
        <x:f>IF(AND(ISNUMBER(I21),ISNUMBER(D21)),I21*D21,"n.a.")</x:f>
        <x:v>49200</x:v>
      </x:c>
      <x:c r="K21" s="11" t="n">
        <x:f>IF(AND(ISNUMBER(I21),I21&gt;0),G21/I21,"n.a.")</x:f>
        <x:v>33.241406361432034</x:v>
      </x:c>
      <x:c r="L21" s="11" t="n">
        <x:f>IF(ISNUMBER(J21),J21-G21,"n.a.")</x:f>
        <x:v>32845.228070175435</x:v>
      </x:c>
      <x:c r="M21" s="34" t="n">
        <x:f>IF(AND(ISNUMBER(J21),J21&gt;0),L21/J21,"n.a.")</x:f>
        <x:v>0.6675859363856795</x:v>
      </x:c>
      <x:c r="N21" s="28" t="n">
        <x:f>IF(AND(ISNUMBER(D21),D21&gt;0),ROUNDUP(G21/(D21*E21),0)*E21,"n.a.")</x:f>
        <x:v>164</x:v>
      </x:c>
      <x:c r="O21" s="34" t="n">
        <x:f>IF(AND(ISNUMBER(H21),H21&gt;0,ISNUMBER(N21)),N21/H21,"n.a.")</x:f>
        <x:v>0.3333333333333333</x:v>
      </x:c>
      <x:c r="P21" s="32" t="n">
        <x:f>Batches!D11</x:f>
        <x:v>1</x:v>
      </x:c>
      <x:c r="Q21" s="36" t="str">
        <x:f>IF(AND(P21=0,ISNUMBER(J21),COUNT(Batches!G11:K11)=5),J21-G21-H21*Batches!G11-Batches!M11,"n.a.")</x:f>
        <x:v>n.a.</x:v>
      </x:c>
      <x:c r="R21" s="11" t="str">
        <x:f>IF(P21&gt;0,"Partial ingredient costs",IF(ISNUMBER(Q21),"Modeled operating profit","Other operating costs missing"))</x:f>
        <x:v>Partial ingredient costs</x:v>
      </x:c>
      <x:c r="S21" s="11" t="str">
        <x:v>'gateau'!B21:C21</x:v>
      </x:c>
    </x:row>
    <x:row r="22" ht="28" customHeight="1">
      <x:c r="A22" s="10" t="str">
        <x:v>gateau</x:v>
      </x:c>
      <x:c r="B22" s="12" t="str">
        <x:v>Main offer</x:v>
      </x:c>
      <x:c r="C22" s="14" t="n">
        <x:v>90</x:v>
      </x:c>
      <x:c r="D22" s="14" t="n">
        <x:v>100</x:v>
      </x:c>
      <x:c r="E22" s="14" t="n">
        <x:v>1</x:v>
      </x:c>
      <x:c r="F22" s="21" t="n">
        <x:f>Batches!L11</x:f>
        <x:v>39870</x:v>
      </x:c>
      <x:c r="G22" s="21" t="n">
        <x:f>Batches!C11</x:f>
        <x:v>16354.771929824561</x:v>
      </x:c>
      <x:c r="H22" s="29" t="n">
        <x:f>IF(AND(ISNUMBER(F22),ISNUMBER(C22),C22&gt;0,E22&gt;0),ROUNDDOWN(F22/C22/E22,0)*E22,"n.a.")</x:f>
        <x:v>443</x:v>
      </x:c>
      <x:c r="I22" s="33" t="n">
        <x:f>IF(AND(ISNUMBER(H22),ISNUMBER(Batches!F11),Batches!F11&gt;=0,Batches!F11&lt;=1),ROUNDDOWN(H22*Batches!F11/E22,0)*E22,"n.a.")</x:f>
        <x:v>443</x:v>
      </x:c>
      <x:c r="J22" s="12" t="n">
        <x:f>IF(AND(ISNUMBER(I22),ISNUMBER(D22)),I22*D22,"n.a.")</x:f>
        <x:v>44300</x:v>
      </x:c>
      <x:c r="K22" s="12" t="n">
        <x:f>IF(AND(ISNUMBER(I22),I22&gt;0),G22/I22,"n.a.")</x:f>
        <x:v>36.91822106055206</x:v>
      </x:c>
      <x:c r="L22" s="12" t="n">
        <x:f>IF(ISNUMBER(J22),J22-G22,"n.a.")</x:f>
        <x:v>27945.22807017544</x:v>
      </x:c>
      <x:c r="M22" s="35" t="n">
        <x:f>IF(AND(ISNUMBER(J22),J22&gt;0),L22/J22,"n.a.")</x:f>
        <x:v>0.6308177893944794</x:v>
      </x:c>
      <x:c r="N22" s="29" t="n">
        <x:f>IF(AND(ISNUMBER(D22),D22&gt;0),ROUNDUP(G22/(D22*E22),0)*E22,"n.a.")</x:f>
        <x:v>164</x:v>
      </x:c>
      <x:c r="O22" s="35" t="n">
        <x:f>IF(AND(ISNUMBER(H22),H22&gt;0,ISNUMBER(N22)),N22/H22,"n.a.")</x:f>
        <x:v>0.37020316027088035</x:v>
      </x:c>
      <x:c r="P22" s="33" t="n">
        <x:f>Batches!D11</x:f>
        <x:v>1</x:v>
      </x:c>
      <x:c r="Q22" s="37" t="str">
        <x:f>IF(AND(P22=0,ISNUMBER(J22),COUNT(Batches!G11:K11)=5),J22-G22-H22*Batches!G11-Batches!M11,"n.a.")</x:f>
        <x:v>n.a.</x:v>
      </x:c>
      <x:c r="R22" s="12" t="str">
        <x:f>IF(P22&gt;0,"Partial ingredient costs",IF(ISNUMBER(Q22),"Modeled operating profit","Other operating costs missing"))</x:f>
        <x:v>Partial ingredient costs</x:v>
      </x:c>
      <x:c r="S22" s="12" t="str">
        <x:v>'gateau'!B22:C22</x:v>
      </x:c>
    </x:row>
    <x:row r="23" ht="28" customHeight="1">
      <x:c r="A23" s="2" t="str">
        <x:v>gateau</x:v>
      </x:c>
      <x:c r="B23" s="11" t="str">
        <x:v>Main offer</x:v>
      </x:c>
      <x:c r="C23" s="13" t="n">
        <x:v>90</x:v>
      </x:c>
      <x:c r="D23" s="13" t="n">
        <x:v>100</x:v>
      </x:c>
      <x:c r="E23" s="13" t="n">
        <x:v>1</x:v>
      </x:c>
      <x:c r="F23" s="20" t="n">
        <x:f>Batches!L11</x:f>
        <x:v>39870</x:v>
      </x:c>
      <x:c r="G23" s="20" t="n">
        <x:f>Batches!C11</x:f>
        <x:v>16354.771929824561</x:v>
      </x:c>
      <x:c r="H23" s="28" t="n">
        <x:f>IF(AND(ISNUMBER(F23),ISNUMBER(C23),C23&gt;0,E23&gt;0),ROUNDDOWN(F23/C23/E23,0)*E23,"n.a.")</x:f>
        <x:v>443</x:v>
      </x:c>
      <x:c r="I23" s="32" t="n">
        <x:f>IF(AND(ISNUMBER(H23),ISNUMBER(Batches!F11),Batches!F11&gt;=0,Batches!F11&lt;=1),ROUNDDOWN(H23*Batches!F11/E23,0)*E23,"n.a.")</x:f>
        <x:v>443</x:v>
      </x:c>
      <x:c r="J23" s="11" t="n">
        <x:f>IF(AND(ISNUMBER(I23),ISNUMBER(D23)),I23*D23,"n.a.")</x:f>
        <x:v>44300</x:v>
      </x:c>
      <x:c r="K23" s="11" t="n">
        <x:f>IF(AND(ISNUMBER(I23),I23&gt;0),G23/I23,"n.a.")</x:f>
        <x:v>36.91822106055206</x:v>
      </x:c>
      <x:c r="L23" s="11" t="n">
        <x:f>IF(ISNUMBER(J23),J23-G23,"n.a.")</x:f>
        <x:v>27945.22807017544</x:v>
      </x:c>
      <x:c r="M23" s="34" t="n">
        <x:f>IF(AND(ISNUMBER(J23),J23&gt;0),L23/J23,"n.a.")</x:f>
        <x:v>0.6308177893944794</x:v>
      </x:c>
      <x:c r="N23" s="28" t="n">
        <x:f>IF(AND(ISNUMBER(D23),D23&gt;0),ROUNDUP(G23/(D23*E23),0)*E23,"n.a.")</x:f>
        <x:v>164</x:v>
      </x:c>
      <x:c r="O23" s="34" t="n">
        <x:f>IF(AND(ISNUMBER(H23),H23&gt;0,ISNUMBER(N23)),N23/H23,"n.a.")</x:f>
        <x:v>0.37020316027088035</x:v>
      </x:c>
      <x:c r="P23" s="32" t="n">
        <x:f>Batches!D11</x:f>
        <x:v>1</x:v>
      </x:c>
      <x:c r="Q23" s="36" t="str">
        <x:f>IF(AND(P23=0,ISNUMBER(J23),COUNT(Batches!G11:K11)=5),J23-G23-H23*Batches!G11-Batches!M11,"n.a.")</x:f>
        <x:v>n.a.</x:v>
      </x:c>
      <x:c r="R23" s="11" t="str">
        <x:f>IF(P23&gt;0,"Partial ingredient costs",IF(ISNUMBER(Q23),"Modeled operating profit","Other operating costs missing"))</x:f>
        <x:v>Partial ingredient costs</x:v>
      </x:c>
      <x:c r="S23" s="11" t="str">
        <x:v>'gateau'!B23:C23</x:v>
      </x:c>
    </x:row>
    <x:row r="24" ht="28" customHeight="1">
      <x:c r="A24" s="10" t="str">
        <x:v>gateau</x:v>
      </x:c>
      <x:c r="B24" s="12" t="str">
        <x:v>Main offer</x:v>
      </x:c>
      <x:c r="C24" s="14" t="n">
        <x:v>900</x:v>
      </x:c>
      <x:c r="D24" s="14" t="n">
        <x:v>1000</x:v>
      </x:c>
      <x:c r="E24" s="14" t="n">
        <x:v>1</x:v>
      </x:c>
      <x:c r="F24" s="21" t="n">
        <x:f>Batches!L11</x:f>
        <x:v>39870</x:v>
      </x:c>
      <x:c r="G24" s="21" t="n">
        <x:f>Batches!C11</x:f>
        <x:v>16354.771929824561</x:v>
      </x:c>
      <x:c r="H24" s="29" t="n">
        <x:f>IF(AND(ISNUMBER(F24),ISNUMBER(C24),C24&gt;0,E24&gt;0),ROUNDDOWN(F24/C24/E24,0)*E24,"n.a.")</x:f>
        <x:v>44</x:v>
      </x:c>
      <x:c r="I24" s="33" t="n">
        <x:f>IF(AND(ISNUMBER(H24),ISNUMBER(Batches!F11),Batches!F11&gt;=0,Batches!F11&lt;=1),ROUNDDOWN(H24*Batches!F11/E24,0)*E24,"n.a.")</x:f>
        <x:v>44</x:v>
      </x:c>
      <x:c r="J24" s="12" t="n">
        <x:f>IF(AND(ISNUMBER(I24),ISNUMBER(D24)),I24*D24,"n.a.")</x:f>
        <x:v>44000</x:v>
      </x:c>
      <x:c r="K24" s="12" t="n">
        <x:f>IF(AND(ISNUMBER(I24),I24&gt;0),G24/I24,"n.a.")</x:f>
        <x:v>371.6993620414673</x:v>
      </x:c>
      <x:c r="L24" s="12" t="n">
        <x:f>IF(ISNUMBER(J24),J24-G24,"n.a.")</x:f>
        <x:v>27645.22807017544</x:v>
      </x:c>
      <x:c r="M24" s="35" t="n">
        <x:f>IF(AND(ISNUMBER(J24),J24&gt;0),L24/J24,"n.a.")</x:f>
        <x:v>0.6283006379585327</x:v>
      </x:c>
      <x:c r="N24" s="29" t="n">
        <x:f>IF(AND(ISNUMBER(D24),D24&gt;0),ROUNDUP(G24/(D24*E24),0)*E24,"n.a.")</x:f>
        <x:v>17</x:v>
      </x:c>
      <x:c r="O24" s="35" t="n">
        <x:f>IF(AND(ISNUMBER(H24),H24&gt;0,ISNUMBER(N24)),N24/H24,"n.a.")</x:f>
        <x:v>0.38636363636363635</x:v>
      </x:c>
      <x:c r="P24" s="33" t="n">
        <x:f>Batches!D11</x:f>
        <x:v>1</x:v>
      </x:c>
      <x:c r="Q24" s="37" t="str">
        <x:f>IF(AND(P24=0,ISNUMBER(J24),COUNT(Batches!G11:K11)=5),J24-G24-H24*Batches!G11-Batches!M11,"n.a.")</x:f>
        <x:v>n.a.</x:v>
      </x:c>
      <x:c r="R24" s="12" t="str">
        <x:f>IF(P24&gt;0,"Partial ingredient costs",IF(ISNUMBER(Q24),"Modeled operating profit","Other operating costs missing"))</x:f>
        <x:v>Partial ingredient costs</x:v>
      </x:c>
      <x:c r="S24" s="12" t="str">
        <x:v>'gateau'!B24:C24</x:v>
      </x:c>
    </x:row>
    <x:row r="25" ht="28" customHeight="1">
      <x:c r="A25" s="2" t="str">
        <x:v>buns new look</x:v>
      </x:c>
      <x:c r="B25" s="11" t="str">
        <x:v>Main offer</x:v>
      </x:c>
      <x:c r="C25" s="13" t="n">
        <x:v>160</x:v>
      </x:c>
      <x:c r="D25" s="13" t="n">
        <x:v>200</x:v>
      </x:c>
      <x:c r="E25" s="13" t="n">
        <x:v>1</x:v>
      </x:c>
      <x:c r="F25" s="20" t="n">
        <x:f>Batches!L12</x:f>
        <x:v>24750</x:v>
      </x:c>
      <x:c r="G25" s="20" t="n">
        <x:f>Batches!C12</x:f>
        <x:v>12433.85350877193</x:v>
      </x:c>
      <x:c r="H25" s="28" t="n">
        <x:f>IF(AND(ISNUMBER(F25),ISNUMBER(C25),C25&gt;0,E25&gt;0),ROUNDDOWN(F25/C25/E25,0)*E25,"n.a.")</x:f>
        <x:v>154</x:v>
      </x:c>
      <x:c r="I25" s="32" t="n">
        <x:f>IF(AND(ISNUMBER(H25),ISNUMBER(Batches!F12),Batches!F12&gt;=0,Batches!F12&lt;=1),ROUNDDOWN(H25*Batches!F12/E25,0)*E25,"n.a.")</x:f>
        <x:v>154</x:v>
      </x:c>
      <x:c r="J25" s="11" t="n">
        <x:f>IF(AND(ISNUMBER(I25),ISNUMBER(D25)),I25*D25,"n.a.")</x:f>
        <x:v>30800</x:v>
      </x:c>
      <x:c r="K25" s="11" t="n">
        <x:f>IF(AND(ISNUMBER(I25),I25&gt;0),G25/I25,"n.a.")</x:f>
        <x:v>80.73930849851902</x:v>
      </x:c>
      <x:c r="L25" s="11" t="n">
        <x:f>IF(ISNUMBER(J25),J25-G25,"n.a.")</x:f>
        <x:v>18366.14649122807</x:v>
      </x:c>
      <x:c r="M25" s="34" t="n">
        <x:f>IF(AND(ISNUMBER(J25),J25&gt;0),L25/J25,"n.a.")</x:f>
        <x:v>0.5963034575074049</x:v>
      </x:c>
      <x:c r="N25" s="28" t="n">
        <x:f>IF(AND(ISNUMBER(D25),D25&gt;0),ROUNDUP(G25/(D25*E25),0)*E25,"n.a.")</x:f>
        <x:v>63</x:v>
      </x:c>
      <x:c r="O25" s="34" t="n">
        <x:f>IF(AND(ISNUMBER(H25),H25&gt;0,ISNUMBER(N25)),N25/H25,"n.a.")</x:f>
        <x:v>0.4090909090909091</x:v>
      </x:c>
      <x:c r="P25" s="32" t="n">
        <x:f>Batches!D12</x:f>
        <x:v>0</x:v>
      </x:c>
      <x:c r="Q25" s="36" t="str">
        <x:f>IF(AND(P25=0,ISNUMBER(J25),COUNT(Batches!G12:K12)=5),J25-G25-H25*Batches!G12-Batches!M12,"n.a.")</x:f>
        <x:v>n.a.</x:v>
      </x:c>
      <x:c r="R25" s="11" t="str">
        <x:f>IF(P25&gt;0,"Partial ingredient costs",IF(ISNUMBER(Q25),"Modeled operating profit","Other operating costs missing"))</x:f>
        <x:v>Other operating costs missing</x:v>
      </x:c>
      <x:c r="S25" s="11" t="str">
        <x:v>'buns new look'!B20:C20</x:v>
      </x:c>
    </x:row>
    <x:row r="26" ht="28" customHeight="1">
      <x:c r="A26" s="10" t="str">
        <x:v>buns new look</x:v>
      </x:c>
      <x:c r="B26" s="12" t="str">
        <x:v>Main offer</x:v>
      </x:c>
      <x:c r="C26" s="14" t="n">
        <x:v>139</x:v>
      </x:c>
      <x:c r="D26" s="14" t="n">
        <x:v>125</x:v>
      </x:c>
      <x:c r="E26" s="14" t="n">
        <x:v>1</x:v>
      </x:c>
      <x:c r="F26" s="21" t="n">
        <x:f>Batches!L12</x:f>
        <x:v>24750</x:v>
      </x:c>
      <x:c r="G26" s="21" t="n">
        <x:f>Batches!C12</x:f>
        <x:v>12433.85350877193</x:v>
      </x:c>
      <x:c r="H26" s="29" t="n">
        <x:f>IF(AND(ISNUMBER(F26),ISNUMBER(C26),C26&gt;0,E26&gt;0),ROUNDDOWN(F26/C26/E26,0)*E26,"n.a.")</x:f>
        <x:v>178</x:v>
      </x:c>
      <x:c r="I26" s="33" t="n">
        <x:f>IF(AND(ISNUMBER(H26),ISNUMBER(Batches!F12),Batches!F12&gt;=0,Batches!F12&lt;=1),ROUNDDOWN(H26*Batches!F12/E26,0)*E26,"n.a.")</x:f>
        <x:v>178</x:v>
      </x:c>
      <x:c r="J26" s="12" t="n">
        <x:f>IF(AND(ISNUMBER(I26),ISNUMBER(D26)),I26*D26,"n.a.")</x:f>
        <x:v>22250</x:v>
      </x:c>
      <x:c r="K26" s="12" t="n">
        <x:f>IF(AND(ISNUMBER(I26),I26&gt;0),G26/I26,"n.a.")</x:f>
        <x:v>69.8531095998423</x:v>
      </x:c>
      <x:c r="L26" s="12" t="n">
        <x:f>IF(ISNUMBER(J26),J26-G26,"n.a.")</x:f>
        <x:v>9816.14649122807</x:v>
      </x:c>
      <x:c r="M26" s="35" t="n">
        <x:f>IF(AND(ISNUMBER(J26),J26&gt;0),L26/J26,"n.a.")</x:f>
        <x:v>0.44117512320126157</x:v>
      </x:c>
      <x:c r="N26" s="29" t="n">
        <x:f>IF(AND(ISNUMBER(D26),D26&gt;0),ROUNDUP(G26/(D26*E26),0)*E26,"n.a.")</x:f>
        <x:v>100</x:v>
      </x:c>
      <x:c r="O26" s="35" t="n">
        <x:f>IF(AND(ISNUMBER(H26),H26&gt;0,ISNUMBER(N26)),N26/H26,"n.a.")</x:f>
        <x:v>0.5617977528089888</x:v>
      </x:c>
      <x:c r="P26" s="33" t="n">
        <x:f>Batches!D12</x:f>
        <x:v>0</x:v>
      </x:c>
      <x:c r="Q26" s="37" t="str">
        <x:f>IF(AND(P26=0,ISNUMBER(J26),COUNT(Batches!G12:K12)=5),J26-G26-H26*Batches!G12-Batches!M12,"n.a.")</x:f>
        <x:v>n.a.</x:v>
      </x:c>
      <x:c r="R26" s="12" t="str">
        <x:f>IF(P26&gt;0,"Partial ingredient costs",IF(ISNUMBER(Q26),"Modeled operating profit","Other operating costs missing"))</x:f>
        <x:v>Other operating costs missing</x:v>
      </x:c>
      <x:c r="S26" s="12" t="str">
        <x:v>'buns new look'!B21:C21</x:v>
      </x:c>
    </x:row>
    <x:row r="27" ht="28" customHeight="1">
      <x:c r="A27" s="2" t="str">
        <x:v>buns new look</x:v>
      </x:c>
      <x:c r="B27" s="11" t="str">
        <x:v>Main offer</x:v>
      </x:c>
      <x:c r="C27" s="13" t="n">
        <x:v>139</x:v>
      </x:c>
      <x:c r="D27" s="13" t="n">
        <x:v>150</x:v>
      </x:c>
      <x:c r="E27" s="13" t="n">
        <x:v>1</x:v>
      </x:c>
      <x:c r="F27" s="20" t="n">
        <x:f>Batches!L12</x:f>
        <x:v>24750</x:v>
      </x:c>
      <x:c r="G27" s="20" t="n">
        <x:f>Batches!C12</x:f>
        <x:v>12433.85350877193</x:v>
      </x:c>
      <x:c r="H27" s="28" t="n">
        <x:f>IF(AND(ISNUMBER(F27),ISNUMBER(C27),C27&gt;0,E27&gt;0),ROUNDDOWN(F27/C27/E27,0)*E27,"n.a.")</x:f>
        <x:v>178</x:v>
      </x:c>
      <x:c r="I27" s="32" t="n">
        <x:f>IF(AND(ISNUMBER(H27),ISNUMBER(Batches!F12),Batches!F12&gt;=0,Batches!F12&lt;=1),ROUNDDOWN(H27*Batches!F12/E27,0)*E27,"n.a.")</x:f>
        <x:v>178</x:v>
      </x:c>
      <x:c r="J27" s="11" t="n">
        <x:f>IF(AND(ISNUMBER(I27),ISNUMBER(D27)),I27*D27,"n.a.")</x:f>
        <x:v>26700</x:v>
      </x:c>
      <x:c r="K27" s="11" t="n">
        <x:f>IF(AND(ISNUMBER(I27),I27&gt;0),G27/I27,"n.a.")</x:f>
        <x:v>69.8531095998423</x:v>
      </x:c>
      <x:c r="L27" s="11" t="n">
        <x:f>IF(ISNUMBER(J27),J27-G27,"n.a.")</x:f>
        <x:v>14266.14649122807</x:v>
      </x:c>
      <x:c r="M27" s="34" t="n">
        <x:f>IF(AND(ISNUMBER(J27),J27&gt;0),L27/J27,"n.a.")</x:f>
        <x:v>0.534312602667718</x:v>
      </x:c>
      <x:c r="N27" s="28" t="n">
        <x:f>IF(AND(ISNUMBER(D27),D27&gt;0),ROUNDUP(G27/(D27*E27),0)*E27,"n.a.")</x:f>
        <x:v>83</x:v>
      </x:c>
      <x:c r="O27" s="34" t="n">
        <x:f>IF(AND(ISNUMBER(H27),H27&gt;0,ISNUMBER(N27)),N27/H27,"n.a.")</x:f>
        <x:v>0.46629213483146065</x:v>
      </x:c>
      <x:c r="P27" s="32" t="n">
        <x:f>Batches!D12</x:f>
        <x:v>0</x:v>
      </x:c>
      <x:c r="Q27" s="36" t="str">
        <x:f>IF(AND(P27=0,ISNUMBER(J27),COUNT(Batches!G12:K12)=5),J27-G27-H27*Batches!G12-Batches!M12,"n.a.")</x:f>
        <x:v>n.a.</x:v>
      </x:c>
      <x:c r="R27" s="11" t="str">
        <x:f>IF(P27&gt;0,"Partial ingredient costs",IF(ISNUMBER(Q27),"Modeled operating profit","Other operating costs missing"))</x:f>
        <x:v>Other operating costs missing</x:v>
      </x:c>
      <x:c r="S27" s="11" t="str">
        <x:v>'buns new look'!B22:C22</x:v>
      </x:c>
    </x:row>
    <x:row r="28" ht="28" customHeight="1">
      <x:c r="A28" s="10" t="str">
        <x:v>buns new look</x:v>
      </x:c>
      <x:c r="B28" s="12" t="str">
        <x:v>Manual offer; confirm</x:v>
      </x:c>
      <x:c r="C28" s="14" t="n">
        <x:v>133</x:v>
      </x:c>
      <x:c r="D28" s="14" t="n">
        <x:v>150</x:v>
      </x:c>
      <x:c r="E28" s="14" t="n">
        <x:v>1</x:v>
      </x:c>
      <x:c r="F28" s="21" t="n">
        <x:f>Batches!L12</x:f>
        <x:v>24750</x:v>
      </x:c>
      <x:c r="G28" s="21" t="n">
        <x:f>Batches!C12</x:f>
        <x:v>12433.85350877193</x:v>
      </x:c>
      <x:c r="H28" s="29" t="n">
        <x:f>IF(AND(ISNUMBER(F28),ISNUMBER(C28),C28&gt;0,E28&gt;0),ROUNDDOWN(F28/C28/E28,0)*E28,"n.a.")</x:f>
        <x:v>186</x:v>
      </x:c>
      <x:c r="I28" s="33" t="n">
        <x:f>IF(AND(ISNUMBER(H28),ISNUMBER(Batches!F12),Batches!F12&gt;=0,Batches!F12&lt;=1),ROUNDDOWN(H28*Batches!F12/E28,0)*E28,"n.a.")</x:f>
        <x:v>186</x:v>
      </x:c>
      <x:c r="J28" s="12" t="n">
        <x:f>IF(AND(ISNUMBER(I28),ISNUMBER(D28)),I28*D28,"n.a.")</x:f>
        <x:v>27900</x:v>
      </x:c>
      <x:c r="K28" s="12" t="n">
        <x:f>IF(AND(ISNUMBER(I28),I28&gt;0),G28/I28,"n.a.")</x:f>
        <x:v>66.8486747783437</x:v>
      </x:c>
      <x:c r="L28" s="12" t="n">
        <x:f>IF(ISNUMBER(J28),J28-G28,"n.a.")</x:f>
        <x:v>15466.14649122807</x:v>
      </x:c>
      <x:c r="M28" s="35" t="n">
        <x:f>IF(AND(ISNUMBER(J28),J28&gt;0),L28/J28,"n.a.")</x:f>
        <x:v>0.5543421681443753</x:v>
      </x:c>
      <x:c r="N28" s="29" t="n">
        <x:f>IF(AND(ISNUMBER(D28),D28&gt;0),ROUNDUP(G28/(D28*E28),0)*E28,"n.a.")</x:f>
        <x:v>83</x:v>
      </x:c>
      <x:c r="O28" s="35" t="n">
        <x:f>IF(AND(ISNUMBER(H28),H28&gt;0,ISNUMBER(N28)),N28/H28,"n.a.")</x:f>
        <x:v>0.44623655913978494</x:v>
      </x:c>
      <x:c r="P28" s="33" t="n">
        <x:f>Batches!D12</x:f>
        <x:v>0</x:v>
      </x:c>
      <x:c r="Q28" s="37" t="str">
        <x:f>IF(AND(P28=0,ISNUMBER(J28),COUNT(Batches!G12:K12)=5),J28-G28-H28*Batches!G12-Batches!M12,"n.a.")</x:f>
        <x:v>n.a.</x:v>
      </x:c>
      <x:c r="R28" s="12" t="str">
        <x:f>IF(P28&gt;0,"Partial ingredient costs",IF(ISNUMBER(Q28),"Modeled operating profit","Other operating costs missing"))</x:f>
        <x:v>Other operating costs missing</x:v>
      </x:c>
      <x:c r="S28" s="12" t="str">
        <x:v>'buns new look'!F27,J27</x:v>
      </x:c>
    </x:row>
    <x:row r="29" ht="28" customHeight="1">
      <x:c r="A29" s="2" t="str">
        <x:v>buns new look</x:v>
      </x:c>
      <x:c r="B29" s="11" t="str">
        <x:v>Manual offer; confirm</x:v>
      </x:c>
      <x:c r="C29" s="13" t="n">
        <x:v>130</x:v>
      </x:c>
      <x:c r="D29" s="13" t="n">
        <x:v>150</x:v>
      </x:c>
      <x:c r="E29" s="13" t="n">
        <x:v>1</x:v>
      </x:c>
      <x:c r="F29" s="20" t="n">
        <x:f>Batches!L12</x:f>
        <x:v>24750</x:v>
      </x:c>
      <x:c r="G29" s="20" t="n">
        <x:f>Batches!C12</x:f>
        <x:v>12433.85350877193</x:v>
      </x:c>
      <x:c r="H29" s="28" t="n">
        <x:f>IF(AND(ISNUMBER(F29),ISNUMBER(C29),C29&gt;0,E29&gt;0),ROUNDDOWN(F29/C29/E29,0)*E29,"n.a.")</x:f>
        <x:v>190</x:v>
      </x:c>
      <x:c r="I29" s="32" t="n">
        <x:f>IF(AND(ISNUMBER(H29),ISNUMBER(Batches!F12),Batches!F12&gt;=0,Batches!F12&lt;=1),ROUNDDOWN(H29*Batches!F12/E29,0)*E29,"n.a.")</x:f>
        <x:v>190</x:v>
      </x:c>
      <x:c r="J29" s="11" t="n">
        <x:f>IF(AND(ISNUMBER(I29),ISNUMBER(D29)),I29*D29,"n.a.")</x:f>
        <x:v>28500</x:v>
      </x:c>
      <x:c r="K29" s="11" t="n">
        <x:f>IF(AND(ISNUMBER(I29),I29&gt;0),G29/I29,"n.a.")</x:f>
        <x:v>65.44133425669438</x:v>
      </x:c>
      <x:c r="L29" s="11" t="n">
        <x:f>IF(ISNUMBER(J29),J29-G29,"n.a.")</x:f>
        <x:v>16066.14649122807</x:v>
      </x:c>
      <x:c r="M29" s="34" t="n">
        <x:f>IF(AND(ISNUMBER(J29),J29&gt;0),L29/J29,"n.a.")</x:f>
        <x:v>0.5637244382887042</x:v>
      </x:c>
      <x:c r="N29" s="28" t="n">
        <x:f>IF(AND(ISNUMBER(D29),D29&gt;0),ROUNDUP(G29/(D29*E29),0)*E29,"n.a.")</x:f>
        <x:v>83</x:v>
      </x:c>
      <x:c r="O29" s="34" t="n">
        <x:f>IF(AND(ISNUMBER(H29),H29&gt;0,ISNUMBER(N29)),N29/H29,"n.a.")</x:f>
        <x:v>0.4368421052631579</x:v>
      </x:c>
      <x:c r="P29" s="32" t="n">
        <x:f>Batches!D12</x:f>
        <x:v>0</x:v>
      </x:c>
      <x:c r="Q29" s="36" t="str">
        <x:f>IF(AND(P29=0,ISNUMBER(J29),COUNT(Batches!G12:K12)=5),J29-G29-H29*Batches!G12-Batches!M12,"n.a.")</x:f>
        <x:v>n.a.</x:v>
      </x:c>
      <x:c r="R29" s="11" t="str">
        <x:f>IF(P29&gt;0,"Partial ingredient costs",IF(ISNUMBER(Q29),"Modeled operating profit","Other operating costs missing"))</x:f>
        <x:v>Other operating costs missing</x:v>
      </x:c>
      <x:c r="S29" s="11" t="str">
        <x:v>'buns new look'!F28,J28</x:v>
      </x:c>
    </x:row>
    <x:row r="30" ht="28" customHeight="1">
      <x:c r="A30" s="10" t="str">
        <x:v>Donuts</x:v>
      </x:c>
      <x:c r="B30" s="12" t="str">
        <x:v>Main offer</x:v>
      </x:c>
      <x:c r="C30" s="14" t="n">
        <x:v>40</x:v>
      </x:c>
      <x:c r="D30" s="14" t="n">
        <x:v>50</x:v>
      </x:c>
      <x:c r="E30" s="14" t="n">
        <x:v>1</x:v>
      </x:c>
      <x:c r="F30" s="21" t="n">
        <x:f>Batches!L13</x:f>
        <x:v>22450</x:v>
      </x:c>
      <x:c r="G30" s="21" t="n">
        <x:f>Batches!C13</x:f>
        <x:v>14597.735</x:v>
      </x:c>
      <x:c r="H30" s="29" t="n">
        <x:f>IF(AND(ISNUMBER(F30),ISNUMBER(C30),C30&gt;0,E30&gt;0),ROUNDDOWN(F30/C30/E30,0)*E30,"n.a.")</x:f>
        <x:v>561</x:v>
      </x:c>
      <x:c r="I30" s="33" t="n">
        <x:f>IF(AND(ISNUMBER(H30),ISNUMBER(Batches!F13),Batches!F13&gt;=0,Batches!F13&lt;=1),ROUNDDOWN(H30*Batches!F13/E30,0)*E30,"n.a.")</x:f>
        <x:v>561</x:v>
      </x:c>
      <x:c r="J30" s="12" t="n">
        <x:f>IF(AND(ISNUMBER(I30),ISNUMBER(D30)),I30*D30,"n.a.")</x:f>
        <x:v>28050</x:v>
      </x:c>
      <x:c r="K30" s="12" t="n">
        <x:f>IF(AND(ISNUMBER(I30),I30&gt;0),G30/I30,"n.a.")</x:f>
        <x:v>26.020918003565065</x:v>
      </x:c>
      <x:c r="L30" s="12" t="n">
        <x:f>IF(ISNUMBER(J30),J30-G30,"n.a.")</x:f>
        <x:v>13452.265</x:v>
      </x:c>
      <x:c r="M30" s="35" t="n">
        <x:f>IF(AND(ISNUMBER(J30),J30&gt;0),L30/J30,"n.a.")</x:f>
        <x:v>0.47958163992869873</x:v>
      </x:c>
      <x:c r="N30" s="29" t="n">
        <x:f>IF(AND(ISNUMBER(D30),D30&gt;0),ROUNDUP(G30/(D30*E30),0)*E30,"n.a.")</x:f>
        <x:v>292</x:v>
      </x:c>
      <x:c r="O30" s="35" t="n">
        <x:f>IF(AND(ISNUMBER(H30),H30&gt;0,ISNUMBER(N30)),N30/H30,"n.a.")</x:f>
        <x:v>0.5204991087344029</x:v>
      </x:c>
      <x:c r="P30" s="33" t="n">
        <x:f>Batches!D13</x:f>
        <x:v>0</x:v>
      </x:c>
      <x:c r="Q30" s="37" t="str">
        <x:f>IF(AND(P30=0,ISNUMBER(J30),COUNT(Batches!G13:K13)=5),J30-G30-H30*Batches!G13-Batches!M13,"n.a.")</x:f>
        <x:v>n.a.</x:v>
      </x:c>
      <x:c r="R30" s="12" t="str">
        <x:f>IF(P30&gt;0,"Partial ingredient costs",IF(ISNUMBER(Q30),"Modeled operating profit","Other operating costs missing"))</x:f>
        <x:v>Other operating costs missing</x:v>
      </x:c>
      <x:c r="S30" s="12" t="str">
        <x:v>'Donuts'!B18:C18</x:v>
      </x:c>
    </x:row>
    <x:row r="31" ht="28" customHeight="1">
      <x:c r="A31" s="2" t="str">
        <x:v>Donuts</x:v>
      </x:c>
      <x:c r="B31" s="11" t="str">
        <x:v>Main offer</x:v>
      </x:c>
      <x:c r="C31" s="13" t="n">
        <x:v>22</x:v>
      </x:c>
      <x:c r="D31" s="13" t="n">
        <x:v>50</x:v>
      </x:c>
      <x:c r="E31" s="13" t="n">
        <x:v>1</x:v>
      </x:c>
      <x:c r="F31" s="20" t="n">
        <x:f>Batches!L13</x:f>
        <x:v>22450</x:v>
      </x:c>
      <x:c r="G31" s="20" t="n">
        <x:f>Batches!C13</x:f>
        <x:v>14597.735</x:v>
      </x:c>
      <x:c r="H31" s="28" t="n">
        <x:f>IF(AND(ISNUMBER(F31),ISNUMBER(C31),C31&gt;0,E31&gt;0),ROUNDDOWN(F31/C31/E31,0)*E31,"n.a.")</x:f>
        <x:v>1020</x:v>
      </x:c>
      <x:c r="I31" s="32" t="n">
        <x:f>IF(AND(ISNUMBER(H31),ISNUMBER(Batches!F13),Batches!F13&gt;=0,Batches!F13&lt;=1),ROUNDDOWN(H31*Batches!F13/E31,0)*E31,"n.a.")</x:f>
        <x:v>1020</x:v>
      </x:c>
      <x:c r="J31" s="11" t="n">
        <x:f>IF(AND(ISNUMBER(I31),ISNUMBER(D31)),I31*D31,"n.a.")</x:f>
        <x:v>51000</x:v>
      </x:c>
      <x:c r="K31" s="11" t="n">
        <x:f>IF(AND(ISNUMBER(I31),I31&gt;0),G31/I31,"n.a.")</x:f>
        <x:v>14.311504901960785</x:v>
      </x:c>
      <x:c r="L31" s="11" t="n">
        <x:f>IF(ISNUMBER(J31),J31-G31,"n.a.")</x:f>
        <x:v>36402.265</x:v>
      </x:c>
      <x:c r="M31" s="34" t="n">
        <x:f>IF(AND(ISNUMBER(J31),J31&gt;0),L31/J31,"n.a.")</x:f>
        <x:v>0.7137699019607843</x:v>
      </x:c>
      <x:c r="N31" s="28" t="n">
        <x:f>IF(AND(ISNUMBER(D31),D31&gt;0),ROUNDUP(G31/(D31*E31),0)*E31,"n.a.")</x:f>
        <x:v>292</x:v>
      </x:c>
      <x:c r="O31" s="34" t="n">
        <x:f>IF(AND(ISNUMBER(H31),H31&gt;0,ISNUMBER(N31)),N31/H31,"n.a.")</x:f>
        <x:v>0.28627450980392155</x:v>
      </x:c>
      <x:c r="P31" s="32" t="n">
        <x:f>Batches!D13</x:f>
        <x:v>0</x:v>
      </x:c>
      <x:c r="Q31" s="36" t="str">
        <x:f>IF(AND(P31=0,ISNUMBER(J31),COUNT(Batches!G13:K13)=5),J31-G31-H31*Batches!G13-Batches!M13,"n.a.")</x:f>
        <x:v>n.a.</x:v>
      </x:c>
      <x:c r="R31" s="11" t="str">
        <x:f>IF(P31&gt;0,"Partial ingredient costs",IF(ISNUMBER(Q31),"Modeled operating profit","Other operating costs missing"))</x:f>
        <x:v>Other operating costs missing</x:v>
      </x:c>
      <x:c r="S31" s="11" t="str">
        <x:v>'Donuts'!B19:C19</x:v>
      </x:c>
    </x:row>
    <x:row r="32" ht="28" customHeight="1">
      <x:c r="A32" s="10" t="str">
        <x:v>Donuts</x:v>
      </x:c>
      <x:c r="B32" s="12" t="str">
        <x:v>Main offer</x:v>
      </x:c>
      <x:c r="C32" s="14" t="n">
        <x:v>150</x:v>
      </x:c>
      <x:c r="D32" s="14" t="n">
        <x:v>500</x:v>
      </x:c>
      <x:c r="E32" s="14" t="n">
        <x:v>1</x:v>
      </x:c>
      <x:c r="F32" s="21" t="n">
        <x:f>Batches!L13</x:f>
        <x:v>22450</x:v>
      </x:c>
      <x:c r="G32" s="21" t="n">
        <x:f>Batches!C13</x:f>
        <x:v>14597.735</x:v>
      </x:c>
      <x:c r="H32" s="29" t="n">
        <x:f>IF(AND(ISNUMBER(F32),ISNUMBER(C32),C32&gt;0,E32&gt;0),ROUNDDOWN(F32/C32/E32,0)*E32,"n.a.")</x:f>
        <x:v>149</x:v>
      </x:c>
      <x:c r="I32" s="33" t="n">
        <x:f>IF(AND(ISNUMBER(H32),ISNUMBER(Batches!F13),Batches!F13&gt;=0,Batches!F13&lt;=1),ROUNDDOWN(H32*Batches!F13/E32,0)*E32,"n.a.")</x:f>
        <x:v>149</x:v>
      </x:c>
      <x:c r="J32" s="12" t="n">
        <x:f>IF(AND(ISNUMBER(I32),ISNUMBER(D32)),I32*D32,"n.a.")</x:f>
        <x:v>74500</x:v>
      </x:c>
      <x:c r="K32" s="12" t="n">
        <x:f>IF(AND(ISNUMBER(I32),I32&gt;0),G32/I32,"n.a.")</x:f>
        <x:v>97.97137583892618</x:v>
      </x:c>
      <x:c r="L32" s="12" t="n">
        <x:f>IF(ISNUMBER(J32),J32-G32,"n.a.")</x:f>
        <x:v>59902.265</x:v>
      </x:c>
      <x:c r="M32" s="35" t="n">
        <x:f>IF(AND(ISNUMBER(J32),J32&gt;0),L32/J32,"n.a.")</x:f>
        <x:v>0.8040572483221476</x:v>
      </x:c>
      <x:c r="N32" s="29" t="n">
        <x:f>IF(AND(ISNUMBER(D32),D32&gt;0),ROUNDUP(G32/(D32*E32),0)*E32,"n.a.")</x:f>
        <x:v>30</x:v>
      </x:c>
      <x:c r="O32" s="35" t="n">
        <x:f>IF(AND(ISNUMBER(H32),H32&gt;0,ISNUMBER(N32)),N32/H32,"n.a.")</x:f>
        <x:v>0.20134228187919462</x:v>
      </x:c>
      <x:c r="P32" s="33" t="n">
        <x:f>Batches!D13</x:f>
        <x:v>0</x:v>
      </x:c>
      <x:c r="Q32" s="37" t="str">
        <x:f>IF(AND(P32=0,ISNUMBER(J32),COUNT(Batches!G13:K13)=5),J32-G32-H32*Batches!G13-Batches!M13,"n.a.")</x:f>
        <x:v>n.a.</x:v>
      </x:c>
      <x:c r="R32" s="12" t="str">
        <x:f>IF(P32&gt;0,"Partial ingredient costs",IF(ISNUMBER(Q32),"Modeled operating profit","Other operating costs missing"))</x:f>
        <x:v>Other operating costs missing</x:v>
      </x:c>
      <x:c r="S32" s="12" t="str">
        <x:v>'Donuts'!B20:C20</x:v>
      </x:c>
    </x:row>
    <x:row r="33" ht="28" customHeight="1">
      <x:c r="A33" s="2" t="str">
        <x:v>Donuts</x:v>
      </x:c>
      <x:c r="B33" s="11" t="str">
        <x:v>Manual offer; confirm</x:v>
      </x:c>
      <x:c r="C33" s="13" t="n">
        <x:v>60</x:v>
      </x:c>
      <x:c r="D33" s="13" t="n">
        <x:v>100</x:v>
      </x:c>
      <x:c r="E33" s="13" t="n">
        <x:v>1</x:v>
      </x:c>
      <x:c r="F33" s="20" t="n">
        <x:f>Batches!L13</x:f>
        <x:v>22450</x:v>
      </x:c>
      <x:c r="G33" s="20" t="n">
        <x:f>Batches!C13</x:f>
        <x:v>14597.735</x:v>
      </x:c>
      <x:c r="H33" s="28" t="n">
        <x:f>IF(AND(ISNUMBER(F33),ISNUMBER(C33),C33&gt;0,E33&gt;0),ROUNDDOWN(F33/C33/E33,0)*E33,"n.a.")</x:f>
        <x:v>374</x:v>
      </x:c>
      <x:c r="I33" s="32" t="n">
        <x:f>IF(AND(ISNUMBER(H33),ISNUMBER(Batches!F13),Batches!F13&gt;=0,Batches!F13&lt;=1),ROUNDDOWN(H33*Batches!F13/E33,0)*E33,"n.a.")</x:f>
        <x:v>374</x:v>
      </x:c>
      <x:c r="J33" s="11" t="n">
        <x:f>IF(AND(ISNUMBER(I33),ISNUMBER(D33)),I33*D33,"n.a.")</x:f>
        <x:v>37400</x:v>
      </x:c>
      <x:c r="K33" s="11" t="n">
        <x:f>IF(AND(ISNUMBER(I33),I33&gt;0),G33/I33,"n.a.")</x:f>
        <x:v>39.03137700534759</x:v>
      </x:c>
      <x:c r="L33" s="11" t="n">
        <x:f>IF(ISNUMBER(J33),J33-G33,"n.a.")</x:f>
        <x:v>22802.265</x:v>
      </x:c>
      <x:c r="M33" s="34" t="n">
        <x:f>IF(AND(ISNUMBER(J33),J33&gt;0),L33/J33,"n.a.")</x:f>
        <x:v>0.609686229946524</x:v>
      </x:c>
      <x:c r="N33" s="28" t="n">
        <x:f>IF(AND(ISNUMBER(D33),D33&gt;0),ROUNDUP(G33/(D33*E33),0)*E33,"n.a.")</x:f>
        <x:v>146</x:v>
      </x:c>
      <x:c r="O33" s="34" t="n">
        <x:f>IF(AND(ISNUMBER(H33),H33&gt;0,ISNUMBER(N33)),N33/H33,"n.a.")</x:f>
        <x:v>0.39037433155080214</x:v>
      </x:c>
      <x:c r="P33" s="32" t="n">
        <x:f>Batches!D13</x:f>
        <x:v>0</x:v>
      </x:c>
      <x:c r="Q33" s="36" t="str">
        <x:f>IF(AND(P33=0,ISNUMBER(J33),COUNT(Batches!G13:K13)=5),J33-G33-H33*Batches!G13-Batches!M13,"n.a.")</x:f>
        <x:v>n.a.</x:v>
      </x:c>
      <x:c r="R33" s="11" t="str">
        <x:f>IF(P33&gt;0,"Partial ingredient costs",IF(ISNUMBER(Q33),"Modeled operating profit","Other operating costs missing"))</x:f>
        <x:v>Other operating costs missing</x:v>
      </x:c>
      <x:c r="S33" s="11" t="str">
        <x:v>'Donuts'!C24,D24</x:v>
      </x:c>
    </x:row>
    <x:row r="34" ht="28" customHeight="1">
      <x:c r="A34" s="10" t="str">
        <x:v>Donuts</x:v>
      </x:c>
      <x:c r="B34" s="12" t="str">
        <x:v>Manual offer; confirm</x:v>
      </x:c>
      <x:c r="C34" s="14" t="n">
        <x:v>230</x:v>
      </x:c>
      <x:c r="D34" s="14" t="n">
        <x:v>500</x:v>
      </x:c>
      <x:c r="E34" s="14" t="n">
        <x:v>1</x:v>
      </x:c>
      <x:c r="F34" s="21" t="n">
        <x:f>Batches!L13</x:f>
        <x:v>22450</x:v>
      </x:c>
      <x:c r="G34" s="21" t="n">
        <x:f>Batches!C13</x:f>
        <x:v>14597.735</x:v>
      </x:c>
      <x:c r="H34" s="29" t="n">
        <x:f>IF(AND(ISNUMBER(F34),ISNUMBER(C34),C34&gt;0,E34&gt;0),ROUNDDOWN(F34/C34/E34,0)*E34,"n.a.")</x:f>
        <x:v>97</x:v>
      </x:c>
      <x:c r="I34" s="33" t="n">
        <x:f>IF(AND(ISNUMBER(H34),ISNUMBER(Batches!F13),Batches!F13&gt;=0,Batches!F13&lt;=1),ROUNDDOWN(H34*Batches!F13/E34,0)*E34,"n.a.")</x:f>
        <x:v>97</x:v>
      </x:c>
      <x:c r="J34" s="12" t="n">
        <x:f>IF(AND(ISNUMBER(I34),ISNUMBER(D34)),I34*D34,"n.a.")</x:f>
        <x:v>48500</x:v>
      </x:c>
      <x:c r="K34" s="12" t="n">
        <x:f>IF(AND(ISNUMBER(I34),I34&gt;0),G34/I34,"n.a.")</x:f>
        <x:v>150.49211340206188</x:v>
      </x:c>
      <x:c r="L34" s="12" t="n">
        <x:f>IF(ISNUMBER(J34),J34-G34,"n.a.")</x:f>
        <x:v>33902.265</x:v>
      </x:c>
      <x:c r="M34" s="35" t="n">
        <x:f>IF(AND(ISNUMBER(J34),J34&gt;0),L34/J34,"n.a.")</x:f>
        <x:v>0.6990157731958763</x:v>
      </x:c>
      <x:c r="N34" s="29" t="n">
        <x:f>IF(AND(ISNUMBER(D34),D34&gt;0),ROUNDUP(G34/(D34*E34),0)*E34,"n.a.")</x:f>
        <x:v>30</x:v>
      </x:c>
      <x:c r="O34" s="35" t="n">
        <x:f>IF(AND(ISNUMBER(H34),H34&gt;0,ISNUMBER(N34)),N34/H34,"n.a.")</x:f>
        <x:v>0.30927835051546393</x:v>
      </x:c>
      <x:c r="P34" s="33" t="n">
        <x:f>Batches!D13</x:f>
        <x:v>0</x:v>
      </x:c>
      <x:c r="Q34" s="37" t="str">
        <x:f>IF(AND(P34=0,ISNUMBER(J34),COUNT(Batches!G13:K13)=5),J34-G34-H34*Batches!G13-Batches!M13,"n.a.")</x:f>
        <x:v>n.a.</x:v>
      </x:c>
      <x:c r="R34" s="12" t="str">
        <x:f>IF(P34&gt;0,"Partial ingredient costs",IF(ISNUMBER(Q34),"Modeled operating profit","Other operating costs missing"))</x:f>
        <x:v>Other operating costs missing</x:v>
      </x:c>
      <x:c r="S34" s="12" t="str">
        <x:v>'Donuts'!C25,D25</x:v>
      </x:c>
    </x:row>
    <x:row r="35" ht="28" customHeight="1">
      <x:c r="A35" s="2" t="str">
        <x:v>Donuts</x:v>
      </x:c>
      <x:c r="B35" s="11" t="str">
        <x:v>12-piece wholesale pack</x:v>
      </x:c>
      <x:c r="C35" s="13" t="n">
        <x:v>40</x:v>
      </x:c>
      <x:c r="D35" s="13" t="n">
        <x:v>41.666666666666664</x:v>
      </x:c>
      <x:c r="E35" s="13" t="n">
        <x:v>12</x:v>
      </x:c>
      <x:c r="F35" s="20" t="n">
        <x:f>Batches!L13</x:f>
        <x:v>22450</x:v>
      </x:c>
      <x:c r="G35" s="20" t="n">
        <x:f>Batches!C13</x:f>
        <x:v>14597.735</x:v>
      </x:c>
      <x:c r="H35" s="28" t="n">
        <x:f>IF(AND(ISNUMBER(F35),ISNUMBER(C35),C35&gt;0,E35&gt;0),ROUNDDOWN(F35/C35/E35,0)*E35,"n.a.")</x:f>
        <x:v>552</x:v>
      </x:c>
      <x:c r="I35" s="32" t="n">
        <x:f>IF(AND(ISNUMBER(H35),ISNUMBER(Batches!F13),Batches!F13&gt;=0,Batches!F13&lt;=1),ROUNDDOWN(H35*Batches!F13/E35,0)*E35,"n.a.")</x:f>
        <x:v>552</x:v>
      </x:c>
      <x:c r="J35" s="11" t="n">
        <x:f>IF(AND(ISNUMBER(I35),ISNUMBER(D35)),I35*D35,"n.a.")</x:f>
        <x:v>23000</x:v>
      </x:c>
      <x:c r="K35" s="11" t="n">
        <x:f>IF(AND(ISNUMBER(I35),I35&gt;0),G35/I35,"n.a.")</x:f>
        <x:v>26.445172101449277</x:v>
      </x:c>
      <x:c r="L35" s="11" t="n">
        <x:f>IF(ISNUMBER(J35),J35-G35,"n.a.")</x:f>
        <x:v>8402.265</x:v>
      </x:c>
      <x:c r="M35" s="34" t="n">
        <x:f>IF(AND(ISNUMBER(J35),J35&gt;0),L35/J35,"n.a.")</x:f>
        <x:v>0.3653158695652174</x:v>
      </x:c>
      <x:c r="N35" s="28" t="n">
        <x:f>IF(AND(ISNUMBER(D35),D35&gt;0),ROUNDUP(G35/(D35*E35),0)*E35,"n.a.")</x:f>
        <x:v>360</x:v>
      </x:c>
      <x:c r="O35" s="34" t="n">
        <x:f>IF(AND(ISNUMBER(H35),H35&gt;0,ISNUMBER(N35)),N35/H35,"n.a.")</x:f>
        <x:v>0.6521739130434783</x:v>
      </x:c>
      <x:c r="P35" s="32" t="n">
        <x:f>Batches!D13</x:f>
        <x:v>0</x:v>
      </x:c>
      <x:c r="Q35" s="36" t="str">
        <x:f>IF(AND(P35=0,ISNUMBER(J35),COUNT(Batches!G13:K13)=5),J35-G35-H35*Batches!G13-Batches!M13,"n.a.")</x:f>
        <x:v>n.a.</x:v>
      </x:c>
      <x:c r="R35" s="11" t="str">
        <x:f>IF(P35&gt;0,"Partial ingredient costs",IF(ISNUMBER(Q35),"Modeled operating profit","Other operating costs missing"))</x:f>
        <x:v>Other operating costs missing</x:v>
      </x:c>
      <x:c r="S35" s="11" t="str">
        <x:v>'Donuts'!H18</x:v>
      </x:c>
    </x:row>
    <x:row r="36" ht="28" customHeight="1">
      <x:c r="A36" s="10" t="str">
        <x:v>Donuts</x:v>
      </x:c>
      <x:c r="B36" s="12" t="str">
        <x:v>12-piece wholesale pack</x:v>
      </x:c>
      <x:c r="C36" s="14" t="n">
        <x:v>22</x:v>
      </x:c>
      <x:c r="D36" s="14" t="n">
        <x:v>41.666666666666664</x:v>
      </x:c>
      <x:c r="E36" s="14" t="n">
        <x:v>12</x:v>
      </x:c>
      <x:c r="F36" s="21" t="n">
        <x:f>Batches!L13</x:f>
        <x:v>22450</x:v>
      </x:c>
      <x:c r="G36" s="21" t="n">
        <x:f>Batches!C13</x:f>
        <x:v>14597.735</x:v>
      </x:c>
      <x:c r="H36" s="29" t="n">
        <x:f>IF(AND(ISNUMBER(F36),ISNUMBER(C36),C36&gt;0,E36&gt;0),ROUNDDOWN(F36/C36/E36,0)*E36,"n.a.")</x:f>
        <x:v>1020</x:v>
      </x:c>
      <x:c r="I36" s="33" t="n">
        <x:f>IF(AND(ISNUMBER(H36),ISNUMBER(Batches!F13),Batches!F13&gt;=0,Batches!F13&lt;=1),ROUNDDOWN(H36*Batches!F13/E36,0)*E36,"n.a.")</x:f>
        <x:v>1020</x:v>
      </x:c>
      <x:c r="J36" s="12" t="n">
        <x:f>IF(AND(ISNUMBER(I36),ISNUMBER(D36)),I36*D36,"n.a.")</x:f>
        <x:v>42500</x:v>
      </x:c>
      <x:c r="K36" s="12" t="n">
        <x:f>IF(AND(ISNUMBER(I36),I36&gt;0),G36/I36,"n.a.")</x:f>
        <x:v>14.311504901960785</x:v>
      </x:c>
      <x:c r="L36" s="12" t="n">
        <x:f>IF(ISNUMBER(J36),J36-G36,"n.a.")</x:f>
        <x:v>27902.265</x:v>
      </x:c>
      <x:c r="M36" s="35" t="n">
        <x:f>IF(AND(ISNUMBER(J36),J36&gt;0),L36/J36,"n.a.")</x:f>
        <x:v>0.6565238823529411</x:v>
      </x:c>
      <x:c r="N36" s="29" t="n">
        <x:f>IF(AND(ISNUMBER(D36),D36&gt;0),ROUNDUP(G36/(D36*E36),0)*E36,"n.a.")</x:f>
        <x:v>360</x:v>
      </x:c>
      <x:c r="O36" s="35" t="n">
        <x:f>IF(AND(ISNUMBER(H36),H36&gt;0,ISNUMBER(N36)),N36/H36,"n.a.")</x:f>
        <x:v>0.35294117647058826</x:v>
      </x:c>
      <x:c r="P36" s="33" t="n">
        <x:f>Batches!D13</x:f>
        <x:v>0</x:v>
      </x:c>
      <x:c r="Q36" s="37" t="str">
        <x:f>IF(AND(P36=0,ISNUMBER(J36),COUNT(Batches!G13:K13)=5),J36-G36-H36*Batches!G13-Batches!M13,"n.a.")</x:f>
        <x:v>n.a.</x:v>
      </x:c>
      <x:c r="R36" s="12" t="str">
        <x:f>IF(P36&gt;0,"Partial ingredient costs",IF(ISNUMBER(Q36),"Modeled operating profit","Other operating costs missing"))</x:f>
        <x:v>Other operating costs missing</x:v>
      </x:c>
      <x:c r="S36" s="12" t="str">
        <x:v>'Donuts'!I19</x:v>
      </x:c>
    </x:row>
    <x:row r="37" ht="28" customHeight="1">
      <x:c r="A37" s="2" t="str">
        <x:v>Fish Pie</x:v>
      </x:c>
      <x:c r="B37" s="11" t="str">
        <x:v>Main offer</x:v>
      </x:c>
      <x:c r="C37" s="13" t="n">
        <x:v>85</x:v>
      </x:c>
      <x:c r="D37" s="13" t="n">
        <x:v>100</x:v>
      </x:c>
      <x:c r="E37" s="13" t="n">
        <x:v>1</x:v>
      </x:c>
      <x:c r="F37" s="20" t="n">
        <x:f>Batches!L14</x:f>
        <x:v>5700</x:v>
      </x:c>
      <x:c r="G37" s="20" t="n">
        <x:f>Batches!C14</x:f>
        <x:v>4186.646616541353</x:v>
      </x:c>
      <x:c r="H37" s="28" t="n">
        <x:f>IF(AND(ISNUMBER(F37),ISNUMBER(C37),C37&gt;0,E37&gt;0),ROUNDDOWN(F37/C37/E37,0)*E37,"n.a.")</x:f>
        <x:v>67</x:v>
      </x:c>
      <x:c r="I37" s="32" t="n">
        <x:f>IF(AND(ISNUMBER(H37),ISNUMBER(Batches!F14),Batches!F14&gt;=0,Batches!F14&lt;=1),ROUNDDOWN(H37*Batches!F14/E37,0)*E37,"n.a.")</x:f>
        <x:v>67</x:v>
      </x:c>
      <x:c r="J37" s="11" t="n">
        <x:f>IF(AND(ISNUMBER(I37),ISNUMBER(D37)),I37*D37,"n.a.")</x:f>
        <x:v>6700</x:v>
      </x:c>
      <x:c r="K37" s="11" t="n">
        <x:f>IF(AND(ISNUMBER(I37),I37&gt;0),G37/I37,"n.a.")</x:f>
        <x:v>62.48726293345303</x:v>
      </x:c>
      <x:c r="L37" s="11" t="n">
        <x:f>IF(ISNUMBER(J37),J37-G37,"n.a.")</x:f>
        <x:v>2513.353383458647</x:v>
      </x:c>
      <x:c r="M37" s="34" t="n">
        <x:f>IF(AND(ISNUMBER(J37),J37&gt;0),L37/J37,"n.a.")</x:f>
        <x:v>0.3751273706654697</x:v>
      </x:c>
      <x:c r="N37" s="28" t="n">
        <x:f>IF(AND(ISNUMBER(D37),D37&gt;0),ROUNDUP(G37/(D37*E37),0)*E37,"n.a.")</x:f>
        <x:v>42</x:v>
      </x:c>
      <x:c r="O37" s="34" t="n">
        <x:f>IF(AND(ISNUMBER(H37),H37&gt;0,ISNUMBER(N37)),N37/H37,"n.a.")</x:f>
        <x:v>0.6268656716417911</x:v>
      </x:c>
      <x:c r="P37" s="32" t="n">
        <x:f>Batches!D14</x:f>
        <x:v>1</x:v>
      </x:c>
      <x:c r="Q37" s="36" t="str">
        <x:f>IF(AND(P37=0,ISNUMBER(J37),COUNT(Batches!G14:K14)=5),J37-G37-H37*Batches!G14-Batches!M14,"n.a.")</x:f>
        <x:v>n.a.</x:v>
      </x:c>
      <x:c r="R37" s="11" t="str">
        <x:f>IF(P37&gt;0,"Partial ingredient costs",IF(ISNUMBER(Q37),"Modeled operating profit","Other operating costs missing"))</x:f>
        <x:v>Partial ingredient costs</x:v>
      </x:c>
      <x:c r="S37" s="11" t="str">
        <x:v>'Fish Pie'!B22:C22</x:v>
      </x:c>
    </x:row>
    <x:row r="38" ht="28" customHeight="1">
      <x:c r="A38" s="10" t="str">
        <x:v>Fish Pie</x:v>
      </x:c>
      <x:c r="B38" s="12" t="str">
        <x:v>Main offer</x:v>
      </x:c>
      <x:c r="C38" s="14" t="n">
        <x:v>65</x:v>
      </x:c>
      <x:c r="D38" s="14" t="n">
        <x:v>100</x:v>
      </x:c>
      <x:c r="E38" s="14" t="n">
        <x:v>1</x:v>
      </x:c>
      <x:c r="F38" s="21" t="n">
        <x:f>Batches!L14</x:f>
        <x:v>5700</x:v>
      </x:c>
      <x:c r="G38" s="21" t="n">
        <x:f>Batches!C14</x:f>
        <x:v>4186.646616541353</x:v>
      </x:c>
      <x:c r="H38" s="29" t="n">
        <x:f>IF(AND(ISNUMBER(F38),ISNUMBER(C38),C38&gt;0,E38&gt;0),ROUNDDOWN(F38/C38/E38,0)*E38,"n.a.")</x:f>
        <x:v>87</x:v>
      </x:c>
      <x:c r="I38" s="33" t="n">
        <x:f>IF(AND(ISNUMBER(H38),ISNUMBER(Batches!F14),Batches!F14&gt;=0,Batches!F14&lt;=1),ROUNDDOWN(H38*Batches!F14/E38,0)*E38,"n.a.")</x:f>
        <x:v>87</x:v>
      </x:c>
      <x:c r="J38" s="12" t="n">
        <x:f>IF(AND(ISNUMBER(I38),ISNUMBER(D38)),I38*D38,"n.a.")</x:f>
        <x:v>8700</x:v>
      </x:c>
      <x:c r="K38" s="12" t="n">
        <x:f>IF(AND(ISNUMBER(I38),I38&gt;0),G38/I38,"n.a.")</x:f>
        <x:v>48.122374902774176</x:v>
      </x:c>
      <x:c r="L38" s="12" t="n">
        <x:f>IF(ISNUMBER(J38),J38-G38,"n.a.")</x:f>
        <x:v>4513.353383458647</x:v>
      </x:c>
      <x:c r="M38" s="35" t="n">
        <x:f>IF(AND(ISNUMBER(J38),J38&gt;0),L38/J38,"n.a.")</x:f>
        <x:v>0.5187762509722582</x:v>
      </x:c>
      <x:c r="N38" s="29" t="n">
        <x:f>IF(AND(ISNUMBER(D38),D38&gt;0),ROUNDUP(G38/(D38*E38),0)*E38,"n.a.")</x:f>
        <x:v>42</x:v>
      </x:c>
      <x:c r="O38" s="35" t="n">
        <x:f>IF(AND(ISNUMBER(H38),H38&gt;0,ISNUMBER(N38)),N38/H38,"n.a.")</x:f>
        <x:v>0.4827586206896552</x:v>
      </x:c>
      <x:c r="P38" s="33" t="n">
        <x:f>Batches!D14</x:f>
        <x:v>1</x:v>
      </x:c>
      <x:c r="Q38" s="37" t="str">
        <x:f>IF(AND(P38=0,ISNUMBER(J38),COUNT(Batches!G14:K14)=5),J38-G38-H38*Batches!G14-Batches!M14,"n.a.")</x:f>
        <x:v>n.a.</x:v>
      </x:c>
      <x:c r="R38" s="12" t="str">
        <x:f>IF(P38&gt;0,"Partial ingredient costs",IF(ISNUMBER(Q38),"Modeled operating profit","Other operating costs missing"))</x:f>
        <x:v>Partial ingredient costs</x:v>
      </x:c>
      <x:c r="S38" s="12" t="str">
        <x:v>'Fish Pie'!B23:C23</x:v>
      </x:c>
    </x:row>
    <x:row r="39" ht="28" customHeight="1">
      <x:c r="A39" s="2" t="str">
        <x:v>Fish Pie</x:v>
      </x:c>
      <x:c r="B39" s="11" t="str">
        <x:v>Main offer</x:v>
      </x:c>
      <x:c r="C39" s="13" t="n">
        <x:v>150</x:v>
      </x:c>
      <x:c r="D39" s="13" t="n">
        <x:v>500</x:v>
      </x:c>
      <x:c r="E39" s="13" t="n">
        <x:v>1</x:v>
      </x:c>
      <x:c r="F39" s="20" t="n">
        <x:f>Batches!L14</x:f>
        <x:v>5700</x:v>
      </x:c>
      <x:c r="G39" s="20" t="n">
        <x:f>Batches!C14</x:f>
        <x:v>4186.646616541353</x:v>
      </x:c>
      <x:c r="H39" s="28" t="n">
        <x:f>IF(AND(ISNUMBER(F39),ISNUMBER(C39),C39&gt;0,E39&gt;0),ROUNDDOWN(F39/C39/E39,0)*E39,"n.a.")</x:f>
        <x:v>38</x:v>
      </x:c>
      <x:c r="I39" s="32" t="n">
        <x:f>IF(AND(ISNUMBER(H39),ISNUMBER(Batches!F14),Batches!F14&gt;=0,Batches!F14&lt;=1),ROUNDDOWN(H39*Batches!F14/E39,0)*E39,"n.a.")</x:f>
        <x:v>38</x:v>
      </x:c>
      <x:c r="J39" s="11" t="n">
        <x:f>IF(AND(ISNUMBER(I39),ISNUMBER(D39)),I39*D39,"n.a.")</x:f>
        <x:v>19000</x:v>
      </x:c>
      <x:c r="K39" s="11" t="n">
        <x:f>IF(AND(ISNUMBER(I39),I39&gt;0),G39/I39,"n.a.")</x:f>
        <x:v>110.17491096161456</x:v>
      </x:c>
      <x:c r="L39" s="11" t="n">
        <x:f>IF(ISNUMBER(J39),J39-G39,"n.a.")</x:f>
        <x:v>14813.353383458647</x:v>
      </x:c>
      <x:c r="M39" s="34" t="n">
        <x:f>IF(AND(ISNUMBER(J39),J39&gt;0),L39/J39,"n.a.")</x:f>
        <x:v>0.7796501780767708</x:v>
      </x:c>
      <x:c r="N39" s="28" t="n">
        <x:f>IF(AND(ISNUMBER(D39),D39&gt;0),ROUNDUP(G39/(D39*E39),0)*E39,"n.a.")</x:f>
        <x:v>9</x:v>
      </x:c>
      <x:c r="O39" s="34" t="n">
        <x:f>IF(AND(ISNUMBER(H39),H39&gt;0,ISNUMBER(N39)),N39/H39,"n.a.")</x:f>
        <x:v>0.23684210526315788</x:v>
      </x:c>
      <x:c r="P39" s="32" t="n">
        <x:f>Batches!D14</x:f>
        <x:v>1</x:v>
      </x:c>
      <x:c r="Q39" s="36" t="str">
        <x:f>IF(AND(P39=0,ISNUMBER(J39),COUNT(Batches!G14:K14)=5),J39-G39-H39*Batches!G14-Batches!M14,"n.a.")</x:f>
        <x:v>n.a.</x:v>
      </x:c>
      <x:c r="R39" s="11" t="str">
        <x:f>IF(P39&gt;0,"Partial ingredient costs",IF(ISNUMBER(Q39),"Modeled operating profit","Other operating costs missing"))</x:f>
        <x:v>Partial ingredient costs</x:v>
      </x:c>
      <x:c r="S39" s="11" t="str">
        <x:v>'Fish Pie'!B24:C24</x:v>
      </x:c>
    </x:row>
    <x:row r="40" ht="28" customHeight="1">
      <x:c r="A40" s="10" t="str">
        <x:v>Fish Pie</x:v>
      </x:c>
      <x:c r="B40" s="12" t="str">
        <x:v>Manual offer; confirm</x:v>
      </x:c>
      <x:c r="C40" s="14" t="n">
        <x:v>60</x:v>
      </x:c>
      <x:c r="D40" s="14" t="n">
        <x:v>100</x:v>
      </x:c>
      <x:c r="E40" s="14" t="n">
        <x:v>1</x:v>
      </x:c>
      <x:c r="F40" s="21" t="n">
        <x:f>Batches!L14</x:f>
        <x:v>5700</x:v>
      </x:c>
      <x:c r="G40" s="21" t="n">
        <x:f>Batches!C14</x:f>
        <x:v>4186.646616541353</x:v>
      </x:c>
      <x:c r="H40" s="29" t="n">
        <x:f>IF(AND(ISNUMBER(F40),ISNUMBER(C40),C40&gt;0,E40&gt;0),ROUNDDOWN(F40/C40/E40,0)*E40,"n.a.")</x:f>
        <x:v>95</x:v>
      </x:c>
      <x:c r="I40" s="33" t="n">
        <x:f>IF(AND(ISNUMBER(H40),ISNUMBER(Batches!F14),Batches!F14&gt;=0,Batches!F14&lt;=1),ROUNDDOWN(H40*Batches!F14/E40,0)*E40,"n.a.")</x:f>
        <x:v>95</x:v>
      </x:c>
      <x:c r="J40" s="12" t="n">
        <x:f>IF(AND(ISNUMBER(I40),ISNUMBER(D40)),I40*D40,"n.a.")</x:f>
        <x:v>9500</x:v>
      </x:c>
      <x:c r="K40" s="12" t="n">
        <x:f>IF(AND(ISNUMBER(I40),I40&gt;0),G40/I40,"n.a.")</x:f>
        <x:v>44.06996438464582</x:v>
      </x:c>
      <x:c r="L40" s="12" t="n">
        <x:f>IF(ISNUMBER(J40),J40-G40,"n.a.")</x:f>
        <x:v>5313.353383458647</x:v>
      </x:c>
      <x:c r="M40" s="35" t="n">
        <x:f>IF(AND(ISNUMBER(J40),J40&gt;0),L40/J40,"n.a.")</x:f>
        <x:v>0.5593003561535418</x:v>
      </x:c>
      <x:c r="N40" s="29" t="n">
        <x:f>IF(AND(ISNUMBER(D40),D40&gt;0),ROUNDUP(G40/(D40*E40),0)*E40,"n.a.")</x:f>
        <x:v>42</x:v>
      </x:c>
      <x:c r="O40" s="35" t="n">
        <x:f>IF(AND(ISNUMBER(H40),H40&gt;0,ISNUMBER(N40)),N40/H40,"n.a.")</x:f>
        <x:v>0.4421052631578947</x:v>
      </x:c>
      <x:c r="P40" s="33" t="n">
        <x:f>Batches!D14</x:f>
        <x:v>1</x:v>
      </x:c>
      <x:c r="Q40" s="37" t="str">
        <x:f>IF(AND(P40=0,ISNUMBER(J40),COUNT(Batches!G14:K14)=5),J40-G40-H40*Batches!G14-Batches!M14,"n.a.")</x:f>
        <x:v>n.a.</x:v>
      </x:c>
      <x:c r="R40" s="12" t="str">
        <x:f>IF(P40&gt;0,"Partial ingredient costs",IF(ISNUMBER(Q40),"Modeled operating profit","Other operating costs missing"))</x:f>
        <x:v>Partial ingredient costs</x:v>
      </x:c>
      <x:c r="S40" s="12" t="str">
        <x:v>'Fish Pie'!C28,D28</x:v>
      </x:c>
    </x:row>
    <x:row r="41" ht="28" customHeight="1">
      <x:c r="A41" s="2" t="str">
        <x:v>Fish Pie</x:v>
      </x:c>
      <x:c r="B41" s="11" t="str">
        <x:v>Manual offer; confirm</x:v>
      </x:c>
      <x:c r="C41" s="13" t="n">
        <x:v>230</x:v>
      </x:c>
      <x:c r="D41" s="13" t="n">
        <x:v>500</x:v>
      </x:c>
      <x:c r="E41" s="13" t="n">
        <x:v>1</x:v>
      </x:c>
      <x:c r="F41" s="20" t="n">
        <x:f>Batches!L14</x:f>
        <x:v>5700</x:v>
      </x:c>
      <x:c r="G41" s="20" t="n">
        <x:f>Batches!C14</x:f>
        <x:v>4186.646616541353</x:v>
      </x:c>
      <x:c r="H41" s="28" t="n">
        <x:f>IF(AND(ISNUMBER(F41),ISNUMBER(C41),C41&gt;0,E41&gt;0),ROUNDDOWN(F41/C41/E41,0)*E41,"n.a.")</x:f>
        <x:v>24</x:v>
      </x:c>
      <x:c r="I41" s="32" t="n">
        <x:f>IF(AND(ISNUMBER(H41),ISNUMBER(Batches!F14),Batches!F14&gt;=0,Batches!F14&lt;=1),ROUNDDOWN(H41*Batches!F14/E41,0)*E41,"n.a.")</x:f>
        <x:v>24</x:v>
      </x:c>
      <x:c r="J41" s="11" t="n">
        <x:f>IF(AND(ISNUMBER(I41),ISNUMBER(D41)),I41*D41,"n.a.")</x:f>
        <x:v>12000</x:v>
      </x:c>
      <x:c r="K41" s="11" t="n">
        <x:f>IF(AND(ISNUMBER(I41),I41&gt;0),G41/I41,"n.a.")</x:f>
        <x:v>174.4436090225564</x:v>
      </x:c>
      <x:c r="L41" s="11" t="n">
        <x:f>IF(ISNUMBER(J41),J41-G41,"n.a.")</x:f>
        <x:v>7813.353383458647</x:v>
      </x:c>
      <x:c r="M41" s="34" t="n">
        <x:f>IF(AND(ISNUMBER(J41),J41&gt;0),L41/J41,"n.a.")</x:f>
        <x:v>0.6511127819548872</x:v>
      </x:c>
      <x:c r="N41" s="28" t="n">
        <x:f>IF(AND(ISNUMBER(D41),D41&gt;0),ROUNDUP(G41/(D41*E41),0)*E41,"n.a.")</x:f>
        <x:v>9</x:v>
      </x:c>
      <x:c r="O41" s="34" t="n">
        <x:f>IF(AND(ISNUMBER(H41),H41&gt;0,ISNUMBER(N41)),N41/H41,"n.a.")</x:f>
        <x:v>0.375</x:v>
      </x:c>
      <x:c r="P41" s="32" t="n">
        <x:f>Batches!D14</x:f>
        <x:v>1</x:v>
      </x:c>
      <x:c r="Q41" s="36" t="str">
        <x:f>IF(AND(P41=0,ISNUMBER(J41),COUNT(Batches!G14:K14)=5),J41-G41-H41*Batches!G14-Batches!M14,"n.a.")</x:f>
        <x:v>n.a.</x:v>
      </x:c>
      <x:c r="R41" s="11" t="str">
        <x:f>IF(P41&gt;0,"Partial ingredient costs",IF(ISNUMBER(Q41),"Modeled operating profit","Other operating costs missing"))</x:f>
        <x:v>Partial ingredient costs</x:v>
      </x:c>
      <x:c r="S41" s="11" t="str">
        <x:v>'Fish Pie'!C29,D29</x:v>
      </x:c>
    </x:row>
    <x:row r="42" ht="28" customHeight="1">
      <x:c r="A42" s="10" t="str">
        <x:v>Fish Pie</x:v>
      </x:c>
      <x:c r="B42" s="12" t="str">
        <x:v>12-piece wholesale pack</x:v>
      </x:c>
      <x:c r="C42" s="14" t="n">
        <x:v>85</x:v>
      </x:c>
      <x:c r="D42" s="14" t="n">
        <x:v>83.33333333333333</x:v>
      </x:c>
      <x:c r="E42" s="14" t="n">
        <x:v>12</x:v>
      </x:c>
      <x:c r="F42" s="21" t="n">
        <x:f>Batches!L14</x:f>
        <x:v>5700</x:v>
      </x:c>
      <x:c r="G42" s="21" t="n">
        <x:f>Batches!C14</x:f>
        <x:v>4186.646616541353</x:v>
      </x:c>
      <x:c r="H42" s="29" t="n">
        <x:f>IF(AND(ISNUMBER(F42),ISNUMBER(C42),C42&gt;0,E42&gt;0),ROUNDDOWN(F42/C42/E42,0)*E42,"n.a.")</x:f>
        <x:v>60</x:v>
      </x:c>
      <x:c r="I42" s="33" t="n">
        <x:f>IF(AND(ISNUMBER(H42),ISNUMBER(Batches!F14),Batches!F14&gt;=0,Batches!F14&lt;=1),ROUNDDOWN(H42*Batches!F14/E42,0)*E42,"n.a.")</x:f>
        <x:v>60</x:v>
      </x:c>
      <x:c r="J42" s="12" t="n">
        <x:f>IF(AND(ISNUMBER(I42),ISNUMBER(D42)),I42*D42,"n.a.")</x:f>
        <x:v>5000</x:v>
      </x:c>
      <x:c r="K42" s="12" t="n">
        <x:f>IF(AND(ISNUMBER(I42),I42&gt;0),G42/I42,"n.a.")</x:f>
        <x:v>69.77744360902255</x:v>
      </x:c>
      <x:c r="L42" s="12" t="n">
        <x:f>IF(ISNUMBER(J42),J42-G42,"n.a.")</x:f>
        <x:v>813.3533834586469</x:v>
      </x:c>
      <x:c r="M42" s="35" t="n">
        <x:f>IF(AND(ISNUMBER(J42),J42&gt;0),L42/J42,"n.a.")</x:f>
        <x:v>0.16267067669172938</x:v>
      </x:c>
      <x:c r="N42" s="29" t="n">
        <x:f>IF(AND(ISNUMBER(D42),D42&gt;0),ROUNDUP(G42/(D42*E42),0)*E42,"n.a.")</x:f>
        <x:v>60</x:v>
      </x:c>
      <x:c r="O42" s="35" t="n">
        <x:f>IF(AND(ISNUMBER(H42),H42&gt;0,ISNUMBER(N42)),N42/H42,"n.a.")</x:f>
        <x:v>1</x:v>
      </x:c>
      <x:c r="P42" s="33" t="n">
        <x:f>Batches!D14</x:f>
        <x:v>1</x:v>
      </x:c>
      <x:c r="Q42" s="37" t="str">
        <x:f>IF(AND(P42=0,ISNUMBER(J42),COUNT(Batches!G14:K14)=5),J42-G42-H42*Batches!G14-Batches!M14,"n.a.")</x:f>
        <x:v>n.a.</x:v>
      </x:c>
      <x:c r="R42" s="12" t="str">
        <x:f>IF(P42&gt;0,"Partial ingredient costs",IF(ISNUMBER(Q42),"Modeled operating profit","Other operating costs missing"))</x:f>
        <x:v>Partial ingredient costs</x:v>
      </x:c>
      <x:c r="S42" s="12" t="str">
        <x:v>'Fish Pie'!K22</x:v>
      </x:c>
    </x:row>
    <x:row r="43" ht="28" customHeight="1">
      <x:c r="A43" s="2" t="str">
        <x:v>Fish Pie</x:v>
      </x:c>
      <x:c r="B43" s="11" t="str">
        <x:v>12-piece wholesale pack</x:v>
      </x:c>
      <x:c r="C43" s="13" t="n">
        <x:v>65</x:v>
      </x:c>
      <x:c r="D43" s="13" t="n">
        <x:v>83.33333333333333</x:v>
      </x:c>
      <x:c r="E43" s="13" t="n">
        <x:v>12</x:v>
      </x:c>
      <x:c r="F43" s="20" t="n">
        <x:f>Batches!L14</x:f>
        <x:v>5700</x:v>
      </x:c>
      <x:c r="G43" s="20" t="n">
        <x:f>Batches!C14</x:f>
        <x:v>4186.646616541353</x:v>
      </x:c>
      <x:c r="H43" s="28" t="n">
        <x:f>IF(AND(ISNUMBER(F43),ISNUMBER(C43),C43&gt;0,E43&gt;0),ROUNDDOWN(F43/C43/E43,0)*E43,"n.a.")</x:f>
        <x:v>84</x:v>
      </x:c>
      <x:c r="I43" s="32" t="n">
        <x:f>IF(AND(ISNUMBER(H43),ISNUMBER(Batches!F14),Batches!F14&gt;=0,Batches!F14&lt;=1),ROUNDDOWN(H43*Batches!F14/E43,0)*E43,"n.a.")</x:f>
        <x:v>84</x:v>
      </x:c>
      <x:c r="J43" s="11" t="n">
        <x:f>IF(AND(ISNUMBER(I43),ISNUMBER(D43)),I43*D43,"n.a.")</x:f>
        <x:v>7000</x:v>
      </x:c>
      <x:c r="K43" s="11" t="n">
        <x:f>IF(AND(ISNUMBER(I43),I43&gt;0),G43/I43,"n.a.")</x:f>
        <x:v>49.84103114930182</x:v>
      </x:c>
      <x:c r="L43" s="11" t="n">
        <x:f>IF(ISNUMBER(J43),J43-G43,"n.a.")</x:f>
        <x:v>2813.353383458647</x:v>
      </x:c>
      <x:c r="M43" s="34" t="n">
        <x:f>IF(AND(ISNUMBER(J43),J43&gt;0),L43/J43,"n.a.")</x:f>
        <x:v>0.4019076262083781</x:v>
      </x:c>
      <x:c r="N43" s="28" t="n">
        <x:f>IF(AND(ISNUMBER(D43),D43&gt;0),ROUNDUP(G43/(D43*E43),0)*E43,"n.a.")</x:f>
        <x:v>60</x:v>
      </x:c>
      <x:c r="O43" s="34" t="n">
        <x:f>IF(AND(ISNUMBER(H43),H43&gt;0,ISNUMBER(N43)),N43/H43,"n.a.")</x:f>
        <x:v>0.7142857142857143</x:v>
      </x:c>
      <x:c r="P43" s="32" t="n">
        <x:f>Batches!D14</x:f>
        <x:v>1</x:v>
      </x:c>
      <x:c r="Q43" s="36" t="str">
        <x:f>IF(AND(P43=0,ISNUMBER(J43),COUNT(Batches!G14:K14)=5),J43-G43-H43*Batches!G14-Batches!M14,"n.a.")</x:f>
        <x:v>n.a.</x:v>
      </x:c>
      <x:c r="R43" s="11" t="str">
        <x:f>IF(P43&gt;0,"Partial ingredient costs",IF(ISNUMBER(Q43),"Modeled operating profit","Other operating costs missing"))</x:f>
        <x:v>Partial ingredient costs</x:v>
      </x:c>
      <x:c r="S43" s="11" t="str">
        <x:v>'Fish Pie'!K23</x:v>
      </x:c>
    </x:row>
    <x:row r="44" ht="28" customHeight="1">
      <x:c r="A44" s="10" t="str">
        <x:v>Galette</x:v>
      </x:c>
      <x:c r="B44" s="12" t="str">
        <x:v>Main offer</x:v>
      </x:c>
      <x:c r="C44" s="14" t="n">
        <x:v>79</x:v>
      </x:c>
      <x:c r="D44" s="14" t="n">
        <x:v>100</x:v>
      </x:c>
      <x:c r="E44" s="14" t="n">
        <x:v>1</x:v>
      </x:c>
      <x:c r="F44" s="21" t="n">
        <x:f>Batches!L15</x:f>
        <x:v>16995</x:v>
      </x:c>
      <x:c r="G44" s="21" t="n">
        <x:f>Batches!C15</x:f>
        <x:v>10788.44269005848</x:v>
      </x:c>
      <x:c r="H44" s="29" t="n">
        <x:f>IF(AND(ISNUMBER(F44),ISNUMBER(C44),C44&gt;0,E44&gt;0),ROUNDDOWN(F44/C44/E44,0)*E44,"n.a.")</x:f>
        <x:v>215</x:v>
      </x:c>
      <x:c r="I44" s="33" t="n">
        <x:f>IF(AND(ISNUMBER(H44),ISNUMBER(Batches!F15),Batches!F15&gt;=0,Batches!F15&lt;=1),ROUNDDOWN(H44*Batches!F15/E44,0)*E44,"n.a.")</x:f>
        <x:v>215</x:v>
      </x:c>
      <x:c r="J44" s="12" t="n">
        <x:f>IF(AND(ISNUMBER(I44),ISNUMBER(D44)),I44*D44,"n.a.")</x:f>
        <x:v>21500</x:v>
      </x:c>
      <x:c r="K44" s="12" t="n">
        <x:f>IF(AND(ISNUMBER(I44),I44&gt;0),G44/I44,"n.a.")</x:f>
        <x:v>50.178803209574326</x:v>
      </x:c>
      <x:c r="L44" s="12" t="n">
        <x:f>IF(ISNUMBER(J44),J44-G44,"n.a.")</x:f>
        <x:v>10711.55730994152</x:v>
      </x:c>
      <x:c r="M44" s="35" t="n">
        <x:f>IF(AND(ISNUMBER(J44),J44&gt;0),L44/J44,"n.a.")</x:f>
        <x:v>0.4982119679042567</x:v>
      </x:c>
      <x:c r="N44" s="29" t="n">
        <x:f>IF(AND(ISNUMBER(D44),D44&gt;0),ROUNDUP(G44/(D44*E44),0)*E44,"n.a.")</x:f>
        <x:v>108</x:v>
      </x:c>
      <x:c r="O44" s="35" t="n">
        <x:f>IF(AND(ISNUMBER(H44),H44&gt;0,ISNUMBER(N44)),N44/H44,"n.a.")</x:f>
        <x:v>0.5023255813953489</x:v>
      </x:c>
      <x:c r="P44" s="33" t="n">
        <x:f>Batches!D15</x:f>
        <x:v>0</x:v>
      </x:c>
      <x:c r="Q44" s="37" t="str">
        <x:f>IF(AND(P44=0,ISNUMBER(J44),COUNT(Batches!G15:K15)=5),J44-G44-H44*Batches!G15-Batches!M15,"n.a.")</x:f>
        <x:v>n.a.</x:v>
      </x:c>
      <x:c r="R44" s="12" t="str">
        <x:f>IF(P44&gt;0,"Partial ingredient costs",IF(ISNUMBER(Q44),"Modeled operating profit","Other operating costs missing"))</x:f>
        <x:v>Other operating costs missing</x:v>
      </x:c>
      <x:c r="S44" s="12" t="str">
        <x:v>'Galette'!B22:C22</x:v>
      </x:c>
    </x:row>
    <x:row r="45" ht="28" customHeight="1">
      <x:c r="A45" s="2" t="str">
        <x:v>Galette</x:v>
      </x:c>
      <x:c r="B45" s="11" t="str">
        <x:v>Main offer</x:v>
      </x:c>
      <x:c r="C45" s="13" t="n">
        <x:v>140</x:v>
      </x:c>
      <x:c r="D45" s="13" t="n">
        <x:v>200</x:v>
      </x:c>
      <x:c r="E45" s="13" t="n">
        <x:v>1</x:v>
      </x:c>
      <x:c r="F45" s="20" t="n">
        <x:f>Batches!L15</x:f>
        <x:v>16995</x:v>
      </x:c>
      <x:c r="G45" s="20" t="n">
        <x:f>Batches!C15</x:f>
        <x:v>10788.44269005848</x:v>
      </x:c>
      <x:c r="H45" s="28" t="n">
        <x:f>IF(AND(ISNUMBER(F45),ISNUMBER(C45),C45&gt;0,E45&gt;0),ROUNDDOWN(F45/C45/E45,0)*E45,"n.a.")</x:f>
        <x:v>121</x:v>
      </x:c>
      <x:c r="I45" s="32" t="n">
        <x:f>IF(AND(ISNUMBER(H45),ISNUMBER(Batches!F15),Batches!F15&gt;=0,Batches!F15&lt;=1),ROUNDDOWN(H45*Batches!F15/E45,0)*E45,"n.a.")</x:f>
        <x:v>121</x:v>
      </x:c>
      <x:c r="J45" s="11" t="n">
        <x:f>IF(AND(ISNUMBER(I45),ISNUMBER(D45)),I45*D45,"n.a.")</x:f>
        <x:v>24200</x:v>
      </x:c>
      <x:c r="K45" s="11" t="n">
        <x:f>IF(AND(ISNUMBER(I45),I45&gt;0),G45/I45,"n.a.")</x:f>
        <x:v>89.16068338891306</x:v>
      </x:c>
      <x:c r="L45" s="11" t="n">
        <x:f>IF(ISNUMBER(J45),J45-G45,"n.a.")</x:f>
        <x:v>13411.55730994152</x:v>
      </x:c>
      <x:c r="M45" s="34" t="n">
        <x:f>IF(AND(ISNUMBER(J45),J45&gt;0),L45/J45,"n.a.")</x:f>
        <x:v>0.5541965830554347</x:v>
      </x:c>
      <x:c r="N45" s="28" t="n">
        <x:f>IF(AND(ISNUMBER(D45),D45&gt;0),ROUNDUP(G45/(D45*E45),0)*E45,"n.a.")</x:f>
        <x:v>54</x:v>
      </x:c>
      <x:c r="O45" s="34" t="n">
        <x:f>IF(AND(ISNUMBER(H45),H45&gt;0,ISNUMBER(N45)),N45/H45,"n.a.")</x:f>
        <x:v>0.4462809917355372</x:v>
      </x:c>
      <x:c r="P45" s="32" t="n">
        <x:f>Batches!D15</x:f>
        <x:v>0</x:v>
      </x:c>
      <x:c r="Q45" s="36" t="str">
        <x:f>IF(AND(P45=0,ISNUMBER(J45),COUNT(Batches!G15:K15)=5),J45-G45-H45*Batches!G15-Batches!M15,"n.a.")</x:f>
        <x:v>n.a.</x:v>
      </x:c>
      <x:c r="R45" s="11" t="str">
        <x:f>IF(P45&gt;0,"Partial ingredient costs",IF(ISNUMBER(Q45),"Modeled operating profit","Other operating costs missing"))</x:f>
        <x:v>Other operating costs missing</x:v>
      </x:c>
      <x:c r="S45" s="11" t="str">
        <x:v>'Galette'!B23:C23</x:v>
      </x:c>
    </x:row>
    <x:row r="46" ht="28" customHeight="1">
      <x:c r="A46" s="10" t="str">
        <x:v>Galette</x:v>
      </x:c>
      <x:c r="B46" s="12" t="str">
        <x:v>Main offer</x:v>
      </x:c>
      <x:c r="C46" s="14" t="n">
        <x:v>700</x:v>
      </x:c>
      <x:c r="D46" s="14" t="n">
        <x:v>1000</x:v>
      </x:c>
      <x:c r="E46" s="14" t="n">
        <x:v>1</x:v>
      </x:c>
      <x:c r="F46" s="21" t="n">
        <x:f>Batches!L15</x:f>
        <x:v>16995</x:v>
      </x:c>
      <x:c r="G46" s="21" t="n">
        <x:f>Batches!C15</x:f>
        <x:v>10788.44269005848</x:v>
      </x:c>
      <x:c r="H46" s="29" t="n">
        <x:f>IF(AND(ISNUMBER(F46),ISNUMBER(C46),C46&gt;0,E46&gt;0),ROUNDDOWN(F46/C46/E46,0)*E46,"n.a.")</x:f>
        <x:v>24</x:v>
      </x:c>
      <x:c r="I46" s="33" t="n">
        <x:f>IF(AND(ISNUMBER(H46),ISNUMBER(Batches!F15),Batches!F15&gt;=0,Batches!F15&lt;=1),ROUNDDOWN(H46*Batches!F15/E46,0)*E46,"n.a.")</x:f>
        <x:v>24</x:v>
      </x:c>
      <x:c r="J46" s="12" t="n">
        <x:f>IF(AND(ISNUMBER(I46),ISNUMBER(D46)),I46*D46,"n.a.")</x:f>
        <x:v>24000</x:v>
      </x:c>
      <x:c r="K46" s="12" t="n">
        <x:f>IF(AND(ISNUMBER(I46),I46&gt;0),G46/I46,"n.a.")</x:f>
        <x:v>449.51844541910333</x:v>
      </x:c>
      <x:c r="L46" s="12" t="n">
        <x:f>IF(ISNUMBER(J46),J46-G46,"n.a.")</x:f>
        <x:v>13211.55730994152</x:v>
      </x:c>
      <x:c r="M46" s="35" t="n">
        <x:f>IF(AND(ISNUMBER(J46),J46&gt;0),L46/J46,"n.a.")</x:f>
        <x:v>0.5504815545808966</x:v>
      </x:c>
      <x:c r="N46" s="29" t="n">
        <x:f>IF(AND(ISNUMBER(D46),D46&gt;0),ROUNDUP(G46/(D46*E46),0)*E46,"n.a.")</x:f>
        <x:v>11</x:v>
      </x:c>
      <x:c r="O46" s="35" t="n">
        <x:f>IF(AND(ISNUMBER(H46),H46&gt;0,ISNUMBER(N46)),N46/H46,"n.a.")</x:f>
        <x:v>0.4583333333333333</x:v>
      </x:c>
      <x:c r="P46" s="33" t="n">
        <x:f>Batches!D15</x:f>
        <x:v>0</x:v>
      </x:c>
      <x:c r="Q46" s="37" t="str">
        <x:f>IF(AND(P46=0,ISNUMBER(J46),COUNT(Batches!G15:K15)=5),J46-G46-H46*Batches!G15-Batches!M15,"n.a.")</x:f>
        <x:v>n.a.</x:v>
      </x:c>
      <x:c r="R46" s="12" t="str">
        <x:f>IF(P46&gt;0,"Partial ingredient costs",IF(ISNUMBER(Q46),"Modeled operating profit","Other operating costs missing"))</x:f>
        <x:v>Other operating costs missing</x:v>
      </x:c>
      <x:c r="S46" s="12" t="str">
        <x:v>'Galette'!B24:C24</x:v>
      </x:c>
    </x:row>
    <x:row r="47" ht="28" customHeight="1">
      <x:c r="A47" s="2" t="str">
        <x:v>Galette</x:v>
      </x:c>
      <x:c r="B47" s="11" t="str">
        <x:v>Manual offer; confirm</x:v>
      </x:c>
      <x:c r="C47" s="13" t="n">
        <x:v>700</x:v>
      </x:c>
      <x:c r="D47" s="13" t="n">
        <x:v>1000</x:v>
      </x:c>
      <x:c r="E47" s="13" t="n">
        <x:v>1</x:v>
      </x:c>
      <x:c r="F47" s="20" t="n">
        <x:f>Batches!L15</x:f>
        <x:v>16995</x:v>
      </x:c>
      <x:c r="G47" s="20" t="n">
        <x:f>Batches!C15</x:f>
        <x:v>10788.44269005848</x:v>
      </x:c>
      <x:c r="H47" s="28" t="n">
        <x:f>IF(AND(ISNUMBER(F47),ISNUMBER(C47),C47&gt;0,E47&gt;0),ROUNDDOWN(F47/C47/E47,0)*E47,"n.a.")</x:f>
        <x:v>24</x:v>
      </x:c>
      <x:c r="I47" s="32" t="n">
        <x:f>IF(AND(ISNUMBER(H47),ISNUMBER(Batches!F15),Batches!F15&gt;=0,Batches!F15&lt;=1),ROUNDDOWN(H47*Batches!F15/E47,0)*E47,"n.a.")</x:f>
        <x:v>24</x:v>
      </x:c>
      <x:c r="J47" s="11" t="n">
        <x:f>IF(AND(ISNUMBER(I47),ISNUMBER(D47)),I47*D47,"n.a.")</x:f>
        <x:v>24000</x:v>
      </x:c>
      <x:c r="K47" s="11" t="n">
        <x:f>IF(AND(ISNUMBER(I47),I47&gt;0),G47/I47,"n.a.")</x:f>
        <x:v>449.51844541910333</x:v>
      </x:c>
      <x:c r="L47" s="11" t="n">
        <x:f>IF(ISNUMBER(J47),J47-G47,"n.a.")</x:f>
        <x:v>13211.55730994152</x:v>
      </x:c>
      <x:c r="M47" s="34" t="n">
        <x:f>IF(AND(ISNUMBER(J47),J47&gt;0),L47/J47,"n.a.")</x:f>
        <x:v>0.5504815545808966</x:v>
      </x:c>
      <x:c r="N47" s="28" t="n">
        <x:f>IF(AND(ISNUMBER(D47),D47&gt;0),ROUNDUP(G47/(D47*E47),0)*E47,"n.a.")</x:f>
        <x:v>11</x:v>
      </x:c>
      <x:c r="O47" s="34" t="n">
        <x:f>IF(AND(ISNUMBER(H47),H47&gt;0,ISNUMBER(N47)),N47/H47,"n.a.")</x:f>
        <x:v>0.4583333333333333</x:v>
      </x:c>
      <x:c r="P47" s="32" t="n">
        <x:f>Batches!D15</x:f>
        <x:v>0</x:v>
      </x:c>
      <x:c r="Q47" s="36" t="str">
        <x:f>IF(AND(P47=0,ISNUMBER(J47),COUNT(Batches!G15:K15)=5),J47-G47-H47*Batches!G15-Batches!M15,"n.a.")</x:f>
        <x:v>n.a.</x:v>
      </x:c>
      <x:c r="R47" s="11" t="str">
        <x:f>IF(P47&gt;0,"Partial ingredient costs",IF(ISNUMBER(Q47),"Modeled operating profit","Other operating costs missing"))</x:f>
        <x:v>Other operating costs missing</x:v>
      </x:c>
      <x:c r="S47" s="11" t="str">
        <x:v>'Galette'!D29,F29</x:v>
      </x:c>
    </x:row>
    <x:row r="48" ht="28" customHeight="1">
      <x:c r="A48" s="10" t="str">
        <x:v>Galette</x:v>
      </x:c>
      <x:c r="B48" s="12" t="str">
        <x:v>Manual offer; confirm</x:v>
      </x:c>
      <x:c r="C48" s="14" t="n">
        <x:v>86</x:v>
      </x:c>
      <x:c r="D48" s="14" t="n">
        <x:v>100</x:v>
      </x:c>
      <x:c r="E48" s="14" t="n">
        <x:v>1</x:v>
      </x:c>
      <x:c r="F48" s="21" t="n">
        <x:f>Batches!L15</x:f>
        <x:v>16995</x:v>
      </x:c>
      <x:c r="G48" s="21" t="n">
        <x:f>Batches!C15</x:f>
        <x:v>10788.44269005848</x:v>
      </x:c>
      <x:c r="H48" s="29" t="n">
        <x:f>IF(AND(ISNUMBER(F48),ISNUMBER(C48),C48&gt;0,E48&gt;0),ROUNDDOWN(F48/C48/E48,0)*E48,"n.a.")</x:f>
        <x:v>197</x:v>
      </x:c>
      <x:c r="I48" s="33" t="n">
        <x:f>IF(AND(ISNUMBER(H48),ISNUMBER(Batches!F15),Batches!F15&gt;=0,Batches!F15&lt;=1),ROUNDDOWN(H48*Batches!F15/E48,0)*E48,"n.a.")</x:f>
        <x:v>197</x:v>
      </x:c>
      <x:c r="J48" s="12" t="n">
        <x:f>IF(AND(ISNUMBER(I48),ISNUMBER(D48)),I48*D48,"n.a.")</x:f>
        <x:v>19700</x:v>
      </x:c>
      <x:c r="K48" s="12" t="n">
        <x:f>IF(AND(ISNUMBER(I48),I48&gt;0),G48/I48,"n.a.")</x:f>
        <x:v>54.76366847745422</x:v>
      </x:c>
      <x:c r="L48" s="12" t="n">
        <x:f>IF(ISNUMBER(J48),J48-G48,"n.a.")</x:f>
        <x:v>8911.55730994152</x:v>
      </x:c>
      <x:c r="M48" s="35" t="n">
        <x:f>IF(AND(ISNUMBER(J48),J48&gt;0),L48/J48,"n.a.")</x:f>
        <x:v>0.45236331522545786</x:v>
      </x:c>
      <x:c r="N48" s="29" t="n">
        <x:f>IF(AND(ISNUMBER(D48),D48&gt;0),ROUNDUP(G48/(D48*E48),0)*E48,"n.a.")</x:f>
        <x:v>108</x:v>
      </x:c>
      <x:c r="O48" s="35" t="n">
        <x:f>IF(AND(ISNUMBER(H48),H48&gt;0,ISNUMBER(N48)),N48/H48,"n.a.")</x:f>
        <x:v>0.5482233502538071</x:v>
      </x:c>
      <x:c r="P48" s="33" t="n">
        <x:f>Batches!D15</x:f>
        <x:v>0</x:v>
      </x:c>
      <x:c r="Q48" s="37" t="str">
        <x:f>IF(AND(P48=0,ISNUMBER(J48),COUNT(Batches!G15:K15)=5),J48-G48-H48*Batches!G15-Batches!M15,"n.a.")</x:f>
        <x:v>n.a.</x:v>
      </x:c>
      <x:c r="R48" s="12" t="str">
        <x:f>IF(P48&gt;0,"Partial ingredient costs",IF(ISNUMBER(Q48),"Modeled operating profit","Other operating costs missing"))</x:f>
        <x:v>Other operating costs missing</x:v>
      </x:c>
      <x:c r="S48" s="12" t="str">
        <x:v>'Galette'!D30,F30</x:v>
      </x:c>
    </x:row>
    <x:row r="49" ht="28" customHeight="1">
      <x:c r="A49" s="2" t="str">
        <x:v>Galette</x:v>
      </x:c>
      <x:c r="B49" s="11" t="str">
        <x:v>12-piece wholesale pack</x:v>
      </x:c>
      <x:c r="C49" s="13" t="n">
        <x:v>79</x:v>
      </x:c>
      <x:c r="D49" s="13" t="n">
        <x:v>83.33333333333333</x:v>
      </x:c>
      <x:c r="E49" s="13" t="n">
        <x:v>12</x:v>
      </x:c>
      <x:c r="F49" s="20" t="n">
        <x:f>Batches!L15</x:f>
        <x:v>16995</x:v>
      </x:c>
      <x:c r="G49" s="20" t="n">
        <x:f>Batches!C15</x:f>
        <x:v>10788.44269005848</x:v>
      </x:c>
      <x:c r="H49" s="28" t="n">
        <x:f>IF(AND(ISNUMBER(F49),ISNUMBER(C49),C49&gt;0,E49&gt;0),ROUNDDOWN(F49/C49/E49,0)*E49,"n.a.")</x:f>
        <x:v>204</x:v>
      </x:c>
      <x:c r="I49" s="32" t="n">
        <x:f>IF(AND(ISNUMBER(H49),ISNUMBER(Batches!F15),Batches!F15&gt;=0,Batches!F15&lt;=1),ROUNDDOWN(H49*Batches!F15/E49,0)*E49,"n.a.")</x:f>
        <x:v>204</x:v>
      </x:c>
      <x:c r="J49" s="11" t="n">
        <x:f>IF(AND(ISNUMBER(I49),ISNUMBER(D49)),I49*D49,"n.a.")</x:f>
        <x:v>17000</x:v>
      </x:c>
      <x:c r="K49" s="11" t="n">
        <x:f>IF(AND(ISNUMBER(I49),I49&gt;0),G49/I49,"n.a.")</x:f>
        <x:v>52.88452299048274</x:v>
      </x:c>
      <x:c r="L49" s="11" t="n">
        <x:f>IF(ISNUMBER(J49),J49-G49,"n.a.")</x:f>
        <x:v>6211.55730994152</x:v>
      </x:c>
      <x:c r="M49" s="34" t="n">
        <x:f>IF(AND(ISNUMBER(J49),J49&gt;0),L49/J49,"n.a.")</x:f>
        <x:v>0.36538572411420706</x:v>
      </x:c>
      <x:c r="N49" s="28" t="n">
        <x:f>IF(AND(ISNUMBER(D49),D49&gt;0),ROUNDUP(G49/(D49*E49),0)*E49,"n.a.")</x:f>
        <x:v>132</x:v>
      </x:c>
      <x:c r="O49" s="34" t="n">
        <x:f>IF(AND(ISNUMBER(H49),H49&gt;0,ISNUMBER(N49)),N49/H49,"n.a.")</x:f>
        <x:v>0.6470588235294118</x:v>
      </x:c>
      <x:c r="P49" s="32" t="n">
        <x:f>Batches!D15</x:f>
        <x:v>0</x:v>
      </x:c>
      <x:c r="Q49" s="36" t="str">
        <x:f>IF(AND(P49=0,ISNUMBER(J49),COUNT(Batches!G15:K15)=5),J49-G49-H49*Batches!G15-Batches!M15,"n.a.")</x:f>
        <x:v>n.a.</x:v>
      </x:c>
      <x:c r="R49" s="11" t="str">
        <x:f>IF(P49&gt;0,"Partial ingredient costs",IF(ISNUMBER(Q49),"Modeled operating profit","Other operating costs missing"))</x:f>
        <x:v>Other operating costs missing</x:v>
      </x:c>
      <x:c r="S49" s="11" t="str">
        <x:v>'Galette'!J22/K22</x:v>
      </x:c>
    </x:row>
    <x:row r="50" ht="28" customHeight="1">
      <x:c r="A50" s="10" t="str">
        <x:v>New bread</x:v>
      </x:c>
      <x:c r="B50" s="12" t="str">
        <x:v>Main offer</x:v>
      </x:c>
      <x:c r="C50" s="14" t="n">
        <x:v>90</x:v>
      </x:c>
      <x:c r="D50" s="14" t="n">
        <x:v>100</x:v>
      </x:c>
      <x:c r="E50" s="14" t="n">
        <x:v>1</x:v>
      </x:c>
      <x:c r="F50" s="21" t="n">
        <x:f>Batches!L16</x:f>
        <x:v>24160</x:v>
      </x:c>
      <x:c r="G50" s="21" t="n">
        <x:f>Batches!C16</x:f>
        <x:v>9079.983625730994</x:v>
      </x:c>
      <x:c r="H50" s="29" t="n">
        <x:f>IF(AND(ISNUMBER(F50),ISNUMBER(C50),C50&gt;0,E50&gt;0),ROUNDDOWN(F50/C50/E50,0)*E50,"n.a.")</x:f>
        <x:v>268</x:v>
      </x:c>
      <x:c r="I50" s="33" t="n">
        <x:f>IF(AND(ISNUMBER(H50),ISNUMBER(Batches!F16),Batches!F16&gt;=0,Batches!F16&lt;=1),ROUNDDOWN(H50*Batches!F16/E50,0)*E50,"n.a.")</x:f>
        <x:v>268</x:v>
      </x:c>
      <x:c r="J50" s="12" t="n">
        <x:f>IF(AND(ISNUMBER(I50),ISNUMBER(D50)),I50*D50,"n.a.")</x:f>
        <x:v>26800</x:v>
      </x:c>
      <x:c r="K50" s="12" t="n">
        <x:f>IF(AND(ISNUMBER(I50),I50&gt;0),G50/I50,"n.a.")</x:f>
        <x:v>33.880535916906695</x:v>
      </x:c>
      <x:c r="L50" s="12" t="n">
        <x:f>IF(ISNUMBER(J50),J50-G50,"n.a.")</x:f>
        <x:v>17720.016374269006</x:v>
      </x:c>
      <x:c r="M50" s="35" t="n">
        <x:f>IF(AND(ISNUMBER(J50),J50&gt;0),L50/J50,"n.a.")</x:f>
        <x:v>0.661194640830933</x:v>
      </x:c>
      <x:c r="N50" s="29" t="n">
        <x:f>IF(AND(ISNUMBER(D50),D50&gt;0),ROUNDUP(G50/(D50*E50),0)*E50,"n.a.")</x:f>
        <x:v>91</x:v>
      </x:c>
      <x:c r="O50" s="35" t="n">
        <x:f>IF(AND(ISNUMBER(H50),H50&gt;0,ISNUMBER(N50)),N50/H50,"n.a.")</x:f>
        <x:v>0.33955223880597013</x:v>
      </x:c>
      <x:c r="P50" s="33" t="n">
        <x:f>Batches!D16</x:f>
        <x:v>0</x:v>
      </x:c>
      <x:c r="Q50" s="37" t="str">
        <x:f>IF(AND(P50=0,ISNUMBER(J50),COUNT(Batches!G16:K16)=5),J50-G50-H50*Batches!G16-Batches!M16,"n.a.")</x:f>
        <x:v>n.a.</x:v>
      </x:c>
      <x:c r="R50" s="12" t="str">
        <x:f>IF(P50&gt;0,"Partial ingredient costs",IF(ISNUMBER(Q50),"Modeled operating profit","Other operating costs missing"))</x:f>
        <x:v>Other operating costs missing</x:v>
      </x:c>
      <x:c r="S50" s="12" t="str">
        <x:v>'New bread'!C20:D20</x:v>
      </x:c>
    </x:row>
    <x:row r="51" ht="28" customHeight="1">
      <x:c r="A51" s="2" t="str">
        <x:v>New bread</x:v>
      </x:c>
      <x:c r="B51" s="11" t="str">
        <x:v>Manual offer; confirm</x:v>
      </x:c>
      <x:c r="C51" s="13" t="n">
        <x:v>95</x:v>
      </x:c>
      <x:c r="D51" s="13" t="n">
        <x:v>150</x:v>
      </x:c>
      <x:c r="E51" s="13" t="n">
        <x:v>1</x:v>
      </x:c>
      <x:c r="F51" s="20" t="n">
        <x:f>Batches!L16</x:f>
        <x:v>24160</x:v>
      </x:c>
      <x:c r="G51" s="20" t="n">
        <x:f>Batches!C16</x:f>
        <x:v>9079.983625730994</x:v>
      </x:c>
      <x:c r="H51" s="28" t="n">
        <x:f>IF(AND(ISNUMBER(F51),ISNUMBER(C51),C51&gt;0,E51&gt;0),ROUNDDOWN(F51/C51/E51,0)*E51,"n.a.")</x:f>
        <x:v>254</x:v>
      </x:c>
      <x:c r="I51" s="32" t="n">
        <x:f>IF(AND(ISNUMBER(H51),ISNUMBER(Batches!F16),Batches!F16&gt;=0,Batches!F16&lt;=1),ROUNDDOWN(H51*Batches!F16/E51,0)*E51,"n.a.")</x:f>
        <x:v>254</x:v>
      </x:c>
      <x:c r="J51" s="11" t="n">
        <x:f>IF(AND(ISNUMBER(I51),ISNUMBER(D51)),I51*D51,"n.a.")</x:f>
        <x:v>38100</x:v>
      </x:c>
      <x:c r="K51" s="11" t="n">
        <x:f>IF(AND(ISNUMBER(I51),I51&gt;0),G51/I51,"n.a.")</x:f>
        <x:v>35.74796703043699</x:v>
      </x:c>
      <x:c r="L51" s="11" t="n">
        <x:f>IF(ISNUMBER(J51),J51-G51,"n.a.")</x:f>
        <x:v>29020.016374269006</x:v>
      </x:c>
      <x:c r="M51" s="34" t="n">
        <x:f>IF(AND(ISNUMBER(J51),J51&gt;0),L51/J51,"n.a.")</x:f>
        <x:v>0.7616802197970868</x:v>
      </x:c>
      <x:c r="N51" s="28" t="n">
        <x:f>IF(AND(ISNUMBER(D51),D51&gt;0),ROUNDUP(G51/(D51*E51),0)*E51,"n.a.")</x:f>
        <x:v>61</x:v>
      </x:c>
      <x:c r="O51" s="34" t="n">
        <x:f>IF(AND(ISNUMBER(H51),H51&gt;0,ISNUMBER(N51)),N51/H51,"n.a.")</x:f>
        <x:v>0.24015748031496062</x:v>
      </x:c>
      <x:c r="P51" s="32" t="n">
        <x:f>Batches!D16</x:f>
        <x:v>0</x:v>
      </x:c>
      <x:c r="Q51" s="36" t="str">
        <x:f>IF(AND(P51=0,ISNUMBER(J51),COUNT(Batches!G16:K16)=5),J51-G51-H51*Batches!G16-Batches!M16,"n.a.")</x:f>
        <x:v>n.a.</x:v>
      </x:c>
      <x:c r="R51" s="11" t="str">
        <x:f>IF(P51&gt;0,"Partial ingredient costs",IF(ISNUMBER(Q51),"Modeled operating profit","Other operating costs missing"))</x:f>
        <x:v>Other operating costs missing</x:v>
      </x:c>
      <x:c r="S51" s="11" t="str">
        <x:v>'New bread'!E24,G24</x:v>
      </x:c>
    </x:row>
    <x:row r="52" ht="28" customHeight="1">
      <x:c r="A52" s="10" t="str">
        <x:v>New bread</x:v>
      </x:c>
      <x:c r="B52" s="12" t="str">
        <x:v>Manual offer; confirm</x:v>
      </x:c>
      <x:c r="C52" s="14" t="n">
        <x:v>130</x:v>
      </x:c>
      <x:c r="D52" s="14" t="n">
        <x:v>150</x:v>
      </x:c>
      <x:c r="E52" s="14" t="n">
        <x:v>1</x:v>
      </x:c>
      <x:c r="F52" s="21" t="n">
        <x:f>Batches!L16</x:f>
        <x:v>24160</x:v>
      </x:c>
      <x:c r="G52" s="21" t="n">
        <x:f>Batches!C16</x:f>
        <x:v>9079.983625730994</x:v>
      </x:c>
      <x:c r="H52" s="29" t="n">
        <x:f>IF(AND(ISNUMBER(F52),ISNUMBER(C52),C52&gt;0,E52&gt;0),ROUNDDOWN(F52/C52/E52,0)*E52,"n.a.")</x:f>
        <x:v>185</x:v>
      </x:c>
      <x:c r="I52" s="33" t="n">
        <x:f>IF(AND(ISNUMBER(H52),ISNUMBER(Batches!F16),Batches!F16&gt;=0,Batches!F16&lt;=1),ROUNDDOWN(H52*Batches!F16/E52,0)*E52,"n.a.")</x:f>
        <x:v>185</x:v>
      </x:c>
      <x:c r="J52" s="12" t="n">
        <x:f>IF(AND(ISNUMBER(I52),ISNUMBER(D52)),I52*D52,"n.a.")</x:f>
        <x:v>27750</x:v>
      </x:c>
      <x:c r="K52" s="12" t="n">
        <x:f>IF(AND(ISNUMBER(I52),I52&gt;0),G52/I52,"n.a.")</x:f>
        <x:v>49.08099257151889</x:v>
      </x:c>
      <x:c r="L52" s="12" t="n">
        <x:f>IF(ISNUMBER(J52),J52-G52,"n.a.")</x:f>
        <x:v>18670.016374269006</x:v>
      </x:c>
      <x:c r="M52" s="35" t="n">
        <x:f>IF(AND(ISNUMBER(J52),J52&gt;0),L52/J52,"n.a.")</x:f>
        <x:v>0.6727933828565408</x:v>
      </x:c>
      <x:c r="N52" s="29" t="n">
        <x:f>IF(AND(ISNUMBER(D52),D52&gt;0),ROUNDUP(G52/(D52*E52),0)*E52,"n.a.")</x:f>
        <x:v>61</x:v>
      </x:c>
      <x:c r="O52" s="35" t="n">
        <x:f>IF(AND(ISNUMBER(H52),H52&gt;0,ISNUMBER(N52)),N52/H52,"n.a.")</x:f>
        <x:v>0.32972972972972975</x:v>
      </x:c>
      <x:c r="P52" s="33" t="n">
        <x:f>Batches!D16</x:f>
        <x:v>0</x:v>
      </x:c>
      <x:c r="Q52" s="37" t="str">
        <x:f>IF(AND(P52=0,ISNUMBER(J52),COUNT(Batches!G16:K16)=5),J52-G52-H52*Batches!G16-Batches!M16,"n.a.")</x:f>
        <x:v>n.a.</x:v>
      </x:c>
      <x:c r="R52" s="12" t="str">
        <x:f>IF(P52&gt;0,"Partial ingredient costs",IF(ISNUMBER(Q52),"Modeled operating profit","Other operating costs missing"))</x:f>
        <x:v>Other operating costs missing</x:v>
      </x:c>
      <x:c r="S52" s="12" t="str">
        <x:v>'New bread'!E25,G25</x:v>
      </x:c>
    </x:row>
    <x:row r="53" ht="28" customHeight="1">
      <x:c r="A53" s="2" t="str">
        <x:v>NGALA BREAD</x:v>
      </x:c>
      <x:c r="B53" s="11" t="str">
        <x:v>Main offer</x:v>
      </x:c>
      <x:c r="C53" s="13" t="n">
        <x:v>90</x:v>
      </x:c>
      <x:c r="D53" s="13" t="n">
        <x:v>100</x:v>
      </x:c>
      <x:c r="E53" s="13" t="n">
        <x:v>1</x:v>
      </x:c>
      <x:c r="F53" s="20" t="n">
        <x:f>Batches!L17</x:f>
        <x:v>15430</x:v>
      </x:c>
      <x:c r="G53" s="20" t="n">
        <x:f>Batches!C17</x:f>
        <x:v>7351.391228070174</x:v>
      </x:c>
      <x:c r="H53" s="28" t="n">
        <x:f>IF(AND(ISNUMBER(F53),ISNUMBER(C53),C53&gt;0,E53&gt;0),ROUNDDOWN(F53/C53/E53,0)*E53,"n.a.")</x:f>
        <x:v>171</x:v>
      </x:c>
      <x:c r="I53" s="32" t="n">
        <x:f>IF(AND(ISNUMBER(H53),ISNUMBER(Batches!F17),Batches!F17&gt;=0,Batches!F17&lt;=1),ROUNDDOWN(H53*Batches!F17/E53,0)*E53,"n.a.")</x:f>
        <x:v>171</x:v>
      </x:c>
      <x:c r="J53" s="11" t="n">
        <x:f>IF(AND(ISNUMBER(I53),ISNUMBER(D53)),I53*D53,"n.a.")</x:f>
        <x:v>17100</x:v>
      </x:c>
      <x:c r="K53" s="11" t="n">
        <x:f>IF(AND(ISNUMBER(I53),I53&gt;0),G53/I53,"n.a.")</x:f>
        <x:v>42.99059197701856</x:v>
      </x:c>
      <x:c r="L53" s="11" t="n">
        <x:f>IF(ISNUMBER(J53),J53-G53,"n.a.")</x:f>
        <x:v>9748.608771929827</x:v>
      </x:c>
      <x:c r="M53" s="34" t="n">
        <x:f>IF(AND(ISNUMBER(J53),J53&gt;0),L53/J53,"n.a.")</x:f>
        <x:v>0.5700940802298144</x:v>
      </x:c>
      <x:c r="N53" s="28" t="n">
        <x:f>IF(AND(ISNUMBER(D53),D53&gt;0),ROUNDUP(G53/(D53*E53),0)*E53,"n.a.")</x:f>
        <x:v>74</x:v>
      </x:c>
      <x:c r="O53" s="34" t="n">
        <x:f>IF(AND(ISNUMBER(H53),H53&gt;0,ISNUMBER(N53)),N53/H53,"n.a.")</x:f>
        <x:v>0.4327485380116959</x:v>
      </x:c>
      <x:c r="P53" s="32" t="n">
        <x:f>Batches!D17</x:f>
        <x:v>0</x:v>
      </x:c>
      <x:c r="Q53" s="36" t="str">
        <x:f>IF(AND(P53=0,ISNUMBER(J53),COUNT(Batches!G17:K17)=5),J53-G53-H53*Batches!G17-Batches!M17,"n.a.")</x:f>
        <x:v>n.a.</x:v>
      </x:c>
      <x:c r="R53" s="11" t="str">
        <x:f>IF(P53&gt;0,"Partial ingredient costs",IF(ISNUMBER(Q53),"Modeled operating profit","Other operating costs missing"))</x:f>
        <x:v>Other operating costs missing</x:v>
      </x:c>
      <x:c r="S53" s="11" t="str">
        <x:v>'NGALA BREAD'!C20:D20</x:v>
      </x:c>
    </x:row>
    <x:row r="54" ht="28" customHeight="1">
      <x:c r="A54" s="10" t="str">
        <x:v>NGALA BREAD</x:v>
      </x:c>
      <x:c r="B54" s="12" t="str">
        <x:v>Manual offer; confirm</x:v>
      </x:c>
      <x:c r="C54" s="14" t="n">
        <x:v>95</x:v>
      </x:c>
      <x:c r="D54" s="14" t="n">
        <x:v>150</x:v>
      </x:c>
      <x:c r="E54" s="14" t="n">
        <x:v>1</x:v>
      </x:c>
      <x:c r="F54" s="21" t="n">
        <x:f>Batches!L17</x:f>
        <x:v>15430</x:v>
      </x:c>
      <x:c r="G54" s="21" t="n">
        <x:f>Batches!C17</x:f>
        <x:v>7351.391228070174</x:v>
      </x:c>
      <x:c r="H54" s="29" t="n">
        <x:f>IF(AND(ISNUMBER(F54),ISNUMBER(C54),C54&gt;0,E54&gt;0),ROUNDDOWN(F54/C54/E54,0)*E54,"n.a.")</x:f>
        <x:v>162</x:v>
      </x:c>
      <x:c r="I54" s="33" t="n">
        <x:f>IF(AND(ISNUMBER(H54),ISNUMBER(Batches!F17),Batches!F17&gt;=0,Batches!F17&lt;=1),ROUNDDOWN(H54*Batches!F17/E54,0)*E54,"n.a.")</x:f>
        <x:v>162</x:v>
      </x:c>
      <x:c r="J54" s="12" t="n">
        <x:f>IF(AND(ISNUMBER(I54),ISNUMBER(D54)),I54*D54,"n.a.")</x:f>
        <x:v>24300</x:v>
      </x:c>
      <x:c r="K54" s="12" t="n">
        <x:f>IF(AND(ISNUMBER(I54),I54&gt;0),G54/I54,"n.a.")</x:f>
        <x:v>45.37895819796404</x:v>
      </x:c>
      <x:c r="L54" s="12" t="n">
        <x:f>IF(ISNUMBER(J54),J54-G54,"n.a.")</x:f>
        <x:v>16948.608771929827</x:v>
      </x:c>
      <x:c r="M54" s="35" t="n">
        <x:f>IF(AND(ISNUMBER(J54),J54&gt;0),L54/J54,"n.a.")</x:f>
        <x:v>0.6974736120135732</x:v>
      </x:c>
      <x:c r="N54" s="29" t="n">
        <x:f>IF(AND(ISNUMBER(D54),D54&gt;0),ROUNDUP(G54/(D54*E54),0)*E54,"n.a.")</x:f>
        <x:v>50</x:v>
      </x:c>
      <x:c r="O54" s="35" t="n">
        <x:f>IF(AND(ISNUMBER(H54),H54&gt;0,ISNUMBER(N54)),N54/H54,"n.a.")</x:f>
        <x:v>0.30864197530864196</x:v>
      </x:c>
      <x:c r="P54" s="33" t="n">
        <x:f>Batches!D17</x:f>
        <x:v>0</x:v>
      </x:c>
      <x:c r="Q54" s="37" t="str">
        <x:f>IF(AND(P54=0,ISNUMBER(J54),COUNT(Batches!G17:K17)=5),J54-G54-H54*Batches!G17-Batches!M17,"n.a.")</x:f>
        <x:v>n.a.</x:v>
      </x:c>
      <x:c r="R54" s="12" t="str">
        <x:f>IF(P54&gt;0,"Partial ingredient costs",IF(ISNUMBER(Q54),"Modeled operating profit","Other operating costs missing"))</x:f>
        <x:v>Other operating costs missing</x:v>
      </x:c>
      <x:c r="S54" s="12" t="str">
        <x:v>'NGALA BREAD'!E24,G24</x:v>
      </x:c>
    </x:row>
    <x:row r="55" ht="28" customHeight="1">
      <x:c r="A55" s="2" t="str">
        <x:v>NGALA BREAD</x:v>
      </x:c>
      <x:c r="B55" s="11" t="str">
        <x:v>Manual offer; confirm</x:v>
      </x:c>
      <x:c r="C55" s="13" t="n">
        <x:v>130</x:v>
      </x:c>
      <x:c r="D55" s="13" t="n">
        <x:v>150</x:v>
      </x:c>
      <x:c r="E55" s="13" t="n">
        <x:v>1</x:v>
      </x:c>
      <x:c r="F55" s="20" t="n">
        <x:f>Batches!L17</x:f>
        <x:v>15430</x:v>
      </x:c>
      <x:c r="G55" s="20" t="n">
        <x:f>Batches!C17</x:f>
        <x:v>7351.391228070174</x:v>
      </x:c>
      <x:c r="H55" s="28" t="n">
        <x:f>IF(AND(ISNUMBER(F55),ISNUMBER(C55),C55&gt;0,E55&gt;0),ROUNDDOWN(F55/C55/E55,0)*E55,"n.a.")</x:f>
        <x:v>118</x:v>
      </x:c>
      <x:c r="I55" s="32" t="n">
        <x:f>IF(AND(ISNUMBER(H55),ISNUMBER(Batches!F17),Batches!F17&gt;=0,Batches!F17&lt;=1),ROUNDDOWN(H55*Batches!F17/E55,0)*E55,"n.a.")</x:f>
        <x:v>118</x:v>
      </x:c>
      <x:c r="J55" s="11" t="n">
        <x:f>IF(AND(ISNUMBER(I55),ISNUMBER(D55)),I55*D55,"n.a.")</x:f>
        <x:v>17700</x:v>
      </x:c>
      <x:c r="K55" s="11" t="n">
        <x:f>IF(AND(ISNUMBER(I55),I55&gt;0),G55/I55,"n.a.")</x:f>
        <x:v>62.299925661611645</x:v>
      </x:c>
      <x:c r="L55" s="11" t="n">
        <x:f>IF(ISNUMBER(J55),J55-G55,"n.a.")</x:f>
        <x:v>10348.608771929827</x:v>
      </x:c>
      <x:c r="M55" s="34" t="n">
        <x:f>IF(AND(ISNUMBER(J55),J55&gt;0),L55/J55,"n.a.")</x:f>
        <x:v>0.5846671622559224</x:v>
      </x:c>
      <x:c r="N55" s="28" t="n">
        <x:f>IF(AND(ISNUMBER(D55),D55&gt;0),ROUNDUP(G55/(D55*E55),0)*E55,"n.a.")</x:f>
        <x:v>50</x:v>
      </x:c>
      <x:c r="O55" s="34" t="n">
        <x:f>IF(AND(ISNUMBER(H55),H55&gt;0,ISNUMBER(N55)),N55/H55,"n.a.")</x:f>
        <x:v>0.423728813559322</x:v>
      </x:c>
      <x:c r="P55" s="32" t="n">
        <x:f>Batches!D17</x:f>
        <x:v>0</x:v>
      </x:c>
      <x:c r="Q55" s="36" t="str">
        <x:f>IF(AND(P55=0,ISNUMBER(J55),COUNT(Batches!G17:K17)=5),J55-G55-H55*Batches!G17-Batches!M17,"n.a.")</x:f>
        <x:v>n.a.</x:v>
      </x:c>
      <x:c r="R55" s="11" t="str">
        <x:f>IF(P55&gt;0,"Partial ingredient costs",IF(ISNUMBER(Q55),"Modeled operating profit","Other operating costs missing"))</x:f>
        <x:v>Other operating costs missing</x:v>
      </x:c>
      <x:c r="S55" s="11" t="str">
        <x:v>'NGALA BREAD'!E25,G25</x:v>
      </x:c>
    </x:row>
    <x:row r="56" ht="28" customHeight="1">
      <x:c r="A56" s="10" t="str">
        <x:v>Pain au lait</x:v>
      </x:c>
      <x:c r="B56" s="12" t="str">
        <x:v>Main offer</x:v>
      </x:c>
      <x:c r="C56" s="14" t="n">
        <x:v>136</x:v>
      </x:c>
      <x:c r="D56" s="14" t="n">
        <x:v>150</x:v>
      </x:c>
      <x:c r="E56" s="14" t="n">
        <x:v>1</x:v>
      </x:c>
      <x:c r="F56" s="21" t="n">
        <x:f>Batches!L18</x:f>
        <x:v>20457</x:v>
      </x:c>
      <x:c r="G56" s="21" t="n">
        <x:f>Batches!C18</x:f>
        <x:v>9645.830116959065</x:v>
      </x:c>
      <x:c r="H56" s="29" t="n">
        <x:f>IF(AND(ISNUMBER(F56),ISNUMBER(C56),C56&gt;0,E56&gt;0),ROUNDDOWN(F56/C56/E56,0)*E56,"n.a.")</x:f>
        <x:v>150</x:v>
      </x:c>
      <x:c r="I56" s="33" t="n">
        <x:f>IF(AND(ISNUMBER(H56),ISNUMBER(Batches!F18),Batches!F18&gt;=0,Batches!F18&lt;=1),ROUNDDOWN(H56*Batches!F18/E56,0)*E56,"n.a.")</x:f>
        <x:v>150</x:v>
      </x:c>
      <x:c r="J56" s="12" t="n">
        <x:f>IF(AND(ISNUMBER(I56),ISNUMBER(D56)),I56*D56,"n.a.")</x:f>
        <x:v>22500</x:v>
      </x:c>
      <x:c r="K56" s="12" t="n">
        <x:f>IF(AND(ISNUMBER(I56),I56&gt;0),G56/I56,"n.a.")</x:f>
        <x:v>64.30553411306043</x:v>
      </x:c>
      <x:c r="L56" s="12" t="n">
        <x:f>IF(ISNUMBER(J56),J56-G56,"n.a.")</x:f>
        <x:v>12854.169883040935</x:v>
      </x:c>
      <x:c r="M56" s="35" t="n">
        <x:f>IF(AND(ISNUMBER(J56),J56&gt;0),L56/J56,"n.a.")</x:f>
        <x:v>0.5712964392462638</x:v>
      </x:c>
      <x:c r="N56" s="29" t="n">
        <x:f>IF(AND(ISNUMBER(D56),D56&gt;0),ROUNDUP(G56/(D56*E56),0)*E56,"n.a.")</x:f>
        <x:v>65</x:v>
      </x:c>
      <x:c r="O56" s="35" t="n">
        <x:f>IF(AND(ISNUMBER(H56),H56&gt;0,ISNUMBER(N56)),N56/H56,"n.a.")</x:f>
        <x:v>0.43333333333333335</x:v>
      </x:c>
      <x:c r="P56" s="33" t="n">
        <x:f>Batches!D18</x:f>
        <x:v>0</x:v>
      </x:c>
      <x:c r="Q56" s="37" t="str">
        <x:f>IF(AND(P56=0,ISNUMBER(J56),COUNT(Batches!G18:K18)=5),J56-G56-H56*Batches!G18-Batches!M18,"n.a.")</x:f>
        <x:v>n.a.</x:v>
      </x:c>
      <x:c r="R56" s="12" t="str">
        <x:f>IF(P56&gt;0,"Partial ingredient costs",IF(ISNUMBER(Q56),"Modeled operating profit","Other operating costs missing"))</x:f>
        <x:v>Other operating costs missing</x:v>
      </x:c>
      <x:c r="S56" s="12" t="str">
        <x:v>'Pain au lait'!B23:C23</x:v>
      </x:c>
    </x:row>
    <x:row r="57" ht="28" customHeight="1">
      <x:c r="A57" s="2" t="str">
        <x:v>Pain au lait</x:v>
      </x:c>
      <x:c r="B57" s="11" t="str">
        <x:v>Main offer</x:v>
      </x:c>
      <x:c r="C57" s="13" t="n">
        <x:v>200</x:v>
      </x:c>
      <x:c r="D57" s="13" t="n">
        <x:v>300</x:v>
      </x:c>
      <x:c r="E57" s="13" t="n">
        <x:v>1</x:v>
      </x:c>
      <x:c r="F57" s="20" t="n">
        <x:f>Batches!L18</x:f>
        <x:v>20457</x:v>
      </x:c>
      <x:c r="G57" s="20" t="n">
        <x:f>Batches!C18</x:f>
        <x:v>9645.830116959065</x:v>
      </x:c>
      <x:c r="H57" s="28" t="n">
        <x:f>IF(AND(ISNUMBER(F57),ISNUMBER(C57),C57&gt;0,E57&gt;0),ROUNDDOWN(F57/C57/E57,0)*E57,"n.a.")</x:f>
        <x:v>102</x:v>
      </x:c>
      <x:c r="I57" s="32" t="n">
        <x:f>IF(AND(ISNUMBER(H57),ISNUMBER(Batches!F18),Batches!F18&gt;=0,Batches!F18&lt;=1),ROUNDDOWN(H57*Batches!F18/E57,0)*E57,"n.a.")</x:f>
        <x:v>102</x:v>
      </x:c>
      <x:c r="J57" s="11" t="n">
        <x:f>IF(AND(ISNUMBER(I57),ISNUMBER(D57)),I57*D57,"n.a.")</x:f>
        <x:v>30600</x:v>
      </x:c>
      <x:c r="K57" s="11" t="n">
        <x:f>IF(AND(ISNUMBER(I57),I57&gt;0),G57/I57,"n.a.")</x:f>
        <x:v>94.56696193097123</x:v>
      </x:c>
      <x:c r="L57" s="11" t="n">
        <x:f>IF(ISNUMBER(J57),J57-G57,"n.a.")</x:f>
        <x:v>20954.169883040937</x:v>
      </x:c>
      <x:c r="M57" s="34" t="n">
        <x:f>IF(AND(ISNUMBER(J57),J57&gt;0),L57/J57,"n.a.")</x:f>
        <x:v>0.6847767935634294</x:v>
      </x:c>
      <x:c r="N57" s="28" t="n">
        <x:f>IF(AND(ISNUMBER(D57),D57&gt;0),ROUNDUP(G57/(D57*E57),0)*E57,"n.a.")</x:f>
        <x:v>33</x:v>
      </x:c>
      <x:c r="O57" s="34" t="n">
        <x:f>IF(AND(ISNUMBER(H57),H57&gt;0,ISNUMBER(N57)),N57/H57,"n.a.")</x:f>
        <x:v>0.3235294117647059</x:v>
      </x:c>
      <x:c r="P57" s="32" t="n">
        <x:f>Batches!D18</x:f>
        <x:v>0</x:v>
      </x:c>
      <x:c r="Q57" s="36" t="str">
        <x:f>IF(AND(P57=0,ISNUMBER(J57),COUNT(Batches!G18:K18)=5),J57-G57-H57*Batches!G18-Batches!M18,"n.a.")</x:f>
        <x:v>n.a.</x:v>
      </x:c>
      <x:c r="R57" s="11" t="str">
        <x:f>IF(P57&gt;0,"Partial ingredient costs",IF(ISNUMBER(Q57),"Modeled operating profit","Other operating costs missing"))</x:f>
        <x:v>Other operating costs missing</x:v>
      </x:c>
      <x:c r="S57" s="11" t="str">
        <x:v>'Pain au lait'!B24:C24</x:v>
      </x:c>
    </x:row>
    <x:row r="58" ht="28" customHeight="1">
      <x:c r="A58" s="10" t="str">
        <x:v>Pain au lait</x:v>
      </x:c>
      <x:c r="B58" s="12" t="str">
        <x:v>Main offer</x:v>
      </x:c>
      <x:c r="C58" s="14" t="n">
        <x:v>800</x:v>
      </x:c>
      <x:c r="D58" s="14" t="n">
        <x:v>1000</x:v>
      </x:c>
      <x:c r="E58" s="14" t="n">
        <x:v>1</x:v>
      </x:c>
      <x:c r="F58" s="21" t="n">
        <x:f>Batches!L18</x:f>
        <x:v>20457</x:v>
      </x:c>
      <x:c r="G58" s="21" t="n">
        <x:f>Batches!C18</x:f>
        <x:v>9645.830116959065</x:v>
      </x:c>
      <x:c r="H58" s="29" t="n">
        <x:f>IF(AND(ISNUMBER(F58),ISNUMBER(C58),C58&gt;0,E58&gt;0),ROUNDDOWN(F58/C58/E58,0)*E58,"n.a.")</x:f>
        <x:v>25</x:v>
      </x:c>
      <x:c r="I58" s="33" t="n">
        <x:f>IF(AND(ISNUMBER(H58),ISNUMBER(Batches!F18),Batches!F18&gt;=0,Batches!F18&lt;=1),ROUNDDOWN(H58*Batches!F18/E58,0)*E58,"n.a.")</x:f>
        <x:v>25</x:v>
      </x:c>
      <x:c r="J58" s="12" t="n">
        <x:f>IF(AND(ISNUMBER(I58),ISNUMBER(D58)),I58*D58,"n.a.")</x:f>
        <x:v>25000</x:v>
      </x:c>
      <x:c r="K58" s="12" t="n">
        <x:f>IF(AND(ISNUMBER(I58),I58&gt;0),G58/I58,"n.a.")</x:f>
        <x:v>385.8332046783626</x:v>
      </x:c>
      <x:c r="L58" s="12" t="n">
        <x:f>IF(ISNUMBER(J58),J58-G58,"n.a.")</x:f>
        <x:v>15354.169883040935</x:v>
      </x:c>
      <x:c r="M58" s="35" t="n">
        <x:f>IF(AND(ISNUMBER(J58),J58&gt;0),L58/J58,"n.a.")</x:f>
        <x:v>0.6141667953216374</x:v>
      </x:c>
      <x:c r="N58" s="29" t="n">
        <x:f>IF(AND(ISNUMBER(D58),D58&gt;0),ROUNDUP(G58/(D58*E58),0)*E58,"n.a.")</x:f>
        <x:v>10</x:v>
      </x:c>
      <x:c r="O58" s="35" t="n">
        <x:f>IF(AND(ISNUMBER(H58),H58&gt;0,ISNUMBER(N58)),N58/H58,"n.a.")</x:f>
        <x:v>0.4</x:v>
      </x:c>
      <x:c r="P58" s="33" t="n">
        <x:f>Batches!D18</x:f>
        <x:v>0</x:v>
      </x:c>
      <x:c r="Q58" s="37" t="str">
        <x:f>IF(AND(P58=0,ISNUMBER(J58),COUNT(Batches!G18:K18)=5),J58-G58-H58*Batches!G18-Batches!M18,"n.a.")</x:f>
        <x:v>n.a.</x:v>
      </x:c>
      <x:c r="R58" s="12" t="str">
        <x:f>IF(P58&gt;0,"Partial ingredient costs",IF(ISNUMBER(Q58),"Modeled operating profit","Other operating costs missing"))</x:f>
        <x:v>Other operating costs missing</x:v>
      </x:c>
      <x:c r="S58" s="12" t="str">
        <x:v>'Pain au lait'!B25:C25</x:v>
      </x:c>
    </x:row>
    <x:row r="59" ht="28" customHeight="1">
      <x:c r="A59" s="2" t="str">
        <x:v>Pain au lait</x:v>
      </x:c>
      <x:c r="B59" s="11" t="str">
        <x:v>Manual offer; confirm</x:v>
      </x:c>
      <x:c r="C59" s="13" t="n">
        <x:v>133</x:v>
      </x:c>
      <x:c r="D59" s="13" t="n">
        <x:v>150</x:v>
      </x:c>
      <x:c r="E59" s="13" t="n">
        <x:v>1</x:v>
      </x:c>
      <x:c r="F59" s="20" t="n">
        <x:f>Batches!L18</x:f>
        <x:v>20457</x:v>
      </x:c>
      <x:c r="G59" s="20" t="n">
        <x:f>Batches!C18</x:f>
        <x:v>9645.830116959065</x:v>
      </x:c>
      <x:c r="H59" s="28" t="n">
        <x:f>IF(AND(ISNUMBER(F59),ISNUMBER(C59),C59&gt;0,E59&gt;0),ROUNDDOWN(F59/C59/E59,0)*E59,"n.a.")</x:f>
        <x:v>153</x:v>
      </x:c>
      <x:c r="I59" s="32" t="n">
        <x:f>IF(AND(ISNUMBER(H59),ISNUMBER(Batches!F18),Batches!F18&gt;=0,Batches!F18&lt;=1),ROUNDDOWN(H59*Batches!F18/E59,0)*E59,"n.a.")</x:f>
        <x:v>153</x:v>
      </x:c>
      <x:c r="J59" s="11" t="n">
        <x:f>IF(AND(ISNUMBER(I59),ISNUMBER(D59)),I59*D59,"n.a.")</x:f>
        <x:v>22950</x:v>
      </x:c>
      <x:c r="K59" s="11" t="n">
        <x:f>IF(AND(ISNUMBER(I59),I59&gt;0),G59/I59,"n.a.")</x:f>
        <x:v>63.04464128731415</x:v>
      </x:c>
      <x:c r="L59" s="11" t="n">
        <x:f>IF(ISNUMBER(J59),J59-G59,"n.a.")</x:f>
        <x:v>13304.169883040935</x:v>
      </x:c>
      <x:c r="M59" s="34" t="n">
        <x:f>IF(AND(ISNUMBER(J59),J59&gt;0),L59/J59,"n.a.")</x:f>
        <x:v>0.5797023914179057</x:v>
      </x:c>
      <x:c r="N59" s="28" t="n">
        <x:f>IF(AND(ISNUMBER(D59),D59&gt;0),ROUNDUP(G59/(D59*E59),0)*E59,"n.a.")</x:f>
        <x:v>65</x:v>
      </x:c>
      <x:c r="O59" s="34" t="n">
        <x:f>IF(AND(ISNUMBER(H59),H59&gt;0,ISNUMBER(N59)),N59/H59,"n.a.")</x:f>
        <x:v>0.42483660130718953</x:v>
      </x:c>
      <x:c r="P59" s="32" t="n">
        <x:f>Batches!D18</x:f>
        <x:v>0</x:v>
      </x:c>
      <x:c r="Q59" s="36" t="str">
        <x:f>IF(AND(P59=0,ISNUMBER(J59),COUNT(Batches!G18:K18)=5),J59-G59-H59*Batches!G18-Batches!M18,"n.a.")</x:f>
        <x:v>n.a.</x:v>
      </x:c>
      <x:c r="R59" s="11" t="str">
        <x:f>IF(P59&gt;0,"Partial ingredient costs",IF(ISNUMBER(Q59),"Modeled operating profit","Other operating costs missing"))</x:f>
        <x:v>Other operating costs missing</x:v>
      </x:c>
      <x:c r="S59" s="11" t="str">
        <x:v>'Pain au lait'!D30,F30</x:v>
      </x:c>
    </x:row>
    <x:row r="60" ht="28" customHeight="1">
      <x:c r="A60" s="10" t="str">
        <x:v>Pain au lait</x:v>
      </x:c>
      <x:c r="B60" s="12" t="str">
        <x:v>Manual offer; confirm</x:v>
      </x:c>
      <x:c r="C60" s="14" t="n">
        <x:v>130</x:v>
      </x:c>
      <x:c r="D60" s="14" t="n">
        <x:v>150</x:v>
      </x:c>
      <x:c r="E60" s="14" t="n">
        <x:v>1</x:v>
      </x:c>
      <x:c r="F60" s="21" t="n">
        <x:f>Batches!L18</x:f>
        <x:v>20457</x:v>
      </x:c>
      <x:c r="G60" s="21" t="n">
        <x:f>Batches!C18</x:f>
        <x:v>9645.830116959065</x:v>
      </x:c>
      <x:c r="H60" s="29" t="n">
        <x:f>IF(AND(ISNUMBER(F60),ISNUMBER(C60),C60&gt;0,E60&gt;0),ROUNDDOWN(F60/C60/E60,0)*E60,"n.a.")</x:f>
        <x:v>157</x:v>
      </x:c>
      <x:c r="I60" s="33" t="n">
        <x:f>IF(AND(ISNUMBER(H60),ISNUMBER(Batches!F18),Batches!F18&gt;=0,Batches!F18&lt;=1),ROUNDDOWN(H60*Batches!F18/E60,0)*E60,"n.a.")</x:f>
        <x:v>157</x:v>
      </x:c>
      <x:c r="J60" s="12" t="n">
        <x:f>IF(AND(ISNUMBER(I60),ISNUMBER(D60)),I60*D60,"n.a.")</x:f>
        <x:v>23550</x:v>
      </x:c>
      <x:c r="K60" s="12" t="n">
        <x:f>IF(AND(ISNUMBER(I60),I60&gt;0),G60/I60,"n.a.")</x:f>
        <x:v>61.4384083882743</x:v>
      </x:c>
      <x:c r="L60" s="12" t="n">
        <x:f>IF(ISNUMBER(J60),J60-G60,"n.a.")</x:f>
        <x:v>13904.169883040935</x:v>
      </x:c>
      <x:c r="M60" s="35" t="n">
        <x:f>IF(AND(ISNUMBER(J60),J60&gt;0),L60/J60,"n.a.")</x:f>
        <x:v>0.590410610744838</x:v>
      </x:c>
      <x:c r="N60" s="29" t="n">
        <x:f>IF(AND(ISNUMBER(D60),D60&gt;0),ROUNDUP(G60/(D60*E60),0)*E60,"n.a.")</x:f>
        <x:v>65</x:v>
      </x:c>
      <x:c r="O60" s="35" t="n">
        <x:f>IF(AND(ISNUMBER(H60),H60&gt;0,ISNUMBER(N60)),N60/H60,"n.a.")</x:f>
        <x:v>0.4140127388535032</x:v>
      </x:c>
      <x:c r="P60" s="33" t="n">
        <x:f>Batches!D18</x:f>
        <x:v>0</x:v>
      </x:c>
      <x:c r="Q60" s="37" t="str">
        <x:f>IF(AND(P60=0,ISNUMBER(J60),COUNT(Batches!G18:K18)=5),J60-G60-H60*Batches!G18-Batches!M18,"n.a.")</x:f>
        <x:v>n.a.</x:v>
      </x:c>
      <x:c r="R60" s="12" t="str">
        <x:f>IF(P60&gt;0,"Partial ingredient costs",IF(ISNUMBER(Q60),"Modeled operating profit","Other operating costs missing"))</x:f>
        <x:v>Other operating costs missing</x:v>
      </x:c>
      <x:c r="S60" s="12" t="str">
        <x:v>'Pain au lait'!D31,F31</x:v>
      </x:c>
    </x:row>
    <x:row r="61" ht="28" customHeight="1">
      <x:c r="A61" s="2" t="str">
        <x:v>Pain au lait</x:v>
      </x:c>
      <x:c r="B61" s="11" t="str">
        <x:v>12-piece wholesale pack</x:v>
      </x:c>
      <x:c r="C61" s="13" t="n">
        <x:v>800</x:v>
      </x:c>
      <x:c r="D61" s="13" t="n">
        <x:v>833.3333333333334</x:v>
      </x:c>
      <x:c r="E61" s="13" t="n">
        <x:v>12</x:v>
      </x:c>
      <x:c r="F61" s="20" t="n">
        <x:f>Batches!L18</x:f>
        <x:v>20457</x:v>
      </x:c>
      <x:c r="G61" s="20" t="n">
        <x:f>Batches!C18</x:f>
        <x:v>9645.830116959065</x:v>
      </x:c>
      <x:c r="H61" s="28" t="n">
        <x:f>IF(AND(ISNUMBER(F61),ISNUMBER(C61),C61&gt;0,E61&gt;0),ROUNDDOWN(F61/C61/E61,0)*E61,"n.a.")</x:f>
        <x:v>24</x:v>
      </x:c>
      <x:c r="I61" s="32" t="n">
        <x:f>IF(AND(ISNUMBER(H61),ISNUMBER(Batches!F18),Batches!F18&gt;=0,Batches!F18&lt;=1),ROUNDDOWN(H61*Batches!F18/E61,0)*E61,"n.a.")</x:f>
        <x:v>24</x:v>
      </x:c>
      <x:c r="J61" s="11" t="n">
        <x:f>IF(AND(ISNUMBER(I61),ISNUMBER(D61)),I61*D61,"n.a.")</x:f>
        <x:v>20000</x:v>
      </x:c>
      <x:c r="K61" s="11" t="n">
        <x:f>IF(AND(ISNUMBER(I61),I61&gt;0),G61/I61,"n.a.")</x:f>
        <x:v>401.9095882066277</x:v>
      </x:c>
      <x:c r="L61" s="11" t="n">
        <x:f>IF(ISNUMBER(J61),J61-G61,"n.a.")</x:f>
        <x:v>10354.169883040935</x:v>
      </x:c>
      <x:c r="M61" s="34" t="n">
        <x:f>IF(AND(ISNUMBER(J61),J61&gt;0),L61/J61,"n.a.")</x:f>
        <x:v>0.5177084941520468</x:v>
      </x:c>
      <x:c r="N61" s="28" t="n">
        <x:f>IF(AND(ISNUMBER(D61),D61&gt;0),ROUNDUP(G61/(D61*E61),0)*E61,"n.a.")</x:f>
        <x:v>12</x:v>
      </x:c>
      <x:c r="O61" s="34" t="n">
        <x:f>IF(AND(ISNUMBER(H61),H61&gt;0,ISNUMBER(N61)),N61/H61,"n.a.")</x:f>
        <x:v>0.5</x:v>
      </x:c>
      <x:c r="P61" s="32" t="n">
        <x:f>Batches!D18</x:f>
        <x:v>0</x:v>
      </x:c>
      <x:c r="Q61" s="36" t="str">
        <x:f>IF(AND(P61=0,ISNUMBER(J61),COUNT(Batches!G18:K18)=5),J61-G61-H61*Batches!G18-Batches!M18,"n.a.")</x:f>
        <x:v>n.a.</x:v>
      </x:c>
      <x:c r="R61" s="11" t="str">
        <x:f>IF(P61&gt;0,"Partial ingredient costs",IF(ISNUMBER(Q61),"Modeled operating profit","Other operating costs missing"))</x:f>
        <x:v>Other operating costs missing</x:v>
      </x:c>
      <x:c r="S61" s="11" t="str">
        <x:v>'Pain au lait'!K25</x:v>
      </x:c>
    </x:row>
    <x:row r="62" ht="28" customHeight="1">
      <x:c r="A62" s="10" t="str">
        <x:v>NEW BRIOCHE</x:v>
      </x:c>
      <x:c r="B62" s="12" t="str">
        <x:v>Main offer</x:v>
      </x:c>
      <x:c r="C62" s="14" t="n">
        <x:v>82</x:v>
      </x:c>
      <x:c r="D62" s="14" t="n">
        <x:v>100</x:v>
      </x:c>
      <x:c r="E62" s="14" t="n">
        <x:v>1</x:v>
      </x:c>
      <x:c r="F62" s="21" t="n">
        <x:f>Batches!L19</x:f>
        <x:v>17213</x:v>
      </x:c>
      <x:c r="G62" s="21" t="n">
        <x:f>Batches!C19</x:f>
        <x:v>10838.378070175437</x:v>
      </x:c>
      <x:c r="H62" s="29" t="n">
        <x:f>IF(AND(ISNUMBER(F62),ISNUMBER(C62),C62&gt;0,E62&gt;0),ROUNDDOWN(F62/C62/E62,0)*E62,"n.a.")</x:f>
        <x:v>209</x:v>
      </x:c>
      <x:c r="I62" s="33" t="n">
        <x:f>IF(AND(ISNUMBER(H62),ISNUMBER(Batches!F19),Batches!F19&gt;=0,Batches!F19&lt;=1),ROUNDDOWN(H62*Batches!F19/E62,0)*E62,"n.a.")</x:f>
        <x:v>209</x:v>
      </x:c>
      <x:c r="J62" s="12" t="n">
        <x:f>IF(AND(ISNUMBER(I62),ISNUMBER(D62)),I62*D62,"n.a.")</x:f>
        <x:v>20900</x:v>
      </x:c>
      <x:c r="K62" s="12" t="n">
        <x:f>IF(AND(ISNUMBER(I62),I62&gt;0),G62/I62,"n.a.")</x:f>
        <x:v>51.858268278351375</x:v>
      </x:c>
      <x:c r="L62" s="12" t="n">
        <x:f>IF(ISNUMBER(J62),J62-G62,"n.a.")</x:f>
        <x:v>10061.621929824563</x:v>
      </x:c>
      <x:c r="M62" s="35" t="n">
        <x:f>IF(AND(ISNUMBER(J62),J62&gt;0),L62/J62,"n.a.")</x:f>
        <x:v>0.4814173172164863</x:v>
      </x:c>
      <x:c r="N62" s="29" t="n">
        <x:f>IF(AND(ISNUMBER(D62),D62&gt;0),ROUNDUP(G62/(D62*E62),0)*E62,"n.a.")</x:f>
        <x:v>109</x:v>
      </x:c>
      <x:c r="O62" s="35" t="n">
        <x:f>IF(AND(ISNUMBER(H62),H62&gt;0,ISNUMBER(N62)),N62/H62,"n.a.")</x:f>
        <x:v>0.5215311004784688</x:v>
      </x:c>
      <x:c r="P62" s="33" t="n">
        <x:f>Batches!D19</x:f>
        <x:v>0</x:v>
      </x:c>
      <x:c r="Q62" s="37" t="str">
        <x:f>IF(AND(P62=0,ISNUMBER(J62),COUNT(Batches!G19:K19)=5),J62-G62-H62*Batches!G19-Batches!M19,"n.a.")</x:f>
        <x:v>n.a.</x:v>
      </x:c>
      <x:c r="R62" s="12" t="str">
        <x:f>IF(P62&gt;0,"Partial ingredient costs",IF(ISNUMBER(Q62),"Modeled operating profit","Other operating costs missing"))</x:f>
        <x:v>Other operating costs missing</x:v>
      </x:c>
      <x:c r="S62" s="12" t="str">
        <x:v>'NEW BRIOCHE'!B21:C21</x:v>
      </x:c>
    </x:row>
    <x:row r="63" ht="28" customHeight="1">
      <x:c r="A63" s="2" t="str">
        <x:v>NEW BRIOCHE</x:v>
      </x:c>
      <x:c r="B63" s="11" t="str">
        <x:v>Main offer</x:v>
      </x:c>
      <x:c r="C63" s="13" t="n">
        <x:v>140</x:v>
      </x:c>
      <x:c r="D63" s="13" t="n">
        <x:v>200</x:v>
      </x:c>
      <x:c r="E63" s="13" t="n">
        <x:v>1</x:v>
      </x:c>
      <x:c r="F63" s="20" t="n">
        <x:f>Batches!L19</x:f>
        <x:v>17213</x:v>
      </x:c>
      <x:c r="G63" s="20" t="n">
        <x:f>Batches!C19</x:f>
        <x:v>10838.378070175437</x:v>
      </x:c>
      <x:c r="H63" s="28" t="n">
        <x:f>IF(AND(ISNUMBER(F63),ISNUMBER(C63),C63&gt;0,E63&gt;0),ROUNDDOWN(F63/C63/E63,0)*E63,"n.a.")</x:f>
        <x:v>122</x:v>
      </x:c>
      <x:c r="I63" s="32" t="n">
        <x:f>IF(AND(ISNUMBER(H63),ISNUMBER(Batches!F19),Batches!F19&gt;=0,Batches!F19&lt;=1),ROUNDDOWN(H63*Batches!F19/E63,0)*E63,"n.a.")</x:f>
        <x:v>122</x:v>
      </x:c>
      <x:c r="J63" s="11" t="n">
        <x:f>IF(AND(ISNUMBER(I63),ISNUMBER(D63)),I63*D63,"n.a.")</x:f>
        <x:v>24400</x:v>
      </x:c>
      <x:c r="K63" s="11" t="n">
        <x:f>IF(AND(ISNUMBER(I63),I63&gt;0),G63/I63,"n.a.")</x:f>
        <x:v>88.83916450963473</x:v>
      </x:c>
      <x:c r="L63" s="11" t="n">
        <x:f>IF(ISNUMBER(J63),J63-G63,"n.a.")</x:f>
        <x:v>13561.621929824563</x:v>
      </x:c>
      <x:c r="M63" s="34" t="n">
        <x:f>IF(AND(ISNUMBER(J63),J63&gt;0),L63/J63,"n.a.")</x:f>
        <x:v>0.5558041774518263</x:v>
      </x:c>
      <x:c r="N63" s="28" t="n">
        <x:f>IF(AND(ISNUMBER(D63),D63&gt;0),ROUNDUP(G63/(D63*E63),0)*E63,"n.a.")</x:f>
        <x:v>55</x:v>
      </x:c>
      <x:c r="O63" s="34" t="n">
        <x:f>IF(AND(ISNUMBER(H63),H63&gt;0,ISNUMBER(N63)),N63/H63,"n.a.")</x:f>
        <x:v>0.45081967213114754</x:v>
      </x:c>
      <x:c r="P63" s="32" t="n">
        <x:f>Batches!D19</x:f>
        <x:v>0</x:v>
      </x:c>
      <x:c r="Q63" s="36" t="str">
        <x:f>IF(AND(P63=0,ISNUMBER(J63),COUNT(Batches!G19:K19)=5),J63-G63-H63*Batches!G19-Batches!M19,"n.a.")</x:f>
        <x:v>n.a.</x:v>
      </x:c>
      <x:c r="R63" s="11" t="str">
        <x:f>IF(P63&gt;0,"Partial ingredient costs",IF(ISNUMBER(Q63),"Modeled operating profit","Other operating costs missing"))</x:f>
        <x:v>Other operating costs missing</x:v>
      </x:c>
      <x:c r="S63" s="11" t="str">
        <x:v>'NEW BRIOCHE'!B22:C22</x:v>
      </x:c>
    </x:row>
    <x:row r="64" ht="28" customHeight="1">
      <x:c r="A64" s="10" t="str">
        <x:v>NEW BRIOCHE</x:v>
      </x:c>
      <x:c r="B64" s="12" t="str">
        <x:v>Main offer</x:v>
      </x:c>
      <x:c r="C64" s="14" t="n">
        <x:v>700</x:v>
      </x:c>
      <x:c r="D64" s="14" t="n">
        <x:v>1000</x:v>
      </x:c>
      <x:c r="E64" s="14" t="n">
        <x:v>1</x:v>
      </x:c>
      <x:c r="F64" s="21" t="n">
        <x:f>Batches!L19</x:f>
        <x:v>17213</x:v>
      </x:c>
      <x:c r="G64" s="21" t="n">
        <x:f>Batches!C19</x:f>
        <x:v>10838.378070175437</x:v>
      </x:c>
      <x:c r="H64" s="29" t="n">
        <x:f>IF(AND(ISNUMBER(F64),ISNUMBER(C64),C64&gt;0,E64&gt;0),ROUNDDOWN(F64/C64/E64,0)*E64,"n.a.")</x:f>
        <x:v>24</x:v>
      </x:c>
      <x:c r="I64" s="33" t="n">
        <x:f>IF(AND(ISNUMBER(H64),ISNUMBER(Batches!F19),Batches!F19&gt;=0,Batches!F19&lt;=1),ROUNDDOWN(H64*Batches!F19/E64,0)*E64,"n.a.")</x:f>
        <x:v>24</x:v>
      </x:c>
      <x:c r="J64" s="12" t="n">
        <x:f>IF(AND(ISNUMBER(I64),ISNUMBER(D64)),I64*D64,"n.a.")</x:f>
        <x:v>24000</x:v>
      </x:c>
      <x:c r="K64" s="12" t="n">
        <x:f>IF(AND(ISNUMBER(I64),I64&gt;0),G64/I64,"n.a.")</x:f>
        <x:v>451.59908625730986</x:v>
      </x:c>
      <x:c r="L64" s="12" t="n">
        <x:f>IF(ISNUMBER(J64),J64-G64,"n.a.")</x:f>
        <x:v>13161.621929824563</x:v>
      </x:c>
      <x:c r="M64" s="35" t="n">
        <x:f>IF(AND(ISNUMBER(J64),J64&gt;0),L64/J64,"n.a.")</x:f>
        <x:v>0.5484009137426902</x:v>
      </x:c>
      <x:c r="N64" s="29" t="n">
        <x:f>IF(AND(ISNUMBER(D64),D64&gt;0),ROUNDUP(G64/(D64*E64),0)*E64,"n.a.")</x:f>
        <x:v>11</x:v>
      </x:c>
      <x:c r="O64" s="35" t="n">
        <x:f>IF(AND(ISNUMBER(H64),H64&gt;0,ISNUMBER(N64)),N64/H64,"n.a.")</x:f>
        <x:v>0.4583333333333333</x:v>
      </x:c>
      <x:c r="P64" s="33" t="n">
        <x:f>Batches!D19</x:f>
        <x:v>0</x:v>
      </x:c>
      <x:c r="Q64" s="37" t="str">
        <x:f>IF(AND(P64=0,ISNUMBER(J64),COUNT(Batches!G19:K19)=5),J64-G64-H64*Batches!G19-Batches!M19,"n.a.")</x:f>
        <x:v>n.a.</x:v>
      </x:c>
      <x:c r="R64" s="12" t="str">
        <x:f>IF(P64&gt;0,"Partial ingredient costs",IF(ISNUMBER(Q64),"Modeled operating profit","Other operating costs missing"))</x:f>
        <x:v>Other operating costs missing</x:v>
      </x:c>
      <x:c r="S64" s="12" t="str">
        <x:v>'NEW BRIOCHE'!B23:C23</x:v>
      </x:c>
    </x:row>
    <x:row r="65" ht="28" customHeight="1">
      <x:c r="A65" s="2" t="str">
        <x:v>NEW BRIOCHE</x:v>
      </x:c>
      <x:c r="B65" s="11" t="str">
        <x:v>Manual offer; confirm</x:v>
      </x:c>
      <x:c r="C65" s="13" t="n">
        <x:v>700</x:v>
      </x:c>
      <x:c r="D65" s="13" t="n">
        <x:v>1000</x:v>
      </x:c>
      <x:c r="E65" s="13" t="n">
        <x:v>1</x:v>
      </x:c>
      <x:c r="F65" s="20" t="n">
        <x:f>Batches!L19</x:f>
        <x:v>17213</x:v>
      </x:c>
      <x:c r="G65" s="20" t="n">
        <x:f>Batches!C19</x:f>
        <x:v>10838.378070175437</x:v>
      </x:c>
      <x:c r="H65" s="28" t="n">
        <x:f>IF(AND(ISNUMBER(F65),ISNUMBER(C65),C65&gt;0,E65&gt;0),ROUNDDOWN(F65/C65/E65,0)*E65,"n.a.")</x:f>
        <x:v>24</x:v>
      </x:c>
      <x:c r="I65" s="32" t="n">
        <x:f>IF(AND(ISNUMBER(H65),ISNUMBER(Batches!F19),Batches!F19&gt;=0,Batches!F19&lt;=1),ROUNDDOWN(H65*Batches!F19/E65,0)*E65,"n.a.")</x:f>
        <x:v>24</x:v>
      </x:c>
      <x:c r="J65" s="11" t="n">
        <x:f>IF(AND(ISNUMBER(I65),ISNUMBER(D65)),I65*D65,"n.a.")</x:f>
        <x:v>24000</x:v>
      </x:c>
      <x:c r="K65" s="11" t="n">
        <x:f>IF(AND(ISNUMBER(I65),I65&gt;0),G65/I65,"n.a.")</x:f>
        <x:v>451.59908625730986</x:v>
      </x:c>
      <x:c r="L65" s="11" t="n">
        <x:f>IF(ISNUMBER(J65),J65-G65,"n.a.")</x:f>
        <x:v>13161.621929824563</x:v>
      </x:c>
      <x:c r="M65" s="34" t="n">
        <x:f>IF(AND(ISNUMBER(J65),J65&gt;0),L65/J65,"n.a.")</x:f>
        <x:v>0.5484009137426902</x:v>
      </x:c>
      <x:c r="N65" s="28" t="n">
        <x:f>IF(AND(ISNUMBER(D65),D65&gt;0),ROUNDUP(G65/(D65*E65),0)*E65,"n.a.")</x:f>
        <x:v>11</x:v>
      </x:c>
      <x:c r="O65" s="34" t="n">
        <x:f>IF(AND(ISNUMBER(H65),H65&gt;0,ISNUMBER(N65)),N65/H65,"n.a.")</x:f>
        <x:v>0.4583333333333333</x:v>
      </x:c>
      <x:c r="P65" s="32" t="n">
        <x:f>Batches!D19</x:f>
        <x:v>0</x:v>
      </x:c>
      <x:c r="Q65" s="36" t="str">
        <x:f>IF(AND(P65=0,ISNUMBER(J65),COUNT(Batches!G19:K19)=5),J65-G65-H65*Batches!G19-Batches!M19,"n.a.")</x:f>
        <x:v>n.a.</x:v>
      </x:c>
      <x:c r="R65" s="11" t="str">
        <x:f>IF(P65&gt;0,"Partial ingredient costs",IF(ISNUMBER(Q65),"Modeled operating profit","Other operating costs missing"))</x:f>
        <x:v>Other operating costs missing</x:v>
      </x:c>
      <x:c r="S65" s="11" t="str">
        <x:v>'NEW BRIOCHE'!D28,F28</x:v>
      </x:c>
    </x:row>
    <x:row r="66" ht="28" customHeight="1">
      <x:c r="A66" s="10" t="str">
        <x:v>NEW BRIOCHE</x:v>
      </x:c>
      <x:c r="B66" s="12" t="str">
        <x:v>Manual offer; confirm</x:v>
      </x:c>
      <x:c r="C66" s="14" t="n">
        <x:v>86</x:v>
      </x:c>
      <x:c r="D66" s="14" t="n">
        <x:v>100</x:v>
      </x:c>
      <x:c r="E66" s="14" t="n">
        <x:v>1</x:v>
      </x:c>
      <x:c r="F66" s="21" t="n">
        <x:f>Batches!L19</x:f>
        <x:v>17213</x:v>
      </x:c>
      <x:c r="G66" s="21" t="n">
        <x:f>Batches!C19</x:f>
        <x:v>10838.378070175437</x:v>
      </x:c>
      <x:c r="H66" s="29" t="n">
        <x:f>IF(AND(ISNUMBER(F66),ISNUMBER(C66),C66&gt;0,E66&gt;0),ROUNDDOWN(F66/C66/E66,0)*E66,"n.a.")</x:f>
        <x:v>200</x:v>
      </x:c>
      <x:c r="I66" s="33" t="n">
        <x:f>IF(AND(ISNUMBER(H66),ISNUMBER(Batches!F19),Batches!F19&gt;=0,Batches!F19&lt;=1),ROUNDDOWN(H66*Batches!F19/E66,0)*E66,"n.a.")</x:f>
        <x:v>200</x:v>
      </x:c>
      <x:c r="J66" s="12" t="n">
        <x:f>IF(AND(ISNUMBER(I66),ISNUMBER(D66)),I66*D66,"n.a.")</x:f>
        <x:v>20000</x:v>
      </x:c>
      <x:c r="K66" s="12" t="n">
        <x:f>IF(AND(ISNUMBER(I66),I66&gt;0),G66/I66,"n.a.")</x:f>
        <x:v>54.19189035087718</x:v>
      </x:c>
      <x:c r="L66" s="12" t="n">
        <x:f>IF(ISNUMBER(J66),J66-G66,"n.a.")</x:f>
        <x:v>9161.621929824563</x:v>
      </x:c>
      <x:c r="M66" s="35" t="n">
        <x:f>IF(AND(ISNUMBER(J66),J66&gt;0),L66/J66,"n.a.")</x:f>
        <x:v>0.4580810964912282</x:v>
      </x:c>
      <x:c r="N66" s="29" t="n">
        <x:f>IF(AND(ISNUMBER(D66),D66&gt;0),ROUNDUP(G66/(D66*E66),0)*E66,"n.a.")</x:f>
        <x:v>109</x:v>
      </x:c>
      <x:c r="O66" s="35" t="n">
        <x:f>IF(AND(ISNUMBER(H66),H66&gt;0,ISNUMBER(N66)),N66/H66,"n.a.")</x:f>
        <x:v>0.545</x:v>
      </x:c>
      <x:c r="P66" s="33" t="n">
        <x:f>Batches!D19</x:f>
        <x:v>0</x:v>
      </x:c>
      <x:c r="Q66" s="37" t="str">
        <x:f>IF(AND(P66=0,ISNUMBER(J66),COUNT(Batches!G19:K19)=5),J66-G66-H66*Batches!G19-Batches!M19,"n.a.")</x:f>
        <x:v>n.a.</x:v>
      </x:c>
      <x:c r="R66" s="12" t="str">
        <x:f>IF(P66&gt;0,"Partial ingredient costs",IF(ISNUMBER(Q66),"Modeled operating profit","Other operating costs missing"))</x:f>
        <x:v>Other operating costs missing</x:v>
      </x:c>
      <x:c r="S66" s="12" t="str">
        <x:v>'NEW BRIOCHE'!D29,F29</x:v>
      </x:c>
    </x:row>
    <x:row r="67" ht="28" customHeight="1">
      <x:c r="A67" s="2" t="str">
        <x:v>NEW BRIOCHE</x:v>
      </x:c>
      <x:c r="B67" s="11" t="str">
        <x:v>12-piece wholesale pack</x:v>
      </x:c>
      <x:c r="C67" s="13" t="n">
        <x:v>82</x:v>
      </x:c>
      <x:c r="D67" s="13" t="n">
        <x:v>83.33333333333333</x:v>
      </x:c>
      <x:c r="E67" s="13" t="n">
        <x:v>12</x:v>
      </x:c>
      <x:c r="F67" s="20" t="n">
        <x:f>Batches!L19</x:f>
        <x:v>17213</x:v>
      </x:c>
      <x:c r="G67" s="20" t="n">
        <x:f>Batches!C19</x:f>
        <x:v>10838.378070175437</x:v>
      </x:c>
      <x:c r="H67" s="28" t="n">
        <x:f>IF(AND(ISNUMBER(F67),ISNUMBER(C67),C67&gt;0,E67&gt;0),ROUNDDOWN(F67/C67/E67,0)*E67,"n.a.")</x:f>
        <x:v>204</x:v>
      </x:c>
      <x:c r="I67" s="32" t="n">
        <x:f>IF(AND(ISNUMBER(H67),ISNUMBER(Batches!F19),Batches!F19&gt;=0,Batches!F19&lt;=1),ROUNDDOWN(H67*Batches!F19/E67,0)*E67,"n.a.")</x:f>
        <x:v>204</x:v>
      </x:c>
      <x:c r="J67" s="11" t="n">
        <x:f>IF(AND(ISNUMBER(I67),ISNUMBER(D67)),I67*D67,"n.a.")</x:f>
        <x:v>17000</x:v>
      </x:c>
      <x:c r="K67" s="11" t="n">
        <x:f>IF(AND(ISNUMBER(I67),I67&gt;0),G67/I67,"n.a.")</x:f>
        <x:v>53.129304265565864</x:v>
      </x:c>
      <x:c r="L67" s="11" t="n">
        <x:f>IF(ISNUMBER(J67),J67-G67,"n.a.")</x:f>
        <x:v>6161.621929824563</x:v>
      </x:c>
      <x:c r="M67" s="34" t="n">
        <x:f>IF(AND(ISNUMBER(J67),J67&gt;0),L67/J67,"n.a.")</x:f>
        <x:v>0.3624483488132096</x:v>
      </x:c>
      <x:c r="N67" s="28" t="n">
        <x:f>IF(AND(ISNUMBER(D67),D67&gt;0),ROUNDUP(G67/(D67*E67),0)*E67,"n.a.")</x:f>
        <x:v>132</x:v>
      </x:c>
      <x:c r="O67" s="34" t="n">
        <x:f>IF(AND(ISNUMBER(H67),H67&gt;0,ISNUMBER(N67)),N67/H67,"n.a.")</x:f>
        <x:v>0.6470588235294118</x:v>
      </x:c>
      <x:c r="P67" s="32" t="n">
        <x:f>Batches!D19</x:f>
        <x:v>0</x:v>
      </x:c>
      <x:c r="Q67" s="36" t="str">
        <x:f>IF(AND(P67=0,ISNUMBER(J67),COUNT(Batches!G19:K19)=5),J67-G67-H67*Batches!G19-Batches!M19,"n.a.")</x:f>
        <x:v>n.a.</x:v>
      </x:c>
      <x:c r="R67" s="11" t="str">
        <x:f>IF(P67&gt;0,"Partial ingredient costs",IF(ISNUMBER(Q67),"Modeled operating profit","Other operating costs missing"))</x:f>
        <x:v>Other operating costs missing</x:v>
      </x:c>
      <x:c r="S67" s="11" t="str">
        <x:v>'NEW BRIOCHE'!K21</x:v>
      </x:c>
    </x:row>
    <x:row r="68" ht="28" customHeight="1">
      <x:c r="A68" s="10" t="str">
        <x:v>Brioche Professionel</x:v>
      </x:c>
      <x:c r="B68" s="12" t="str">
        <x:v>Main offer</x:v>
      </x:c>
      <x:c r="C68" s="14" t="n">
        <x:v>70</x:v>
      </x:c>
      <x:c r="D68" s="14" t="n">
        <x:v>100</x:v>
      </x:c>
      <x:c r="E68" s="14" t="n">
        <x:v>1</x:v>
      </x:c>
      <x:c r="F68" s="21" t="n">
        <x:f>Batches!L20</x:f>
        <x:v>10750</x:v>
      </x:c>
      <x:c r="G68" s="21" t="n">
        <x:f>Batches!C20</x:f>
        <x:v>8800.684210526317</x:v>
      </x:c>
      <x:c r="H68" s="29" t="n">
        <x:f>IF(AND(ISNUMBER(F68),ISNUMBER(C68),C68&gt;0,E68&gt;0),ROUNDDOWN(F68/C68/E68,0)*E68,"n.a.")</x:f>
        <x:v>153</x:v>
      </x:c>
      <x:c r="I68" s="33" t="n">
        <x:f>IF(AND(ISNUMBER(H68),ISNUMBER(Batches!F20),Batches!F20&gt;=0,Batches!F20&lt;=1),ROUNDDOWN(H68*Batches!F20/E68,0)*E68,"n.a.")</x:f>
        <x:v>153</x:v>
      </x:c>
      <x:c r="J68" s="12" t="n">
        <x:f>IF(AND(ISNUMBER(I68),ISNUMBER(D68)),I68*D68,"n.a.")</x:f>
        <x:v>15300</x:v>
      </x:c>
      <x:c r="K68" s="12" t="n">
        <x:f>IF(AND(ISNUMBER(I68),I68&gt;0),G68/I68,"n.a.")</x:f>
        <x:v>57.52081183350534</x:v>
      </x:c>
      <x:c r="L68" s="12" t="n">
        <x:f>IF(ISNUMBER(J68),J68-G68,"n.a.")</x:f>
        <x:v>6499.315789473683</x:v>
      </x:c>
      <x:c r="M68" s="35" t="n">
        <x:f>IF(AND(ISNUMBER(J68),J68&gt;0),L68/J68,"n.a.")</x:f>
        <x:v>0.42479188166494664</x:v>
      </x:c>
      <x:c r="N68" s="29" t="n">
        <x:f>IF(AND(ISNUMBER(D68),D68&gt;0),ROUNDUP(G68/(D68*E68),0)*E68,"n.a.")</x:f>
        <x:v>89</x:v>
      </x:c>
      <x:c r="O68" s="35" t="n">
        <x:f>IF(AND(ISNUMBER(H68),H68&gt;0,ISNUMBER(N68)),N68/H68,"n.a.")</x:f>
        <x:v>0.5816993464052288</x:v>
      </x:c>
      <x:c r="P68" s="33" t="n">
        <x:f>Batches!D20</x:f>
        <x:v>0</x:v>
      </x:c>
      <x:c r="Q68" s="37" t="str">
        <x:f>IF(AND(P68=0,ISNUMBER(J68),COUNT(Batches!G20:K20)=5),J68-G68-H68*Batches!G20-Batches!M20,"n.a.")</x:f>
        <x:v>n.a.</x:v>
      </x:c>
      <x:c r="R68" s="12" t="str">
        <x:f>IF(P68&gt;0,"Partial ingredient costs",IF(ISNUMBER(Q68),"Modeled operating profit","Other operating costs missing"))</x:f>
        <x:v>Other operating costs missing</x:v>
      </x:c>
      <x:c r="S68" s="12" t="str">
        <x:v>'Brioche Professionel'!B19:C19</x:v>
      </x:c>
    </x:row>
    <x:row r="69" ht="28" customHeight="1">
      <x:c r="A69" s="2" t="str">
        <x:v>Brioche Professionel</x:v>
      </x:c>
      <x:c r="B69" s="11" t="str">
        <x:v>Main offer</x:v>
      </x:c>
      <x:c r="C69" s="13" t="n">
        <x:v>220</x:v>
      </x:c>
      <x:c r="D69" s="13" t="n">
        <x:v>300</x:v>
      </x:c>
      <x:c r="E69" s="13" t="n">
        <x:v>1</x:v>
      </x:c>
      <x:c r="F69" s="20" t="n">
        <x:f>Batches!L20</x:f>
        <x:v>10750</x:v>
      </x:c>
      <x:c r="G69" s="20" t="n">
        <x:f>Batches!C20</x:f>
        <x:v>8800.684210526317</x:v>
      </x:c>
      <x:c r="H69" s="28" t="n">
        <x:f>IF(AND(ISNUMBER(F69),ISNUMBER(C69),C69&gt;0,E69&gt;0),ROUNDDOWN(F69/C69/E69,0)*E69,"n.a.")</x:f>
        <x:v>48</x:v>
      </x:c>
      <x:c r="I69" s="32" t="n">
        <x:f>IF(AND(ISNUMBER(H69),ISNUMBER(Batches!F20),Batches!F20&gt;=0,Batches!F20&lt;=1),ROUNDDOWN(H69*Batches!F20/E69,0)*E69,"n.a.")</x:f>
        <x:v>48</x:v>
      </x:c>
      <x:c r="J69" s="11" t="n">
        <x:f>IF(AND(ISNUMBER(I69),ISNUMBER(D69)),I69*D69,"n.a.")</x:f>
        <x:v>14400</x:v>
      </x:c>
      <x:c r="K69" s="11" t="n">
        <x:f>IF(AND(ISNUMBER(I69),I69&gt;0),G69/I69,"n.a.")</x:f>
        <x:v>183.34758771929828</x:v>
      </x:c>
      <x:c r="L69" s="11" t="n">
        <x:f>IF(ISNUMBER(J69),J69-G69,"n.a.")</x:f>
        <x:v>5599.315789473683</x:v>
      </x:c>
      <x:c r="M69" s="34" t="n">
        <x:f>IF(AND(ISNUMBER(J69),J69&gt;0),L69/J69,"n.a.")</x:f>
        <x:v>0.3888413742690058</x:v>
      </x:c>
      <x:c r="N69" s="28" t="n">
        <x:f>IF(AND(ISNUMBER(D69),D69&gt;0),ROUNDUP(G69/(D69*E69),0)*E69,"n.a.")</x:f>
        <x:v>30</x:v>
      </x:c>
      <x:c r="O69" s="34" t="n">
        <x:f>IF(AND(ISNUMBER(H69),H69&gt;0,ISNUMBER(N69)),N69/H69,"n.a.")</x:f>
        <x:v>0.625</x:v>
      </x:c>
      <x:c r="P69" s="32" t="n">
        <x:f>Batches!D20</x:f>
        <x:v>0</x:v>
      </x:c>
      <x:c r="Q69" s="36" t="str">
        <x:f>IF(AND(P69=0,ISNUMBER(J69),COUNT(Batches!G20:K20)=5),J69-G69-H69*Batches!G20-Batches!M20,"n.a.")</x:f>
        <x:v>n.a.</x:v>
      </x:c>
      <x:c r="R69" s="11" t="str">
        <x:f>IF(P69&gt;0,"Partial ingredient costs",IF(ISNUMBER(Q69),"Modeled operating profit","Other operating costs missing"))</x:f>
        <x:v>Other operating costs missing</x:v>
      </x:c>
      <x:c r="S69" s="11" t="str">
        <x:v>'Brioche Professionel'!B20:C20</x:v>
      </x:c>
    </x:row>
    <x:row r="70" ht="28" customHeight="1">
      <x:c r="A70" s="10" t="str">
        <x:v>Brioche Professionel</x:v>
      </x:c>
      <x:c r="B70" s="12" t="str">
        <x:v>Main offer</x:v>
      </x:c>
      <x:c r="C70" s="14" t="n">
        <x:v>800</x:v>
      </x:c>
      <x:c r="D70" s="14" t="n">
        <x:v>1000</x:v>
      </x:c>
      <x:c r="E70" s="14" t="n">
        <x:v>1</x:v>
      </x:c>
      <x:c r="F70" s="21" t="n">
        <x:f>Batches!L20</x:f>
        <x:v>10750</x:v>
      </x:c>
      <x:c r="G70" s="21" t="n">
        <x:f>Batches!C20</x:f>
        <x:v>8800.684210526317</x:v>
      </x:c>
      <x:c r="H70" s="29" t="n">
        <x:f>IF(AND(ISNUMBER(F70),ISNUMBER(C70),C70&gt;0,E70&gt;0),ROUNDDOWN(F70/C70/E70,0)*E70,"n.a.")</x:f>
        <x:v>13</x:v>
      </x:c>
      <x:c r="I70" s="33" t="n">
        <x:f>IF(AND(ISNUMBER(H70),ISNUMBER(Batches!F20),Batches!F20&gt;=0,Batches!F20&lt;=1),ROUNDDOWN(H70*Batches!F20/E70,0)*E70,"n.a.")</x:f>
        <x:v>13</x:v>
      </x:c>
      <x:c r="J70" s="12" t="n">
        <x:f>IF(AND(ISNUMBER(I70),ISNUMBER(D70)),I70*D70,"n.a.")</x:f>
        <x:v>13000</x:v>
      </x:c>
      <x:c r="K70" s="12" t="n">
        <x:f>IF(AND(ISNUMBER(I70),I70&gt;0),G70/I70,"n.a.")</x:f>
        <x:v>676.9757085020244</x:v>
      </x:c>
      <x:c r="L70" s="12" t="n">
        <x:f>IF(ISNUMBER(J70),J70-G70,"n.a.")</x:f>
        <x:v>4199.315789473683</x:v>
      </x:c>
      <x:c r="M70" s="35" t="n">
        <x:f>IF(AND(ISNUMBER(J70),J70&gt;0),L70/J70,"n.a.")</x:f>
        <x:v>0.3230242914979756</x:v>
      </x:c>
      <x:c r="N70" s="29" t="n">
        <x:f>IF(AND(ISNUMBER(D70),D70&gt;0),ROUNDUP(G70/(D70*E70),0)*E70,"n.a.")</x:f>
        <x:v>9</x:v>
      </x:c>
      <x:c r="O70" s="35" t="n">
        <x:f>IF(AND(ISNUMBER(H70),H70&gt;0,ISNUMBER(N70)),N70/H70,"n.a.")</x:f>
        <x:v>0.6923076923076923</x:v>
      </x:c>
      <x:c r="P70" s="33" t="n">
        <x:f>Batches!D20</x:f>
        <x:v>0</x:v>
      </x:c>
      <x:c r="Q70" s="37" t="str">
        <x:f>IF(AND(P70=0,ISNUMBER(J70),COUNT(Batches!G20:K20)=5),J70-G70-H70*Batches!G20-Batches!M20,"n.a.")</x:f>
        <x:v>n.a.</x:v>
      </x:c>
      <x:c r="R70" s="12" t="str">
        <x:f>IF(P70&gt;0,"Partial ingredient costs",IF(ISNUMBER(Q70),"Modeled operating profit","Other operating costs missing"))</x:f>
        <x:v>Other operating costs missing</x:v>
      </x:c>
      <x:c r="S70" s="12" t="str">
        <x:v>'Brioche Professionel'!B21:C21</x:v>
      </x:c>
    </x:row>
    <x:row r="71" ht="28" customHeight="1">
      <x:c r="A71" s="2" t="str">
        <x:v>Brioche Professionel</x:v>
      </x:c>
      <x:c r="B71" s="11" t="str">
        <x:v>Manual offer; confirm</x:v>
      </x:c>
      <x:c r="C71" s="13" t="n">
        <x:v>80</x:v>
      </x:c>
      <x:c r="D71" s="13" t="n">
        <x:v>100</x:v>
      </x:c>
      <x:c r="E71" s="13" t="n">
        <x:v>1</x:v>
      </x:c>
      <x:c r="F71" s="20" t="n">
        <x:f>Batches!L20</x:f>
        <x:v>10750</x:v>
      </x:c>
      <x:c r="G71" s="20" t="n">
        <x:f>Batches!C20</x:f>
        <x:v>8800.684210526317</x:v>
      </x:c>
      <x:c r="H71" s="28" t="n">
        <x:f>IF(AND(ISNUMBER(F71),ISNUMBER(C71),C71&gt;0,E71&gt;0),ROUNDDOWN(F71/C71/E71,0)*E71,"n.a.")</x:f>
        <x:v>134</x:v>
      </x:c>
      <x:c r="I71" s="32" t="n">
        <x:f>IF(AND(ISNUMBER(H71),ISNUMBER(Batches!F20),Batches!F20&gt;=0,Batches!F20&lt;=1),ROUNDDOWN(H71*Batches!F20/E71,0)*E71,"n.a.")</x:f>
        <x:v>134</x:v>
      </x:c>
      <x:c r="J71" s="11" t="n">
        <x:f>IF(AND(ISNUMBER(I71),ISNUMBER(D71)),I71*D71,"n.a.")</x:f>
        <x:v>13400</x:v>
      </x:c>
      <x:c r="K71" s="11" t="n">
        <x:f>IF(AND(ISNUMBER(I71),I71&gt;0),G71/I71,"n.a.")</x:f>
        <x:v>65.67674783974863</x:v>
      </x:c>
      <x:c r="L71" s="11" t="n">
        <x:f>IF(ISNUMBER(J71),J71-G71,"n.a.")</x:f>
        <x:v>4599.315789473683</x:v>
      </x:c>
      <x:c r="M71" s="34" t="n">
        <x:f>IF(AND(ISNUMBER(J71),J71&gt;0),L71/J71,"n.a.")</x:f>
        <x:v>0.34323252160251366</x:v>
      </x:c>
      <x:c r="N71" s="28" t="n">
        <x:f>IF(AND(ISNUMBER(D71),D71&gt;0),ROUNDUP(G71/(D71*E71),0)*E71,"n.a.")</x:f>
        <x:v>89</x:v>
      </x:c>
      <x:c r="O71" s="34" t="n">
        <x:f>IF(AND(ISNUMBER(H71),H71&gt;0,ISNUMBER(N71)),N71/H71,"n.a.")</x:f>
        <x:v>0.664179104477612</x:v>
      </x:c>
      <x:c r="P71" s="32" t="n">
        <x:f>Batches!D20</x:f>
        <x:v>0</x:v>
      </x:c>
      <x:c r="Q71" s="36" t="str">
        <x:f>IF(AND(P71=0,ISNUMBER(J71),COUNT(Batches!G20:K20)=5),J71-G71-H71*Batches!G20-Batches!M20,"n.a.")</x:f>
        <x:v>n.a.</x:v>
      </x:c>
      <x:c r="R71" s="11" t="str">
        <x:f>IF(P71&gt;0,"Partial ingredient costs",IF(ISNUMBER(Q71),"Modeled operating profit","Other operating costs missing"))</x:f>
        <x:v>Other operating costs missing</x:v>
      </x:c>
      <x:c r="S71" s="11" t="str">
        <x:v>'Brioche Professionel'!D25,F25</x:v>
      </x:c>
    </x:row>
    <x:row r="72" ht="28" customHeight="1">
      <x:c r="A72" s="10" t="str">
        <x:v>professinal Buns</x:v>
      </x:c>
      <x:c r="B72" s="12" t="str">
        <x:v>Main offer</x:v>
      </x:c>
      <x:c r="C72" s="14" t="n">
        <x:v>95</x:v>
      </x:c>
      <x:c r="D72" s="14" t="n">
        <x:v>100</x:v>
      </x:c>
      <x:c r="E72" s="14" t="n">
        <x:v>1</x:v>
      </x:c>
      <x:c r="F72" s="21" t="n">
        <x:f>Batches!L21</x:f>
        <x:v>13905</x:v>
      </x:c>
      <x:c r="G72" s="21" t="n">
        <x:f>Batches!C21</x:f>
        <x:v>9383.410116959063</x:v>
      </x:c>
      <x:c r="H72" s="29" t="n">
        <x:f>IF(AND(ISNUMBER(F72),ISNUMBER(C72),C72&gt;0,E72&gt;0),ROUNDDOWN(F72/C72/E72,0)*E72,"n.a.")</x:f>
        <x:v>146</x:v>
      </x:c>
      <x:c r="I72" s="33" t="n">
        <x:f>IF(AND(ISNUMBER(H72),ISNUMBER(Batches!F21),Batches!F21&gt;=0,Batches!F21&lt;=1),ROUNDDOWN(H72*Batches!F21/E72,0)*E72,"n.a.")</x:f>
        <x:v>146</x:v>
      </x:c>
      <x:c r="J72" s="12" t="n">
        <x:f>IF(AND(ISNUMBER(I72),ISNUMBER(D72)),I72*D72,"n.a.")</x:f>
        <x:v>14600</x:v>
      </x:c>
      <x:c r="K72" s="12" t="n">
        <x:f>IF(AND(ISNUMBER(I72),I72&gt;0),G72/I72,"n.a.")</x:f>
        <x:v>64.26993230793879</x:v>
      </x:c>
      <x:c r="L72" s="12" t="n">
        <x:f>IF(ISNUMBER(J72),J72-G72,"n.a.")</x:f>
        <x:v>5216.589883040937</x:v>
      </x:c>
      <x:c r="M72" s="35" t="n">
        <x:f>IF(AND(ISNUMBER(J72),J72&gt;0),L72/J72,"n.a.")</x:f>
        <x:v>0.3573006769206121</x:v>
      </x:c>
      <x:c r="N72" s="29" t="n">
        <x:f>IF(AND(ISNUMBER(D72),D72&gt;0),ROUNDUP(G72/(D72*E72),0)*E72,"n.a.")</x:f>
        <x:v>94</x:v>
      </x:c>
      <x:c r="O72" s="35" t="n">
        <x:f>IF(AND(ISNUMBER(H72),H72&gt;0,ISNUMBER(N72)),N72/H72,"n.a.")</x:f>
        <x:v>0.6438356164383562</x:v>
      </x:c>
      <x:c r="P72" s="33" t="n">
        <x:f>Batches!D21</x:f>
        <x:v>0</x:v>
      </x:c>
      <x:c r="Q72" s="37" t="str">
        <x:f>IF(AND(P72=0,ISNUMBER(J72),COUNT(Batches!G21:K21)=5),J72-G72-H72*Batches!G21-Batches!M21,"n.a.")</x:f>
        <x:v>n.a.</x:v>
      </x:c>
      <x:c r="R72" s="12" t="str">
        <x:f>IF(P72&gt;0,"Partial ingredient costs",IF(ISNUMBER(Q72),"Modeled operating profit","Other operating costs missing"))</x:f>
        <x:v>Other operating costs missing</x:v>
      </x:c>
      <x:c r="S72" s="12" t="str">
        <x:v>'professinal Buns'!B23:C23</x:v>
      </x:c>
    </x:row>
    <x:row r="73" ht="28" customHeight="1">
      <x:c r="A73" s="2" t="str">
        <x:v>professinal Buns</x:v>
      </x:c>
      <x:c r="B73" s="11" t="str">
        <x:v>Main offer</x:v>
      </x:c>
      <x:c r="C73" s="13" t="n">
        <x:v>140</x:v>
      </x:c>
      <x:c r="D73" s="13" t="n">
        <x:v>150</x:v>
      </x:c>
      <x:c r="E73" s="13" t="n">
        <x:v>1</x:v>
      </x:c>
      <x:c r="F73" s="20" t="n">
        <x:f>Batches!L21</x:f>
        <x:v>13905</x:v>
      </x:c>
      <x:c r="G73" s="20" t="n">
        <x:f>Batches!C21</x:f>
        <x:v>9383.410116959063</x:v>
      </x:c>
      <x:c r="H73" s="28" t="n">
        <x:f>IF(AND(ISNUMBER(F73),ISNUMBER(C73),C73&gt;0,E73&gt;0),ROUNDDOWN(F73/C73/E73,0)*E73,"n.a.")</x:f>
        <x:v>99</x:v>
      </x:c>
      <x:c r="I73" s="32" t="n">
        <x:f>IF(AND(ISNUMBER(H73),ISNUMBER(Batches!F21),Batches!F21&gt;=0,Batches!F21&lt;=1),ROUNDDOWN(H73*Batches!F21/E73,0)*E73,"n.a.")</x:f>
        <x:v>99</x:v>
      </x:c>
      <x:c r="J73" s="11" t="n">
        <x:f>IF(AND(ISNUMBER(I73),ISNUMBER(D73)),I73*D73,"n.a.")</x:f>
        <x:v>14850</x:v>
      </x:c>
      <x:c r="K73" s="11" t="n">
        <x:f>IF(AND(ISNUMBER(I73),I73&gt;0),G73/I73,"n.a.")</x:f>
        <x:v>94.78192037332387</x:v>
      </x:c>
      <x:c r="L73" s="11" t="n">
        <x:f>IF(ISNUMBER(J73),J73-G73,"n.a.")</x:f>
        <x:v>5466.589883040937</x:v>
      </x:c>
      <x:c r="M73" s="34" t="n">
        <x:f>IF(AND(ISNUMBER(J73),J73&gt;0),L73/J73,"n.a.")</x:f>
        <x:v>0.3681205308445075</x:v>
      </x:c>
      <x:c r="N73" s="28" t="n">
        <x:f>IF(AND(ISNUMBER(D73),D73&gt;0),ROUNDUP(G73/(D73*E73),0)*E73,"n.a.")</x:f>
        <x:v>63</x:v>
      </x:c>
      <x:c r="O73" s="34" t="n">
        <x:f>IF(AND(ISNUMBER(H73),H73&gt;0,ISNUMBER(N73)),N73/H73,"n.a.")</x:f>
        <x:v>0.6363636363636364</x:v>
      </x:c>
      <x:c r="P73" s="32" t="n">
        <x:f>Batches!D21</x:f>
        <x:v>0</x:v>
      </x:c>
      <x:c r="Q73" s="36" t="str">
        <x:f>IF(AND(P73=0,ISNUMBER(J73),COUNT(Batches!G21:K21)=5),J73-G73-H73*Batches!G21-Batches!M21,"n.a.")</x:f>
        <x:v>n.a.</x:v>
      </x:c>
      <x:c r="R73" s="11" t="str">
        <x:f>IF(P73&gt;0,"Partial ingredient costs",IF(ISNUMBER(Q73),"Modeled operating profit","Other operating costs missing"))</x:f>
        <x:v>Other operating costs missing</x:v>
      </x:c>
      <x:c r="S73" s="11" t="str">
        <x:v>'professinal Buns'!B24:C24</x:v>
      </x:c>
    </x:row>
    <x:row r="74" ht="28" customHeight="1">
      <x:c r="A74" s="10" t="str">
        <x:v>professinal Buns</x:v>
      </x:c>
      <x:c r="B74" s="12" t="str">
        <x:v>Main offer</x:v>
      </x:c>
      <x:c r="C74" s="14" t="n">
        <x:v>800</x:v>
      </x:c>
      <x:c r="D74" s="14" t="n">
        <x:v>1000</x:v>
      </x:c>
      <x:c r="E74" s="14" t="n">
        <x:v>1</x:v>
      </x:c>
      <x:c r="F74" s="21" t="n">
        <x:f>Batches!L21</x:f>
        <x:v>13905</x:v>
      </x:c>
      <x:c r="G74" s="21" t="n">
        <x:f>Batches!C21</x:f>
        <x:v>9383.410116959063</x:v>
      </x:c>
      <x:c r="H74" s="29" t="n">
        <x:f>IF(AND(ISNUMBER(F74),ISNUMBER(C74),C74&gt;0,E74&gt;0),ROUNDDOWN(F74/C74/E74,0)*E74,"n.a.")</x:f>
        <x:v>17</x:v>
      </x:c>
      <x:c r="I74" s="33" t="n">
        <x:f>IF(AND(ISNUMBER(H74),ISNUMBER(Batches!F21),Batches!F21&gt;=0,Batches!F21&lt;=1),ROUNDDOWN(H74*Batches!F21/E74,0)*E74,"n.a.")</x:f>
        <x:v>17</x:v>
      </x:c>
      <x:c r="J74" s="12" t="n">
        <x:f>IF(AND(ISNUMBER(I74),ISNUMBER(D74)),I74*D74,"n.a.")</x:f>
        <x:v>17000</x:v>
      </x:c>
      <x:c r="K74" s="12" t="n">
        <x:f>IF(AND(ISNUMBER(I74),I74&gt;0),G74/I74,"n.a.")</x:f>
        <x:v>551.965300997592</x:v>
      </x:c>
      <x:c r="L74" s="12" t="n">
        <x:f>IF(ISNUMBER(J74),J74-G74,"n.a.")</x:f>
        <x:v>7616.589883040937</x:v>
      </x:c>
      <x:c r="M74" s="35" t="n">
        <x:f>IF(AND(ISNUMBER(J74),J74&gt;0),L74/J74,"n.a.")</x:f>
        <x:v>0.44803469900240805</x:v>
      </x:c>
      <x:c r="N74" s="29" t="n">
        <x:f>IF(AND(ISNUMBER(D74),D74&gt;0),ROUNDUP(G74/(D74*E74),0)*E74,"n.a.")</x:f>
        <x:v>10</x:v>
      </x:c>
      <x:c r="O74" s="35" t="n">
        <x:f>IF(AND(ISNUMBER(H74),H74&gt;0,ISNUMBER(N74)),N74/H74,"n.a.")</x:f>
        <x:v>0.5882352941176471</x:v>
      </x:c>
      <x:c r="P74" s="33" t="n">
        <x:f>Batches!D21</x:f>
        <x:v>0</x:v>
      </x:c>
      <x:c r="Q74" s="37" t="str">
        <x:f>IF(AND(P74=0,ISNUMBER(J74),COUNT(Batches!G21:K21)=5),J74-G74-H74*Batches!G21-Batches!M21,"n.a.")</x:f>
        <x:v>n.a.</x:v>
      </x:c>
      <x:c r="R74" s="12" t="str">
        <x:f>IF(P74&gt;0,"Partial ingredient costs",IF(ISNUMBER(Q74),"Modeled operating profit","Other operating costs missing"))</x:f>
        <x:v>Other operating costs missing</x:v>
      </x:c>
      <x:c r="S74" s="12" t="str">
        <x:v>'professinal Buns'!B25:C25</x:v>
      </x:c>
    </x:row>
    <x:row r="75" ht="28" customHeight="1">
      <x:c r="A75" s="2" t="str">
        <x:v>professinal Buns</x:v>
      </x:c>
      <x:c r="B75" s="11" t="str">
        <x:v>Manual offer; confirm</x:v>
      </x:c>
      <x:c r="C75" s="13" t="n">
        <x:v>95</x:v>
      </x:c>
      <x:c r="D75" s="13" t="n">
        <x:v>100</x:v>
      </x:c>
      <x:c r="E75" s="13" t="n">
        <x:v>1</x:v>
      </x:c>
      <x:c r="F75" s="20" t="n">
        <x:f>Batches!L21</x:f>
        <x:v>13905</x:v>
      </x:c>
      <x:c r="G75" s="20" t="n">
        <x:f>Batches!C21</x:f>
        <x:v>9383.410116959063</x:v>
      </x:c>
      <x:c r="H75" s="28" t="n">
        <x:f>IF(AND(ISNUMBER(F75),ISNUMBER(C75),C75&gt;0,E75&gt;0),ROUNDDOWN(F75/C75/E75,0)*E75,"n.a.")</x:f>
        <x:v>146</x:v>
      </x:c>
      <x:c r="I75" s="32" t="n">
        <x:f>IF(AND(ISNUMBER(H75),ISNUMBER(Batches!F21),Batches!F21&gt;=0,Batches!F21&lt;=1),ROUNDDOWN(H75*Batches!F21/E75,0)*E75,"n.a.")</x:f>
        <x:v>146</x:v>
      </x:c>
      <x:c r="J75" s="11" t="n">
        <x:f>IF(AND(ISNUMBER(I75),ISNUMBER(D75)),I75*D75,"n.a.")</x:f>
        <x:v>14600</x:v>
      </x:c>
      <x:c r="K75" s="11" t="n">
        <x:f>IF(AND(ISNUMBER(I75),I75&gt;0),G75/I75,"n.a.")</x:f>
        <x:v>64.26993230793879</x:v>
      </x:c>
      <x:c r="L75" s="11" t="n">
        <x:f>IF(ISNUMBER(J75),J75-G75,"n.a.")</x:f>
        <x:v>5216.589883040937</x:v>
      </x:c>
      <x:c r="M75" s="34" t="n">
        <x:f>IF(AND(ISNUMBER(J75),J75&gt;0),L75/J75,"n.a.")</x:f>
        <x:v>0.3573006769206121</x:v>
      </x:c>
      <x:c r="N75" s="28" t="n">
        <x:f>IF(AND(ISNUMBER(D75),D75&gt;0),ROUNDUP(G75/(D75*E75),0)*E75,"n.a.")</x:f>
        <x:v>94</x:v>
      </x:c>
      <x:c r="O75" s="34" t="n">
        <x:f>IF(AND(ISNUMBER(H75),H75&gt;0,ISNUMBER(N75)),N75/H75,"n.a.")</x:f>
        <x:v>0.6438356164383562</x:v>
      </x:c>
      <x:c r="P75" s="32" t="n">
        <x:f>Batches!D21</x:f>
        <x:v>0</x:v>
      </x:c>
      <x:c r="Q75" s="36" t="str">
        <x:f>IF(AND(P75=0,ISNUMBER(J75),COUNT(Batches!G21:K21)=5),J75-G75-H75*Batches!G21-Batches!M21,"n.a.")</x:f>
        <x:v>n.a.</x:v>
      </x:c>
      <x:c r="R75" s="11" t="str">
        <x:f>IF(P75&gt;0,"Partial ingredient costs",IF(ISNUMBER(Q75),"Modeled operating profit","Other operating costs missing"))</x:f>
        <x:v>Other operating costs missing</x:v>
      </x:c>
      <x:c r="S75" s="11" t="str">
        <x:v>'professinal Buns'!D29,F29</x:v>
      </x:c>
    </x:row>
    <x:row r="76" ht="28" customHeight="1">
      <x:c r="A76" s="10" t="str">
        <x:v>professinal Buns</x:v>
      </x:c>
      <x:c r="B76" s="12" t="str">
        <x:v>Manual offer; confirm</x:v>
      </x:c>
      <x:c r="C76" s="14" t="n">
        <x:v>140</x:v>
      </x:c>
      <x:c r="D76" s="14" t="n">
        <x:v>150</x:v>
      </x:c>
      <x:c r="E76" s="14" t="n">
        <x:v>1</x:v>
      </x:c>
      <x:c r="F76" s="21" t="n">
        <x:f>Batches!L21</x:f>
        <x:v>13905</x:v>
      </x:c>
      <x:c r="G76" s="21" t="n">
        <x:f>Batches!C21</x:f>
        <x:v>9383.410116959063</x:v>
      </x:c>
      <x:c r="H76" s="29" t="n">
        <x:f>IF(AND(ISNUMBER(F76),ISNUMBER(C76),C76&gt;0,E76&gt;0),ROUNDDOWN(F76/C76/E76,0)*E76,"n.a.")</x:f>
        <x:v>99</x:v>
      </x:c>
      <x:c r="I76" s="33" t="n">
        <x:f>IF(AND(ISNUMBER(H76),ISNUMBER(Batches!F21),Batches!F21&gt;=0,Batches!F21&lt;=1),ROUNDDOWN(H76*Batches!F21/E76,0)*E76,"n.a.")</x:f>
        <x:v>99</x:v>
      </x:c>
      <x:c r="J76" s="12" t="n">
        <x:f>IF(AND(ISNUMBER(I76),ISNUMBER(D76)),I76*D76,"n.a.")</x:f>
        <x:v>14850</x:v>
      </x:c>
      <x:c r="K76" s="12" t="n">
        <x:f>IF(AND(ISNUMBER(I76),I76&gt;0),G76/I76,"n.a.")</x:f>
        <x:v>94.78192037332387</x:v>
      </x:c>
      <x:c r="L76" s="12" t="n">
        <x:f>IF(ISNUMBER(J76),J76-G76,"n.a.")</x:f>
        <x:v>5466.589883040937</x:v>
      </x:c>
      <x:c r="M76" s="35" t="n">
        <x:f>IF(AND(ISNUMBER(J76),J76&gt;0),L76/J76,"n.a.")</x:f>
        <x:v>0.3681205308445075</x:v>
      </x:c>
      <x:c r="N76" s="29" t="n">
        <x:f>IF(AND(ISNUMBER(D76),D76&gt;0),ROUNDUP(G76/(D76*E76),0)*E76,"n.a.")</x:f>
        <x:v>63</x:v>
      </x:c>
      <x:c r="O76" s="35" t="n">
        <x:f>IF(AND(ISNUMBER(H76),H76&gt;0,ISNUMBER(N76)),N76/H76,"n.a.")</x:f>
        <x:v>0.6363636363636364</x:v>
      </x:c>
      <x:c r="P76" s="33" t="n">
        <x:f>Batches!D21</x:f>
        <x:v>0</x:v>
      </x:c>
      <x:c r="Q76" s="37" t="str">
        <x:f>IF(AND(P76=0,ISNUMBER(J76),COUNT(Batches!G21:K21)=5),J76-G76-H76*Batches!G21-Batches!M21,"n.a.")</x:f>
        <x:v>n.a.</x:v>
      </x:c>
      <x:c r="R76" s="12" t="str">
        <x:f>IF(P76&gt;0,"Partial ingredient costs",IF(ISNUMBER(Q76),"Modeled operating profit","Other operating costs missing"))</x:f>
        <x:v>Other operating costs missing</x:v>
      </x:c>
      <x:c r="S76" s="12" t="str">
        <x:v>'professinal Buns'!D30,F30</x:v>
      </x:c>
    </x:row>
    <x:row r="77" ht="28" customHeight="1">
      <x:c r="A77" s="2" t="str">
        <x:v>brioche</x:v>
      </x:c>
      <x:c r="B77" s="11" t="str">
        <x:v>Main offer</x:v>
      </x:c>
      <x:c r="C77" s="13" t="n">
        <x:v>82</x:v>
      </x:c>
      <x:c r="D77" s="13" t="n">
        <x:v>100</x:v>
      </x:c>
      <x:c r="E77" s="13" t="n">
        <x:v>1</x:v>
      </x:c>
      <x:c r="F77" s="20" t="n">
        <x:f>Batches!L22</x:f>
        <x:v>17400</x:v>
      </x:c>
      <x:c r="G77" s="20" t="n">
        <x:f>Batches!C22</x:f>
        <x:v>10861.148070175437</x:v>
      </x:c>
      <x:c r="H77" s="28" t="n">
        <x:f>IF(AND(ISNUMBER(F77),ISNUMBER(C77),C77&gt;0,E77&gt;0),ROUNDDOWN(F77/C77/E77,0)*E77,"n.a.")</x:f>
        <x:v>212</x:v>
      </x:c>
      <x:c r="I77" s="32" t="n">
        <x:f>IF(AND(ISNUMBER(H77),ISNUMBER(Batches!F22),Batches!F22&gt;=0,Batches!F22&lt;=1),ROUNDDOWN(H77*Batches!F22/E77,0)*E77,"n.a.")</x:f>
        <x:v>212</x:v>
      </x:c>
      <x:c r="J77" s="11" t="n">
        <x:f>IF(AND(ISNUMBER(I77),ISNUMBER(D77)),I77*D77,"n.a.")</x:f>
        <x:v>21200</x:v>
      </x:c>
      <x:c r="K77" s="11" t="n">
        <x:f>IF(AND(ISNUMBER(I77),I77&gt;0),G77/I77,"n.a.")</x:f>
        <x:v>51.23183051969546</x:v>
      </x:c>
      <x:c r="L77" s="11" t="n">
        <x:f>IF(ISNUMBER(J77),J77-G77,"n.a.")</x:f>
        <x:v>10338.851929824563</x:v>
      </x:c>
      <x:c r="M77" s="34" t="n">
        <x:f>IF(AND(ISNUMBER(J77),J77&gt;0),L77/J77,"n.a.")</x:f>
        <x:v>0.4876816948030454</x:v>
      </x:c>
      <x:c r="N77" s="28" t="n">
        <x:f>IF(AND(ISNUMBER(D77),D77&gt;0),ROUNDUP(G77/(D77*E77),0)*E77,"n.a.")</x:f>
        <x:v>109</x:v>
      </x:c>
      <x:c r="O77" s="34" t="n">
        <x:f>IF(AND(ISNUMBER(H77),H77&gt;0,ISNUMBER(N77)),N77/H77,"n.a.")</x:f>
        <x:v>0.5141509433962265</x:v>
      </x:c>
      <x:c r="P77" s="32" t="n">
        <x:f>Batches!D22</x:f>
        <x:v>0</x:v>
      </x:c>
      <x:c r="Q77" s="36" t="str">
        <x:f>IF(AND(P77=0,ISNUMBER(J77),COUNT(Batches!G22:K22)=5),J77-G77-H77*Batches!G22-Batches!M22,"n.a.")</x:f>
        <x:v>n.a.</x:v>
      </x:c>
      <x:c r="R77" s="11" t="str">
        <x:f>IF(P77&gt;0,"Partial ingredient costs",IF(ISNUMBER(Q77),"Modeled operating profit","Other operating costs missing"))</x:f>
        <x:v>Other operating costs missing</x:v>
      </x:c>
      <x:c r="S77" s="11" t="str">
        <x:v>'brioche'!B21:C21</x:v>
      </x:c>
    </x:row>
    <x:row r="78" ht="28" customHeight="1">
      <x:c r="A78" s="10" t="str">
        <x:v>brioche</x:v>
      </x:c>
      <x:c r="B78" s="12" t="str">
        <x:v>Main offer</x:v>
      </x:c>
      <x:c r="C78" s="14" t="n">
        <x:v>160</x:v>
      </x:c>
      <x:c r="D78" s="14" t="n">
        <x:v>200</x:v>
      </x:c>
      <x:c r="E78" s="14" t="n">
        <x:v>1</x:v>
      </x:c>
      <x:c r="F78" s="21" t="n">
        <x:f>Batches!L22</x:f>
        <x:v>17400</x:v>
      </x:c>
      <x:c r="G78" s="21" t="n">
        <x:f>Batches!C22</x:f>
        <x:v>10861.148070175437</x:v>
      </x:c>
      <x:c r="H78" s="29" t="n">
        <x:f>IF(AND(ISNUMBER(F78),ISNUMBER(C78),C78&gt;0,E78&gt;0),ROUNDDOWN(F78/C78/E78,0)*E78,"n.a.")</x:f>
        <x:v>108</x:v>
      </x:c>
      <x:c r="I78" s="33" t="n">
        <x:f>IF(AND(ISNUMBER(H78),ISNUMBER(Batches!F22),Batches!F22&gt;=0,Batches!F22&lt;=1),ROUNDDOWN(H78*Batches!F22/E78,0)*E78,"n.a.")</x:f>
        <x:v>108</x:v>
      </x:c>
      <x:c r="J78" s="12" t="n">
        <x:f>IF(AND(ISNUMBER(I78),ISNUMBER(D78)),I78*D78,"n.a.")</x:f>
        <x:v>21600</x:v>
      </x:c>
      <x:c r="K78" s="12" t="n">
        <x:f>IF(AND(ISNUMBER(I78),I78&gt;0),G78/I78,"n.a.")</x:f>
        <x:v>100.56618583495775</x:v>
      </x:c>
      <x:c r="L78" s="12" t="n">
        <x:f>IF(ISNUMBER(J78),J78-G78,"n.a.")</x:f>
        <x:v>10738.851929824563</x:v>
      </x:c>
      <x:c r="M78" s="35" t="n">
        <x:f>IF(AND(ISNUMBER(J78),J78&gt;0),L78/J78,"n.a.")</x:f>
        <x:v>0.4971690708252112</x:v>
      </x:c>
      <x:c r="N78" s="29" t="n">
        <x:f>IF(AND(ISNUMBER(D78),D78&gt;0),ROUNDUP(G78/(D78*E78),0)*E78,"n.a.")</x:f>
        <x:v>55</x:v>
      </x:c>
      <x:c r="O78" s="35" t="n">
        <x:f>IF(AND(ISNUMBER(H78),H78&gt;0,ISNUMBER(N78)),N78/H78,"n.a.")</x:f>
        <x:v>0.5092592592592593</x:v>
      </x:c>
      <x:c r="P78" s="33" t="n">
        <x:f>Batches!D22</x:f>
        <x:v>0</x:v>
      </x:c>
      <x:c r="Q78" s="37" t="str">
        <x:f>IF(AND(P78=0,ISNUMBER(J78),COUNT(Batches!G22:K22)=5),J78-G78-H78*Batches!G22-Batches!M22,"n.a.")</x:f>
        <x:v>n.a.</x:v>
      </x:c>
      <x:c r="R78" s="12" t="str">
        <x:f>IF(P78&gt;0,"Partial ingredient costs",IF(ISNUMBER(Q78),"Modeled operating profit","Other operating costs missing"))</x:f>
        <x:v>Other operating costs missing</x:v>
      </x:c>
      <x:c r="S78" s="12" t="str">
        <x:v>'brioche'!B22:C22</x:v>
      </x:c>
    </x:row>
    <x:row r="79" ht="28" customHeight="1">
      <x:c r="A79" s="2" t="str">
        <x:v>brioche</x:v>
      </x:c>
      <x:c r="B79" s="11" t="str">
        <x:v>Main offer</x:v>
      </x:c>
      <x:c r="C79" s="13" t="n">
        <x:v>700</x:v>
      </x:c>
      <x:c r="D79" s="13" t="n">
        <x:v>1000</x:v>
      </x:c>
      <x:c r="E79" s="13" t="n">
        <x:v>1</x:v>
      </x:c>
      <x:c r="F79" s="20" t="n">
        <x:f>Batches!L22</x:f>
        <x:v>17400</x:v>
      </x:c>
      <x:c r="G79" s="20" t="n">
        <x:f>Batches!C22</x:f>
        <x:v>10861.148070175437</x:v>
      </x:c>
      <x:c r="H79" s="28" t="n">
        <x:f>IF(AND(ISNUMBER(F79),ISNUMBER(C79),C79&gt;0,E79&gt;0),ROUNDDOWN(F79/C79/E79,0)*E79,"n.a.")</x:f>
        <x:v>24</x:v>
      </x:c>
      <x:c r="I79" s="32" t="n">
        <x:f>IF(AND(ISNUMBER(H79),ISNUMBER(Batches!F22),Batches!F22&gt;=0,Batches!F22&lt;=1),ROUNDDOWN(H79*Batches!F22/E79,0)*E79,"n.a.")</x:f>
        <x:v>24</x:v>
      </x:c>
      <x:c r="J79" s="11" t="n">
        <x:f>IF(AND(ISNUMBER(I79),ISNUMBER(D79)),I79*D79,"n.a.")</x:f>
        <x:v>24000</x:v>
      </x:c>
      <x:c r="K79" s="11" t="n">
        <x:f>IF(AND(ISNUMBER(I79),I79&gt;0),G79/I79,"n.a.")</x:f>
        <x:v>452.5478362573099</x:v>
      </x:c>
      <x:c r="L79" s="11" t="n">
        <x:f>IF(ISNUMBER(J79),J79-G79,"n.a.")</x:f>
        <x:v>13138.851929824563</x:v>
      </x:c>
      <x:c r="M79" s="34" t="n">
        <x:f>IF(AND(ISNUMBER(J79),J79&gt;0),L79/J79,"n.a.")</x:f>
        <x:v>0.5474521637426901</x:v>
      </x:c>
      <x:c r="N79" s="28" t="n">
        <x:f>IF(AND(ISNUMBER(D79),D79&gt;0),ROUNDUP(G79/(D79*E79),0)*E79,"n.a.")</x:f>
        <x:v>11</x:v>
      </x:c>
      <x:c r="O79" s="34" t="n">
        <x:f>IF(AND(ISNUMBER(H79),H79&gt;0,ISNUMBER(N79)),N79/H79,"n.a.")</x:f>
        <x:v>0.4583333333333333</x:v>
      </x:c>
      <x:c r="P79" s="32" t="n">
        <x:f>Batches!D22</x:f>
        <x:v>0</x:v>
      </x:c>
      <x:c r="Q79" s="36" t="str">
        <x:f>IF(AND(P79=0,ISNUMBER(J79),COUNT(Batches!G22:K22)=5),J79-G79-H79*Batches!G22-Batches!M22,"n.a.")</x:f>
        <x:v>n.a.</x:v>
      </x:c>
      <x:c r="R79" s="11" t="str">
        <x:f>IF(P79&gt;0,"Partial ingredient costs",IF(ISNUMBER(Q79),"Modeled operating profit","Other operating costs missing"))</x:f>
        <x:v>Other operating costs missing</x:v>
      </x:c>
      <x:c r="S79" s="11" t="str">
        <x:v>'brioche'!B23:C23</x:v>
      </x:c>
    </x:row>
    <x:row r="80" ht="28" customHeight="1">
      <x:c r="A80" s="10" t="str">
        <x:v>Chinchin</x:v>
      </x:c>
      <x:c r="B80" s="12" t="str">
        <x:v>Main offer</x:v>
      </x:c>
      <x:c r="C80" s="14" t="n">
        <x:v>45</x:v>
      </x:c>
      <x:c r="D80" s="14" t="n">
        <x:v>100</x:v>
      </x:c>
      <x:c r="E80" s="14" t="n">
        <x:v>1</x:v>
      </x:c>
      <x:c r="F80" s="21" t="n">
        <x:f>Batches!L23</x:f>
        <x:v>6065</x:v>
      </x:c>
      <x:c r="G80" s="21" t="n">
        <x:f>Batches!C23</x:f>
        <x:v>4445.698830409357</x:v>
      </x:c>
      <x:c r="H80" s="29" t="n">
        <x:f>IF(AND(ISNUMBER(F80),ISNUMBER(C80),C80&gt;0,E80&gt;0),ROUNDDOWN(F80/C80/E80,0)*E80,"n.a.")</x:f>
        <x:v>134</x:v>
      </x:c>
      <x:c r="I80" s="33" t="n">
        <x:f>IF(AND(ISNUMBER(H80),ISNUMBER(Batches!F23),Batches!F23&gt;=0,Batches!F23&lt;=1),ROUNDDOWN(H80*Batches!F23/E80,0)*E80,"n.a.")</x:f>
        <x:v>134</x:v>
      </x:c>
      <x:c r="J80" s="12" t="n">
        <x:f>IF(AND(ISNUMBER(I80),ISNUMBER(D80)),I80*D80,"n.a.")</x:f>
        <x:v>13400</x:v>
      </x:c>
      <x:c r="K80" s="12" t="n">
        <x:f>IF(AND(ISNUMBER(I80),I80&gt;0),G80/I80,"n.a.")</x:f>
        <x:v>33.17685694335341</x:v>
      </x:c>
      <x:c r="L80" s="12" t="n">
        <x:f>IF(ISNUMBER(J80),J80-G80,"n.a.")</x:f>
        <x:v>8954.301169590643</x:v>
      </x:c>
      <x:c r="M80" s="35" t="n">
        <x:f>IF(AND(ISNUMBER(J80),J80&gt;0),L80/J80,"n.a.")</x:f>
        <x:v>0.6682314305664658</x:v>
      </x:c>
      <x:c r="N80" s="29" t="n">
        <x:f>IF(AND(ISNUMBER(D80),D80&gt;0),ROUNDUP(G80/(D80*E80),0)*E80,"n.a.")</x:f>
        <x:v>45</x:v>
      </x:c>
      <x:c r="O80" s="35" t="n">
        <x:f>IF(AND(ISNUMBER(H80),H80&gt;0,ISNUMBER(N80)),N80/H80,"n.a.")</x:f>
        <x:v>0.3358208955223881</x:v>
      </x:c>
      <x:c r="P80" s="33" t="n">
        <x:f>Batches!D23</x:f>
        <x:v>1</x:v>
      </x:c>
      <x:c r="Q80" s="37" t="str">
        <x:f>IF(AND(P80=0,ISNUMBER(J80),COUNT(Batches!G23:K23)=5),J80-G80-H80*Batches!G23-Batches!M23,"n.a.")</x:f>
        <x:v>n.a.</x:v>
      </x:c>
      <x:c r="R80" s="12" t="str">
        <x:f>IF(P80&gt;0,"Partial ingredient costs",IF(ISNUMBER(Q80),"Modeled operating profit","Other operating costs missing"))</x:f>
        <x:v>Partial ingredient costs</x:v>
      </x:c>
      <x:c r="S80" s="12" t="str">
        <x:v>'Chinchin'!B19:C19</x:v>
      </x:c>
    </x:row>
    <x:row r="81" ht="28" customHeight="1">
      <x:c r="A81" s="2" t="str">
        <x:v>Chinchin</x:v>
      </x:c>
      <x:c r="B81" s="11" t="str">
        <x:v>Main offer</x:v>
      </x:c>
      <x:c r="C81" s="13" t="n">
        <x:v>40</x:v>
      </x:c>
      <x:c r="D81" s="13" t="n">
        <x:v>100</x:v>
      </x:c>
      <x:c r="E81" s="13" t="n">
        <x:v>1</x:v>
      </x:c>
      <x:c r="F81" s="20" t="n">
        <x:f>Batches!L23</x:f>
        <x:v>6065</x:v>
      </x:c>
      <x:c r="G81" s="20" t="n">
        <x:f>Batches!C23</x:f>
        <x:v>4445.698830409357</x:v>
      </x:c>
      <x:c r="H81" s="28" t="n">
        <x:f>IF(AND(ISNUMBER(F81),ISNUMBER(C81),C81&gt;0,E81&gt;0),ROUNDDOWN(F81/C81/E81,0)*E81,"n.a.")</x:f>
        <x:v>151</x:v>
      </x:c>
      <x:c r="I81" s="32" t="n">
        <x:f>IF(AND(ISNUMBER(H81),ISNUMBER(Batches!F23),Batches!F23&gt;=0,Batches!F23&lt;=1),ROUNDDOWN(H81*Batches!F23/E81,0)*E81,"n.a.")</x:f>
        <x:v>151</x:v>
      </x:c>
      <x:c r="J81" s="11" t="n">
        <x:f>IF(AND(ISNUMBER(I81),ISNUMBER(D81)),I81*D81,"n.a.")</x:f>
        <x:v>15100</x:v>
      </x:c>
      <x:c r="K81" s="11" t="n">
        <x:f>IF(AND(ISNUMBER(I81),I81&gt;0),G81/I81,"n.a.")</x:f>
        <x:v>29.441714108671235</x:v>
      </x:c>
      <x:c r="L81" s="11" t="n">
        <x:f>IF(ISNUMBER(J81),J81-G81,"n.a.")</x:f>
        <x:v>10654.301169590643</x:v>
      </x:c>
      <x:c r="M81" s="34" t="n">
        <x:f>IF(AND(ISNUMBER(J81),J81&gt;0),L81/J81,"n.a.")</x:f>
        <x:v>0.7055828589132875</x:v>
      </x:c>
      <x:c r="N81" s="28" t="n">
        <x:f>IF(AND(ISNUMBER(D81),D81&gt;0),ROUNDUP(G81/(D81*E81),0)*E81,"n.a.")</x:f>
        <x:v>45</x:v>
      </x:c>
      <x:c r="O81" s="34" t="n">
        <x:f>IF(AND(ISNUMBER(H81),H81&gt;0,ISNUMBER(N81)),N81/H81,"n.a.")</x:f>
        <x:v>0.2980132450331126</x:v>
      </x:c>
      <x:c r="P81" s="32" t="n">
        <x:f>Batches!D23</x:f>
        <x:v>1</x:v>
      </x:c>
      <x:c r="Q81" s="36" t="str">
        <x:f>IF(AND(P81=0,ISNUMBER(J81),COUNT(Batches!G23:K23)=5),J81-G81-H81*Batches!G23-Batches!M23,"n.a.")</x:f>
        <x:v>n.a.</x:v>
      </x:c>
      <x:c r="R81" s="11" t="str">
        <x:f>IF(P81&gt;0,"Partial ingredient costs",IF(ISNUMBER(Q81),"Modeled operating profit","Other operating costs missing"))</x:f>
        <x:v>Partial ingredient costs</x:v>
      </x:c>
      <x:c r="S81" s="11" t="str">
        <x:v>'Chinchin'!B20:C20</x:v>
      </x:c>
    </x:row>
    <x:row r="82" ht="28" customHeight="1">
      <x:c r="A82" s="10" t="str">
        <x:v>Chinchin</x:v>
      </x:c>
      <x:c r="B82" s="12" t="str">
        <x:v>Main offer</x:v>
      </x:c>
      <x:c r="C82" s="14" t="n">
        <x:v>220</x:v>
      </x:c>
      <x:c r="D82" s="14" t="n">
        <x:v>500</x:v>
      </x:c>
      <x:c r="E82" s="14" t="n">
        <x:v>1</x:v>
      </x:c>
      <x:c r="F82" s="21" t="n">
        <x:f>Batches!L23</x:f>
        <x:v>6065</x:v>
      </x:c>
      <x:c r="G82" s="21" t="n">
        <x:f>Batches!C23</x:f>
        <x:v>4445.698830409357</x:v>
      </x:c>
      <x:c r="H82" s="29" t="n">
        <x:f>IF(AND(ISNUMBER(F82),ISNUMBER(C82),C82&gt;0,E82&gt;0),ROUNDDOWN(F82/C82/E82,0)*E82,"n.a.")</x:f>
        <x:v>27</x:v>
      </x:c>
      <x:c r="I82" s="33" t="n">
        <x:f>IF(AND(ISNUMBER(H82),ISNUMBER(Batches!F23),Batches!F23&gt;=0,Batches!F23&lt;=1),ROUNDDOWN(H82*Batches!F23/E82,0)*E82,"n.a.")</x:f>
        <x:v>27</x:v>
      </x:c>
      <x:c r="J82" s="12" t="n">
        <x:f>IF(AND(ISNUMBER(I82),ISNUMBER(D82)),I82*D82,"n.a.")</x:f>
        <x:v>13500</x:v>
      </x:c>
      <x:c r="K82" s="12" t="n">
        <x:f>IF(AND(ISNUMBER(I82),I82&gt;0),G82/I82,"n.a.")</x:f>
        <x:v>164.6555122373836</x:v>
      </x:c>
      <x:c r="L82" s="12" t="n">
        <x:f>IF(ISNUMBER(J82),J82-G82,"n.a.")</x:f>
        <x:v>9054.301169590643</x:v>
      </x:c>
      <x:c r="M82" s="35" t="n">
        <x:f>IF(AND(ISNUMBER(J82),J82&gt;0),L82/J82,"n.a.")</x:f>
        <x:v>0.6706889755252328</x:v>
      </x:c>
      <x:c r="N82" s="29" t="n">
        <x:f>IF(AND(ISNUMBER(D82),D82&gt;0),ROUNDUP(G82/(D82*E82),0)*E82,"n.a.")</x:f>
        <x:v>9</x:v>
      </x:c>
      <x:c r="O82" s="35" t="n">
        <x:f>IF(AND(ISNUMBER(H82),H82&gt;0,ISNUMBER(N82)),N82/H82,"n.a.")</x:f>
        <x:v>0.3333333333333333</x:v>
      </x:c>
      <x:c r="P82" s="33" t="n">
        <x:f>Batches!D23</x:f>
        <x:v>1</x:v>
      </x:c>
      <x:c r="Q82" s="37" t="str">
        <x:f>IF(AND(P82=0,ISNUMBER(J82),COUNT(Batches!G23:K23)=5),J82-G82-H82*Batches!G23-Batches!M23,"n.a.")</x:f>
        <x:v>n.a.</x:v>
      </x:c>
      <x:c r="R82" s="12" t="str">
        <x:f>IF(P82&gt;0,"Partial ingredient costs",IF(ISNUMBER(Q82),"Modeled operating profit","Other operating costs missing"))</x:f>
        <x:v>Partial ingredient costs</x:v>
      </x:c>
      <x:c r="S82" s="12" t="str">
        <x:v>'Chinchin'!B21:C21</x:v>
      </x:c>
    </x:row>
    <x:row r="83" ht="28" customHeight="1">
      <x:c r="A83" s="2" t="str">
        <x:v>Chinchin</x:v>
      </x:c>
      <x:c r="B83" s="11" t="str">
        <x:v>Manual offer; confirm</x:v>
      </x:c>
      <x:c r="C83" s="13" t="n">
        <x:v>30</x:v>
      </x:c>
      <x:c r="D83" s="13" t="n">
        <x:v>1200</x:v>
      </x:c>
      <x:c r="E83" s="13" t="n">
        <x:v>1</x:v>
      </x:c>
      <x:c r="F83" s="20" t="n">
        <x:f>Batches!L23</x:f>
        <x:v>6065</x:v>
      </x:c>
      <x:c r="G83" s="20" t="n">
        <x:f>Batches!C23</x:f>
        <x:v>4445.698830409357</x:v>
      </x:c>
      <x:c r="H83" s="28" t="n">
        <x:f>IF(AND(ISNUMBER(F83),ISNUMBER(C83),C83&gt;0,E83&gt;0),ROUNDDOWN(F83/C83/E83,0)*E83,"n.a.")</x:f>
        <x:v>202</x:v>
      </x:c>
      <x:c r="I83" s="32" t="n">
        <x:f>IF(AND(ISNUMBER(H83),ISNUMBER(Batches!F23),Batches!F23&gt;=0,Batches!F23&lt;=1),ROUNDDOWN(H83*Batches!F23/E83,0)*E83,"n.a.")</x:f>
        <x:v>202</x:v>
      </x:c>
      <x:c r="J83" s="11" t="n">
        <x:f>IF(AND(ISNUMBER(I83),ISNUMBER(D83)),I83*D83,"n.a.")</x:f>
        <x:v>242400</x:v>
      </x:c>
      <x:c r="K83" s="11" t="n">
        <x:f>IF(AND(ISNUMBER(I83),I83&gt;0),G83/I83,"n.a.")</x:f>
        <x:v>22.008410051531467</x:v>
      </x:c>
      <x:c r="L83" s="11" t="n">
        <x:f>IF(ISNUMBER(J83),J83-G83,"n.a.")</x:f>
        <x:v>237954.30116959065</x:v>
      </x:c>
      <x:c r="M83" s="34" t="n">
        <x:f>IF(AND(ISNUMBER(J83),J83&gt;0),L83/J83,"n.a.")</x:f>
        <x:v>0.9816596582903905</x:v>
      </x:c>
      <x:c r="N83" s="28" t="n">
        <x:f>IF(AND(ISNUMBER(D83),D83&gt;0),ROUNDUP(G83/(D83*E83),0)*E83,"n.a.")</x:f>
        <x:v>4</x:v>
      </x:c>
      <x:c r="O83" s="34" t="n">
        <x:f>IF(AND(ISNUMBER(H83),H83&gt;0,ISNUMBER(N83)),N83/H83,"n.a.")</x:f>
        <x:v>0.019801980198019802</x:v>
      </x:c>
      <x:c r="P83" s="32" t="n">
        <x:f>Batches!D23</x:f>
        <x:v>1</x:v>
      </x:c>
      <x:c r="Q83" s="36" t="str">
        <x:f>IF(AND(P83=0,ISNUMBER(J83),COUNT(Batches!G23:K23)=5),J83-G83-H83*Batches!G23-Batches!M23,"n.a.")</x:f>
        <x:v>n.a.</x:v>
      </x:c>
      <x:c r="R83" s="11" t="str">
        <x:f>IF(P83&gt;0,"Partial ingredient costs",IF(ISNUMBER(Q83),"Modeled operating profit","Other operating costs missing"))</x:f>
        <x:v>Partial ingredient costs</x:v>
      </x:c>
      <x:c r="S83" s="11" t="str">
        <x:v>'Chinchin'!C25,D25</x:v>
      </x:c>
    </x:row>
    <x:row r="84" ht="28" customHeight="1">
      <x:c r="A84" s="10" t="str">
        <x:v>Chinchin</x:v>
      </x:c>
      <x:c r="B84" s="12" t="str">
        <x:v>Manual offer; confirm</x:v>
      </x:c>
      <x:c r="C84" s="14" t="n">
        <x:v>160</x:v>
      </x:c>
      <x:c r="D84" s="14" t="n">
        <x:v>500</x:v>
      </x:c>
      <x:c r="E84" s="14" t="n">
        <x:v>1</x:v>
      </x:c>
      <x:c r="F84" s="21" t="n">
        <x:f>Batches!L23</x:f>
        <x:v>6065</x:v>
      </x:c>
      <x:c r="G84" s="21" t="n">
        <x:f>Batches!C23</x:f>
        <x:v>4445.698830409357</x:v>
      </x:c>
      <x:c r="H84" s="29" t="n">
        <x:f>IF(AND(ISNUMBER(F84),ISNUMBER(C84),C84&gt;0,E84&gt;0),ROUNDDOWN(F84/C84/E84,0)*E84,"n.a.")</x:f>
        <x:v>37</x:v>
      </x:c>
      <x:c r="I84" s="33" t="n">
        <x:f>IF(AND(ISNUMBER(H84),ISNUMBER(Batches!F23),Batches!F23&gt;=0,Batches!F23&lt;=1),ROUNDDOWN(H84*Batches!F23/E84,0)*E84,"n.a.")</x:f>
        <x:v>37</x:v>
      </x:c>
      <x:c r="J84" s="12" t="n">
        <x:f>IF(AND(ISNUMBER(I84),ISNUMBER(D84)),I84*D84,"n.a.")</x:f>
        <x:v>18500</x:v>
      </x:c>
      <x:c r="K84" s="12" t="n">
        <x:f>IF(AND(ISNUMBER(I84),I84&gt;0),G84/I84,"n.a.")</x:f>
        <x:v>120.15402244349612</x:v>
      </x:c>
      <x:c r="L84" s="12" t="n">
        <x:f>IF(ISNUMBER(J84),J84-G84,"n.a.")</x:f>
        <x:v>14054.301169590643</x:v>
      </x:c>
      <x:c r="M84" s="35" t="n">
        <x:f>IF(AND(ISNUMBER(J84),J84&gt;0),L84/J84,"n.a.")</x:f>
        <x:v>0.7596919551130077</x:v>
      </x:c>
      <x:c r="N84" s="29" t="n">
        <x:f>IF(AND(ISNUMBER(D84),D84&gt;0),ROUNDUP(G84/(D84*E84),0)*E84,"n.a.")</x:f>
        <x:v>9</x:v>
      </x:c>
      <x:c r="O84" s="35" t="n">
        <x:f>IF(AND(ISNUMBER(H84),H84&gt;0,ISNUMBER(N84)),N84/H84,"n.a.")</x:f>
        <x:v>0.24324324324324326</x:v>
      </x:c>
      <x:c r="P84" s="33" t="n">
        <x:f>Batches!D23</x:f>
        <x:v>1</x:v>
      </x:c>
      <x:c r="Q84" s="37" t="str">
        <x:f>IF(AND(P84=0,ISNUMBER(J84),COUNT(Batches!G23:K23)=5),J84-G84-H84*Batches!G23-Batches!M23,"n.a.")</x:f>
        <x:v>n.a.</x:v>
      </x:c>
      <x:c r="R84" s="12" t="str">
        <x:f>IF(P84&gt;0,"Partial ingredient costs",IF(ISNUMBER(Q84),"Modeled operating profit","Other operating costs missing"))</x:f>
        <x:v>Partial ingredient costs</x:v>
      </x:c>
      <x:c r="S84" s="12" t="str">
        <x:v>'Chinchin'!C26,D26</x:v>
      </x:c>
    </x:row>
    <x:row r="85" ht="28" customHeight="1">
      <x:c r="A85" s="2" t="str">
        <x:v>choko bread</x:v>
      </x:c>
      <x:c r="B85" s="11" t="str">
        <x:v>Main offer</x:v>
      </x:c>
      <x:c r="C85" s="13" t="n">
        <x:v>100</x:v>
      </x:c>
      <x:c r="D85" s="13" t="n">
        <x:v>100</x:v>
      </x:c>
      <x:c r="E85" s="13" t="n">
        <x:v>1</x:v>
      </x:c>
      <x:c r="F85" s="20" t="n">
        <x:f>Batches!L24</x:f>
        <x:v>8384</x:v>
      </x:c>
      <x:c r="G85" s="20" t="n">
        <x:f>Batches!C24</x:f>
        <x:v>4175.685087719297</x:v>
      </x:c>
      <x:c r="H85" s="28" t="n">
        <x:f>IF(AND(ISNUMBER(F85),ISNUMBER(C85),C85&gt;0,E85&gt;0),ROUNDDOWN(F85/C85/E85,0)*E85,"n.a.")</x:f>
        <x:v>83</x:v>
      </x:c>
      <x:c r="I85" s="32" t="n">
        <x:f>IF(AND(ISNUMBER(H85),ISNUMBER(Batches!F24),Batches!F24&gt;=0,Batches!F24&lt;=1),ROUNDDOWN(H85*Batches!F24/E85,0)*E85,"n.a.")</x:f>
        <x:v>83</x:v>
      </x:c>
      <x:c r="J85" s="11" t="n">
        <x:f>IF(AND(ISNUMBER(I85),ISNUMBER(D85)),I85*D85,"n.a.")</x:f>
        <x:v>8300</x:v>
      </x:c>
      <x:c r="K85" s="11" t="n">
        <x:f>IF(AND(ISNUMBER(I85),I85&gt;0),G85/I85,"n.a.")</x:f>
        <x:v>50.3094588881843</x:v>
      </x:c>
      <x:c r="L85" s="11" t="n">
        <x:f>IF(ISNUMBER(J85),J85-G85,"n.a.")</x:f>
        <x:v>4124.314912280703</x:v>
      </x:c>
      <x:c r="M85" s="34" t="n">
        <x:f>IF(AND(ISNUMBER(J85),J85&gt;0),L85/J85,"n.a.")</x:f>
        <x:v>0.49690541111815695</x:v>
      </x:c>
      <x:c r="N85" s="28" t="n">
        <x:f>IF(AND(ISNUMBER(D85),D85&gt;0),ROUNDUP(G85/(D85*E85),0)*E85,"n.a.")</x:f>
        <x:v>42</x:v>
      </x:c>
      <x:c r="O85" s="34" t="n">
        <x:f>IF(AND(ISNUMBER(H85),H85&gt;0,ISNUMBER(N85)),N85/H85,"n.a.")</x:f>
        <x:v>0.5060240963855421</x:v>
      </x:c>
      <x:c r="P85" s="32" t="n">
        <x:f>Batches!D24</x:f>
        <x:v>0</x:v>
      </x:c>
      <x:c r="Q85" s="36" t="str">
        <x:f>IF(AND(P85=0,ISNUMBER(J85),COUNT(Batches!G24:K24)=5),J85-G85-H85*Batches!G24-Batches!M24,"n.a.")</x:f>
        <x:v>n.a.</x:v>
      </x:c>
      <x:c r="R85" s="11" t="str">
        <x:f>IF(P85&gt;0,"Partial ingredient costs",IF(ISNUMBER(Q85),"Modeled operating profit","Other operating costs missing"))</x:f>
        <x:v>Other operating costs missing</x:v>
      </x:c>
      <x:c r="S85" s="11" t="str">
        <x:v>'choko bread'!B20:C20</x:v>
      </x:c>
    </x:row>
    <x:row r="86" ht="28" customHeight="1">
      <x:c r="A86" s="10" t="str">
        <x:v>choko bread</x:v>
      </x:c>
      <x:c r="B86" s="12" t="str">
        <x:v>Main offer</x:v>
      </x:c>
      <x:c r="C86" s="14" t="n">
        <x:v>220</x:v>
      </x:c>
      <x:c r="D86" s="14" t="n">
        <x:v>300</x:v>
      </x:c>
      <x:c r="E86" s="14" t="n">
        <x:v>1</x:v>
      </x:c>
      <x:c r="F86" s="21" t="n">
        <x:f>Batches!L24</x:f>
        <x:v>8384</x:v>
      </x:c>
      <x:c r="G86" s="21" t="n">
        <x:f>Batches!C24</x:f>
        <x:v>4175.685087719297</x:v>
      </x:c>
      <x:c r="H86" s="29" t="n">
        <x:f>IF(AND(ISNUMBER(F86),ISNUMBER(C86),C86&gt;0,E86&gt;0),ROUNDDOWN(F86/C86/E86,0)*E86,"n.a.")</x:f>
        <x:v>38</x:v>
      </x:c>
      <x:c r="I86" s="33" t="n">
        <x:f>IF(AND(ISNUMBER(H86),ISNUMBER(Batches!F24),Batches!F24&gt;=0,Batches!F24&lt;=1),ROUNDDOWN(H86*Batches!F24/E86,0)*E86,"n.a.")</x:f>
        <x:v>38</x:v>
      </x:c>
      <x:c r="J86" s="12" t="n">
        <x:f>IF(AND(ISNUMBER(I86),ISNUMBER(D86)),I86*D86,"n.a.")</x:f>
        <x:v>11400</x:v>
      </x:c>
      <x:c r="K86" s="12" t="n">
        <x:f>IF(AND(ISNUMBER(I86),I86&gt;0),G86/I86,"n.a.")</x:f>
        <x:v>109.88644967682362</x:v>
      </x:c>
      <x:c r="L86" s="12" t="n">
        <x:f>IF(ISNUMBER(J86),J86-G86,"n.a.")</x:f>
        <x:v>7224.314912280703</x:v>
      </x:c>
      <x:c r="M86" s="35" t="n">
        <x:f>IF(AND(ISNUMBER(J86),J86&gt;0),L86/J86,"n.a.")</x:f>
        <x:v>0.633711834410588</x:v>
      </x:c>
      <x:c r="N86" s="29" t="n">
        <x:f>IF(AND(ISNUMBER(D86),D86&gt;0),ROUNDUP(G86/(D86*E86),0)*E86,"n.a.")</x:f>
        <x:v>14</x:v>
      </x:c>
      <x:c r="O86" s="35" t="n">
        <x:f>IF(AND(ISNUMBER(H86),H86&gt;0,ISNUMBER(N86)),N86/H86,"n.a.")</x:f>
        <x:v>0.3684210526315789</x:v>
      </x:c>
      <x:c r="P86" s="33" t="n">
        <x:f>Batches!D24</x:f>
        <x:v>0</x:v>
      </x:c>
      <x:c r="Q86" s="37" t="str">
        <x:f>IF(AND(P86=0,ISNUMBER(J86),COUNT(Batches!G24:K24)=5),J86-G86-H86*Batches!G24-Batches!M24,"n.a.")</x:f>
        <x:v>n.a.</x:v>
      </x:c>
      <x:c r="R86" s="12" t="str">
        <x:f>IF(P86&gt;0,"Partial ingredient costs",IF(ISNUMBER(Q86),"Modeled operating profit","Other operating costs missing"))</x:f>
        <x:v>Other operating costs missing</x:v>
      </x:c>
      <x:c r="S86" s="12" t="str">
        <x:v>'choko bread'!B21:C21</x:v>
      </x:c>
    </x:row>
    <x:row r="87" ht="28" customHeight="1">
      <x:c r="A87" s="2" t="str">
        <x:v>choko bread</x:v>
      </x:c>
      <x:c r="B87" s="11" t="str">
        <x:v>Main offer</x:v>
      </x:c>
      <x:c r="C87" s="13" t="n">
        <x:v>90</x:v>
      </x:c>
      <x:c r="D87" s="13" t="n">
        <x:v>100</x:v>
      </x:c>
      <x:c r="E87" s="13" t="n">
        <x:v>1</x:v>
      </x:c>
      <x:c r="F87" s="20" t="n">
        <x:f>Batches!L24</x:f>
        <x:v>8384</x:v>
      </x:c>
      <x:c r="G87" s="20" t="n">
        <x:f>Batches!C24</x:f>
        <x:v>4175.685087719297</x:v>
      </x:c>
      <x:c r="H87" s="28" t="n">
        <x:f>IF(AND(ISNUMBER(F87),ISNUMBER(C87),C87&gt;0,E87&gt;0),ROUNDDOWN(F87/C87/E87,0)*E87,"n.a.")</x:f>
        <x:v>93</x:v>
      </x:c>
      <x:c r="I87" s="32" t="n">
        <x:f>IF(AND(ISNUMBER(H87),ISNUMBER(Batches!F24),Batches!F24&gt;=0,Batches!F24&lt;=1),ROUNDDOWN(H87*Batches!F24/E87,0)*E87,"n.a.")</x:f>
        <x:v>93</x:v>
      </x:c>
      <x:c r="J87" s="11" t="n">
        <x:f>IF(AND(ISNUMBER(I87),ISNUMBER(D87)),I87*D87,"n.a.")</x:f>
        <x:v>9300</x:v>
      </x:c>
      <x:c r="K87" s="11" t="n">
        <x:f>IF(AND(ISNUMBER(I87),I87&gt;0),G87/I87,"n.a.")</x:f>
        <x:v>44.89983965289567</x:v>
      </x:c>
      <x:c r="L87" s="11" t="n">
        <x:f>IF(ISNUMBER(J87),J87-G87,"n.a.")</x:f>
        <x:v>5124.314912280703</x:v>
      </x:c>
      <x:c r="M87" s="34" t="n">
        <x:f>IF(AND(ISNUMBER(J87),J87&gt;0),L87/J87,"n.a.")</x:f>
        <x:v>0.5510016034710433</x:v>
      </x:c>
      <x:c r="N87" s="28" t="n">
        <x:f>IF(AND(ISNUMBER(D87),D87&gt;0),ROUNDUP(G87/(D87*E87),0)*E87,"n.a.")</x:f>
        <x:v>42</x:v>
      </x:c>
      <x:c r="O87" s="34" t="n">
        <x:f>IF(AND(ISNUMBER(H87),H87&gt;0,ISNUMBER(N87)),N87/H87,"n.a.")</x:f>
        <x:v>0.45161290322580644</x:v>
      </x:c>
      <x:c r="P87" s="32" t="n">
        <x:f>Batches!D24</x:f>
        <x:v>0</x:v>
      </x:c>
      <x:c r="Q87" s="36" t="str">
        <x:f>IF(AND(P87=0,ISNUMBER(J87),COUNT(Batches!G24:K24)=5),J87-G87-H87*Batches!G24-Batches!M24,"n.a.")</x:f>
        <x:v>n.a.</x:v>
      </x:c>
      <x:c r="R87" s="11" t="str">
        <x:f>IF(P87&gt;0,"Partial ingredient costs",IF(ISNUMBER(Q87),"Modeled operating profit","Other operating costs missing"))</x:f>
        <x:v>Other operating costs missing</x:v>
      </x:c>
      <x:c r="S87" s="11" t="str">
        <x:v>'choko bread'!B22:C22</x:v>
      </x:c>
    </x:row>
    <x:row r="88" ht="28" customHeight="1">
      <x:c r="A88" s="10" t="str">
        <x:v>YUMMY BREAD</x:v>
      </x:c>
      <x:c r="B88" s="12" t="str">
        <x:v>Main offer</x:v>
      </x:c>
      <x:c r="C88" s="14" t="n">
        <x:v>139</x:v>
      </x:c>
      <x:c r="D88" s="14" t="n">
        <x:v>150</x:v>
      </x:c>
      <x:c r="E88" s="14" t="n">
        <x:v>1</x:v>
      </x:c>
      <x:c r="F88" s="21" t="n">
        <x:f>Batches!L25</x:f>
        <x:v>24750</x:v>
      </x:c>
      <x:c r="G88" s="21" t="n">
        <x:f>Batches!C25</x:f>
        <x:v>12133.85350877193</x:v>
      </x:c>
      <x:c r="H88" s="29" t="n">
        <x:f>IF(AND(ISNUMBER(F88),ISNUMBER(C88),C88&gt;0,E88&gt;0),ROUNDDOWN(F88/C88/E88,0)*E88,"n.a.")</x:f>
        <x:v>178</x:v>
      </x:c>
      <x:c r="I88" s="33" t="n">
        <x:f>IF(AND(ISNUMBER(H88),ISNUMBER(Batches!F25),Batches!F25&gt;=0,Batches!F25&lt;=1),ROUNDDOWN(H88*Batches!F25/E88,0)*E88,"n.a.")</x:f>
        <x:v>178</x:v>
      </x:c>
      <x:c r="J88" s="12" t="n">
        <x:f>IF(AND(ISNUMBER(I88),ISNUMBER(D88)),I88*D88,"n.a.")</x:f>
        <x:v>26700</x:v>
      </x:c>
      <x:c r="K88" s="12" t="n">
        <x:f>IF(AND(ISNUMBER(I88),I88&gt;0),G88/I88,"n.a.")</x:f>
        <x:v>68.16771634141534</x:v>
      </x:c>
      <x:c r="L88" s="12" t="n">
        <x:f>IF(ISNUMBER(J88),J88-G88,"n.a.")</x:f>
        <x:v>14566.14649122807</x:v>
      </x:c>
      <x:c r="M88" s="35" t="n">
        <x:f>IF(AND(ISNUMBER(J88),J88&gt;0),L88/J88,"n.a.")</x:f>
        <x:v>0.5455485577238978</x:v>
      </x:c>
      <x:c r="N88" s="29" t="n">
        <x:f>IF(AND(ISNUMBER(D88),D88&gt;0),ROUNDUP(G88/(D88*E88),0)*E88,"n.a.")</x:f>
        <x:v>81</x:v>
      </x:c>
      <x:c r="O88" s="35" t="n">
        <x:f>IF(AND(ISNUMBER(H88),H88&gt;0,ISNUMBER(N88)),N88/H88,"n.a.")</x:f>
        <x:v>0.4550561797752809</x:v>
      </x:c>
      <x:c r="P88" s="33" t="n">
        <x:f>Batches!D25</x:f>
        <x:v>0</x:v>
      </x:c>
      <x:c r="Q88" s="37" t="str">
        <x:f>IF(AND(P88=0,ISNUMBER(J88),COUNT(Batches!G25:K25)=5),J88-G88-H88*Batches!G25-Batches!M25,"n.a.")</x:f>
        <x:v>n.a.</x:v>
      </x:c>
      <x:c r="R88" s="12" t="str">
        <x:f>IF(P88&gt;0,"Partial ingredient costs",IF(ISNUMBER(Q88),"Modeled operating profit","Other operating costs missing"))</x:f>
        <x:v>Other operating costs missing</x:v>
      </x:c>
      <x:c r="S88" s="12" t="str">
        <x:v>'YUMMY BREAD'!B20:C20</x:v>
      </x:c>
    </x:row>
    <x:row r="89" ht="28" customHeight="1">
      <x:c r="A89" s="2" t="str">
        <x:v>YUMMY BREAD</x:v>
      </x:c>
      <x:c r="B89" s="11" t="str">
        <x:v>Main offer</x:v>
      </x:c>
      <x:c r="C89" s="13" t="n">
        <x:v>139</x:v>
      </x:c>
      <x:c r="D89" s="13" t="n">
        <x:v>125</x:v>
      </x:c>
      <x:c r="E89" s="13" t="n">
        <x:v>1</x:v>
      </x:c>
      <x:c r="F89" s="20" t="n">
        <x:f>Batches!L25</x:f>
        <x:v>24750</x:v>
      </x:c>
      <x:c r="G89" s="20" t="n">
        <x:f>Batches!C25</x:f>
        <x:v>12133.85350877193</x:v>
      </x:c>
      <x:c r="H89" s="28" t="n">
        <x:f>IF(AND(ISNUMBER(F89),ISNUMBER(C89),C89&gt;0,E89&gt;0),ROUNDDOWN(F89/C89/E89,0)*E89,"n.a.")</x:f>
        <x:v>178</x:v>
      </x:c>
      <x:c r="I89" s="32" t="n">
        <x:f>IF(AND(ISNUMBER(H89),ISNUMBER(Batches!F25),Batches!F25&gt;=0,Batches!F25&lt;=1),ROUNDDOWN(H89*Batches!F25/E89,0)*E89,"n.a.")</x:f>
        <x:v>178</x:v>
      </x:c>
      <x:c r="J89" s="11" t="n">
        <x:f>IF(AND(ISNUMBER(I89),ISNUMBER(D89)),I89*D89,"n.a.")</x:f>
        <x:v>22250</x:v>
      </x:c>
      <x:c r="K89" s="11" t="n">
        <x:f>IF(AND(ISNUMBER(I89),I89&gt;0),G89/I89,"n.a.")</x:f>
        <x:v>68.16771634141534</x:v>
      </x:c>
      <x:c r="L89" s="11" t="n">
        <x:f>IF(ISNUMBER(J89),J89-G89,"n.a.")</x:f>
        <x:v>10116.14649122807</x:v>
      </x:c>
      <x:c r="M89" s="34" t="n">
        <x:f>IF(AND(ISNUMBER(J89),J89&gt;0),L89/J89,"n.a.")</x:f>
        <x:v>0.4546582692686773</x:v>
      </x:c>
      <x:c r="N89" s="28" t="n">
        <x:f>IF(AND(ISNUMBER(D89),D89&gt;0),ROUNDUP(G89/(D89*E89),0)*E89,"n.a.")</x:f>
        <x:v>98</x:v>
      </x:c>
      <x:c r="O89" s="34" t="n">
        <x:f>IF(AND(ISNUMBER(H89),H89&gt;0,ISNUMBER(N89)),N89/H89,"n.a.")</x:f>
        <x:v>0.550561797752809</x:v>
      </x:c>
      <x:c r="P89" s="32" t="n">
        <x:f>Batches!D25</x:f>
        <x:v>0</x:v>
      </x:c>
      <x:c r="Q89" s="36" t="str">
        <x:f>IF(AND(P89=0,ISNUMBER(J89),COUNT(Batches!G25:K25)=5),J89-G89-H89*Batches!G25-Batches!M25,"n.a.")</x:f>
        <x:v>n.a.</x:v>
      </x:c>
      <x:c r="R89" s="11" t="str">
        <x:f>IF(P89&gt;0,"Partial ingredient costs",IF(ISNUMBER(Q89),"Modeled operating profit","Other operating costs missing"))</x:f>
        <x:v>Other operating costs missing</x:v>
      </x:c>
      <x:c r="S89" s="11" t="str">
        <x:v>'YUMMY BREAD'!B21:C21</x:v>
      </x:c>
    </x:row>
    <x:row r="90" ht="28" customHeight="1">
      <x:c r="A90" s="10" t="str">
        <x:v>YUMMY BREAD</x:v>
      </x:c>
      <x:c r="B90" s="12" t="str">
        <x:v>Main offer</x:v>
      </x:c>
      <x:c r="C90" s="14" t="n">
        <x:v>139</x:v>
      </x:c>
      <x:c r="D90" s="14" t="n">
        <x:v>150</x:v>
      </x:c>
      <x:c r="E90" s="14" t="n">
        <x:v>1</x:v>
      </x:c>
      <x:c r="F90" s="21" t="n">
        <x:f>Batches!L25</x:f>
        <x:v>24750</x:v>
      </x:c>
      <x:c r="G90" s="21" t="n">
        <x:f>Batches!C25</x:f>
        <x:v>12133.85350877193</x:v>
      </x:c>
      <x:c r="H90" s="29" t="n">
        <x:f>IF(AND(ISNUMBER(F90),ISNUMBER(C90),C90&gt;0,E90&gt;0),ROUNDDOWN(F90/C90/E90,0)*E90,"n.a.")</x:f>
        <x:v>178</x:v>
      </x:c>
      <x:c r="I90" s="33" t="n">
        <x:f>IF(AND(ISNUMBER(H90),ISNUMBER(Batches!F25),Batches!F25&gt;=0,Batches!F25&lt;=1),ROUNDDOWN(H90*Batches!F25/E90,0)*E90,"n.a.")</x:f>
        <x:v>178</x:v>
      </x:c>
      <x:c r="J90" s="12" t="n">
        <x:f>IF(AND(ISNUMBER(I90),ISNUMBER(D90)),I90*D90,"n.a.")</x:f>
        <x:v>26700</x:v>
      </x:c>
      <x:c r="K90" s="12" t="n">
        <x:f>IF(AND(ISNUMBER(I90),I90&gt;0),G90/I90,"n.a.")</x:f>
        <x:v>68.16771634141534</x:v>
      </x:c>
      <x:c r="L90" s="12" t="n">
        <x:f>IF(ISNUMBER(J90),J90-G90,"n.a.")</x:f>
        <x:v>14566.14649122807</x:v>
      </x:c>
      <x:c r="M90" s="35" t="n">
        <x:f>IF(AND(ISNUMBER(J90),J90&gt;0),L90/J90,"n.a.")</x:f>
        <x:v>0.5455485577238978</x:v>
      </x:c>
      <x:c r="N90" s="29" t="n">
        <x:f>IF(AND(ISNUMBER(D90),D90&gt;0),ROUNDUP(G90/(D90*E90),0)*E90,"n.a.")</x:f>
        <x:v>81</x:v>
      </x:c>
      <x:c r="O90" s="35" t="n">
        <x:f>IF(AND(ISNUMBER(H90),H90&gt;0,ISNUMBER(N90)),N90/H90,"n.a.")</x:f>
        <x:v>0.4550561797752809</x:v>
      </x:c>
      <x:c r="P90" s="33" t="n">
        <x:f>Batches!D25</x:f>
        <x:v>0</x:v>
      </x:c>
      <x:c r="Q90" s="37" t="str">
        <x:f>IF(AND(P90=0,ISNUMBER(J90),COUNT(Batches!G25:K25)=5),J90-G90-H90*Batches!G25-Batches!M25,"n.a.")</x:f>
        <x:v>n.a.</x:v>
      </x:c>
      <x:c r="R90" s="12" t="str">
        <x:f>IF(P90&gt;0,"Partial ingredient costs",IF(ISNUMBER(Q90),"Modeled operating profit","Other operating costs missing"))</x:f>
        <x:v>Other operating costs missing</x:v>
      </x:c>
      <x:c r="S90" s="12" t="str">
        <x:v>'YUMMY BREAD'!B22:C22</x:v>
      </x:c>
    </x:row>
    <x:row r="91" ht="28" customHeight="1">
      <x:c r="A91" s="2" t="str">
        <x:v>YUMMY BREAD</x:v>
      </x:c>
      <x:c r="B91" s="11" t="str">
        <x:v>Manual offer; confirm</x:v>
      </x:c>
      <x:c r="C91" s="13" t="n">
        <x:v>133</x:v>
      </x:c>
      <x:c r="D91" s="13" t="n">
        <x:v>150</x:v>
      </x:c>
      <x:c r="E91" s="13" t="n">
        <x:v>1</x:v>
      </x:c>
      <x:c r="F91" s="20" t="n">
        <x:f>Batches!L25</x:f>
        <x:v>24750</x:v>
      </x:c>
      <x:c r="G91" s="20" t="n">
        <x:f>Batches!C25</x:f>
        <x:v>12133.85350877193</x:v>
      </x:c>
      <x:c r="H91" s="28" t="n">
        <x:f>IF(AND(ISNUMBER(F91),ISNUMBER(C91),C91&gt;0,E91&gt;0),ROUNDDOWN(F91/C91/E91,0)*E91,"n.a.")</x:f>
        <x:v>186</x:v>
      </x:c>
      <x:c r="I91" s="32" t="n">
        <x:f>IF(AND(ISNUMBER(H91),ISNUMBER(Batches!F25),Batches!F25&gt;=0,Batches!F25&lt;=1),ROUNDDOWN(H91*Batches!F25/E91,0)*E91,"n.a.")</x:f>
        <x:v>186</x:v>
      </x:c>
      <x:c r="J91" s="11" t="n">
        <x:f>IF(AND(ISNUMBER(I91),ISNUMBER(D91)),I91*D91,"n.a.")</x:f>
        <x:v>27900</x:v>
      </x:c>
      <x:c r="K91" s="11" t="n">
        <x:f>IF(AND(ISNUMBER(I91),I91&gt;0),G91/I91,"n.a.")</x:f>
        <x:v>65.23577155253726</x:v>
      </x:c>
      <x:c r="L91" s="11" t="n">
        <x:f>IF(ISNUMBER(J91),J91-G91,"n.a.")</x:f>
        <x:v>15766.14649122807</x:v>
      </x:c>
      <x:c r="M91" s="34" t="n">
        <x:f>IF(AND(ISNUMBER(J91),J91&gt;0),L91/J91,"n.a.")</x:f>
        <x:v>0.5650948563164183</x:v>
      </x:c>
      <x:c r="N91" s="28" t="n">
        <x:f>IF(AND(ISNUMBER(D91),D91&gt;0),ROUNDUP(G91/(D91*E91),0)*E91,"n.a.")</x:f>
        <x:v>81</x:v>
      </x:c>
      <x:c r="O91" s="34" t="n">
        <x:f>IF(AND(ISNUMBER(H91),H91&gt;0,ISNUMBER(N91)),N91/H91,"n.a.")</x:f>
        <x:v>0.43548387096774194</x:v>
      </x:c>
      <x:c r="P91" s="32" t="n">
        <x:f>Batches!D25</x:f>
        <x:v>0</x:v>
      </x:c>
      <x:c r="Q91" s="36" t="str">
        <x:f>IF(AND(P91=0,ISNUMBER(J91),COUNT(Batches!G25:K25)=5),J91-G91-H91*Batches!G25-Batches!M25,"n.a.")</x:f>
        <x:v>n.a.</x:v>
      </x:c>
      <x:c r="R91" s="11" t="str">
        <x:f>IF(P91&gt;0,"Partial ingredient costs",IF(ISNUMBER(Q91),"Modeled operating profit","Other operating costs missing"))</x:f>
        <x:v>Other operating costs missing</x:v>
      </x:c>
      <x:c r="S91" s="11" t="str">
        <x:v>'YUMMY BREAD'!F27,J27</x:v>
      </x:c>
    </x:row>
    <x:row r="92" ht="28" customHeight="1">
      <x:c r="A92" s="10" t="str">
        <x:v>YUMMY BREAD</x:v>
      </x:c>
      <x:c r="B92" s="12" t="str">
        <x:v>Manual offer; confirm</x:v>
      </x:c>
      <x:c r="C92" s="14" t="n">
        <x:v>130</x:v>
      </x:c>
      <x:c r="D92" s="14" t="n">
        <x:v>150</x:v>
      </x:c>
      <x:c r="E92" s="14" t="n">
        <x:v>1</x:v>
      </x:c>
      <x:c r="F92" s="21" t="n">
        <x:f>Batches!L25</x:f>
        <x:v>24750</x:v>
      </x:c>
      <x:c r="G92" s="21" t="n">
        <x:f>Batches!C25</x:f>
        <x:v>12133.85350877193</x:v>
      </x:c>
      <x:c r="H92" s="29" t="n">
        <x:f>IF(AND(ISNUMBER(F92),ISNUMBER(C92),C92&gt;0,E92&gt;0),ROUNDDOWN(F92/C92/E92,0)*E92,"n.a.")</x:f>
        <x:v>190</x:v>
      </x:c>
      <x:c r="I92" s="33" t="n">
        <x:f>IF(AND(ISNUMBER(H92),ISNUMBER(Batches!F25),Batches!F25&gt;=0,Batches!F25&lt;=1),ROUNDDOWN(H92*Batches!F25/E92,0)*E92,"n.a.")</x:f>
        <x:v>190</x:v>
      </x:c>
      <x:c r="J92" s="12" t="n">
        <x:f>IF(AND(ISNUMBER(I92),ISNUMBER(D92)),I92*D92,"n.a.")</x:f>
        <x:v>28500</x:v>
      </x:c>
      <x:c r="K92" s="12" t="n">
        <x:f>IF(AND(ISNUMBER(I92),I92&gt;0),G92/I92,"n.a.")</x:f>
        <x:v>63.86238688827331</x:v>
      </x:c>
      <x:c r="L92" s="12" t="n">
        <x:f>IF(ISNUMBER(J92),J92-G92,"n.a.")</x:f>
        <x:v>16366.14649122807</x:v>
      </x:c>
      <x:c r="M92" s="35" t="n">
        <x:f>IF(AND(ISNUMBER(J92),J92&gt;0),L92/J92,"n.a.")</x:f>
        <x:v>0.5742507540781779</x:v>
      </x:c>
      <x:c r="N92" s="29" t="n">
        <x:f>IF(AND(ISNUMBER(D92),D92&gt;0),ROUNDUP(G92/(D92*E92),0)*E92,"n.a.")</x:f>
        <x:v>81</x:v>
      </x:c>
      <x:c r="O92" s="35" t="n">
        <x:f>IF(AND(ISNUMBER(H92),H92&gt;0,ISNUMBER(N92)),N92/H92,"n.a.")</x:f>
        <x:v>0.4263157894736842</x:v>
      </x:c>
      <x:c r="P92" s="33" t="n">
        <x:f>Batches!D25</x:f>
        <x:v>0</x:v>
      </x:c>
      <x:c r="Q92" s="37" t="str">
        <x:f>IF(AND(P92=0,ISNUMBER(J92),COUNT(Batches!G25:K25)=5),J92-G92-H92*Batches!G25-Batches!M25,"n.a.")</x:f>
        <x:v>n.a.</x:v>
      </x:c>
      <x:c r="R92" s="12" t="str">
        <x:f>IF(P92&gt;0,"Partial ingredient costs",IF(ISNUMBER(Q92),"Modeled operating profit","Other operating costs missing"))</x:f>
        <x:v>Other operating costs missing</x:v>
      </x:c>
      <x:c r="S92" s="12" t="str">
        <x:v>'YUMMY BREAD'!F28,J28</x:v>
      </x:c>
    </x:row>
    <x:row r="93" ht="28" customHeight="1">
      <x:c r="A93" s="2" t="str">
        <x:v>Kouatchoua gato</x:v>
      </x:c>
      <x:c r="B93" s="11" t="str">
        <x:v>Main offer</x:v>
      </x:c>
      <x:c r="C93" s="13" t="n">
        <x:v>81.4</x:v>
      </x:c>
      <x:c r="D93" s="13" t="n">
        <x:v>100</x:v>
      </x:c>
      <x:c r="E93" s="13" t="n">
        <x:v>1</x:v>
      </x:c>
      <x:c r="F93" s="20" t="n">
        <x:f>Batches!L26</x:f>
        <x:v>42710</x:v>
      </x:c>
      <x:c r="G93" s="20" t="n">
        <x:f>Batches!C26</x:f>
        <x:v>27540.04970760234</x:v>
      </x:c>
      <x:c r="H93" s="28" t="n">
        <x:f>IF(AND(ISNUMBER(F93),ISNUMBER(C93),C93&gt;0,E93&gt;0),ROUNDDOWN(F93/C93/E93,0)*E93,"n.a.")</x:f>
        <x:v>524</x:v>
      </x:c>
      <x:c r="I93" s="32" t="n">
        <x:f>IF(AND(ISNUMBER(H93),ISNUMBER(Batches!F26),Batches!F26&gt;=0,Batches!F26&lt;=1),ROUNDDOWN(H93*Batches!F26/E93,0)*E93,"n.a.")</x:f>
        <x:v>524</x:v>
      </x:c>
      <x:c r="J93" s="11" t="n">
        <x:f>IF(AND(ISNUMBER(I93),ISNUMBER(D93)),I93*D93,"n.a.")</x:f>
        <x:v>52400</x:v>
      </x:c>
      <x:c r="K93" s="11" t="n">
        <x:f>IF(AND(ISNUMBER(I93),I93&gt;0),G93/I93,"n.a.")</x:f>
        <x:v>52.55734677023347</x:v>
      </x:c>
      <x:c r="L93" s="11" t="n">
        <x:f>IF(ISNUMBER(J93),J93-G93,"n.a.")</x:f>
        <x:v>24859.95029239766</x:v>
      </x:c>
      <x:c r="M93" s="34" t="n">
        <x:f>IF(AND(ISNUMBER(J93),J93&gt;0),L93/J93,"n.a.")</x:f>
        <x:v>0.4744265322976653</x:v>
      </x:c>
      <x:c r="N93" s="28" t="n">
        <x:f>IF(AND(ISNUMBER(D93),D93&gt;0),ROUNDUP(G93/(D93*E93),0)*E93,"n.a.")</x:f>
        <x:v>276</x:v>
      </x:c>
      <x:c r="O93" s="34" t="n">
        <x:f>IF(AND(ISNUMBER(H93),H93&gt;0,ISNUMBER(N93)),N93/H93,"n.a.")</x:f>
        <x:v>0.5267175572519084</x:v>
      </x:c>
      <x:c r="P93" s="32" t="n">
        <x:f>Batches!D26</x:f>
        <x:v>0</x:v>
      </x:c>
      <x:c r="Q93" s="36" t="str">
        <x:f>IF(AND(P93=0,ISNUMBER(J93),COUNT(Batches!G26:K26)=5),J93-G93-H93*Batches!G26-Batches!M26,"n.a.")</x:f>
        <x:v>n.a.</x:v>
      </x:c>
      <x:c r="R93" s="11" t="str">
        <x:f>IF(P93&gt;0,"Partial ingredient costs",IF(ISNUMBER(Q93),"Modeled operating profit","Other operating costs missing"))</x:f>
        <x:v>Other operating costs missing</x:v>
      </x:c>
      <x:c r="S93" s="11" t="str">
        <x:v>'Kouatchoua gato'!B20:C20</x:v>
      </x:c>
    </x:row>
    <x:row r="94" ht="28" customHeight="1">
      <x:c r="A94" s="10" t="str">
        <x:v>Kouatchoua gato</x:v>
      </x:c>
      <x:c r="B94" s="12" t="str">
        <x:v>Main offer</x:v>
      </x:c>
      <x:c r="C94" s="14" t="n">
        <x:v>90</x:v>
      </x:c>
      <x:c r="D94" s="14" t="n">
        <x:v>100</x:v>
      </x:c>
      <x:c r="E94" s="14" t="n">
        <x:v>1</x:v>
      </x:c>
      <x:c r="F94" s="21" t="n">
        <x:f>Batches!L26</x:f>
        <x:v>42710</x:v>
      </x:c>
      <x:c r="G94" s="21" t="n">
        <x:f>Batches!C26</x:f>
        <x:v>27540.04970760234</x:v>
      </x:c>
      <x:c r="H94" s="29" t="n">
        <x:f>IF(AND(ISNUMBER(F94),ISNUMBER(C94),C94&gt;0,E94&gt;0),ROUNDDOWN(F94/C94/E94,0)*E94,"n.a.")</x:f>
        <x:v>474</x:v>
      </x:c>
      <x:c r="I94" s="33" t="n">
        <x:f>IF(AND(ISNUMBER(H94),ISNUMBER(Batches!F26),Batches!F26&gt;=0,Batches!F26&lt;=1),ROUNDDOWN(H94*Batches!F26/E94,0)*E94,"n.a.")</x:f>
        <x:v>474</x:v>
      </x:c>
      <x:c r="J94" s="12" t="n">
        <x:f>IF(AND(ISNUMBER(I94),ISNUMBER(D94)),I94*D94,"n.a.")</x:f>
        <x:v>47400</x:v>
      </x:c>
      <x:c r="K94" s="12" t="n">
        <x:f>IF(AND(ISNUMBER(I94),I94&gt;0),G94/I94,"n.a.")</x:f>
        <x:v>58.101370691144176</x:v>
      </x:c>
      <x:c r="L94" s="12" t="n">
        <x:f>IF(ISNUMBER(J94),J94-G94,"n.a.")</x:f>
        <x:v>19859.95029239766</x:v>
      </x:c>
      <x:c r="M94" s="35" t="n">
        <x:f>IF(AND(ISNUMBER(J94),J94&gt;0),L94/J94,"n.a.")</x:f>
        <x:v>0.4189862930885583</x:v>
      </x:c>
      <x:c r="N94" s="29" t="n">
        <x:f>IF(AND(ISNUMBER(D94),D94&gt;0),ROUNDUP(G94/(D94*E94),0)*E94,"n.a.")</x:f>
        <x:v>276</x:v>
      </x:c>
      <x:c r="O94" s="35" t="n">
        <x:f>IF(AND(ISNUMBER(H94),H94&gt;0,ISNUMBER(N94)),N94/H94,"n.a.")</x:f>
        <x:v>0.5822784810126582</x:v>
      </x:c>
      <x:c r="P94" s="33" t="n">
        <x:f>Batches!D26</x:f>
        <x:v>0</x:v>
      </x:c>
      <x:c r="Q94" s="37" t="str">
        <x:f>IF(AND(P94=0,ISNUMBER(J94),COUNT(Batches!G26:K26)=5),J94-G94-H94*Batches!G26-Batches!M26,"n.a.")</x:f>
        <x:v>n.a.</x:v>
      </x:c>
      <x:c r="R94" s="12" t="str">
        <x:f>IF(P94&gt;0,"Partial ingredient costs",IF(ISNUMBER(Q94),"Modeled operating profit","Other operating costs missing"))</x:f>
        <x:v>Other operating costs missing</x:v>
      </x:c>
      <x:c r="S94" s="12" t="str">
        <x:v>'Kouatchoua gato'!B21:C21</x:v>
      </x:c>
    </x:row>
    <x:row r="95" ht="28" customHeight="1">
      <x:c r="A95" s="2" t="str">
        <x:v>Kouatchoua gato</x:v>
      </x:c>
      <x:c r="B95" s="11" t="str">
        <x:v>Main offer</x:v>
      </x:c>
      <x:c r="C95" s="13" t="n">
        <x:v>90</x:v>
      </x:c>
      <x:c r="D95" s="13" t="n">
        <x:v>100</x:v>
      </x:c>
      <x:c r="E95" s="13" t="n">
        <x:v>1</x:v>
      </x:c>
      <x:c r="F95" s="20" t="n">
        <x:f>Batches!L26</x:f>
        <x:v>42710</x:v>
      </x:c>
      <x:c r="G95" s="20" t="n">
        <x:f>Batches!C26</x:f>
        <x:v>27540.04970760234</x:v>
      </x:c>
      <x:c r="H95" s="28" t="n">
        <x:f>IF(AND(ISNUMBER(F95),ISNUMBER(C95),C95&gt;0,E95&gt;0),ROUNDDOWN(F95/C95/E95,0)*E95,"n.a.")</x:f>
        <x:v>474</x:v>
      </x:c>
      <x:c r="I95" s="32" t="n">
        <x:f>IF(AND(ISNUMBER(H95),ISNUMBER(Batches!F26),Batches!F26&gt;=0,Batches!F26&lt;=1),ROUNDDOWN(H95*Batches!F26/E95,0)*E95,"n.a.")</x:f>
        <x:v>474</x:v>
      </x:c>
      <x:c r="J95" s="11" t="n">
        <x:f>IF(AND(ISNUMBER(I95),ISNUMBER(D95)),I95*D95,"n.a.")</x:f>
        <x:v>47400</x:v>
      </x:c>
      <x:c r="K95" s="11" t="n">
        <x:f>IF(AND(ISNUMBER(I95),I95&gt;0),G95/I95,"n.a.")</x:f>
        <x:v>58.101370691144176</x:v>
      </x:c>
      <x:c r="L95" s="11" t="n">
        <x:f>IF(ISNUMBER(J95),J95-G95,"n.a.")</x:f>
        <x:v>19859.95029239766</x:v>
      </x:c>
      <x:c r="M95" s="34" t="n">
        <x:f>IF(AND(ISNUMBER(J95),J95&gt;0),L95/J95,"n.a.")</x:f>
        <x:v>0.4189862930885583</x:v>
      </x:c>
      <x:c r="N95" s="28" t="n">
        <x:f>IF(AND(ISNUMBER(D95),D95&gt;0),ROUNDUP(G95/(D95*E95),0)*E95,"n.a.")</x:f>
        <x:v>276</x:v>
      </x:c>
      <x:c r="O95" s="34" t="n">
        <x:f>IF(AND(ISNUMBER(H95),H95&gt;0,ISNUMBER(N95)),N95/H95,"n.a.")</x:f>
        <x:v>0.5822784810126582</x:v>
      </x:c>
      <x:c r="P95" s="32" t="n">
        <x:f>Batches!D26</x:f>
        <x:v>0</x:v>
      </x:c>
      <x:c r="Q95" s="36" t="str">
        <x:f>IF(AND(P95=0,ISNUMBER(J95),COUNT(Batches!G26:K26)=5),J95-G95-H95*Batches!G26-Batches!M26,"n.a.")</x:f>
        <x:v>n.a.</x:v>
      </x:c>
      <x:c r="R95" s="11" t="str">
        <x:f>IF(P95&gt;0,"Partial ingredient costs",IF(ISNUMBER(Q95),"Modeled operating profit","Other operating costs missing"))</x:f>
        <x:v>Other operating costs missing</x:v>
      </x:c>
      <x:c r="S95" s="11" t="str">
        <x:v>'Kouatchoua gato'!B22:C22</x:v>
      </x:c>
    </x:row>
    <x:row r="96" ht="28" customHeight="1">
      <x:c r="A96" s="10" t="str">
        <x:v>Kouatchoua gato</x:v>
      </x:c>
      <x:c r="B96" s="12" t="str">
        <x:v>Main offer</x:v>
      </x:c>
      <x:c r="C96" s="14" t="n">
        <x:v>900</x:v>
      </x:c>
      <x:c r="D96" s="14" t="n">
        <x:v>1000</x:v>
      </x:c>
      <x:c r="E96" s="14" t="n">
        <x:v>1</x:v>
      </x:c>
      <x:c r="F96" s="21" t="n">
        <x:f>Batches!L26</x:f>
        <x:v>42710</x:v>
      </x:c>
      <x:c r="G96" s="21" t="n">
        <x:f>Batches!C26</x:f>
        <x:v>27540.04970760234</x:v>
      </x:c>
      <x:c r="H96" s="29" t="n">
        <x:f>IF(AND(ISNUMBER(F96),ISNUMBER(C96),C96&gt;0,E96&gt;0),ROUNDDOWN(F96/C96/E96,0)*E96,"n.a.")</x:f>
        <x:v>47</x:v>
      </x:c>
      <x:c r="I96" s="33" t="n">
        <x:f>IF(AND(ISNUMBER(H96),ISNUMBER(Batches!F26),Batches!F26&gt;=0,Batches!F26&lt;=1),ROUNDDOWN(H96*Batches!F26/E96,0)*E96,"n.a.")</x:f>
        <x:v>47</x:v>
      </x:c>
      <x:c r="J96" s="12" t="n">
        <x:f>IF(AND(ISNUMBER(I96),ISNUMBER(D96)),I96*D96,"n.a.")</x:f>
        <x:v>47000</x:v>
      </x:c>
      <x:c r="K96" s="12" t="n">
        <x:f>IF(AND(ISNUMBER(I96),I96&gt;0),G96/I96,"n.a.")</x:f>
        <x:v>585.958504417071</x:v>
      </x:c>
      <x:c r="L96" s="12" t="n">
        <x:f>IF(ISNUMBER(J96),J96-G96,"n.a.")</x:f>
        <x:v>19459.95029239766</x:v>
      </x:c>
      <x:c r="M96" s="35" t="n">
        <x:f>IF(AND(ISNUMBER(J96),J96&gt;0),L96/J96,"n.a.")</x:f>
        <x:v>0.41404149558292896</x:v>
      </x:c>
      <x:c r="N96" s="29" t="n">
        <x:f>IF(AND(ISNUMBER(D96),D96&gt;0),ROUNDUP(G96/(D96*E96),0)*E96,"n.a.")</x:f>
        <x:v>28</x:v>
      </x:c>
      <x:c r="O96" s="35" t="n">
        <x:f>IF(AND(ISNUMBER(H96),H96&gt;0,ISNUMBER(N96)),N96/H96,"n.a.")</x:f>
        <x:v>0.5957446808510638</x:v>
      </x:c>
      <x:c r="P96" s="33" t="n">
        <x:f>Batches!D26</x:f>
        <x:v>0</x:v>
      </x:c>
      <x:c r="Q96" s="37" t="str">
        <x:f>IF(AND(P96=0,ISNUMBER(J96),COUNT(Batches!G26:K26)=5),J96-G96-H96*Batches!G26-Batches!M26,"n.a.")</x:f>
        <x:v>n.a.</x:v>
      </x:c>
      <x:c r="R96" s="12" t="str">
        <x:f>IF(P96&gt;0,"Partial ingredient costs",IF(ISNUMBER(Q96),"Modeled operating profit","Other operating costs missing"))</x:f>
        <x:v>Other operating costs missing</x:v>
      </x:c>
      <x:c r="S96" s="12" t="str">
        <x:v>'Kouatchoua gato'!B23:C23</x:v>
      </x:c>
    </x:row>
    <x:row r="97" ht="28" customHeight="1">
      <x:c r="A97" s="2" t="str">
        <x:v>Kouatchoua gato</x:v>
      </x:c>
      <x:c r="B97" s="11" t="str">
        <x:v>Manual offer; confirm</x:v>
      </x:c>
      <x:c r="C97" s="13" t="n">
        <x:v>80</x:v>
      </x:c>
      <x:c r="D97" s="13" t="n">
        <x:v>100</x:v>
      </x:c>
      <x:c r="E97" s="13" t="n">
        <x:v>1</x:v>
      </x:c>
      <x:c r="F97" s="20" t="n">
        <x:f>Batches!L26</x:f>
        <x:v>42710</x:v>
      </x:c>
      <x:c r="G97" s="20" t="n">
        <x:f>Batches!C26</x:f>
        <x:v>27540.04970760234</x:v>
      </x:c>
      <x:c r="H97" s="28" t="n">
        <x:f>IF(AND(ISNUMBER(F97),ISNUMBER(C97),C97&gt;0,E97&gt;0),ROUNDDOWN(F97/C97/E97,0)*E97,"n.a.")</x:f>
        <x:v>533</x:v>
      </x:c>
      <x:c r="I97" s="32" t="n">
        <x:f>IF(AND(ISNUMBER(H97),ISNUMBER(Batches!F26),Batches!F26&gt;=0,Batches!F26&lt;=1),ROUNDDOWN(H97*Batches!F26/E97,0)*E97,"n.a.")</x:f>
        <x:v>533</x:v>
      </x:c>
      <x:c r="J97" s="11" t="n">
        <x:f>IF(AND(ISNUMBER(I97),ISNUMBER(D97)),I97*D97,"n.a.")</x:f>
        <x:v>53300</x:v>
      </x:c>
      <x:c r="K97" s="11" t="n">
        <x:f>IF(AND(ISNUMBER(I97),I97&gt;0),G97/I97,"n.a.")</x:f>
        <x:v>51.66988688105504</x:v>
      </x:c>
      <x:c r="L97" s="11" t="n">
        <x:f>IF(ISNUMBER(J97),J97-G97,"n.a.")</x:f>
        <x:v>25759.95029239766</x:v>
      </x:c>
      <x:c r="M97" s="34" t="n">
        <x:f>IF(AND(ISNUMBER(J97),J97&gt;0),L97/J97,"n.a.")</x:f>
        <x:v>0.48330113118944956</x:v>
      </x:c>
      <x:c r="N97" s="28" t="n">
        <x:f>IF(AND(ISNUMBER(D97),D97&gt;0),ROUNDUP(G97/(D97*E97),0)*E97,"n.a.")</x:f>
        <x:v>276</x:v>
      </x:c>
      <x:c r="O97" s="34" t="n">
        <x:f>IF(AND(ISNUMBER(H97),H97&gt;0,ISNUMBER(N97)),N97/H97,"n.a.")</x:f>
        <x:v>0.5178236397748592</x:v>
      </x:c>
      <x:c r="P97" s="32" t="n">
        <x:f>Batches!D26</x:f>
        <x:v>0</x:v>
      </x:c>
      <x:c r="Q97" s="36" t="str">
        <x:f>IF(AND(P97=0,ISNUMBER(J97),COUNT(Batches!G26:K26)=5),J97-G97-H97*Batches!G26-Batches!M26,"n.a.")</x:f>
        <x:v>n.a.</x:v>
      </x:c>
      <x:c r="R97" s="11" t="str">
        <x:f>IF(P97&gt;0,"Partial ingredient costs",IF(ISNUMBER(Q97),"Modeled operating profit","Other operating costs missing"))</x:f>
        <x:v>Other operating costs missing</x:v>
      </x:c>
      <x:c r="S97" s="11" t="str">
        <x:v>'Kouatchoua gato'!E30,G30</x:v>
      </x:c>
    </x:row>
    <x:row r="98" ht="28" customHeight="1">
      <x:c r="A98" s="10" t="str">
        <x:v>Kouatchoua gato</x:v>
      </x:c>
      <x:c r="B98" s="12" t="str">
        <x:v>12-piece wholesale pack</x:v>
      </x:c>
      <x:c r="C98" s="14" t="n">
        <x:v>81.4</x:v>
      </x:c>
      <x:c r="D98" s="14" t="n">
        <x:v>83.33333333333333</x:v>
      </x:c>
      <x:c r="E98" s="14" t="n">
        <x:v>12</x:v>
      </x:c>
      <x:c r="F98" s="21" t="n">
        <x:f>Batches!L26</x:f>
        <x:v>42710</x:v>
      </x:c>
      <x:c r="G98" s="21" t="n">
        <x:f>Batches!C26</x:f>
        <x:v>27540.04970760234</x:v>
      </x:c>
      <x:c r="H98" s="29" t="n">
        <x:f>IF(AND(ISNUMBER(F98),ISNUMBER(C98),C98&gt;0,E98&gt;0),ROUNDDOWN(F98/C98/E98,0)*E98,"n.a.")</x:f>
        <x:v>516</x:v>
      </x:c>
      <x:c r="I98" s="33" t="n">
        <x:f>IF(AND(ISNUMBER(H98),ISNUMBER(Batches!F26),Batches!F26&gt;=0,Batches!F26&lt;=1),ROUNDDOWN(H98*Batches!F26/E98,0)*E98,"n.a.")</x:f>
        <x:v>516</x:v>
      </x:c>
      <x:c r="J98" s="12" t="n">
        <x:f>IF(AND(ISNUMBER(I98),ISNUMBER(D98)),I98*D98,"n.a.")</x:f>
        <x:v>43000</x:v>
      </x:c>
      <x:c r="K98" s="12" t="n">
        <x:f>IF(AND(ISNUMBER(I98),I98&gt;0),G98/I98,"n.a.")</x:f>
        <x:v>53.372189355818485</x:v>
      </x:c>
      <x:c r="L98" s="12" t="n">
        <x:f>IF(ISNUMBER(J98),J98-G98,"n.a.")</x:f>
        <x:v>15459.950292397662</x:v>
      </x:c>
      <x:c r="M98" s="35" t="n">
        <x:f>IF(AND(ISNUMBER(J98),J98&gt;0),L98/J98,"n.a.")</x:f>
        <x:v>0.35953372773017817</x:v>
      </x:c>
      <x:c r="N98" s="29" t="n">
        <x:f>IF(AND(ISNUMBER(D98),D98&gt;0),ROUNDUP(G98/(D98*E98),0)*E98,"n.a.")</x:f>
        <x:v>336</x:v>
      </x:c>
      <x:c r="O98" s="35" t="n">
        <x:f>IF(AND(ISNUMBER(H98),H98&gt;0,ISNUMBER(N98)),N98/H98,"n.a.")</x:f>
        <x:v>0.6511627906976745</x:v>
      </x:c>
      <x:c r="P98" s="33" t="n">
        <x:f>Batches!D26</x:f>
        <x:v>0</x:v>
      </x:c>
      <x:c r="Q98" s="37" t="str">
        <x:f>IF(AND(P98=0,ISNUMBER(J98),COUNT(Batches!G26:K26)=5),J98-G98-H98*Batches!G26-Batches!M26,"n.a.")</x:f>
        <x:v>n.a.</x:v>
      </x:c>
      <x:c r="R98" s="12" t="str">
        <x:f>IF(P98&gt;0,"Partial ingredient costs",IF(ISNUMBER(Q98),"Modeled operating profit","Other operating costs missing"))</x:f>
        <x:v>Other operating costs missing</x:v>
      </x:c>
      <x:c r="S98" s="12" t="str">
        <x:v>'Kouatchoua gato'!I21:I24/J21:J24</x:v>
      </x:c>
    </x:row>
    <x:row r="99" ht="28" customHeight="1">
      <x:c r="A99" s="2" t="str">
        <x:v>Cake Prof</x:v>
      </x:c>
      <x:c r="B99" s="11" t="str">
        <x:v>Main offer</x:v>
      </x:c>
      <x:c r="C99" s="13" t="n">
        <x:v>230</x:v>
      </x:c>
      <x:c r="D99" s="13" t="n">
        <x:v>500</x:v>
      </x:c>
      <x:c r="E99" s="13" t="n">
        <x:v>1</x:v>
      </x:c>
      <x:c r="F99" s="20" t="n">
        <x:f>Batches!L27</x:f>
        <x:v>9260</x:v>
      </x:c>
      <x:c r="G99" s="20" t="n">
        <x:f>Batches!C27</x:f>
        <x:v>7511.196198830409</x:v>
      </x:c>
      <x:c r="H99" s="28" t="n">
        <x:f>IF(AND(ISNUMBER(F99),ISNUMBER(C99),C99&gt;0,E99&gt;0),ROUNDDOWN(F99/C99/E99,0)*E99,"n.a.")</x:f>
        <x:v>40</x:v>
      </x:c>
      <x:c r="I99" s="32" t="n">
        <x:f>IF(AND(ISNUMBER(H99),ISNUMBER(Batches!F27),Batches!F27&gt;=0,Batches!F27&lt;=1),ROUNDDOWN(H99*Batches!F27/E99,0)*E99,"n.a.")</x:f>
        <x:v>40</x:v>
      </x:c>
      <x:c r="J99" s="11" t="n">
        <x:f>IF(AND(ISNUMBER(I99),ISNUMBER(D99)),I99*D99,"n.a.")</x:f>
        <x:v>20000</x:v>
      </x:c>
      <x:c r="K99" s="11" t="n">
        <x:f>IF(AND(ISNUMBER(I99),I99&gt;0),G99/I99,"n.a.")</x:f>
        <x:v>187.77990497076024</x:v>
      </x:c>
      <x:c r="L99" s="11" t="n">
        <x:f>IF(ISNUMBER(J99),J99-G99,"n.a.")</x:f>
        <x:v>12488.80380116959</x:v>
      </x:c>
      <x:c r="M99" s="34" t="n">
        <x:f>IF(AND(ISNUMBER(J99),J99&gt;0),L99/J99,"n.a.")</x:f>
        <x:v>0.6244401900584795</x:v>
      </x:c>
      <x:c r="N99" s="28" t="n">
        <x:f>IF(AND(ISNUMBER(D99),D99&gt;0),ROUNDUP(G99/(D99*E99),0)*E99,"n.a.")</x:f>
        <x:v>16</x:v>
      </x:c>
      <x:c r="O99" s="34" t="n">
        <x:f>IF(AND(ISNUMBER(H99),H99&gt;0,ISNUMBER(N99)),N99/H99,"n.a.")</x:f>
        <x:v>0.4</x:v>
      </x:c>
      <x:c r="P99" s="32" t="n">
        <x:f>Batches!D27</x:f>
        <x:v>0</x:v>
      </x:c>
      <x:c r="Q99" s="36" t="str">
        <x:f>IF(AND(P99=0,ISNUMBER(J99),COUNT(Batches!G27:K27)=5),J99-G99-H99*Batches!G27-Batches!M27,"n.a.")</x:f>
        <x:v>n.a.</x:v>
      </x:c>
      <x:c r="R99" s="11" t="str">
        <x:f>IF(P99&gt;0,"Partial ingredient costs",IF(ISNUMBER(Q99),"Modeled operating profit","Other operating costs missing"))</x:f>
        <x:v>Other operating costs missing</x:v>
      </x:c>
      <x:c r="S99" s="11" t="str">
        <x:v>'Cake Prof'!B17:C17</x:v>
      </x:c>
    </x:row>
    <x:row r="100" ht="28" customHeight="1">
      <x:c r="A100" s="10" t="str">
        <x:v>Cake Prof</x:v>
      </x:c>
      <x:c r="B100" s="12" t="str">
        <x:v>Main offer</x:v>
      </x:c>
      <x:c r="C100" s="14" t="n">
        <x:v>60</x:v>
      </x:c>
      <x:c r="D100" s="14" t="n">
        <x:v>100</x:v>
      </x:c>
      <x:c r="E100" s="14" t="n">
        <x:v>1</x:v>
      </x:c>
      <x:c r="F100" s="21" t="n">
        <x:f>Batches!L27</x:f>
        <x:v>9260</x:v>
      </x:c>
      <x:c r="G100" s="21" t="n">
        <x:f>Batches!C27</x:f>
        <x:v>7511.196198830409</x:v>
      </x:c>
      <x:c r="H100" s="29" t="n">
        <x:f>IF(AND(ISNUMBER(F100),ISNUMBER(C100),C100&gt;0,E100&gt;0),ROUNDDOWN(F100/C100/E100,0)*E100,"n.a.")</x:f>
        <x:v>154</x:v>
      </x:c>
      <x:c r="I100" s="33" t="n">
        <x:f>IF(AND(ISNUMBER(H100),ISNUMBER(Batches!F27),Batches!F27&gt;=0,Batches!F27&lt;=1),ROUNDDOWN(H100*Batches!F27/E100,0)*E100,"n.a.")</x:f>
        <x:v>154</x:v>
      </x:c>
      <x:c r="J100" s="12" t="n">
        <x:f>IF(AND(ISNUMBER(I100),ISNUMBER(D100)),I100*D100,"n.a.")</x:f>
        <x:v>15400</x:v>
      </x:c>
      <x:c r="K100" s="12" t="n">
        <x:f>IF(AND(ISNUMBER(I100),I100&gt;0),G100/I100,"n.a.")</x:f>
        <x:v>48.77400129110655</x:v>
      </x:c>
      <x:c r="L100" s="12" t="n">
        <x:f>IF(ISNUMBER(J100),J100-G100,"n.a.")</x:f>
        <x:v>7888.803801169591</x:v>
      </x:c>
      <x:c r="M100" s="35" t="n">
        <x:f>IF(AND(ISNUMBER(J100),J100&gt;0),L100/J100,"n.a.")</x:f>
        <x:v>0.5122599870889345</x:v>
      </x:c>
      <x:c r="N100" s="29" t="n">
        <x:f>IF(AND(ISNUMBER(D100),D100&gt;0),ROUNDUP(G100/(D100*E100),0)*E100,"n.a.")</x:f>
        <x:v>76</x:v>
      </x:c>
      <x:c r="O100" s="35" t="n">
        <x:f>IF(AND(ISNUMBER(H100),H100&gt;0,ISNUMBER(N100)),N100/H100,"n.a.")</x:f>
        <x:v>0.4935064935064935</x:v>
      </x:c>
      <x:c r="P100" s="33" t="n">
        <x:f>Batches!D27</x:f>
        <x:v>0</x:v>
      </x:c>
      <x:c r="Q100" s="37" t="str">
        <x:f>IF(AND(P100=0,ISNUMBER(J100),COUNT(Batches!G27:K27)=5),J100-G100-H100*Batches!G27-Batches!M27,"n.a.")</x:f>
        <x:v>n.a.</x:v>
      </x:c>
      <x:c r="R100" s="12" t="str">
        <x:f>IF(P100&gt;0,"Partial ingredient costs",IF(ISNUMBER(Q100),"Modeled operating profit","Other operating costs missing"))</x:f>
        <x:v>Other operating costs missing</x:v>
      </x:c>
      <x:c r="S100" s="12" t="str">
        <x:v>'Cake Prof'!B18:C18</x:v>
      </x:c>
    </x:row>
    <x:row r="101" ht="28" customHeight="1">
      <x:c r="A101" s="2" t="str">
        <x:v>Best Chinchin</x:v>
      </x:c>
      <x:c r="B101" s="11" t="str">
        <x:v>Main offer</x:v>
      </x:c>
      <x:c r="C101" s="13" t="n">
        <x:v>45</x:v>
      </x:c>
      <x:c r="D101" s="13" t="n">
        <x:v>100</x:v>
      </x:c>
      <x:c r="E101" s="13" t="n">
        <x:v>1</x:v>
      </x:c>
      <x:c r="F101" s="20" t="n">
        <x:f>Batches!L28</x:f>
        <x:v>45400</x:v>
      </x:c>
      <x:c r="G101" s="20" t="n">
        <x:f>Batches!C28</x:f>
        <x:v>54165.35380116959</x:v>
      </x:c>
      <x:c r="H101" s="28" t="n">
        <x:f>IF(AND(ISNUMBER(F101),ISNUMBER(C101),C101&gt;0,E101&gt;0),ROUNDDOWN(F101/C101/E101,0)*E101,"n.a.")</x:f>
        <x:v>1008</x:v>
      </x:c>
      <x:c r="I101" s="32" t="n">
        <x:f>IF(AND(ISNUMBER(H101),ISNUMBER(Batches!F28),Batches!F28&gt;=0,Batches!F28&lt;=1),ROUNDDOWN(H101*Batches!F28/E101,0)*E101,"n.a.")</x:f>
        <x:v>1008</x:v>
      </x:c>
      <x:c r="J101" s="11" t="n">
        <x:f>IF(AND(ISNUMBER(I101),ISNUMBER(D101)),I101*D101,"n.a.")</x:f>
        <x:v>100800</x:v>
      </x:c>
      <x:c r="K101" s="11" t="n">
        <x:f>IF(AND(ISNUMBER(I101),I101&gt;0),G101/I101,"n.a.")</x:f>
        <x:v>53.73547004084285</x:v>
      </x:c>
      <x:c r="L101" s="11" t="n">
        <x:f>IF(ISNUMBER(J101),J101-G101,"n.a.")</x:f>
        <x:v>46634.64619883041</x:v>
      </x:c>
      <x:c r="M101" s="34" t="n">
        <x:f>IF(AND(ISNUMBER(J101),J101&gt;0),L101/J101,"n.a.")</x:f>
        <x:v>0.4626452995915715</x:v>
      </x:c>
      <x:c r="N101" s="28" t="n">
        <x:f>IF(AND(ISNUMBER(D101),D101&gt;0),ROUNDUP(G101/(D101*E101),0)*E101,"n.a.")</x:f>
        <x:v>542</x:v>
      </x:c>
      <x:c r="O101" s="34" t="n">
        <x:f>IF(AND(ISNUMBER(H101),H101&gt;0,ISNUMBER(N101)),N101/H101,"n.a.")</x:f>
        <x:v>0.5376984126984127</x:v>
      </x:c>
      <x:c r="P101" s="32" t="n">
        <x:f>Batches!D28</x:f>
        <x:v>0</x:v>
      </x:c>
      <x:c r="Q101" s="36" t="str">
        <x:f>IF(AND(P101=0,ISNUMBER(J101),COUNT(Batches!G28:K28)=5),J101-G101-H101*Batches!G28-Batches!M28,"n.a.")</x:f>
        <x:v>n.a.</x:v>
      </x:c>
      <x:c r="R101" s="11" t="str">
        <x:f>IF(P101&gt;0,"Partial ingredient costs",IF(ISNUMBER(Q101),"Modeled operating profit","Other operating costs missing"))</x:f>
        <x:v>Other operating costs missing</x:v>
      </x:c>
      <x:c r="S101" s="11" t="str">
        <x:v>'Best Chinchin'!B19:C19</x:v>
      </x:c>
    </x:row>
    <x:row r="102" ht="28" customHeight="1">
      <x:c r="A102" s="10" t="str">
        <x:v>Best Chinchin</x:v>
      </x:c>
      <x:c r="B102" s="12" t="str">
        <x:v>Main offer</x:v>
      </x:c>
      <x:c r="C102" s="14" t="n">
        <x:v>225</x:v>
      </x:c>
      <x:c r="D102" s="14" t="n">
        <x:v>500</x:v>
      </x:c>
      <x:c r="E102" s="14" t="n">
        <x:v>1</x:v>
      </x:c>
      <x:c r="F102" s="21" t="n">
        <x:f>Batches!L28</x:f>
        <x:v>45400</x:v>
      </x:c>
      <x:c r="G102" s="21" t="n">
        <x:f>Batches!C28</x:f>
        <x:v>54165.35380116959</x:v>
      </x:c>
      <x:c r="H102" s="29" t="n">
        <x:f>IF(AND(ISNUMBER(F102),ISNUMBER(C102),C102&gt;0,E102&gt;0),ROUNDDOWN(F102/C102/E102,0)*E102,"n.a.")</x:f>
        <x:v>201</x:v>
      </x:c>
      <x:c r="I102" s="33" t="n">
        <x:f>IF(AND(ISNUMBER(H102),ISNUMBER(Batches!F28),Batches!F28&gt;=0,Batches!F28&lt;=1),ROUNDDOWN(H102*Batches!F28/E102,0)*E102,"n.a.")</x:f>
        <x:v>201</x:v>
      </x:c>
      <x:c r="J102" s="12" t="n">
        <x:f>IF(AND(ISNUMBER(I102),ISNUMBER(D102)),I102*D102,"n.a.")</x:f>
        <x:v>100500</x:v>
      </x:c>
      <x:c r="K102" s="12" t="n">
        <x:f>IF(AND(ISNUMBER(I102),I102&gt;0),G102/I102,"n.a.")</x:f>
        <x:v>269.47937214512234</x:v>
      </x:c>
      <x:c r="L102" s="12" t="n">
        <x:f>IF(ISNUMBER(J102),J102-G102,"n.a.")</x:f>
        <x:v>46334.64619883041</x:v>
      </x:c>
      <x:c r="M102" s="35" t="n">
        <x:f>IF(AND(ISNUMBER(J102),J102&gt;0),L102/J102,"n.a.")</x:f>
        <x:v>0.4610412557097553</x:v>
      </x:c>
      <x:c r="N102" s="29" t="n">
        <x:f>IF(AND(ISNUMBER(D102),D102&gt;0),ROUNDUP(G102/(D102*E102),0)*E102,"n.a.")</x:f>
        <x:v>109</x:v>
      </x:c>
      <x:c r="O102" s="35" t="n">
        <x:f>IF(AND(ISNUMBER(H102),H102&gt;0,ISNUMBER(N102)),N102/H102,"n.a.")</x:f>
        <x:v>0.5422885572139303</x:v>
      </x:c>
      <x:c r="P102" s="33" t="n">
        <x:f>Batches!D28</x:f>
        <x:v>0</x:v>
      </x:c>
      <x:c r="Q102" s="37" t="str">
        <x:f>IF(AND(P102=0,ISNUMBER(J102),COUNT(Batches!G28:K28)=5),J102-G102-H102*Batches!G28-Batches!M28,"n.a.")</x:f>
        <x:v>n.a.</x:v>
      </x:c>
      <x:c r="R102" s="12" t="str">
        <x:f>IF(P102&gt;0,"Partial ingredient costs",IF(ISNUMBER(Q102),"Modeled operating profit","Other operating costs missing"))</x:f>
        <x:v>Other operating costs missing</x:v>
      </x:c>
      <x:c r="S102" s="12" t="str">
        <x:v>'Best Chinchin'!B20:C20</x:v>
      </x:c>
    </x:row>
    <x:row r="103" ht="28" customHeight="1">
      <x:c r="A103" s="2" t="str">
        <x:v>Best Chinchin</x:v>
      </x:c>
      <x:c r="B103" s="11" t="str">
        <x:v>Main offer</x:v>
      </x:c>
      <x:c r="C103" s="13" t="n">
        <x:v>500</x:v>
      </x:c>
      <x:c r="D103" s="13" t="n">
        <x:v>1000</x:v>
      </x:c>
      <x:c r="E103" s="13" t="n">
        <x:v>1</x:v>
      </x:c>
      <x:c r="F103" s="20" t="n">
        <x:f>Batches!L28</x:f>
        <x:v>45400</x:v>
      </x:c>
      <x:c r="G103" s="20" t="n">
        <x:f>Batches!C28</x:f>
        <x:v>54165.35380116959</x:v>
      </x:c>
      <x:c r="H103" s="28" t="n">
        <x:f>IF(AND(ISNUMBER(F103),ISNUMBER(C103),C103&gt;0,E103&gt;0),ROUNDDOWN(F103/C103/E103,0)*E103,"n.a.")</x:f>
        <x:v>90</x:v>
      </x:c>
      <x:c r="I103" s="32" t="n">
        <x:f>IF(AND(ISNUMBER(H103),ISNUMBER(Batches!F28),Batches!F28&gt;=0,Batches!F28&lt;=1),ROUNDDOWN(H103*Batches!F28/E103,0)*E103,"n.a.")</x:f>
        <x:v>90</x:v>
      </x:c>
      <x:c r="J103" s="11" t="n">
        <x:f>IF(AND(ISNUMBER(I103),ISNUMBER(D103)),I103*D103,"n.a.")</x:f>
        <x:v>90000</x:v>
      </x:c>
      <x:c r="K103" s="11" t="n">
        <x:f>IF(AND(ISNUMBER(I103),I103&gt;0),G103/I103,"n.a.")</x:f>
        <x:v>601.8372644574399</x:v>
      </x:c>
      <x:c r="L103" s="11" t="n">
        <x:f>IF(ISNUMBER(J103),J103-G103,"n.a.")</x:f>
        <x:v>35834.64619883041</x:v>
      </x:c>
      <x:c r="M103" s="34" t="n">
        <x:f>IF(AND(ISNUMBER(J103),J103&gt;0),L103/J103,"n.a.")</x:f>
        <x:v>0.3981627355425601</x:v>
      </x:c>
      <x:c r="N103" s="28" t="n">
        <x:f>IF(AND(ISNUMBER(D103),D103&gt;0),ROUNDUP(G103/(D103*E103),0)*E103,"n.a.")</x:f>
        <x:v>55</x:v>
      </x:c>
      <x:c r="O103" s="34" t="n">
        <x:f>IF(AND(ISNUMBER(H103),H103&gt;0,ISNUMBER(N103)),N103/H103,"n.a.")</x:f>
        <x:v>0.6111111111111112</x:v>
      </x:c>
      <x:c r="P103" s="32" t="n">
        <x:f>Batches!D28</x:f>
        <x:v>0</x:v>
      </x:c>
      <x:c r="Q103" s="36" t="str">
        <x:f>IF(AND(P103=0,ISNUMBER(J103),COUNT(Batches!G28:K28)=5),J103-G103-H103*Batches!G28-Batches!M28,"n.a.")</x:f>
        <x:v>n.a.</x:v>
      </x:c>
      <x:c r="R103" s="11" t="str">
        <x:f>IF(P103&gt;0,"Partial ingredient costs",IF(ISNUMBER(Q103),"Modeled operating profit","Other operating costs missing"))</x:f>
        <x:v>Other operating costs missing</x:v>
      </x:c>
      <x:c r="S103" s="11" t="str">
        <x:v>'Best Chinchin'!B21:C21</x:v>
      </x:c>
    </x:row>
    <x:row r="104" ht="28" customHeight="1">
      <x:c r="A104" s="10" t="str">
        <x:v>Best Chinchin</x:v>
      </x:c>
      <x:c r="B104" s="12" t="str">
        <x:v>Manual offer; confirm</x:v>
      </x:c>
      <x:c r="C104" s="14" t="n">
        <x:v>45</x:v>
      </x:c>
      <x:c r="D104" s="14" t="n">
        <x:v>100</x:v>
      </x:c>
      <x:c r="E104" s="14" t="n">
        <x:v>1</x:v>
      </x:c>
      <x:c r="F104" s="21" t="n">
        <x:f>Batches!L28</x:f>
        <x:v>45400</x:v>
      </x:c>
      <x:c r="G104" s="21" t="n">
        <x:f>Batches!C28</x:f>
        <x:v>54165.35380116959</x:v>
      </x:c>
      <x:c r="H104" s="29" t="n">
        <x:f>IF(AND(ISNUMBER(F104),ISNUMBER(C104),C104&gt;0,E104&gt;0),ROUNDDOWN(F104/C104/E104,0)*E104,"n.a.")</x:f>
        <x:v>1008</x:v>
      </x:c>
      <x:c r="I104" s="33" t="n">
        <x:f>IF(AND(ISNUMBER(H104),ISNUMBER(Batches!F28),Batches!F28&gt;=0,Batches!F28&lt;=1),ROUNDDOWN(H104*Batches!F28/E104,0)*E104,"n.a.")</x:f>
        <x:v>1008</x:v>
      </x:c>
      <x:c r="J104" s="12" t="n">
        <x:f>IF(AND(ISNUMBER(I104),ISNUMBER(D104)),I104*D104,"n.a.")</x:f>
        <x:v>100800</x:v>
      </x:c>
      <x:c r="K104" s="12" t="n">
        <x:f>IF(AND(ISNUMBER(I104),I104&gt;0),G104/I104,"n.a.")</x:f>
        <x:v>53.73547004084285</x:v>
      </x:c>
      <x:c r="L104" s="12" t="n">
        <x:f>IF(ISNUMBER(J104),J104-G104,"n.a.")</x:f>
        <x:v>46634.64619883041</x:v>
      </x:c>
      <x:c r="M104" s="35" t="n">
        <x:f>IF(AND(ISNUMBER(J104),J104&gt;0),L104/J104,"n.a.")</x:f>
        <x:v>0.4626452995915715</x:v>
      </x:c>
      <x:c r="N104" s="29" t="n">
        <x:f>IF(AND(ISNUMBER(D104),D104&gt;0),ROUNDUP(G104/(D104*E104),0)*E104,"n.a.")</x:f>
        <x:v>542</x:v>
      </x:c>
      <x:c r="O104" s="35" t="n">
        <x:f>IF(AND(ISNUMBER(H104),H104&gt;0,ISNUMBER(N104)),N104/H104,"n.a.")</x:f>
        <x:v>0.5376984126984127</x:v>
      </x:c>
      <x:c r="P104" s="33" t="n">
        <x:f>Batches!D28</x:f>
        <x:v>0</x:v>
      </x:c>
      <x:c r="Q104" s="37" t="str">
        <x:f>IF(AND(P104=0,ISNUMBER(J104),COUNT(Batches!G28:K28)=5),J104-G104-H104*Batches!G28-Batches!M28,"n.a.")</x:f>
        <x:v>n.a.</x:v>
      </x:c>
      <x:c r="R104" s="12" t="str">
        <x:f>IF(P104&gt;0,"Partial ingredient costs",IF(ISNUMBER(Q104),"Modeled operating profit","Other operating costs missing"))</x:f>
        <x:v>Other operating costs missing</x:v>
      </x:c>
      <x:c r="S104" s="12" t="str">
        <x:v>'Best Chinchin'!C25,D25</x:v>
      </x:c>
    </x:row>
    <x:row r="105" ht="28" customHeight="1">
      <x:c r="A105" s="2" t="str">
        <x:v>Best Chinchin</x:v>
      </x:c>
      <x:c r="B105" s="11" t="str">
        <x:v>Manual offer; confirm</x:v>
      </x:c>
      <x:c r="C105" s="13" t="n">
        <x:v>230</x:v>
      </x:c>
      <x:c r="D105" s="13" t="n">
        <x:v>500</x:v>
      </x:c>
      <x:c r="E105" s="13" t="n">
        <x:v>1</x:v>
      </x:c>
      <x:c r="F105" s="20" t="n">
        <x:f>Batches!L28</x:f>
        <x:v>45400</x:v>
      </x:c>
      <x:c r="G105" s="20" t="n">
        <x:f>Batches!C28</x:f>
        <x:v>54165.35380116959</x:v>
      </x:c>
      <x:c r="H105" s="28" t="n">
        <x:f>IF(AND(ISNUMBER(F105),ISNUMBER(C105),C105&gt;0,E105&gt;0),ROUNDDOWN(F105/C105/E105,0)*E105,"n.a.")</x:f>
        <x:v>197</x:v>
      </x:c>
      <x:c r="I105" s="32" t="n">
        <x:f>IF(AND(ISNUMBER(H105),ISNUMBER(Batches!F28),Batches!F28&gt;=0,Batches!F28&lt;=1),ROUNDDOWN(H105*Batches!F28/E105,0)*E105,"n.a.")</x:f>
        <x:v>197</x:v>
      </x:c>
      <x:c r="J105" s="11" t="n">
        <x:f>IF(AND(ISNUMBER(I105),ISNUMBER(D105)),I105*D105,"n.a.")</x:f>
        <x:v>98500</x:v>
      </x:c>
      <x:c r="K105" s="11" t="n">
        <x:f>IF(AND(ISNUMBER(I105),I105&gt;0),G105/I105,"n.a.")</x:f>
        <x:v>274.9510345237035</x:v>
      </x:c>
      <x:c r="L105" s="11" t="n">
        <x:f>IF(ISNUMBER(J105),J105-G105,"n.a.")</x:f>
        <x:v>44334.64619883041</x:v>
      </x:c>
      <x:c r="M105" s="34" t="n">
        <x:f>IF(AND(ISNUMBER(J105),J105&gt;0),L105/J105,"n.a.")</x:f>
        <x:v>0.450097930952593</x:v>
      </x:c>
      <x:c r="N105" s="28" t="n">
        <x:f>IF(AND(ISNUMBER(D105),D105&gt;0),ROUNDUP(G105/(D105*E105),0)*E105,"n.a.")</x:f>
        <x:v>109</x:v>
      </x:c>
      <x:c r="O105" s="34" t="n">
        <x:f>IF(AND(ISNUMBER(H105),H105&gt;0,ISNUMBER(N105)),N105/H105,"n.a.")</x:f>
        <x:v>0.5532994923857868</x:v>
      </x:c>
      <x:c r="P105" s="32" t="n">
        <x:f>Batches!D28</x:f>
        <x:v>0</x:v>
      </x:c>
      <x:c r="Q105" s="36" t="str">
        <x:f>IF(AND(P105=0,ISNUMBER(J105),COUNT(Batches!G28:K28)=5),J105-G105-H105*Batches!G28-Batches!M28,"n.a.")</x:f>
        <x:v>n.a.</x:v>
      </x:c>
      <x:c r="R105" s="11" t="str">
        <x:f>IF(P105&gt;0,"Partial ingredient costs",IF(ISNUMBER(Q105),"Modeled operating profit","Other operating costs missing"))</x:f>
        <x:v>Other operating costs missing</x:v>
      </x:c>
      <x:c r="S105" s="11" t="str">
        <x:v>'Best Chinchin'!C26,D26</x:v>
      </x:c>
    </x:row>
    <x:row r="106" ht="28" customHeight="1">
      <x:c r="A106" s="10" t="str">
        <x:v>Sugar Balls</x:v>
      </x:c>
      <x:c r="B106" s="12" t="str">
        <x:v>Main offer</x:v>
      </x:c>
      <x:c r="C106" s="14" t="n">
        <x:v>70</x:v>
      </x:c>
      <x:c r="D106" s="14" t="n">
        <x:v>100</x:v>
      </x:c>
      <x:c r="E106" s="14" t="n">
        <x:v>1</x:v>
      </x:c>
      <x:c r="F106" s="21" t="n">
        <x:f>Batches!L29</x:f>
        <x:v>17010</x:v>
      </x:c>
      <x:c r="G106" s="21" t="n">
        <x:f>Batches!C29</x:f>
        <x:v>7198.274561403508</x:v>
      </x:c>
      <x:c r="H106" s="29" t="n">
        <x:f>IF(AND(ISNUMBER(F106),ISNUMBER(C106),C106&gt;0,E106&gt;0),ROUNDDOWN(F106/C106/E106,0)*E106,"n.a.")</x:f>
        <x:v>243</x:v>
      </x:c>
      <x:c r="I106" s="33" t="n">
        <x:f>IF(AND(ISNUMBER(H106),ISNUMBER(Batches!F29),Batches!F29&gt;=0,Batches!F29&lt;=1),ROUNDDOWN(H106*Batches!F29/E106,0)*E106,"n.a.")</x:f>
        <x:v>243</x:v>
      </x:c>
      <x:c r="J106" s="12" t="n">
        <x:f>IF(AND(ISNUMBER(I106),ISNUMBER(D106)),I106*D106,"n.a.")</x:f>
        <x:v>24300</x:v>
      </x:c>
      <x:c r="K106" s="12" t="n">
        <x:f>IF(AND(ISNUMBER(I106),I106&gt;0),G106/I106,"n.a.")</x:f>
        <x:v>29.6225290592737</x:v>
      </x:c>
      <x:c r="L106" s="12" t="n">
        <x:f>IF(ISNUMBER(J106),J106-G106,"n.a.")</x:f>
        <x:v>17101.72543859649</x:v>
      </x:c>
      <x:c r="M106" s="35" t="n">
        <x:f>IF(AND(ISNUMBER(J106),J106&gt;0),L106/J106,"n.a.")</x:f>
        <x:v>0.703774709407263</x:v>
      </x:c>
      <x:c r="N106" s="29" t="n">
        <x:f>IF(AND(ISNUMBER(D106),D106&gt;0),ROUNDUP(G106/(D106*E106),0)*E106,"n.a.")</x:f>
        <x:v>72</x:v>
      </x:c>
      <x:c r="O106" s="35" t="n">
        <x:f>IF(AND(ISNUMBER(H106),H106&gt;0,ISNUMBER(N106)),N106/H106,"n.a.")</x:f>
        <x:v>0.2962962962962963</x:v>
      </x:c>
      <x:c r="P106" s="33" t="n">
        <x:f>Batches!D29</x:f>
        <x:v>1</x:v>
      </x:c>
      <x:c r="Q106" s="37" t="str">
        <x:f>IF(AND(P106=0,ISNUMBER(J106),COUNT(Batches!G29:K29)=5),J106-G106-H106*Batches!G29-Batches!M29,"n.a.")</x:f>
        <x:v>n.a.</x:v>
      </x:c>
      <x:c r="R106" s="12" t="str">
        <x:f>IF(P106&gt;0,"Partial ingredient costs",IF(ISNUMBER(Q106),"Modeled operating profit","Other operating costs missing"))</x:f>
        <x:v>Partial ingredient costs</x:v>
      </x:c>
      <x:c r="S106" s="12" t="str">
        <x:v>'Sugar Balls'!B18:C18</x:v>
      </x:c>
    </x:row>
    <x:row r="107" ht="28" customHeight="1">
      <x:c r="A107" s="2" t="str">
        <x:v>Sugar Balls</x:v>
      </x:c>
      <x:c r="B107" s="11" t="str">
        <x:v>Main offer</x:v>
      </x:c>
      <x:c r="C107" s="13" t="n">
        <x:v>80</x:v>
      </x:c>
      <x:c r="D107" s="13" t="n">
        <x:v>100</x:v>
      </x:c>
      <x:c r="E107" s="13" t="n">
        <x:v>1</x:v>
      </x:c>
      <x:c r="F107" s="20" t="n">
        <x:f>Batches!L29</x:f>
        <x:v>17010</x:v>
      </x:c>
      <x:c r="G107" s="20" t="n">
        <x:f>Batches!C29</x:f>
        <x:v>7198.274561403508</x:v>
      </x:c>
      <x:c r="H107" s="28" t="n">
        <x:f>IF(AND(ISNUMBER(F107),ISNUMBER(C107),C107&gt;0,E107&gt;0),ROUNDDOWN(F107/C107/E107,0)*E107,"n.a.")</x:f>
        <x:v>212</x:v>
      </x:c>
      <x:c r="I107" s="32" t="n">
        <x:f>IF(AND(ISNUMBER(H107),ISNUMBER(Batches!F29),Batches!F29&gt;=0,Batches!F29&lt;=1),ROUNDDOWN(H107*Batches!F29/E107,0)*E107,"n.a.")</x:f>
        <x:v>212</x:v>
      </x:c>
      <x:c r="J107" s="11" t="n">
        <x:f>IF(AND(ISNUMBER(I107),ISNUMBER(D107)),I107*D107,"n.a.")</x:f>
        <x:v>21200</x:v>
      </x:c>
      <x:c r="K107" s="11" t="n">
        <x:f>IF(AND(ISNUMBER(I107),I107&gt;0),G107/I107,"n.a.")</x:f>
        <x:v>33.954125289639194</x:v>
      </x:c>
      <x:c r="L107" s="11" t="n">
        <x:f>IF(ISNUMBER(J107),J107-G107,"n.a.")</x:f>
        <x:v>14001.725438596492</x:v>
      </x:c>
      <x:c r="M107" s="34" t="n">
        <x:f>IF(AND(ISNUMBER(J107),J107&gt;0),L107/J107,"n.a.")</x:f>
        <x:v>0.6604587471036081</x:v>
      </x:c>
      <x:c r="N107" s="28" t="n">
        <x:f>IF(AND(ISNUMBER(D107),D107&gt;0),ROUNDUP(G107/(D107*E107),0)*E107,"n.a.")</x:f>
        <x:v>72</x:v>
      </x:c>
      <x:c r="O107" s="34" t="n">
        <x:f>IF(AND(ISNUMBER(H107),H107&gt;0,ISNUMBER(N107)),N107/H107,"n.a.")</x:f>
        <x:v>0.33962264150943394</x:v>
      </x:c>
      <x:c r="P107" s="32" t="n">
        <x:f>Batches!D29</x:f>
        <x:v>1</x:v>
      </x:c>
      <x:c r="Q107" s="36" t="str">
        <x:f>IF(AND(P107=0,ISNUMBER(J107),COUNT(Batches!G29:K29)=5),J107-G107-H107*Batches!G29-Batches!M29,"n.a.")</x:f>
        <x:v>n.a.</x:v>
      </x:c>
      <x:c r="R107" s="11" t="str">
        <x:f>IF(P107&gt;0,"Partial ingredient costs",IF(ISNUMBER(Q107),"Modeled operating profit","Other operating costs missing"))</x:f>
        <x:v>Partial ingredient costs</x:v>
      </x:c>
      <x:c r="S107" s="11" t="str">
        <x:v>'Sugar Balls'!B19:C19</x:v>
      </x:c>
    </x:row>
    <x:row r="108" ht="28" customHeight="1">
      <x:c r="A108" s="10" t="str">
        <x:v>Sugar Balls</x:v>
      </x:c>
      <x:c r="B108" s="12" t="str">
        <x:v>Main offer</x:v>
      </x:c>
      <x:c r="C108" s="14" t="n">
        <x:v>150</x:v>
      </x:c>
      <x:c r="D108" s="14" t="n">
        <x:v>500</x:v>
      </x:c>
      <x:c r="E108" s="14" t="n">
        <x:v>1</x:v>
      </x:c>
      <x:c r="F108" s="21" t="n">
        <x:f>Batches!L29</x:f>
        <x:v>17010</x:v>
      </x:c>
      <x:c r="G108" s="21" t="n">
        <x:f>Batches!C29</x:f>
        <x:v>7198.274561403508</x:v>
      </x:c>
      <x:c r="H108" s="29" t="n">
        <x:f>IF(AND(ISNUMBER(F108),ISNUMBER(C108),C108&gt;0,E108&gt;0),ROUNDDOWN(F108/C108/E108,0)*E108,"n.a.")</x:f>
        <x:v>113</x:v>
      </x:c>
      <x:c r="I108" s="33" t="n">
        <x:f>IF(AND(ISNUMBER(H108),ISNUMBER(Batches!F29),Batches!F29&gt;=0,Batches!F29&lt;=1),ROUNDDOWN(H108*Batches!F29/E108,0)*E108,"n.a.")</x:f>
        <x:v>113</x:v>
      </x:c>
      <x:c r="J108" s="12" t="n">
        <x:f>IF(AND(ISNUMBER(I108),ISNUMBER(D108)),I108*D108,"n.a.")</x:f>
        <x:v>56500</x:v>
      </x:c>
      <x:c r="K108" s="12" t="n">
        <x:f>IF(AND(ISNUMBER(I108),I108&gt;0),G108/I108,"n.a.")</x:f>
        <x:v>63.70154479118149</x:v>
      </x:c>
      <x:c r="L108" s="12" t="n">
        <x:f>IF(ISNUMBER(J108),J108-G108,"n.a.")</x:f>
        <x:v>49301.72543859649</x:v>
      </x:c>
      <x:c r="M108" s="35" t="n">
        <x:f>IF(AND(ISNUMBER(J108),J108&gt;0),L108/J108,"n.a.")</x:f>
        <x:v>0.872596910417637</x:v>
      </x:c>
      <x:c r="N108" s="29" t="n">
        <x:f>IF(AND(ISNUMBER(D108),D108&gt;0),ROUNDUP(G108/(D108*E108),0)*E108,"n.a.")</x:f>
        <x:v>15</x:v>
      </x:c>
      <x:c r="O108" s="35" t="n">
        <x:f>IF(AND(ISNUMBER(H108),H108&gt;0,ISNUMBER(N108)),N108/H108,"n.a.")</x:f>
        <x:v>0.13274336283185842</x:v>
      </x:c>
      <x:c r="P108" s="33" t="n">
        <x:f>Batches!D29</x:f>
        <x:v>1</x:v>
      </x:c>
      <x:c r="Q108" s="37" t="str">
        <x:f>IF(AND(P108=0,ISNUMBER(J108),COUNT(Batches!G29:K29)=5),J108-G108-H108*Batches!G29-Batches!M29,"n.a.")</x:f>
        <x:v>n.a.</x:v>
      </x:c>
      <x:c r="R108" s="12" t="str">
        <x:f>IF(P108&gt;0,"Partial ingredient costs",IF(ISNUMBER(Q108),"Modeled operating profit","Other operating costs missing"))</x:f>
        <x:v>Partial ingredient costs</x:v>
      </x:c>
      <x:c r="S108" s="12" t="str">
        <x:v>'Sugar Balls'!B20:C20</x:v>
      </x:c>
    </x:row>
    <x:row r="109" ht="28" customHeight="1">
      <x:c r="A109" s="2" t="str">
        <x:v>Sugar Balls</x:v>
      </x:c>
      <x:c r="B109" s="11" t="str">
        <x:v>Manual offer; confirm</x:v>
      </x:c>
      <x:c r="C109" s="13" t="n">
        <x:v>60</x:v>
      </x:c>
      <x:c r="D109" s="13" t="n">
        <x:v>100</x:v>
      </x:c>
      <x:c r="E109" s="13" t="n">
        <x:v>1</x:v>
      </x:c>
      <x:c r="F109" s="20" t="n">
        <x:f>Batches!L29</x:f>
        <x:v>17010</x:v>
      </x:c>
      <x:c r="G109" s="20" t="n">
        <x:f>Batches!C29</x:f>
        <x:v>7198.274561403508</x:v>
      </x:c>
      <x:c r="H109" s="28" t="n">
        <x:f>IF(AND(ISNUMBER(F109),ISNUMBER(C109),C109&gt;0,E109&gt;0),ROUNDDOWN(F109/C109/E109,0)*E109,"n.a.")</x:f>
        <x:v>283</x:v>
      </x:c>
      <x:c r="I109" s="32" t="n">
        <x:f>IF(AND(ISNUMBER(H109),ISNUMBER(Batches!F29),Batches!F29&gt;=0,Batches!F29&lt;=1),ROUNDDOWN(H109*Batches!F29/E109,0)*E109,"n.a.")</x:f>
        <x:v>283</x:v>
      </x:c>
      <x:c r="J109" s="11" t="n">
        <x:f>IF(AND(ISNUMBER(I109),ISNUMBER(D109)),I109*D109,"n.a.")</x:f>
        <x:v>28300</x:v>
      </x:c>
      <x:c r="K109" s="11" t="n">
        <x:f>IF(AND(ISNUMBER(I109),I109&gt;0),G109/I109,"n.a.")</x:f>
        <x:v>25.435599156902857</x:v>
      </x:c>
      <x:c r="L109" s="11" t="n">
        <x:f>IF(ISNUMBER(J109),J109-G109,"n.a.")</x:f>
        <x:v>21101.72543859649</x:v>
      </x:c>
      <x:c r="M109" s="34" t="n">
        <x:f>IF(AND(ISNUMBER(J109),J109&gt;0),L109/J109,"n.a.")</x:f>
        <x:v>0.7456440084309714</x:v>
      </x:c>
      <x:c r="N109" s="28" t="n">
        <x:f>IF(AND(ISNUMBER(D109),D109&gt;0),ROUNDUP(G109/(D109*E109),0)*E109,"n.a.")</x:f>
        <x:v>72</x:v>
      </x:c>
      <x:c r="O109" s="34" t="n">
        <x:f>IF(AND(ISNUMBER(H109),H109&gt;0,ISNUMBER(N109)),N109/H109,"n.a.")</x:f>
        <x:v>0.254416961130742</x:v>
      </x:c>
      <x:c r="P109" s="32" t="n">
        <x:f>Batches!D29</x:f>
        <x:v>1</x:v>
      </x:c>
      <x:c r="Q109" s="36" t="str">
        <x:f>IF(AND(P109=0,ISNUMBER(J109),COUNT(Batches!G29:K29)=5),J109-G109-H109*Batches!G29-Batches!M29,"n.a.")</x:f>
        <x:v>n.a.</x:v>
      </x:c>
      <x:c r="R109" s="11" t="str">
        <x:f>IF(P109&gt;0,"Partial ingredient costs",IF(ISNUMBER(Q109),"Modeled operating profit","Other operating costs missing"))</x:f>
        <x:v>Partial ingredient costs</x:v>
      </x:c>
      <x:c r="S109" s="11" t="str">
        <x:v>'Sugar Balls'!C24,D24</x:v>
      </x:c>
    </x:row>
    <x:row r="110" ht="28" customHeight="1">
      <x:c r="A110" s="10" t="str">
        <x:v>Sugar Balls</x:v>
      </x:c>
      <x:c r="B110" s="12" t="str">
        <x:v>Manual offer; confirm</x:v>
      </x:c>
      <x:c r="C110" s="14" t="n">
        <x:v>230</x:v>
      </x:c>
      <x:c r="D110" s="14" t="n">
        <x:v>500</x:v>
      </x:c>
      <x:c r="E110" s="14" t="n">
        <x:v>1</x:v>
      </x:c>
      <x:c r="F110" s="21" t="n">
        <x:f>Batches!L29</x:f>
        <x:v>17010</x:v>
      </x:c>
      <x:c r="G110" s="21" t="n">
        <x:f>Batches!C29</x:f>
        <x:v>7198.274561403508</x:v>
      </x:c>
      <x:c r="H110" s="29" t="n">
        <x:f>IF(AND(ISNUMBER(F110),ISNUMBER(C110),C110&gt;0,E110&gt;0),ROUNDDOWN(F110/C110/E110,0)*E110,"n.a.")</x:f>
        <x:v>73</x:v>
      </x:c>
      <x:c r="I110" s="33" t="n">
        <x:f>IF(AND(ISNUMBER(H110),ISNUMBER(Batches!F29),Batches!F29&gt;=0,Batches!F29&lt;=1),ROUNDDOWN(H110*Batches!F29/E110,0)*E110,"n.a.")</x:f>
        <x:v>73</x:v>
      </x:c>
      <x:c r="J110" s="12" t="n">
        <x:f>IF(AND(ISNUMBER(I110),ISNUMBER(D110)),I110*D110,"n.a.")</x:f>
        <x:v>36500</x:v>
      </x:c>
      <x:c r="K110" s="12" t="n">
        <x:f>IF(AND(ISNUMBER(I110),I110&gt;0),G110/I110,"n.a.")</x:f>
        <x:v>98.60650084114395</x:v>
      </x:c>
      <x:c r="L110" s="12" t="n">
        <x:f>IF(ISNUMBER(J110),J110-G110,"n.a.")</x:f>
        <x:v>29301.72543859649</x:v>
      </x:c>
      <x:c r="M110" s="35" t="n">
        <x:f>IF(AND(ISNUMBER(J110),J110&gt;0),L110/J110,"n.a.")</x:f>
        <x:v>0.802786998317712</x:v>
      </x:c>
      <x:c r="N110" s="29" t="n">
        <x:f>IF(AND(ISNUMBER(D110),D110&gt;0),ROUNDUP(G110/(D110*E110),0)*E110,"n.a.")</x:f>
        <x:v>15</x:v>
      </x:c>
      <x:c r="O110" s="35" t="n">
        <x:f>IF(AND(ISNUMBER(H110),H110&gt;0,ISNUMBER(N110)),N110/H110,"n.a.")</x:f>
        <x:v>0.2054794520547945</x:v>
      </x:c>
      <x:c r="P110" s="33" t="n">
        <x:f>Batches!D29</x:f>
        <x:v>1</x:v>
      </x:c>
      <x:c r="Q110" s="37" t="str">
        <x:f>IF(AND(P110=0,ISNUMBER(J110),COUNT(Batches!G29:K29)=5),J110-G110-H110*Batches!G29-Batches!M29,"n.a.")</x:f>
        <x:v>n.a.</x:v>
      </x:c>
      <x:c r="R110" s="12" t="str">
        <x:f>IF(P110&gt;0,"Partial ingredient costs",IF(ISNUMBER(Q110),"Modeled operating profit","Other operating costs missing"))</x:f>
        <x:v>Partial ingredient costs</x:v>
      </x:c>
      <x:c r="S110" s="12" t="str">
        <x:v>'Sugar Balls'!C25,D25</x:v>
      </x:c>
    </x:row>
    <x:row r="111" ht="28" customHeight="1">
      <x:c r="A111" s="2" t="str">
        <x:v>Sugar Balls</x:v>
      </x:c>
      <x:c r="B111" s="11" t="str">
        <x:v>12-piece wholesale pack</x:v>
      </x:c>
      <x:c r="C111" s="13" t="n">
        <x:v>70</x:v>
      </x:c>
      <x:c r="D111" s="13" t="n">
        <x:v>83.33333333333333</x:v>
      </x:c>
      <x:c r="E111" s="13" t="n">
        <x:v>12</x:v>
      </x:c>
      <x:c r="F111" s="20" t="n">
        <x:f>Batches!L29</x:f>
        <x:v>17010</x:v>
      </x:c>
      <x:c r="G111" s="20" t="n">
        <x:f>Batches!C29</x:f>
        <x:v>7198.274561403508</x:v>
      </x:c>
      <x:c r="H111" s="28" t="n">
        <x:f>IF(AND(ISNUMBER(F111),ISNUMBER(C111),C111&gt;0,E111&gt;0),ROUNDDOWN(F111/C111/E111,0)*E111,"n.a.")</x:f>
        <x:v>240</x:v>
      </x:c>
      <x:c r="I111" s="32" t="n">
        <x:f>IF(AND(ISNUMBER(H111),ISNUMBER(Batches!F29),Batches!F29&gt;=0,Batches!F29&lt;=1),ROUNDDOWN(H111*Batches!F29/E111,0)*E111,"n.a.")</x:f>
        <x:v>240</x:v>
      </x:c>
      <x:c r="J111" s="11" t="n">
        <x:f>IF(AND(ISNUMBER(I111),ISNUMBER(D111)),I111*D111,"n.a.")</x:f>
        <x:v>20000</x:v>
      </x:c>
      <x:c r="K111" s="11" t="n">
        <x:f>IF(AND(ISNUMBER(I111),I111&gt;0),G111/I111,"n.a.")</x:f>
        <x:v>29.99281067251462</x:v>
      </x:c>
      <x:c r="L111" s="11" t="n">
        <x:f>IF(ISNUMBER(J111),J111-G111,"n.a.")</x:f>
        <x:v>12801.725438596492</x:v>
      </x:c>
      <x:c r="M111" s="34" t="n">
        <x:f>IF(AND(ISNUMBER(J111),J111&gt;0),L111/J111,"n.a.")</x:f>
        <x:v>0.6400862719298246</x:v>
      </x:c>
      <x:c r="N111" s="28" t="n">
        <x:f>IF(AND(ISNUMBER(D111),D111&gt;0),ROUNDUP(G111/(D111*E111),0)*E111,"n.a.")</x:f>
        <x:v>96</x:v>
      </x:c>
      <x:c r="O111" s="34" t="n">
        <x:f>IF(AND(ISNUMBER(H111),H111&gt;0,ISNUMBER(N111)),N111/H111,"n.a.")</x:f>
        <x:v>0.4</x:v>
      </x:c>
      <x:c r="P111" s="32" t="n">
        <x:f>Batches!D29</x:f>
        <x:v>1</x:v>
      </x:c>
      <x:c r="Q111" s="36" t="str">
        <x:f>IF(AND(P111=0,ISNUMBER(J111),COUNT(Batches!G29:K29)=5),J111-G111-H111*Batches!G29-Batches!M29,"n.a.")</x:f>
        <x:v>n.a.</x:v>
      </x:c>
      <x:c r="R111" s="11" t="str">
        <x:f>IF(P111&gt;0,"Partial ingredient costs",IF(ISNUMBER(Q111),"Modeled operating profit","Other operating costs missing"))</x:f>
        <x:v>Partial ingredient costs</x:v>
      </x:c>
      <x:c r="S111" s="11" t="str">
        <x:v>'Sugar Balls'!K18</x:v>
      </x:c>
    </x:row>
    <x:row r="112" ht="28" customHeight="1">
      <x:c r="A112" s="10" t="str">
        <x:v>Beignet soufle</x:v>
      </x:c>
      <x:c r="B112" s="12" t="str">
        <x:v>Main offer</x:v>
      </x:c>
      <x:c r="C112" s="14" t="n">
        <x:v>37</x:v>
      </x:c>
      <x:c r="D112" s="14" t="n">
        <x:v>50</x:v>
      </x:c>
      <x:c r="E112" s="14" t="n">
        <x:v>1</x:v>
      </x:c>
      <x:c r="F112" s="21" t="n">
        <x:f>Batches!L30</x:f>
        <x:v>12380</x:v>
      </x:c>
      <x:c r="G112" s="21" t="n">
        <x:f>Batches!C30</x:f>
        <x:v>7474.6912280701745</x:v>
      </x:c>
      <x:c r="H112" s="29" t="n">
        <x:f>IF(AND(ISNUMBER(F112),ISNUMBER(C112),C112&gt;0,E112&gt;0),ROUNDDOWN(F112/C112/E112,0)*E112,"n.a.")</x:f>
        <x:v>334</x:v>
      </x:c>
      <x:c r="I112" s="33" t="n">
        <x:f>IF(AND(ISNUMBER(H112),ISNUMBER(Batches!F30),Batches!F30&gt;=0,Batches!F30&lt;=1),ROUNDDOWN(H112*Batches!F30/E112,0)*E112,"n.a.")</x:f>
        <x:v>334</x:v>
      </x:c>
      <x:c r="J112" s="12" t="n">
        <x:f>IF(AND(ISNUMBER(I112),ISNUMBER(D112)),I112*D112,"n.a.")</x:f>
        <x:v>16700</x:v>
      </x:c>
      <x:c r="K112" s="12" t="n">
        <x:f>IF(AND(ISNUMBER(I112),I112&gt;0),G112/I112,"n.a.")</x:f>
        <x:v>22.379315054102317</x:v>
      </x:c>
      <x:c r="L112" s="12" t="n">
        <x:f>IF(ISNUMBER(J112),J112-G112,"n.a.")</x:f>
        <x:v>9225.308771929826</x:v>
      </x:c>
      <x:c r="M112" s="35" t="n">
        <x:f>IF(AND(ISNUMBER(J112),J112&gt;0),L112/J112,"n.a.")</x:f>
        <x:v>0.5524136989179537</x:v>
      </x:c>
      <x:c r="N112" s="29" t="n">
        <x:f>IF(AND(ISNUMBER(D112),D112&gt;0),ROUNDUP(G112/(D112*E112),0)*E112,"n.a.")</x:f>
        <x:v>150</x:v>
      </x:c>
      <x:c r="O112" s="35" t="n">
        <x:f>IF(AND(ISNUMBER(H112),H112&gt;0,ISNUMBER(N112)),N112/H112,"n.a.")</x:f>
        <x:v>0.4491017964071856</x:v>
      </x:c>
      <x:c r="P112" s="33" t="n">
        <x:f>Batches!D30</x:f>
        <x:v>1</x:v>
      </x:c>
      <x:c r="Q112" s="37" t="str">
        <x:f>IF(AND(P112=0,ISNUMBER(J112),COUNT(Batches!G30:K30)=5),J112-G112-H112*Batches!G30-Batches!M30,"n.a.")</x:f>
        <x:v>n.a.</x:v>
      </x:c>
      <x:c r="R112" s="12" t="str">
        <x:f>IF(P112&gt;0,"Partial ingredient costs",IF(ISNUMBER(Q112),"Modeled operating profit","Other operating costs missing"))</x:f>
        <x:v>Partial ingredient costs</x:v>
      </x:c>
      <x:c r="S112" s="12" t="str">
        <x:v>'Beignet soufle'!B20:C20</x:v>
      </x:c>
    </x:row>
    <x:row r="113" ht="28" customHeight="1">
      <x:c r="A113" s="2" t="str">
        <x:v>Beignet soufle</x:v>
      </x:c>
      <x:c r="B113" s="11" t="str">
        <x:v>Main offer</x:v>
      </x:c>
      <x:c r="C113" s="13" t="n">
        <x:v>160</x:v>
      </x:c>
      <x:c r="D113" s="13" t="n">
        <x:v>200</x:v>
      </x:c>
      <x:c r="E113" s="13" t="n">
        <x:v>1</x:v>
      </x:c>
      <x:c r="F113" s="20" t="n">
        <x:f>Batches!L30</x:f>
        <x:v>12380</x:v>
      </x:c>
      <x:c r="G113" s="20" t="n">
        <x:f>Batches!C30</x:f>
        <x:v>7474.6912280701745</x:v>
      </x:c>
      <x:c r="H113" s="28" t="n">
        <x:f>IF(AND(ISNUMBER(F113),ISNUMBER(C113),C113&gt;0,E113&gt;0),ROUNDDOWN(F113/C113/E113,0)*E113,"n.a.")</x:f>
        <x:v>77</x:v>
      </x:c>
      <x:c r="I113" s="32" t="n">
        <x:f>IF(AND(ISNUMBER(H113),ISNUMBER(Batches!F30),Batches!F30&gt;=0,Batches!F30&lt;=1),ROUNDDOWN(H113*Batches!F30/E113,0)*E113,"n.a.")</x:f>
        <x:v>77</x:v>
      </x:c>
      <x:c r="J113" s="11" t="n">
        <x:f>IF(AND(ISNUMBER(I113),ISNUMBER(D113)),I113*D113,"n.a.")</x:f>
        <x:v>15400</x:v>
      </x:c>
      <x:c r="K113" s="11" t="n">
        <x:f>IF(AND(ISNUMBER(I113),I113&gt;0),G113/I113,"n.a.")</x:f>
        <x:v>97.07391205285941</x:v>
      </x:c>
      <x:c r="L113" s="11" t="n">
        <x:f>IF(ISNUMBER(J113),J113-G113,"n.a.")</x:f>
        <x:v>7925.3087719298255</x:v>
      </x:c>
      <x:c r="M113" s="34" t="n">
        <x:f>IF(AND(ISNUMBER(J113),J113&gt;0),L113/J113,"n.a.")</x:f>
        <x:v>0.514630439735703</x:v>
      </x:c>
      <x:c r="N113" s="28" t="n">
        <x:f>IF(AND(ISNUMBER(D113),D113&gt;0),ROUNDUP(G113/(D113*E113),0)*E113,"n.a.")</x:f>
        <x:v>38</x:v>
      </x:c>
      <x:c r="O113" s="34" t="n">
        <x:f>IF(AND(ISNUMBER(H113),H113&gt;0,ISNUMBER(N113)),N113/H113,"n.a.")</x:f>
        <x:v>0.4935064935064935</x:v>
      </x:c>
      <x:c r="P113" s="32" t="n">
        <x:f>Batches!D30</x:f>
        <x:v>1</x:v>
      </x:c>
      <x:c r="Q113" s="36" t="str">
        <x:f>IF(AND(P113=0,ISNUMBER(J113),COUNT(Batches!G30:K30)=5),J113-G113-H113*Batches!G30-Batches!M30,"n.a.")</x:f>
        <x:v>n.a.</x:v>
      </x:c>
      <x:c r="R113" s="11" t="str">
        <x:f>IF(P113&gt;0,"Partial ingredient costs",IF(ISNUMBER(Q113),"Modeled operating profit","Other operating costs missing"))</x:f>
        <x:v>Partial ingredient costs</x:v>
      </x:c>
      <x:c r="S113" s="11" t="str">
        <x:v>'Beignet soufle'!B21:C21</x:v>
      </x:c>
    </x:row>
    <x:row r="114" ht="28" customHeight="1">
      <x:c r="A114" s="10" t="str">
        <x:v>Beignet soufle</x:v>
      </x:c>
      <x:c r="B114" s="12" t="str">
        <x:v>Main offer</x:v>
      </x:c>
      <x:c r="C114" s="14" t="n">
        <x:v>700</x:v>
      </x:c>
      <x:c r="D114" s="14" t="n">
        <x:v>1000</x:v>
      </x:c>
      <x:c r="E114" s="14" t="n">
        <x:v>1</x:v>
      </x:c>
      <x:c r="F114" s="21" t="n">
        <x:f>Batches!L30</x:f>
        <x:v>12380</x:v>
      </x:c>
      <x:c r="G114" s="21" t="n">
        <x:f>Batches!C30</x:f>
        <x:v>7474.6912280701745</x:v>
      </x:c>
      <x:c r="H114" s="29" t="n">
        <x:f>IF(AND(ISNUMBER(F114),ISNUMBER(C114),C114&gt;0,E114&gt;0),ROUNDDOWN(F114/C114/E114,0)*E114,"n.a.")</x:f>
        <x:v>17</x:v>
      </x:c>
      <x:c r="I114" s="33" t="n">
        <x:f>IF(AND(ISNUMBER(H114),ISNUMBER(Batches!F30),Batches!F30&gt;=0,Batches!F30&lt;=1),ROUNDDOWN(H114*Batches!F30/E114,0)*E114,"n.a.")</x:f>
        <x:v>17</x:v>
      </x:c>
      <x:c r="J114" s="12" t="n">
        <x:f>IF(AND(ISNUMBER(I114),ISNUMBER(D114)),I114*D114,"n.a.")</x:f>
        <x:v>17000</x:v>
      </x:c>
      <x:c r="K114" s="12" t="n">
        <x:f>IF(AND(ISNUMBER(I114),I114&gt;0),G114/I114,"n.a.")</x:f>
        <x:v>439.68771929824555</x:v>
      </x:c>
      <x:c r="L114" s="12" t="n">
        <x:f>IF(ISNUMBER(J114),J114-G114,"n.a.")</x:f>
        <x:v>9525.308771929826</x:v>
      </x:c>
      <x:c r="M114" s="35" t="n">
        <x:f>IF(AND(ISNUMBER(J114),J114&gt;0),L114/J114,"n.a.")</x:f>
        <x:v>0.5603122807017544</x:v>
      </x:c>
      <x:c r="N114" s="29" t="n">
        <x:f>IF(AND(ISNUMBER(D114),D114&gt;0),ROUNDUP(G114/(D114*E114),0)*E114,"n.a.")</x:f>
        <x:v>8</x:v>
      </x:c>
      <x:c r="O114" s="35" t="n">
        <x:f>IF(AND(ISNUMBER(H114),H114&gt;0,ISNUMBER(N114)),N114/H114,"n.a.")</x:f>
        <x:v>0.47058823529411764</x:v>
      </x:c>
      <x:c r="P114" s="33" t="n">
        <x:f>Batches!D30</x:f>
        <x:v>1</x:v>
      </x:c>
      <x:c r="Q114" s="37" t="str">
        <x:f>IF(AND(P114=0,ISNUMBER(J114),COUNT(Batches!G30:K30)=5),J114-G114-H114*Batches!G30-Batches!M30,"n.a.")</x:f>
        <x:v>n.a.</x:v>
      </x:c>
      <x:c r="R114" s="12" t="str">
        <x:f>IF(P114&gt;0,"Partial ingredient costs",IF(ISNUMBER(Q114),"Modeled operating profit","Other operating costs missing"))</x:f>
        <x:v>Partial ingredient costs</x:v>
      </x:c>
      <x:c r="S114" s="12" t="str">
        <x:v>'Beignet soufle'!B22:C22</x:v>
      </x:c>
    </x:row>
    <x:row r="115" ht="28" customHeight="1">
      <x:c r="A115" s="2" t="str">
        <x:v>Zebree</x:v>
      </x:c>
      <x:c r="B115" s="11" t="str">
        <x:v>Main offer</x:v>
      </x:c>
      <x:c r="C115" s="13" t="n">
        <x:v>370</x:v>
      </x:c>
      <x:c r="D115" s="13" t="n">
        <x:v>500</x:v>
      </x:c>
      <x:c r="E115" s="13" t="n">
        <x:v>1</x:v>
      </x:c>
      <x:c r="F115" s="20" t="n">
        <x:f>Batches!L31</x:f>
        <x:v>19505</x:v>
      </x:c>
      <x:c r="G115" s="20" t="n">
        <x:f>Batches!C31</x:f>
        <x:v>12605.066374269005</x:v>
      </x:c>
      <x:c r="H115" s="28" t="n">
        <x:f>IF(AND(ISNUMBER(F115),ISNUMBER(C115),C115&gt;0,E115&gt;0),ROUNDDOWN(F115/C115/E115,0)*E115,"n.a.")</x:f>
        <x:v>52</x:v>
      </x:c>
      <x:c r="I115" s="32" t="n">
        <x:f>IF(AND(ISNUMBER(H115),ISNUMBER(Batches!F31),Batches!F31&gt;=0,Batches!F31&lt;=1),ROUNDDOWN(H115*Batches!F31/E115,0)*E115,"n.a.")</x:f>
        <x:v>52</x:v>
      </x:c>
      <x:c r="J115" s="11" t="n">
        <x:f>IF(AND(ISNUMBER(I115),ISNUMBER(D115)),I115*D115,"n.a.")</x:f>
        <x:v>26000</x:v>
      </x:c>
      <x:c r="K115" s="11" t="n">
        <x:f>IF(AND(ISNUMBER(I115),I115&gt;0),G115/I115,"n.a.")</x:f>
        <x:v>242.40512258209625</x:v>
      </x:c>
      <x:c r="L115" s="11" t="n">
        <x:f>IF(ISNUMBER(J115),J115-G115,"n.a.")</x:f>
        <x:v>13394.933625730995</x:v>
      </x:c>
      <x:c r="M115" s="34" t="n">
        <x:f>IF(AND(ISNUMBER(J115),J115&gt;0),L115/J115,"n.a.")</x:f>
        <x:v>0.5151897548358075</x:v>
      </x:c>
      <x:c r="N115" s="28" t="n">
        <x:f>IF(AND(ISNUMBER(D115),D115&gt;0),ROUNDUP(G115/(D115*E115),0)*E115,"n.a.")</x:f>
        <x:v>26</x:v>
      </x:c>
      <x:c r="O115" s="34" t="n">
        <x:f>IF(AND(ISNUMBER(H115),H115&gt;0,ISNUMBER(N115)),N115/H115,"n.a.")</x:f>
        <x:v>0.5</x:v>
      </x:c>
      <x:c r="P115" s="32" t="n">
        <x:f>Batches!D31</x:f>
        <x:v>0</x:v>
      </x:c>
      <x:c r="Q115" s="36" t="str">
        <x:f>IF(AND(P115=0,ISNUMBER(J115),COUNT(Batches!G31:K31)=5),J115-G115-H115*Batches!G31-Batches!M31,"n.a.")</x:f>
        <x:v>n.a.</x:v>
      </x:c>
      <x:c r="R115" s="11" t="str">
        <x:f>IF(P115&gt;0,"Partial ingredient costs",IF(ISNUMBER(Q115),"Modeled operating profit","Other operating costs missing"))</x:f>
        <x:v>Other operating costs missing</x:v>
      </x:c>
      <x:c r="S115" s="11" t="str">
        <x:v>'Zebree'!B22:C22</x:v>
      </x:c>
    </x:row>
    <x:row r="116" ht="28" customHeight="1">
      <x:c r="A116" s="10" t="str">
        <x:v>Zebree</x:v>
      </x:c>
      <x:c r="B116" s="12" t="str">
        <x:v>Main offer</x:v>
      </x:c>
      <x:c r="C116" s="14" t="n">
        <x:v>190</x:v>
      </x:c>
      <x:c r="D116" s="14" t="n">
        <x:v>250</x:v>
      </x:c>
      <x:c r="E116" s="14" t="n">
        <x:v>1</x:v>
      </x:c>
      <x:c r="F116" s="21" t="n">
        <x:f>Batches!L31</x:f>
        <x:v>19505</x:v>
      </x:c>
      <x:c r="G116" s="21" t="n">
        <x:f>Batches!C31</x:f>
        <x:v>12605.066374269005</x:v>
      </x:c>
      <x:c r="H116" s="29" t="n">
        <x:f>IF(AND(ISNUMBER(F116),ISNUMBER(C116),C116&gt;0,E116&gt;0),ROUNDDOWN(F116/C116/E116,0)*E116,"n.a.")</x:f>
        <x:v>102</x:v>
      </x:c>
      <x:c r="I116" s="33" t="n">
        <x:f>IF(AND(ISNUMBER(H116),ISNUMBER(Batches!F31),Batches!F31&gt;=0,Batches!F31&lt;=1),ROUNDDOWN(H116*Batches!F31/E116,0)*E116,"n.a.")</x:f>
        <x:v>102</x:v>
      </x:c>
      <x:c r="J116" s="12" t="n">
        <x:f>IF(AND(ISNUMBER(I116),ISNUMBER(D116)),I116*D116,"n.a.")</x:f>
        <x:v>25500</x:v>
      </x:c>
      <x:c r="K116" s="12" t="n">
        <x:f>IF(AND(ISNUMBER(I116),I116&gt;0),G116/I116,"n.a.")</x:f>
        <x:v>123.57908210067652</x:v>
      </x:c>
      <x:c r="L116" s="12" t="n">
        <x:f>IF(ISNUMBER(J116),J116-G116,"n.a.")</x:f>
        <x:v>12894.933625730995</x:v>
      </x:c>
      <x:c r="M116" s="35" t="n">
        <x:f>IF(AND(ISNUMBER(J116),J116&gt;0),L116/J116,"n.a.")</x:f>
        <x:v>0.5056836715972939</x:v>
      </x:c>
      <x:c r="N116" s="29" t="n">
        <x:f>IF(AND(ISNUMBER(D116),D116&gt;0),ROUNDUP(G116/(D116*E116),0)*E116,"n.a.")</x:f>
        <x:v>51</x:v>
      </x:c>
      <x:c r="O116" s="35" t="n">
        <x:f>IF(AND(ISNUMBER(H116),H116&gt;0,ISNUMBER(N116)),N116/H116,"n.a.")</x:f>
        <x:v>0.5</x:v>
      </x:c>
      <x:c r="P116" s="33" t="n">
        <x:f>Batches!D31</x:f>
        <x:v>0</x:v>
      </x:c>
      <x:c r="Q116" s="37" t="str">
        <x:f>IF(AND(P116=0,ISNUMBER(J116),COUNT(Batches!G31:K31)=5),J116-G116-H116*Batches!G31-Batches!M31,"n.a.")</x:f>
        <x:v>n.a.</x:v>
      </x:c>
      <x:c r="R116" s="12" t="str">
        <x:f>IF(P116&gt;0,"Partial ingredient costs",IF(ISNUMBER(Q116),"Modeled operating profit","Other operating costs missing"))</x:f>
        <x:v>Other operating costs missing</x:v>
      </x:c>
      <x:c r="S116" s="12" t="str">
        <x:v>'Zebree'!B23:C23</x:v>
      </x:c>
    </x:row>
    <x:row r="117" ht="28" customHeight="1">
      <x:c r="A117" s="2" t="str">
        <x:v>Zebree</x:v>
      </x:c>
      <x:c r="B117" s="11" t="str">
        <x:v>Main offer</x:v>
      </x:c>
      <x:c r="C117" s="13" t="n">
        <x:v>700</x:v>
      </x:c>
      <x:c r="D117" s="13" t="n">
        <x:v>1000</x:v>
      </x:c>
      <x:c r="E117" s="13" t="n">
        <x:v>1</x:v>
      </x:c>
      <x:c r="F117" s="20" t="n">
        <x:f>Batches!L31</x:f>
        <x:v>19505</x:v>
      </x:c>
      <x:c r="G117" s="20" t="n">
        <x:f>Batches!C31</x:f>
        <x:v>12605.066374269005</x:v>
      </x:c>
      <x:c r="H117" s="28" t="n">
        <x:f>IF(AND(ISNUMBER(F117),ISNUMBER(C117),C117&gt;0,E117&gt;0),ROUNDDOWN(F117/C117/E117,0)*E117,"n.a.")</x:f>
        <x:v>27</x:v>
      </x:c>
      <x:c r="I117" s="32" t="n">
        <x:f>IF(AND(ISNUMBER(H117),ISNUMBER(Batches!F31),Batches!F31&gt;=0,Batches!F31&lt;=1),ROUNDDOWN(H117*Batches!F31/E117,0)*E117,"n.a.")</x:f>
        <x:v>27</x:v>
      </x:c>
      <x:c r="J117" s="11" t="n">
        <x:f>IF(AND(ISNUMBER(I117),ISNUMBER(D117)),I117*D117,"n.a.")</x:f>
        <x:v>27000</x:v>
      </x:c>
      <x:c r="K117" s="11" t="n">
        <x:f>IF(AND(ISNUMBER(I117),I117&gt;0),G117/I117,"n.a.")</x:f>
        <x:v>466.8543101581113</x:v>
      </x:c>
      <x:c r="L117" s="11" t="n">
        <x:f>IF(ISNUMBER(J117),J117-G117,"n.a.")</x:f>
        <x:v>14394.933625730995</x:v>
      </x:c>
      <x:c r="M117" s="34" t="n">
        <x:f>IF(AND(ISNUMBER(J117),J117&gt;0),L117/J117,"n.a.")</x:f>
        <x:v>0.5331456898418887</x:v>
      </x:c>
      <x:c r="N117" s="28" t="n">
        <x:f>IF(AND(ISNUMBER(D117),D117&gt;0),ROUNDUP(G117/(D117*E117),0)*E117,"n.a.")</x:f>
        <x:v>13</x:v>
      </x:c>
      <x:c r="O117" s="34" t="n">
        <x:f>IF(AND(ISNUMBER(H117),H117&gt;0,ISNUMBER(N117)),N117/H117,"n.a.")</x:f>
        <x:v>0.48148148148148145</x:v>
      </x:c>
      <x:c r="P117" s="32" t="n">
        <x:f>Batches!D31</x:f>
        <x:v>0</x:v>
      </x:c>
      <x:c r="Q117" s="36" t="str">
        <x:f>IF(AND(P117=0,ISNUMBER(J117),COUNT(Batches!G31:K31)=5),J117-G117-H117*Batches!G31-Batches!M31,"n.a.")</x:f>
        <x:v>n.a.</x:v>
      </x:c>
      <x:c r="R117" s="11" t="str">
        <x:f>IF(P117&gt;0,"Partial ingredient costs",IF(ISNUMBER(Q117),"Modeled operating profit","Other operating costs missing"))</x:f>
        <x:v>Other operating costs missing</x:v>
      </x:c>
      <x:c r="S117" s="11" t="str">
        <x:v>'Zebree'!B24:C24</x:v>
      </x:c>
    </x:row>
    <x:row r="118" ht="28" customHeight="1">
      <x:c r="A118" s="10" t="str">
        <x:v>Zebree</x:v>
      </x:c>
      <x:c r="B118" s="12" t="str">
        <x:v>Manual offer; confirm</x:v>
      </x:c>
      <x:c r="C118" s="14" t="n">
        <x:v>380</x:v>
      </x:c>
      <x:c r="D118" s="14" t="n">
        <x:v>500</x:v>
      </x:c>
      <x:c r="E118" s="14" t="n">
        <x:v>1</x:v>
      </x:c>
      <x:c r="F118" s="21" t="n">
        <x:f>Batches!L31</x:f>
        <x:v>19505</x:v>
      </x:c>
      <x:c r="G118" s="21" t="n">
        <x:f>Batches!C31</x:f>
        <x:v>12605.066374269005</x:v>
      </x:c>
      <x:c r="H118" s="29" t="n">
        <x:f>IF(AND(ISNUMBER(F118),ISNUMBER(C118),C118&gt;0,E118&gt;0),ROUNDDOWN(F118/C118/E118,0)*E118,"n.a.")</x:f>
        <x:v>51</x:v>
      </x:c>
      <x:c r="I118" s="33" t="n">
        <x:f>IF(AND(ISNUMBER(H118),ISNUMBER(Batches!F31),Batches!F31&gt;=0,Batches!F31&lt;=1),ROUNDDOWN(H118*Batches!F31/E118,0)*E118,"n.a.")</x:f>
        <x:v>51</x:v>
      </x:c>
      <x:c r="J118" s="12" t="n">
        <x:f>IF(AND(ISNUMBER(I118),ISNUMBER(D118)),I118*D118,"n.a.")</x:f>
        <x:v>25500</x:v>
      </x:c>
      <x:c r="K118" s="12" t="n">
        <x:f>IF(AND(ISNUMBER(I118),I118&gt;0),G118/I118,"n.a.")</x:f>
        <x:v>247.15816420135303</x:v>
      </x:c>
      <x:c r="L118" s="12" t="n">
        <x:f>IF(ISNUMBER(J118),J118-G118,"n.a.")</x:f>
        <x:v>12894.933625730995</x:v>
      </x:c>
      <x:c r="M118" s="35" t="n">
        <x:f>IF(AND(ISNUMBER(J118),J118&gt;0),L118/J118,"n.a.")</x:f>
        <x:v>0.5056836715972939</x:v>
      </x:c>
      <x:c r="N118" s="29" t="n">
        <x:f>IF(AND(ISNUMBER(D118),D118&gt;0),ROUNDUP(G118/(D118*E118),0)*E118,"n.a.")</x:f>
        <x:v>26</x:v>
      </x:c>
      <x:c r="O118" s="35" t="n">
        <x:f>IF(AND(ISNUMBER(H118),H118&gt;0,ISNUMBER(N118)),N118/H118,"n.a.")</x:f>
        <x:v>0.5098039215686274</x:v>
      </x:c>
      <x:c r="P118" s="33" t="n">
        <x:f>Batches!D31</x:f>
        <x:v>0</x:v>
      </x:c>
      <x:c r="Q118" s="37" t="str">
        <x:f>IF(AND(P118=0,ISNUMBER(J118),COUNT(Batches!G31:K31)=5),J118-G118-H118*Batches!G31-Batches!M31,"n.a.")</x:f>
        <x:v>n.a.</x:v>
      </x:c>
      <x:c r="R118" s="12" t="str">
        <x:f>IF(P118&gt;0,"Partial ingredient costs",IF(ISNUMBER(Q118),"Modeled operating profit","Other operating costs missing"))</x:f>
        <x:v>Other operating costs missing</x:v>
      </x:c>
      <x:c r="S118" s="12" t="str">
        <x:v>'Zebree'!D29,F29</x:v>
      </x:c>
    </x:row>
    <x:row r="119" ht="28" customHeight="1">
      <x:c r="A119" s="2" t="str">
        <x:v>Zebree</x:v>
      </x:c>
      <x:c r="B119" s="11" t="str">
        <x:v>Manual offer; confirm</x:v>
      </x:c>
      <x:c r="C119" s="13" t="n">
        <x:v>190</x:v>
      </x:c>
      <x:c r="D119" s="13" t="n">
        <x:v>250</x:v>
      </x:c>
      <x:c r="E119" s="13" t="n">
        <x:v>1</x:v>
      </x:c>
      <x:c r="F119" s="20" t="n">
        <x:f>Batches!L31</x:f>
        <x:v>19505</x:v>
      </x:c>
      <x:c r="G119" s="20" t="n">
        <x:f>Batches!C31</x:f>
        <x:v>12605.066374269005</x:v>
      </x:c>
      <x:c r="H119" s="28" t="n">
        <x:f>IF(AND(ISNUMBER(F119),ISNUMBER(C119),C119&gt;0,E119&gt;0),ROUNDDOWN(F119/C119/E119,0)*E119,"n.a.")</x:f>
        <x:v>102</x:v>
      </x:c>
      <x:c r="I119" s="32" t="n">
        <x:f>IF(AND(ISNUMBER(H119),ISNUMBER(Batches!F31),Batches!F31&gt;=0,Batches!F31&lt;=1),ROUNDDOWN(H119*Batches!F31/E119,0)*E119,"n.a.")</x:f>
        <x:v>102</x:v>
      </x:c>
      <x:c r="J119" s="11" t="n">
        <x:f>IF(AND(ISNUMBER(I119),ISNUMBER(D119)),I119*D119,"n.a.")</x:f>
        <x:v>25500</x:v>
      </x:c>
      <x:c r="K119" s="11" t="n">
        <x:f>IF(AND(ISNUMBER(I119),I119&gt;0),G119/I119,"n.a.")</x:f>
        <x:v>123.57908210067652</x:v>
      </x:c>
      <x:c r="L119" s="11" t="n">
        <x:f>IF(ISNUMBER(J119),J119-G119,"n.a.")</x:f>
        <x:v>12894.933625730995</x:v>
      </x:c>
      <x:c r="M119" s="34" t="n">
        <x:f>IF(AND(ISNUMBER(J119),J119&gt;0),L119/J119,"n.a.")</x:f>
        <x:v>0.5056836715972939</x:v>
      </x:c>
      <x:c r="N119" s="28" t="n">
        <x:f>IF(AND(ISNUMBER(D119),D119&gt;0),ROUNDUP(G119/(D119*E119),0)*E119,"n.a.")</x:f>
        <x:v>51</x:v>
      </x:c>
      <x:c r="O119" s="34" t="n">
        <x:f>IF(AND(ISNUMBER(H119),H119&gt;0,ISNUMBER(N119)),N119/H119,"n.a.")</x:f>
        <x:v>0.5</x:v>
      </x:c>
      <x:c r="P119" s="32" t="n">
        <x:f>Batches!D31</x:f>
        <x:v>0</x:v>
      </x:c>
      <x:c r="Q119" s="36" t="str">
        <x:f>IF(AND(P119=0,ISNUMBER(J119),COUNT(Batches!G31:K31)=5),J119-G119-H119*Batches!G31-Batches!M31,"n.a.")</x:f>
        <x:v>n.a.</x:v>
      </x:c>
      <x:c r="R119" s="11" t="str">
        <x:f>IF(P119&gt;0,"Partial ingredient costs",IF(ISNUMBER(Q119),"Modeled operating profit","Other operating costs missing"))</x:f>
        <x:v>Other operating costs missing</x:v>
      </x:c>
      <x:c r="S119" s="11" t="str">
        <x:v>'Zebree'!D30,F30</x:v>
      </x:c>
    </x:row>
    <x:row r="120" ht="28" customHeight="1">
      <x:c r="A120" s="10" t="str">
        <x:v>Danisa biscuits</x:v>
      </x:c>
      <x:c r="B120" s="12" t="str">
        <x:v>Main offer</x:v>
      </x:c>
      <x:c r="C120" s="14" t="n">
        <x:v>30</x:v>
      </x:c>
      <x:c r="D120" s="14" t="n">
        <x:v>50</x:v>
      </x:c>
      <x:c r="E120" s="14" t="n">
        <x:v>1</x:v>
      </x:c>
      <x:c r="F120" s="21" t="n">
        <x:f>Batches!L32</x:f>
        <x:v>35590</x:v>
      </x:c>
      <x:c r="G120" s="21" t="n">
        <x:f>Batches!C32</x:f>
        <x:v>28624.309941520467</x:v>
      </x:c>
      <x:c r="H120" s="29" t="n">
        <x:f>IF(AND(ISNUMBER(F120),ISNUMBER(C120),C120&gt;0,E120&gt;0),ROUNDDOWN(F120/C120/E120,0)*E120,"n.a.")</x:f>
        <x:v>1186</x:v>
      </x:c>
      <x:c r="I120" s="33" t="n">
        <x:f>IF(AND(ISNUMBER(H120),ISNUMBER(Batches!F32),Batches!F32&gt;=0,Batches!F32&lt;=1),ROUNDDOWN(H120*Batches!F32/E120,0)*E120,"n.a.")</x:f>
        <x:v>1186</x:v>
      </x:c>
      <x:c r="J120" s="12" t="n">
        <x:f>IF(AND(ISNUMBER(I120),ISNUMBER(D120)),I120*D120,"n.a.")</x:f>
        <x:v>59300</x:v>
      </x:c>
      <x:c r="K120" s="12" t="n">
        <x:f>IF(AND(ISNUMBER(I120),I120&gt;0),G120/I120,"n.a.")</x:f>
        <x:v>24.135168584755874</x:v>
      </x:c>
      <x:c r="L120" s="12" t="n">
        <x:f>IF(ISNUMBER(J120),J120-G120,"n.a.")</x:f>
        <x:v>30675.690058479533</x:v>
      </x:c>
      <x:c r="M120" s="35" t="n">
        <x:f>IF(AND(ISNUMBER(J120),J120&gt;0),L120/J120,"n.a.")</x:f>
        <x:v>0.5172966283048825</x:v>
      </x:c>
      <x:c r="N120" s="29" t="n">
        <x:f>IF(AND(ISNUMBER(D120),D120&gt;0),ROUNDUP(G120/(D120*E120),0)*E120,"n.a.")</x:f>
        <x:v>573</x:v>
      </x:c>
      <x:c r="O120" s="35" t="n">
        <x:f>IF(AND(ISNUMBER(H120),H120&gt;0,ISNUMBER(N120)),N120/H120,"n.a.")</x:f>
        <x:v>0.4831365935919056</x:v>
      </x:c>
      <x:c r="P120" s="33" t="n">
        <x:f>Batches!D32</x:f>
        <x:v>0</x:v>
      </x:c>
      <x:c r="Q120" s="37" t="str">
        <x:f>IF(AND(P120=0,ISNUMBER(J120),COUNT(Batches!G32:K32)=5),J120-G120-H120*Batches!G32-Batches!M32,"n.a.")</x:f>
        <x:v>n.a.</x:v>
      </x:c>
      <x:c r="R120" s="12" t="str">
        <x:f>IF(P120&gt;0,"Partial ingredient costs",IF(ISNUMBER(Q120),"Modeled operating profit","Other operating costs missing"))</x:f>
        <x:v>Other operating costs missing</x:v>
      </x:c>
      <x:c r="S120" s="12" t="str">
        <x:v>'Danisa biscuits'!B18:C18</x:v>
      </x:c>
    </x:row>
    <x:row r="121" ht="28" customHeight="1">
      <x:c r="A121" s="2" t="str">
        <x:v>Danisa biscuits</x:v>
      </x:c>
      <x:c r="B121" s="11" t="str">
        <x:v>Main offer</x:v>
      </x:c>
      <x:c r="C121" s="13" t="n">
        <x:v>140</x:v>
      </x:c>
      <x:c r="D121" s="13" t="n">
        <x:v>200</x:v>
      </x:c>
      <x:c r="E121" s="13" t="n">
        <x:v>1</x:v>
      </x:c>
      <x:c r="F121" s="20" t="n">
        <x:f>Batches!L32</x:f>
        <x:v>35590</x:v>
      </x:c>
      <x:c r="G121" s="20" t="n">
        <x:f>Batches!C32</x:f>
        <x:v>28624.309941520467</x:v>
      </x:c>
      <x:c r="H121" s="28" t="n">
        <x:f>IF(AND(ISNUMBER(F121),ISNUMBER(C121),C121&gt;0,E121&gt;0),ROUNDDOWN(F121/C121/E121,0)*E121,"n.a.")</x:f>
        <x:v>254</x:v>
      </x:c>
      <x:c r="I121" s="32" t="n">
        <x:f>IF(AND(ISNUMBER(H121),ISNUMBER(Batches!F32),Batches!F32&gt;=0,Batches!F32&lt;=1),ROUNDDOWN(H121*Batches!F32/E121,0)*E121,"n.a.")</x:f>
        <x:v>254</x:v>
      </x:c>
      <x:c r="J121" s="11" t="n">
        <x:f>IF(AND(ISNUMBER(I121),ISNUMBER(D121)),I121*D121,"n.a.")</x:f>
        <x:v>50800</x:v>
      </x:c>
      <x:c r="K121" s="11" t="n">
        <x:f>IF(AND(ISNUMBER(I121),I121&gt;0),G121/I121,"n.a.")</x:f>
        <x:v>112.69413362803333</x:v>
      </x:c>
      <x:c r="L121" s="11" t="n">
        <x:f>IF(ISNUMBER(J121),J121-G121,"n.a.")</x:f>
        <x:v>22175.690058479533</x:v>
      </x:c>
      <x:c r="M121" s="34" t="n">
        <x:f>IF(AND(ISNUMBER(J121),J121&gt;0),L121/J121,"n.a.")</x:f>
        <x:v>0.43652933185983334</x:v>
      </x:c>
      <x:c r="N121" s="28" t="n">
        <x:f>IF(AND(ISNUMBER(D121),D121&gt;0),ROUNDUP(G121/(D121*E121),0)*E121,"n.a.")</x:f>
        <x:v>144</x:v>
      </x:c>
      <x:c r="O121" s="34" t="n">
        <x:f>IF(AND(ISNUMBER(H121),H121&gt;0,ISNUMBER(N121)),N121/H121,"n.a.")</x:f>
        <x:v>0.5669291338582677</x:v>
      </x:c>
      <x:c r="P121" s="32" t="n">
        <x:f>Batches!D32</x:f>
        <x:v>0</x:v>
      </x:c>
      <x:c r="Q121" s="36" t="str">
        <x:f>IF(AND(P121=0,ISNUMBER(J121),COUNT(Batches!G32:K32)=5),J121-G121-H121*Batches!G32-Batches!M32,"n.a.")</x:f>
        <x:v>n.a.</x:v>
      </x:c>
      <x:c r="R121" s="11" t="str">
        <x:f>IF(P121&gt;0,"Partial ingredient costs",IF(ISNUMBER(Q121),"Modeled operating profit","Other operating costs missing"))</x:f>
        <x:v>Other operating costs missing</x:v>
      </x:c>
      <x:c r="S121" s="11" t="str">
        <x:v>'Danisa biscuits'!B19:C19</x:v>
      </x:c>
    </x:row>
    <x:row r="122" ht="28" customHeight="1">
      <x:c r="A122" s="10" t="str">
        <x:v>Danisa biscuits</x:v>
      </x:c>
      <x:c r="B122" s="12" t="str">
        <x:v>Main offer</x:v>
      </x:c>
      <x:c r="C122" s="14" t="n">
        <x:v>700</x:v>
      </x:c>
      <x:c r="D122" s="14" t="n">
        <x:v>1000</x:v>
      </x:c>
      <x:c r="E122" s="14" t="n">
        <x:v>1</x:v>
      </x:c>
      <x:c r="F122" s="21" t="n">
        <x:f>Batches!L32</x:f>
        <x:v>35590</x:v>
      </x:c>
      <x:c r="G122" s="21" t="n">
        <x:f>Batches!C32</x:f>
        <x:v>28624.309941520467</x:v>
      </x:c>
      <x:c r="H122" s="29" t="n">
        <x:f>IF(AND(ISNUMBER(F122),ISNUMBER(C122),C122&gt;0,E122&gt;0),ROUNDDOWN(F122/C122/E122,0)*E122,"n.a.")</x:f>
        <x:v>50</x:v>
      </x:c>
      <x:c r="I122" s="33" t="n">
        <x:f>IF(AND(ISNUMBER(H122),ISNUMBER(Batches!F32),Batches!F32&gt;=0,Batches!F32&lt;=1),ROUNDDOWN(H122*Batches!F32/E122,0)*E122,"n.a.")</x:f>
        <x:v>50</x:v>
      </x:c>
      <x:c r="J122" s="12" t="n">
        <x:f>IF(AND(ISNUMBER(I122),ISNUMBER(D122)),I122*D122,"n.a.")</x:f>
        <x:v>50000</x:v>
      </x:c>
      <x:c r="K122" s="12" t="n">
        <x:f>IF(AND(ISNUMBER(I122),I122&gt;0),G122/I122,"n.a.")</x:f>
        <x:v>572.4861988304093</x:v>
      </x:c>
      <x:c r="L122" s="12" t="n">
        <x:f>IF(ISNUMBER(J122),J122-G122,"n.a.")</x:f>
        <x:v>21375.690058479533</x:v>
      </x:c>
      <x:c r="M122" s="35" t="n">
        <x:f>IF(AND(ISNUMBER(J122),J122&gt;0),L122/J122,"n.a.")</x:f>
        <x:v>0.42751380116959065</x:v>
      </x:c>
      <x:c r="N122" s="29" t="n">
        <x:f>IF(AND(ISNUMBER(D122),D122&gt;0),ROUNDUP(G122/(D122*E122),0)*E122,"n.a.")</x:f>
        <x:v>29</x:v>
      </x:c>
      <x:c r="O122" s="35" t="n">
        <x:f>IF(AND(ISNUMBER(H122),H122&gt;0,ISNUMBER(N122)),N122/H122,"n.a.")</x:f>
        <x:v>0.58</x:v>
      </x:c>
      <x:c r="P122" s="33" t="n">
        <x:f>Batches!D32</x:f>
        <x:v>0</x:v>
      </x:c>
      <x:c r="Q122" s="37" t="str">
        <x:f>IF(AND(P122=0,ISNUMBER(J122),COUNT(Batches!G32:K32)=5),J122-G122-H122*Batches!G32-Batches!M32,"n.a.")</x:f>
        <x:v>n.a.</x:v>
      </x:c>
      <x:c r="R122" s="12" t="str">
        <x:f>IF(P122&gt;0,"Partial ingredient costs",IF(ISNUMBER(Q122),"Modeled operating profit","Other operating costs missing"))</x:f>
        <x:v>Other operating costs missing</x:v>
      </x:c>
      <x:c r="S122" s="12" t="str">
        <x:v>'Danisa biscuits'!B20:C20</x:v>
      </x:c>
    </x:row>
    <x:row r="123" ht="28" customHeight="1">
      <x:c r="A123" s="2" t="str">
        <x:v>Danisa biscuits</x:v>
      </x:c>
      <x:c r="B123" s="11" t="str">
        <x:v>Manual offer; confirm</x:v>
      </x:c>
      <x:c r="C123" s="13" t="n">
        <x:v>700</x:v>
      </x:c>
      <x:c r="D123" s="13" t="n">
        <x:v>1000</x:v>
      </x:c>
      <x:c r="E123" s="13" t="n">
        <x:v>1</x:v>
      </x:c>
      <x:c r="F123" s="20" t="n">
        <x:f>Batches!L32</x:f>
        <x:v>35590</x:v>
      </x:c>
      <x:c r="G123" s="20" t="n">
        <x:f>Batches!C32</x:f>
        <x:v>28624.309941520467</x:v>
      </x:c>
      <x:c r="H123" s="28" t="n">
        <x:f>IF(AND(ISNUMBER(F123),ISNUMBER(C123),C123&gt;0,E123&gt;0),ROUNDDOWN(F123/C123/E123,0)*E123,"n.a.")</x:f>
        <x:v>50</x:v>
      </x:c>
      <x:c r="I123" s="32" t="n">
        <x:f>IF(AND(ISNUMBER(H123),ISNUMBER(Batches!F32),Batches!F32&gt;=0,Batches!F32&lt;=1),ROUNDDOWN(H123*Batches!F32/E123,0)*E123,"n.a.")</x:f>
        <x:v>50</x:v>
      </x:c>
      <x:c r="J123" s="11" t="n">
        <x:f>IF(AND(ISNUMBER(I123),ISNUMBER(D123)),I123*D123,"n.a.")</x:f>
        <x:v>50000</x:v>
      </x:c>
      <x:c r="K123" s="11" t="n">
        <x:f>IF(AND(ISNUMBER(I123),I123&gt;0),G123/I123,"n.a.")</x:f>
        <x:v>572.4861988304093</x:v>
      </x:c>
      <x:c r="L123" s="11" t="n">
        <x:f>IF(ISNUMBER(J123),J123-G123,"n.a.")</x:f>
        <x:v>21375.690058479533</x:v>
      </x:c>
      <x:c r="M123" s="34" t="n">
        <x:f>IF(AND(ISNUMBER(J123),J123&gt;0),L123/J123,"n.a.")</x:f>
        <x:v>0.42751380116959065</x:v>
      </x:c>
      <x:c r="N123" s="28" t="n">
        <x:f>IF(AND(ISNUMBER(D123),D123&gt;0),ROUNDUP(G123/(D123*E123),0)*E123,"n.a.")</x:f>
        <x:v>29</x:v>
      </x:c>
      <x:c r="O123" s="34" t="n">
        <x:f>IF(AND(ISNUMBER(H123),H123&gt;0,ISNUMBER(N123)),N123/H123,"n.a.")</x:f>
        <x:v>0.58</x:v>
      </x:c>
      <x:c r="P123" s="32" t="n">
        <x:f>Batches!D32</x:f>
        <x:v>0</x:v>
      </x:c>
      <x:c r="Q123" s="36" t="str">
        <x:f>IF(AND(P123=0,ISNUMBER(J123),COUNT(Batches!G32:K32)=5),J123-G123-H123*Batches!G32-Batches!M32,"n.a.")</x:f>
        <x:v>n.a.</x:v>
      </x:c>
      <x:c r="R123" s="11" t="str">
        <x:f>IF(P123&gt;0,"Partial ingredient costs",IF(ISNUMBER(Q123),"Modeled operating profit","Other operating costs missing"))</x:f>
        <x:v>Other operating costs missing</x:v>
      </x:c>
      <x:c r="S123" s="11" t="str">
        <x:v>'Danisa biscuits'!D25,F25</x:v>
      </x:c>
    </x:row>
    <x:row r="124" ht="28" customHeight="1">
      <x:c r="A124" s="10" t="str">
        <x:v>Danisa biscuits</x:v>
      </x:c>
      <x:c r="B124" s="12" t="str">
        <x:v>Manual offer; confirm</x:v>
      </x:c>
      <x:c r="C124" s="14" t="n">
        <x:v>86</x:v>
      </x:c>
      <x:c r="D124" s="14" t="n">
        <x:v>100</x:v>
      </x:c>
      <x:c r="E124" s="14" t="n">
        <x:v>1</x:v>
      </x:c>
      <x:c r="F124" s="21" t="n">
        <x:f>Batches!L32</x:f>
        <x:v>35590</x:v>
      </x:c>
      <x:c r="G124" s="21" t="n">
        <x:f>Batches!C32</x:f>
        <x:v>28624.309941520467</x:v>
      </x:c>
      <x:c r="H124" s="29" t="n">
        <x:f>IF(AND(ISNUMBER(F124),ISNUMBER(C124),C124&gt;0,E124&gt;0),ROUNDDOWN(F124/C124/E124,0)*E124,"n.a.")</x:f>
        <x:v>413</x:v>
      </x:c>
      <x:c r="I124" s="33" t="n">
        <x:f>IF(AND(ISNUMBER(H124),ISNUMBER(Batches!F32),Batches!F32&gt;=0,Batches!F32&lt;=1),ROUNDDOWN(H124*Batches!F32/E124,0)*E124,"n.a.")</x:f>
        <x:v>413</x:v>
      </x:c>
      <x:c r="J124" s="12" t="n">
        <x:f>IF(AND(ISNUMBER(I124),ISNUMBER(D124)),I124*D124,"n.a.")</x:f>
        <x:v>41300</x:v>
      </x:c>
      <x:c r="K124" s="12" t="n">
        <x:f>IF(AND(ISNUMBER(I124),I124&gt;0),G124/I124,"n.a.")</x:f>
        <x:v>69.30825651699871</x:v>
      </x:c>
      <x:c r="L124" s="12" t="n">
        <x:f>IF(ISNUMBER(J124),J124-G124,"n.a.")</x:f>
        <x:v>12675.690058479533</x:v>
      </x:c>
      <x:c r="M124" s="35" t="n">
        <x:f>IF(AND(ISNUMBER(J124),J124&gt;0),L124/J124,"n.a.")</x:f>
        <x:v>0.3069174348300129</x:v>
      </x:c>
      <x:c r="N124" s="29" t="n">
        <x:f>IF(AND(ISNUMBER(D124),D124&gt;0),ROUNDUP(G124/(D124*E124),0)*E124,"n.a.")</x:f>
        <x:v>287</x:v>
      </x:c>
      <x:c r="O124" s="35" t="n">
        <x:f>IF(AND(ISNUMBER(H124),H124&gt;0,ISNUMBER(N124)),N124/H124,"n.a.")</x:f>
        <x:v>0.6949152542372882</x:v>
      </x:c>
      <x:c r="P124" s="33" t="n">
        <x:f>Batches!D32</x:f>
        <x:v>0</x:v>
      </x:c>
      <x:c r="Q124" s="37" t="str">
        <x:f>IF(AND(P124=0,ISNUMBER(J124),COUNT(Batches!G32:K32)=5),J124-G124-H124*Batches!G32-Batches!M32,"n.a.")</x:f>
        <x:v>n.a.</x:v>
      </x:c>
      <x:c r="R124" s="12" t="str">
        <x:f>IF(P124&gt;0,"Partial ingredient costs",IF(ISNUMBER(Q124),"Modeled operating profit","Other operating costs missing"))</x:f>
        <x:v>Other operating costs missing</x:v>
      </x:c>
      <x:c r="S124" s="12" t="str">
        <x:v>'Danisa biscuits'!D26,F26</x:v>
      </x:c>
    </x:row>
    <x:row r="125" ht="28" customHeight="1">
      <x:c r="A125" s="2" t="str">
        <x:v>Delice</x:v>
      </x:c>
      <x:c r="B125" s="11" t="str">
        <x:v>Main offer</x:v>
      </x:c>
      <x:c r="C125" s="13" t="n">
        <x:v>700</x:v>
      </x:c>
      <x:c r="D125" s="13" t="n">
        <x:v>1000</x:v>
      </x:c>
      <x:c r="E125" s="13" t="n">
        <x:v>1</x:v>
      </x:c>
      <x:c r="F125" s="20" t="n">
        <x:f>Batches!L33</x:f>
        <x:v>6785</x:v>
      </x:c>
      <x:c r="G125" s="20" t="n">
        <x:f>Batches!C33</x:f>
        <x:v>4893.358304093566</x:v>
      </x:c>
      <x:c r="H125" s="28" t="n">
        <x:f>IF(AND(ISNUMBER(F125),ISNUMBER(C125),C125&gt;0,E125&gt;0),ROUNDDOWN(F125/C125/E125,0)*E125,"n.a.")</x:f>
        <x:v>9</x:v>
      </x:c>
      <x:c r="I125" s="32" t="n">
        <x:f>IF(AND(ISNUMBER(H125),ISNUMBER(Batches!F33),Batches!F33&gt;=0,Batches!F33&lt;=1),ROUNDDOWN(H125*Batches!F33/E125,0)*E125,"n.a.")</x:f>
        <x:v>9</x:v>
      </x:c>
      <x:c r="J125" s="11" t="n">
        <x:f>IF(AND(ISNUMBER(I125),ISNUMBER(D125)),I125*D125,"n.a.")</x:f>
        <x:v>9000</x:v>
      </x:c>
      <x:c r="K125" s="11" t="n">
        <x:f>IF(AND(ISNUMBER(I125),I125&gt;0),G125/I125,"n.a.")</x:f>
        <x:v>543.7064782326185</x:v>
      </x:c>
      <x:c r="L125" s="11" t="n">
        <x:f>IF(ISNUMBER(J125),J125-G125,"n.a.")</x:f>
        <x:v>4106.641695906434</x:v>
      </x:c>
      <x:c r="M125" s="34" t="n">
        <x:f>IF(AND(ISNUMBER(J125),J125&gt;0),L125/J125,"n.a.")</x:f>
        <x:v>0.4562935217673815</x:v>
      </x:c>
      <x:c r="N125" s="28" t="n">
        <x:f>IF(AND(ISNUMBER(D125),D125&gt;0),ROUNDUP(G125/(D125*E125),0)*E125,"n.a.")</x:f>
        <x:v>5</x:v>
      </x:c>
      <x:c r="O125" s="34" t="n">
        <x:f>IF(AND(ISNUMBER(H125),H125&gt;0,ISNUMBER(N125)),N125/H125,"n.a.")</x:f>
        <x:v>0.5555555555555556</x:v>
      </x:c>
      <x:c r="P125" s="32" t="n">
        <x:f>Batches!D33</x:f>
        <x:v>0</x:v>
      </x:c>
      <x:c r="Q125" s="36" t="str">
        <x:f>IF(AND(P125=0,ISNUMBER(J125),COUNT(Batches!G33:K33)=5),J125-G125-H125*Batches!G33-Batches!M33,"n.a.")</x:f>
        <x:v>n.a.</x:v>
      </x:c>
      <x:c r="R125" s="11" t="str">
        <x:f>IF(P125&gt;0,"Partial ingredient costs",IF(ISNUMBER(Q125),"Modeled operating profit","Other operating costs missing"))</x:f>
        <x:v>Other operating costs missing</x:v>
      </x:c>
      <x:c r="S125" s="11" t="str">
        <x:v>'Delice'!B23:C23</x:v>
      </x:c>
    </x:row>
    <x:row r="126" ht="28" customHeight="1">
      <x:c r="A126" s="10" t="str">
        <x:v>Delice</x:v>
      </x:c>
      <x:c r="B126" s="12" t="str">
        <x:v>Main offer</x:v>
      </x:c>
      <x:c r="C126" s="14" t="n">
        <x:v>140</x:v>
      </x:c>
      <x:c r="D126" s="14" t="n">
        <x:v>200</x:v>
      </x:c>
      <x:c r="E126" s="14" t="n">
        <x:v>1</x:v>
      </x:c>
      <x:c r="F126" s="21" t="n">
        <x:f>Batches!L33</x:f>
        <x:v>6785</x:v>
      </x:c>
      <x:c r="G126" s="21" t="n">
        <x:f>Batches!C33</x:f>
        <x:v>4893.358304093566</x:v>
      </x:c>
      <x:c r="H126" s="29" t="n">
        <x:f>IF(AND(ISNUMBER(F126),ISNUMBER(C126),C126&gt;0,E126&gt;0),ROUNDDOWN(F126/C126/E126,0)*E126,"n.a.")</x:f>
        <x:v>48</x:v>
      </x:c>
      <x:c r="I126" s="33" t="n">
        <x:f>IF(AND(ISNUMBER(H126),ISNUMBER(Batches!F33),Batches!F33&gt;=0,Batches!F33&lt;=1),ROUNDDOWN(H126*Batches!F33/E126,0)*E126,"n.a.")</x:f>
        <x:v>48</x:v>
      </x:c>
      <x:c r="J126" s="12" t="n">
        <x:f>IF(AND(ISNUMBER(I126),ISNUMBER(D126)),I126*D126,"n.a.")</x:f>
        <x:v>9600</x:v>
      </x:c>
      <x:c r="K126" s="12" t="n">
        <x:f>IF(AND(ISNUMBER(I126),I126&gt;0),G126/I126,"n.a.")</x:f>
        <x:v>101.94496466861597</x:v>
      </x:c>
      <x:c r="L126" s="12" t="n">
        <x:f>IF(ISNUMBER(J126),J126-G126,"n.a.")</x:f>
        <x:v>4706.641695906434</x:v>
      </x:c>
      <x:c r="M126" s="35" t="n">
        <x:f>IF(AND(ISNUMBER(J126),J126&gt;0),L126/J126,"n.a.")</x:f>
        <x:v>0.49027517665692016</x:v>
      </x:c>
      <x:c r="N126" s="29" t="n">
        <x:f>IF(AND(ISNUMBER(D126),D126&gt;0),ROUNDUP(G126/(D126*E126),0)*E126,"n.a.")</x:f>
        <x:v>25</x:v>
      </x:c>
      <x:c r="O126" s="35" t="n">
        <x:f>IF(AND(ISNUMBER(H126),H126&gt;0,ISNUMBER(N126)),N126/H126,"n.a.")</x:f>
        <x:v>0.5208333333333334</x:v>
      </x:c>
      <x:c r="P126" s="33" t="n">
        <x:f>Batches!D33</x:f>
        <x:v>0</x:v>
      </x:c>
      <x:c r="Q126" s="37" t="str">
        <x:f>IF(AND(P126=0,ISNUMBER(J126),COUNT(Batches!G33:K33)=5),J126-G126-H126*Batches!G33-Batches!M33,"n.a.")</x:f>
        <x:v>n.a.</x:v>
      </x:c>
      <x:c r="R126" s="12" t="str">
        <x:f>IF(P126&gt;0,"Partial ingredient costs",IF(ISNUMBER(Q126),"Modeled operating profit","Other operating costs missing"))</x:f>
        <x:v>Other operating costs missing</x:v>
      </x:c>
      <x:c r="S126" s="12" t="str">
        <x:v>'Delice'!B24:C24</x:v>
      </x:c>
    </x:row>
    <x:row r="127" ht="28" customHeight="1">
      <x:c r="A127" s="2" t="str">
        <x:v>Delice</x:v>
      </x:c>
      <x:c r="B127" s="11" t="str">
        <x:v>Main offer</x:v>
      </x:c>
      <x:c r="C127" s="13" t="n">
        <x:v>700</x:v>
      </x:c>
      <x:c r="D127" s="13" t="n">
        <x:v>1000</x:v>
      </x:c>
      <x:c r="E127" s="13" t="n">
        <x:v>1</x:v>
      </x:c>
      <x:c r="F127" s="20" t="n">
        <x:f>Batches!L33</x:f>
        <x:v>6785</x:v>
      </x:c>
      <x:c r="G127" s="20" t="n">
        <x:f>Batches!C33</x:f>
        <x:v>4893.358304093566</x:v>
      </x:c>
      <x:c r="H127" s="28" t="n">
        <x:f>IF(AND(ISNUMBER(F127),ISNUMBER(C127),C127&gt;0,E127&gt;0),ROUNDDOWN(F127/C127/E127,0)*E127,"n.a.")</x:f>
        <x:v>9</x:v>
      </x:c>
      <x:c r="I127" s="32" t="n">
        <x:f>IF(AND(ISNUMBER(H127),ISNUMBER(Batches!F33),Batches!F33&gt;=0,Batches!F33&lt;=1),ROUNDDOWN(H127*Batches!F33/E127,0)*E127,"n.a.")</x:f>
        <x:v>9</x:v>
      </x:c>
      <x:c r="J127" s="11" t="n">
        <x:f>IF(AND(ISNUMBER(I127),ISNUMBER(D127)),I127*D127,"n.a.")</x:f>
        <x:v>9000</x:v>
      </x:c>
      <x:c r="K127" s="11" t="n">
        <x:f>IF(AND(ISNUMBER(I127),I127&gt;0),G127/I127,"n.a.")</x:f>
        <x:v>543.7064782326185</x:v>
      </x:c>
      <x:c r="L127" s="11" t="n">
        <x:f>IF(ISNUMBER(J127),J127-G127,"n.a.")</x:f>
        <x:v>4106.641695906434</x:v>
      </x:c>
      <x:c r="M127" s="34" t="n">
        <x:f>IF(AND(ISNUMBER(J127),J127&gt;0),L127/J127,"n.a.")</x:f>
        <x:v>0.4562935217673815</x:v>
      </x:c>
      <x:c r="N127" s="28" t="n">
        <x:f>IF(AND(ISNUMBER(D127),D127&gt;0),ROUNDUP(G127/(D127*E127),0)*E127,"n.a.")</x:f>
        <x:v>5</x:v>
      </x:c>
      <x:c r="O127" s="34" t="n">
        <x:f>IF(AND(ISNUMBER(H127),H127&gt;0,ISNUMBER(N127)),N127/H127,"n.a.")</x:f>
        <x:v>0.5555555555555556</x:v>
      </x:c>
      <x:c r="P127" s="32" t="n">
        <x:f>Batches!D33</x:f>
        <x:v>0</x:v>
      </x:c>
      <x:c r="Q127" s="36" t="str">
        <x:f>IF(AND(P127=0,ISNUMBER(J127),COUNT(Batches!G33:K33)=5),J127-G127-H127*Batches!G33-Batches!M33,"n.a.")</x:f>
        <x:v>n.a.</x:v>
      </x:c>
      <x:c r="R127" s="11" t="str">
        <x:f>IF(P127&gt;0,"Partial ingredient costs",IF(ISNUMBER(Q127),"Modeled operating profit","Other operating costs missing"))</x:f>
        <x:v>Other operating costs missing</x:v>
      </x:c>
      <x:c r="S127" s="11" t="str">
        <x:v>'Delice'!B25:C25</x:v>
      </x:c>
    </x:row>
    <x:row r="128" ht="28" customHeight="1">
      <x:c r="A128" s="10" t="str">
        <x:v>Delice</x:v>
      </x:c>
      <x:c r="B128" s="12" t="str">
        <x:v>Manual offer; confirm</x:v>
      </x:c>
      <x:c r="C128" s="14" t="n">
        <x:v>700</x:v>
      </x:c>
      <x:c r="D128" s="14" t="n">
        <x:v>1000</x:v>
      </x:c>
      <x:c r="E128" s="14" t="n">
        <x:v>1</x:v>
      </x:c>
      <x:c r="F128" s="21" t="n">
        <x:f>Batches!L33</x:f>
        <x:v>6785</x:v>
      </x:c>
      <x:c r="G128" s="21" t="n">
        <x:f>Batches!C33</x:f>
        <x:v>4893.358304093566</x:v>
      </x:c>
      <x:c r="H128" s="29" t="n">
        <x:f>IF(AND(ISNUMBER(F128),ISNUMBER(C128),C128&gt;0,E128&gt;0),ROUNDDOWN(F128/C128/E128,0)*E128,"n.a.")</x:f>
        <x:v>9</x:v>
      </x:c>
      <x:c r="I128" s="33" t="n">
        <x:f>IF(AND(ISNUMBER(H128),ISNUMBER(Batches!F33),Batches!F33&gt;=0,Batches!F33&lt;=1),ROUNDDOWN(H128*Batches!F33/E128,0)*E128,"n.a.")</x:f>
        <x:v>9</x:v>
      </x:c>
      <x:c r="J128" s="12" t="n">
        <x:f>IF(AND(ISNUMBER(I128),ISNUMBER(D128)),I128*D128,"n.a.")</x:f>
        <x:v>9000</x:v>
      </x:c>
      <x:c r="K128" s="12" t="n">
        <x:f>IF(AND(ISNUMBER(I128),I128&gt;0),G128/I128,"n.a.")</x:f>
        <x:v>543.7064782326185</x:v>
      </x:c>
      <x:c r="L128" s="12" t="n">
        <x:f>IF(ISNUMBER(J128),J128-G128,"n.a.")</x:f>
        <x:v>4106.641695906434</x:v>
      </x:c>
      <x:c r="M128" s="35" t="n">
        <x:f>IF(AND(ISNUMBER(J128),J128&gt;0),L128/J128,"n.a.")</x:f>
        <x:v>0.4562935217673815</x:v>
      </x:c>
      <x:c r="N128" s="29" t="n">
        <x:f>IF(AND(ISNUMBER(D128),D128&gt;0),ROUNDUP(G128/(D128*E128),0)*E128,"n.a.")</x:f>
        <x:v>5</x:v>
      </x:c>
      <x:c r="O128" s="35" t="n">
        <x:f>IF(AND(ISNUMBER(H128),H128&gt;0,ISNUMBER(N128)),N128/H128,"n.a.")</x:f>
        <x:v>0.5555555555555556</x:v>
      </x:c>
      <x:c r="P128" s="33" t="n">
        <x:f>Batches!D33</x:f>
        <x:v>0</x:v>
      </x:c>
      <x:c r="Q128" s="37" t="str">
        <x:f>IF(AND(P128=0,ISNUMBER(J128),COUNT(Batches!G33:K33)=5),J128-G128-H128*Batches!G33-Batches!M33,"n.a.")</x:f>
        <x:v>n.a.</x:v>
      </x:c>
      <x:c r="R128" s="12" t="str">
        <x:f>IF(P128&gt;0,"Partial ingredient costs",IF(ISNUMBER(Q128),"Modeled operating profit","Other operating costs missing"))</x:f>
        <x:v>Other operating costs missing</x:v>
      </x:c>
      <x:c r="S128" s="12" t="str">
        <x:v>'Delice'!D30,F30</x:v>
      </x:c>
    </x:row>
    <x:row r="129" ht="28" customHeight="1">
      <x:c r="A129" s="2" t="str">
        <x:v>Delice</x:v>
      </x:c>
      <x:c r="B129" s="11" t="str">
        <x:v>Manual offer; confirm</x:v>
      </x:c>
      <x:c r="C129" s="13" t="n">
        <x:v>86</x:v>
      </x:c>
      <x:c r="D129" s="13" t="n">
        <x:v>100</x:v>
      </x:c>
      <x:c r="E129" s="13" t="n">
        <x:v>1</x:v>
      </x:c>
      <x:c r="F129" s="20" t="n">
        <x:f>Batches!L33</x:f>
        <x:v>6785</x:v>
      </x:c>
      <x:c r="G129" s="20" t="n">
        <x:f>Batches!C33</x:f>
        <x:v>4893.358304093566</x:v>
      </x:c>
      <x:c r="H129" s="28" t="n">
        <x:f>IF(AND(ISNUMBER(F129),ISNUMBER(C129),C129&gt;0,E129&gt;0),ROUNDDOWN(F129/C129/E129,0)*E129,"n.a.")</x:f>
        <x:v>78</x:v>
      </x:c>
      <x:c r="I129" s="32" t="n">
        <x:f>IF(AND(ISNUMBER(H129),ISNUMBER(Batches!F33),Batches!F33&gt;=0,Batches!F33&lt;=1),ROUNDDOWN(H129*Batches!F33/E129,0)*E129,"n.a.")</x:f>
        <x:v>78</x:v>
      </x:c>
      <x:c r="J129" s="11" t="n">
        <x:f>IF(AND(ISNUMBER(I129),ISNUMBER(D129)),I129*D129,"n.a.")</x:f>
        <x:v>7800</x:v>
      </x:c>
      <x:c r="K129" s="11" t="n">
        <x:f>IF(AND(ISNUMBER(I129),I129&gt;0),G129/I129,"n.a.")</x:f>
        <x:v>62.73536287299444</x:v>
      </x:c>
      <x:c r="L129" s="11" t="n">
        <x:f>IF(ISNUMBER(J129),J129-G129,"n.a.")</x:f>
        <x:v>2906.6416959064336</x:v>
      </x:c>
      <x:c r="M129" s="34" t="n">
        <x:f>IF(AND(ISNUMBER(J129),J129&gt;0),L129/J129,"n.a.")</x:f>
        <x:v>0.37264637127005557</x:v>
      </x:c>
      <x:c r="N129" s="28" t="n">
        <x:f>IF(AND(ISNUMBER(D129),D129&gt;0),ROUNDUP(G129/(D129*E129),0)*E129,"n.a.")</x:f>
        <x:v>49</x:v>
      </x:c>
      <x:c r="O129" s="34" t="n">
        <x:f>IF(AND(ISNUMBER(H129),H129&gt;0,ISNUMBER(N129)),N129/H129,"n.a.")</x:f>
        <x:v>0.6282051282051282</x:v>
      </x:c>
      <x:c r="P129" s="32" t="n">
        <x:f>Batches!D33</x:f>
        <x:v>0</x:v>
      </x:c>
      <x:c r="Q129" s="36" t="str">
        <x:f>IF(AND(P129=0,ISNUMBER(J129),COUNT(Batches!G33:K33)=5),J129-G129-H129*Batches!G33-Batches!M33,"n.a.")</x:f>
        <x:v>n.a.</x:v>
      </x:c>
      <x:c r="R129" s="11" t="str">
        <x:f>IF(P129&gt;0,"Partial ingredient costs",IF(ISNUMBER(Q129),"Modeled operating profit","Other operating costs missing"))</x:f>
        <x:v>Other operating costs missing</x:v>
      </x:c>
      <x:c r="S129" s="11" t="str">
        <x:v>'Delice'!D31,F31</x:v>
      </x:c>
    </x:row>
    <x:row r="130" ht="28" customHeight="1">
      <x:c r="A130" s="10" t="str">
        <x:v>Okinawa</x:v>
      </x:c>
      <x:c r="B130" s="12" t="str">
        <x:v>Main offer</x:v>
      </x:c>
      <x:c r="C130" s="14" t="n">
        <x:v>80</x:v>
      </x:c>
      <x:c r="D130" s="14" t="n">
        <x:v>100</x:v>
      </x:c>
      <x:c r="E130" s="14" t="n">
        <x:v>1</x:v>
      </x:c>
      <x:c r="F130" s="21" t="n">
        <x:f>Batches!L34</x:f>
        <x:v>6400</x:v>
      </x:c>
      <x:c r="G130" s="21" t="n">
        <x:f>Batches!C34</x:f>
        <x:v>4447.944444444444</x:v>
      </x:c>
      <x:c r="H130" s="29" t="n">
        <x:f>IF(AND(ISNUMBER(F130),ISNUMBER(C130),C130&gt;0,E130&gt;0),ROUNDDOWN(F130/C130/E130,0)*E130,"n.a.")</x:f>
        <x:v>80</x:v>
      </x:c>
      <x:c r="I130" s="33" t="n">
        <x:f>IF(AND(ISNUMBER(H130),ISNUMBER(Batches!F34),Batches!F34&gt;=0,Batches!F34&lt;=1),ROUNDDOWN(H130*Batches!F34/E130,0)*E130,"n.a.")</x:f>
        <x:v>80</x:v>
      </x:c>
      <x:c r="J130" s="12" t="n">
        <x:f>IF(AND(ISNUMBER(I130),ISNUMBER(D130)),I130*D130,"n.a.")</x:f>
        <x:v>8000</x:v>
      </x:c>
      <x:c r="K130" s="12" t="n">
        <x:f>IF(AND(ISNUMBER(I130),I130&gt;0),G130/I130,"n.a.")</x:f>
        <x:v>55.59930555555555</x:v>
      </x:c>
      <x:c r="L130" s="12" t="n">
        <x:f>IF(ISNUMBER(J130),J130-G130,"n.a.")</x:f>
        <x:v>3552.0555555555557</x:v>
      </x:c>
      <x:c r="M130" s="35" t="n">
        <x:f>IF(AND(ISNUMBER(J130),J130&gt;0),L130/J130,"n.a.")</x:f>
        <x:v>0.44400694444444444</x:v>
      </x:c>
      <x:c r="N130" s="29" t="n">
        <x:f>IF(AND(ISNUMBER(D130),D130&gt;0),ROUNDUP(G130/(D130*E130),0)*E130,"n.a.")</x:f>
        <x:v>45</x:v>
      </x:c>
      <x:c r="O130" s="35" t="n">
        <x:f>IF(AND(ISNUMBER(H130),H130&gt;0,ISNUMBER(N130)),N130/H130,"n.a.")</x:f>
        <x:v>0.5625</x:v>
      </x:c>
      <x:c r="P130" s="33" t="n">
        <x:f>Batches!D34</x:f>
        <x:v>0</x:v>
      </x:c>
      <x:c r="Q130" s="37" t="str">
        <x:f>IF(AND(P130=0,ISNUMBER(J130),COUNT(Batches!G34:K34)=5),J130-G130-H130*Batches!G34-Batches!M34,"n.a.")</x:f>
        <x:v>n.a.</x:v>
      </x:c>
      <x:c r="R130" s="12" t="str">
        <x:f>IF(P130&gt;0,"Partial ingredient costs",IF(ISNUMBER(Q130),"Modeled operating profit","Other operating costs missing"))</x:f>
        <x:v>Other operating costs missing</x:v>
      </x:c>
      <x:c r="S130" s="12" t="str">
        <x:v>'Okinawa'!B16:C16</x:v>
      </x:c>
    </x:row>
    <x:row r="131" ht="28" customHeight="1">
      <x:c r="A131" s="2" t="str">
        <x:v>Okinawa</x:v>
      </x:c>
      <x:c r="B131" s="11" t="str">
        <x:v>Main offer</x:v>
      </x:c>
      <x:c r="C131" s="13" t="n">
        <x:v>80</x:v>
      </x:c>
      <x:c r="D131" s="13" t="n">
        <x:v>100</x:v>
      </x:c>
      <x:c r="E131" s="13" t="n">
        <x:v>1</x:v>
      </x:c>
      <x:c r="F131" s="20" t="n">
        <x:f>Batches!L34</x:f>
        <x:v>6400</x:v>
      </x:c>
      <x:c r="G131" s="20" t="n">
        <x:f>Batches!C34</x:f>
        <x:v>4447.944444444444</x:v>
      </x:c>
      <x:c r="H131" s="28" t="n">
        <x:f>IF(AND(ISNUMBER(F131),ISNUMBER(C131),C131&gt;0,E131&gt;0),ROUNDDOWN(F131/C131/E131,0)*E131,"n.a.")</x:f>
        <x:v>80</x:v>
      </x:c>
      <x:c r="I131" s="32" t="n">
        <x:f>IF(AND(ISNUMBER(H131),ISNUMBER(Batches!F34),Batches!F34&gt;=0,Batches!F34&lt;=1),ROUNDDOWN(H131*Batches!F34/E131,0)*E131,"n.a.")</x:f>
        <x:v>80</x:v>
      </x:c>
      <x:c r="J131" s="11" t="n">
        <x:f>IF(AND(ISNUMBER(I131),ISNUMBER(D131)),I131*D131,"n.a.")</x:f>
        <x:v>8000</x:v>
      </x:c>
      <x:c r="K131" s="11" t="n">
        <x:f>IF(AND(ISNUMBER(I131),I131&gt;0),G131/I131,"n.a.")</x:f>
        <x:v>55.59930555555555</x:v>
      </x:c>
      <x:c r="L131" s="11" t="n">
        <x:f>IF(ISNUMBER(J131),J131-G131,"n.a.")</x:f>
        <x:v>3552.0555555555557</x:v>
      </x:c>
      <x:c r="M131" s="34" t="n">
        <x:f>IF(AND(ISNUMBER(J131),J131&gt;0),L131/J131,"n.a.")</x:f>
        <x:v>0.44400694444444444</x:v>
      </x:c>
      <x:c r="N131" s="28" t="n">
        <x:f>IF(AND(ISNUMBER(D131),D131&gt;0),ROUNDUP(G131/(D131*E131),0)*E131,"n.a.")</x:f>
        <x:v>45</x:v>
      </x:c>
      <x:c r="O131" s="34" t="n">
        <x:f>IF(AND(ISNUMBER(H131),H131&gt;0,ISNUMBER(N131)),N131/H131,"n.a.")</x:f>
        <x:v>0.5625</x:v>
      </x:c>
      <x:c r="P131" s="32" t="n">
        <x:f>Batches!D34</x:f>
        <x:v>0</x:v>
      </x:c>
      <x:c r="Q131" s="36" t="str">
        <x:f>IF(AND(P131=0,ISNUMBER(J131),COUNT(Batches!G34:K34)=5),J131-G131-H131*Batches!G34-Batches!M34,"n.a.")</x:f>
        <x:v>n.a.</x:v>
      </x:c>
      <x:c r="R131" s="11" t="str">
        <x:f>IF(P131&gt;0,"Partial ingredient costs",IF(ISNUMBER(Q131),"Modeled operating profit","Other operating costs missing"))</x:f>
        <x:v>Other operating costs missing</x:v>
      </x:c>
      <x:c r="S131" s="11" t="str">
        <x:v>'Okinawa'!B17:C17</x:v>
      </x:c>
    </x:row>
    <x:row r="132" ht="28" customHeight="1">
      <x:c r="A132" s="10" t="str">
        <x:v>Okinawa</x:v>
      </x:c>
      <x:c r="B132" s="12" t="str">
        <x:v>Main offer</x:v>
      </x:c>
      <x:c r="C132" s="14" t="n">
        <x:v>150</x:v>
      </x:c>
      <x:c r="D132" s="14" t="n">
        <x:v>500</x:v>
      </x:c>
      <x:c r="E132" s="14" t="n">
        <x:v>1</x:v>
      </x:c>
      <x:c r="F132" s="21" t="n">
        <x:f>Batches!L34</x:f>
        <x:v>6400</x:v>
      </x:c>
      <x:c r="G132" s="21" t="n">
        <x:f>Batches!C34</x:f>
        <x:v>4447.944444444444</x:v>
      </x:c>
      <x:c r="H132" s="29" t="n">
        <x:f>IF(AND(ISNUMBER(F132),ISNUMBER(C132),C132&gt;0,E132&gt;0),ROUNDDOWN(F132/C132/E132,0)*E132,"n.a.")</x:f>
        <x:v>42</x:v>
      </x:c>
      <x:c r="I132" s="33" t="n">
        <x:f>IF(AND(ISNUMBER(H132),ISNUMBER(Batches!F34),Batches!F34&gt;=0,Batches!F34&lt;=1),ROUNDDOWN(H132*Batches!F34/E132,0)*E132,"n.a.")</x:f>
        <x:v>42</x:v>
      </x:c>
      <x:c r="J132" s="12" t="n">
        <x:f>IF(AND(ISNUMBER(I132),ISNUMBER(D132)),I132*D132,"n.a.")</x:f>
        <x:v>21000</x:v>
      </x:c>
      <x:c r="K132" s="12" t="n">
        <x:f>IF(AND(ISNUMBER(I132),I132&gt;0),G132/I132,"n.a.")</x:f>
        <x:v>105.90343915343915</x:v>
      </x:c>
      <x:c r="L132" s="12" t="n">
        <x:f>IF(ISNUMBER(J132),J132-G132,"n.a.")</x:f>
        <x:v>16552.055555555555</x:v>
      </x:c>
      <x:c r="M132" s="35" t="n">
        <x:f>IF(AND(ISNUMBER(J132),J132&gt;0),L132/J132,"n.a.")</x:f>
        <x:v>0.7881931216931216</x:v>
      </x:c>
      <x:c r="N132" s="29" t="n">
        <x:f>IF(AND(ISNUMBER(D132),D132&gt;0),ROUNDUP(G132/(D132*E132),0)*E132,"n.a.")</x:f>
        <x:v>9</x:v>
      </x:c>
      <x:c r="O132" s="35" t="n">
        <x:f>IF(AND(ISNUMBER(H132),H132&gt;0,ISNUMBER(N132)),N132/H132,"n.a.")</x:f>
        <x:v>0.21428571428571427</x:v>
      </x:c>
      <x:c r="P132" s="33" t="n">
        <x:f>Batches!D34</x:f>
        <x:v>0</x:v>
      </x:c>
      <x:c r="Q132" s="37" t="str">
        <x:f>IF(AND(P132=0,ISNUMBER(J132),COUNT(Batches!G34:K34)=5),J132-G132-H132*Batches!G34-Batches!M34,"n.a.")</x:f>
        <x:v>n.a.</x:v>
      </x:c>
      <x:c r="R132" s="12" t="str">
        <x:f>IF(P132&gt;0,"Partial ingredient costs",IF(ISNUMBER(Q132),"Modeled operating profit","Other operating costs missing"))</x:f>
        <x:v>Other operating costs missing</x:v>
      </x:c>
      <x:c r="S132" s="12" t="str">
        <x:v>'Okinawa'!B18:C18</x:v>
      </x:c>
    </x:row>
    <x:row r="133" ht="28" customHeight="1">
      <x:c r="A133" s="2" t="str">
        <x:v>Okinawa</x:v>
      </x:c>
      <x:c r="B133" s="11" t="str">
        <x:v>Manual offer; confirm</x:v>
      </x:c>
      <x:c r="C133" s="13" t="n">
        <x:v>60</x:v>
      </x:c>
      <x:c r="D133" s="13" t="n">
        <x:v>100</x:v>
      </x:c>
      <x:c r="E133" s="13" t="n">
        <x:v>1</x:v>
      </x:c>
      <x:c r="F133" s="20" t="n">
        <x:f>Batches!L34</x:f>
        <x:v>6400</x:v>
      </x:c>
      <x:c r="G133" s="20" t="n">
        <x:f>Batches!C34</x:f>
        <x:v>4447.944444444444</x:v>
      </x:c>
      <x:c r="H133" s="28" t="n">
        <x:f>IF(AND(ISNUMBER(F133),ISNUMBER(C133),C133&gt;0,E133&gt;0),ROUNDDOWN(F133/C133/E133,0)*E133,"n.a.")</x:f>
        <x:v>106</x:v>
      </x:c>
      <x:c r="I133" s="32" t="n">
        <x:f>IF(AND(ISNUMBER(H133),ISNUMBER(Batches!F34),Batches!F34&gt;=0,Batches!F34&lt;=1),ROUNDDOWN(H133*Batches!F34/E133,0)*E133,"n.a.")</x:f>
        <x:v>106</x:v>
      </x:c>
      <x:c r="J133" s="11" t="n">
        <x:f>IF(AND(ISNUMBER(I133),ISNUMBER(D133)),I133*D133,"n.a.")</x:f>
        <x:v>10600</x:v>
      </x:c>
      <x:c r="K133" s="11" t="n">
        <x:f>IF(AND(ISNUMBER(I133),I133&gt;0),G133/I133,"n.a.")</x:f>
        <x:v>41.96174004192872</x:v>
      </x:c>
      <x:c r="L133" s="11" t="n">
        <x:f>IF(ISNUMBER(J133),J133-G133,"n.a.")</x:f>
        <x:v>6152.055555555556</x:v>
      </x:c>
      <x:c r="M133" s="34" t="n">
        <x:f>IF(AND(ISNUMBER(J133),J133&gt;0),L133/J133,"n.a.")</x:f>
        <x:v>0.5803825995807128</x:v>
      </x:c>
      <x:c r="N133" s="28" t="n">
        <x:f>IF(AND(ISNUMBER(D133),D133&gt;0),ROUNDUP(G133/(D133*E133),0)*E133,"n.a.")</x:f>
        <x:v>45</x:v>
      </x:c>
      <x:c r="O133" s="34" t="n">
        <x:f>IF(AND(ISNUMBER(H133),H133&gt;0,ISNUMBER(N133)),N133/H133,"n.a.")</x:f>
        <x:v>0.42452830188679247</x:v>
      </x:c>
      <x:c r="P133" s="32" t="n">
        <x:f>Batches!D34</x:f>
        <x:v>0</x:v>
      </x:c>
      <x:c r="Q133" s="36" t="str">
        <x:f>IF(AND(P133=0,ISNUMBER(J133),COUNT(Batches!G34:K34)=5),J133-G133-H133*Batches!G34-Batches!M34,"n.a.")</x:f>
        <x:v>n.a.</x:v>
      </x:c>
      <x:c r="R133" s="11" t="str">
        <x:f>IF(P133&gt;0,"Partial ingredient costs",IF(ISNUMBER(Q133),"Modeled operating profit","Other operating costs missing"))</x:f>
        <x:v>Other operating costs missing</x:v>
      </x:c>
      <x:c r="S133" s="11" t="str">
        <x:v>'Okinawa'!C22,D22</x:v>
      </x:c>
    </x:row>
    <x:row r="134" ht="28" customHeight="1">
      <x:c r="A134" s="10" t="str">
        <x:v>Okinawa</x:v>
      </x:c>
      <x:c r="B134" s="12" t="str">
        <x:v>Manual offer; confirm</x:v>
      </x:c>
      <x:c r="C134" s="14" t="n">
        <x:v>230</x:v>
      </x:c>
      <x:c r="D134" s="14" t="n">
        <x:v>500</x:v>
      </x:c>
      <x:c r="E134" s="14" t="n">
        <x:v>1</x:v>
      </x:c>
      <x:c r="F134" s="21" t="n">
        <x:f>Batches!L34</x:f>
        <x:v>6400</x:v>
      </x:c>
      <x:c r="G134" s="21" t="n">
        <x:f>Batches!C34</x:f>
        <x:v>4447.944444444444</x:v>
      </x:c>
      <x:c r="H134" s="29" t="n">
        <x:f>IF(AND(ISNUMBER(F134),ISNUMBER(C134),C134&gt;0,E134&gt;0),ROUNDDOWN(F134/C134/E134,0)*E134,"n.a.")</x:f>
        <x:v>27</x:v>
      </x:c>
      <x:c r="I134" s="33" t="n">
        <x:f>IF(AND(ISNUMBER(H134),ISNUMBER(Batches!F34),Batches!F34&gt;=0,Batches!F34&lt;=1),ROUNDDOWN(H134*Batches!F34/E134,0)*E134,"n.a.")</x:f>
        <x:v>27</x:v>
      </x:c>
      <x:c r="J134" s="12" t="n">
        <x:f>IF(AND(ISNUMBER(I134),ISNUMBER(D134)),I134*D134,"n.a.")</x:f>
        <x:v>13500</x:v>
      </x:c>
      <x:c r="K134" s="12" t="n">
        <x:f>IF(AND(ISNUMBER(I134),I134&gt;0),G134/I134,"n.a.")</x:f>
        <x:v>164.73868312757202</x:v>
      </x:c>
      <x:c r="L134" s="12" t="n">
        <x:f>IF(ISNUMBER(J134),J134-G134,"n.a.")</x:f>
        <x:v>9052.055555555555</x:v>
      </x:c>
      <x:c r="M134" s="35" t="n">
        <x:f>IF(AND(ISNUMBER(J134),J134&gt;0),L134/J134,"n.a.")</x:f>
        <x:v>0.6705226337448559</x:v>
      </x:c>
      <x:c r="N134" s="29" t="n">
        <x:f>IF(AND(ISNUMBER(D134),D134&gt;0),ROUNDUP(G134/(D134*E134),0)*E134,"n.a.")</x:f>
        <x:v>9</x:v>
      </x:c>
      <x:c r="O134" s="35" t="n">
        <x:f>IF(AND(ISNUMBER(H134),H134&gt;0,ISNUMBER(N134)),N134/H134,"n.a.")</x:f>
        <x:v>0.3333333333333333</x:v>
      </x:c>
      <x:c r="P134" s="33" t="n">
        <x:f>Batches!D34</x:f>
        <x:v>0</x:v>
      </x:c>
      <x:c r="Q134" s="37" t="str">
        <x:f>IF(AND(P134=0,ISNUMBER(J134),COUNT(Batches!G34:K34)=5),J134-G134-H134*Batches!G34-Batches!M34,"n.a.")</x:f>
        <x:v>n.a.</x:v>
      </x:c>
      <x:c r="R134" s="12" t="str">
        <x:f>IF(P134&gt;0,"Partial ingredient costs",IF(ISNUMBER(Q134),"Modeled operating profit","Other operating costs missing"))</x:f>
        <x:v>Other operating costs missing</x:v>
      </x:c>
      <x:c r="S134" s="12" t="str">
        <x:v>'Okinawa'!C23,D23</x:v>
      </x:c>
    </x:row>
    <x:row r="135" ht="28" customHeight="1">
      <x:c r="A135" s="2" t="str">
        <x:v>Okinawa</x:v>
      </x:c>
      <x:c r="B135" s="11" t="str">
        <x:v>12-piece wholesale pack</x:v>
      </x:c>
      <x:c r="C135" s="13" t="n">
        <x:v>80</x:v>
      </x:c>
      <x:c r="D135" s="13" t="n">
        <x:v>83.33333333333333</x:v>
      </x:c>
      <x:c r="E135" s="13" t="n">
        <x:v>12</x:v>
      </x:c>
      <x:c r="F135" s="20" t="n">
        <x:f>Batches!L34</x:f>
        <x:v>6400</x:v>
      </x:c>
      <x:c r="G135" s="20" t="n">
        <x:f>Batches!C34</x:f>
        <x:v>4447.944444444444</x:v>
      </x:c>
      <x:c r="H135" s="28" t="n">
        <x:f>IF(AND(ISNUMBER(F135),ISNUMBER(C135),C135&gt;0,E135&gt;0),ROUNDDOWN(F135/C135/E135,0)*E135,"n.a.")</x:f>
        <x:v>72</x:v>
      </x:c>
      <x:c r="I135" s="32" t="n">
        <x:f>IF(AND(ISNUMBER(H135),ISNUMBER(Batches!F34),Batches!F34&gt;=0,Batches!F34&lt;=1),ROUNDDOWN(H135*Batches!F34/E135,0)*E135,"n.a.")</x:f>
        <x:v>72</x:v>
      </x:c>
      <x:c r="J135" s="11" t="n">
        <x:f>IF(AND(ISNUMBER(I135),ISNUMBER(D135)),I135*D135,"n.a.")</x:f>
        <x:v>6000</x:v>
      </x:c>
      <x:c r="K135" s="11" t="n">
        <x:f>IF(AND(ISNUMBER(I135),I135&gt;0),G135/I135,"n.a.")</x:f>
        <x:v>61.777006172839506</x:v>
      </x:c>
      <x:c r="L135" s="11" t="n">
        <x:f>IF(ISNUMBER(J135),J135-G135,"n.a.")</x:f>
        <x:v>1552.0555555555557</x:v>
      </x:c>
      <x:c r="M135" s="34" t="n">
        <x:f>IF(AND(ISNUMBER(J135),J135&gt;0),L135/J135,"n.a.")</x:f>
        <x:v>0.2586759259259259</x:v>
      </x:c>
      <x:c r="N135" s="28" t="n">
        <x:f>IF(AND(ISNUMBER(D135),D135&gt;0),ROUNDUP(G135/(D135*E135),0)*E135,"n.a.")</x:f>
        <x:v>60</x:v>
      </x:c>
      <x:c r="O135" s="34" t="n">
        <x:f>IF(AND(ISNUMBER(H135),H135&gt;0,ISNUMBER(N135)),N135/H135,"n.a.")</x:f>
        <x:v>0.8333333333333334</x:v>
      </x:c>
      <x:c r="P135" s="32" t="n">
        <x:f>Batches!D34</x:f>
        <x:v>0</x:v>
      </x:c>
      <x:c r="Q135" s="36" t="str">
        <x:f>IF(AND(P135=0,ISNUMBER(J135),COUNT(Batches!G34:K34)=5),J135-G135-H135*Batches!G34-Batches!M34,"n.a.")</x:f>
        <x:v>n.a.</x:v>
      </x:c>
      <x:c r="R135" s="11" t="str">
        <x:f>IF(P135&gt;0,"Partial ingredient costs",IF(ISNUMBER(Q135),"Modeled operating profit","Other operating costs missing"))</x:f>
        <x:v>Other operating costs missing</x:v>
      </x:c>
      <x:c r="S135" s="11" t="str">
        <x:v>'Okinawa'!K16</x:v>
      </x:c>
    </x:row>
    <x:row r="136" ht="28" customHeight="1">
      <x:c r="A136" s="10" t="str">
        <x:v>CAKE NOW</x:v>
      </x:c>
      <x:c r="B136" s="12" t="str">
        <x:v>Main offer</x:v>
      </x:c>
      <x:c r="C136" s="14" t="n">
        <x:v>220</x:v>
      </x:c>
      <x:c r="D136" s="14" t="n">
        <x:v>500</x:v>
      </x:c>
      <x:c r="E136" s="14" t="n">
        <x:v>1</x:v>
      </x:c>
      <x:c r="F136" s="21" t="n">
        <x:f>Batches!L35</x:f>
        <x:v>7100</x:v>
      </x:c>
      <x:c r="G136" s="21" t="n">
        <x:f>Batches!C35</x:f>
        <x:v>6138.070175438596</x:v>
      </x:c>
      <x:c r="H136" s="29" t="n">
        <x:f>IF(AND(ISNUMBER(F136),ISNUMBER(C136),C136&gt;0,E136&gt;0),ROUNDDOWN(F136/C136/E136,0)*E136,"n.a.")</x:f>
        <x:v>32</x:v>
      </x:c>
      <x:c r="I136" s="33" t="n">
        <x:f>IF(AND(ISNUMBER(H136),ISNUMBER(Batches!F35),Batches!F35&gt;=0,Batches!F35&lt;=1),ROUNDDOWN(H136*Batches!F35/E136,0)*E136,"n.a.")</x:f>
        <x:v>32</x:v>
      </x:c>
      <x:c r="J136" s="12" t="n">
        <x:f>IF(AND(ISNUMBER(I136),ISNUMBER(D136)),I136*D136,"n.a.")</x:f>
        <x:v>16000</x:v>
      </x:c>
      <x:c r="K136" s="12" t="n">
        <x:f>IF(AND(ISNUMBER(I136),I136&gt;0),G136/I136,"n.a.")</x:f>
        <x:v>191.81469298245614</x:v>
      </x:c>
      <x:c r="L136" s="12" t="n">
        <x:f>IF(ISNUMBER(J136),J136-G136,"n.a.")</x:f>
        <x:v>9861.929824561405</x:v>
      </x:c>
      <x:c r="M136" s="35" t="n">
        <x:f>IF(AND(ISNUMBER(J136),J136&gt;0),L136/J136,"n.a.")</x:f>
        <x:v>0.6163706140350877</x:v>
      </x:c>
      <x:c r="N136" s="29" t="n">
        <x:f>IF(AND(ISNUMBER(D136),D136&gt;0),ROUNDUP(G136/(D136*E136),0)*E136,"n.a.")</x:f>
        <x:v>13</x:v>
      </x:c>
      <x:c r="O136" s="35" t="n">
        <x:f>IF(AND(ISNUMBER(H136),H136&gt;0,ISNUMBER(N136)),N136/H136,"n.a.")</x:f>
        <x:v>0.40625</x:v>
      </x:c>
      <x:c r="P136" s="33" t="n">
        <x:f>Batches!D35</x:f>
        <x:v>0</x:v>
      </x:c>
      <x:c r="Q136" s="37" t="str">
        <x:f>IF(AND(P136=0,ISNUMBER(J136),COUNT(Batches!G35:K35)=5),J136-G136-H136*Batches!G35-Batches!M35,"n.a.")</x:f>
        <x:v>n.a.</x:v>
      </x:c>
      <x:c r="R136" s="12" t="str">
        <x:f>IF(P136&gt;0,"Partial ingredient costs",IF(ISNUMBER(Q136),"Modeled operating profit","Other operating costs missing"))</x:f>
        <x:v>Other operating costs missing</x:v>
      </x:c>
      <x:c r="S136" s="12" t="str">
        <x:v>'CAKE NOW'!B17:C17</x:v>
      </x:c>
    </x:row>
    <x:row r="137" ht="28" customHeight="1">
      <x:c r="A137" s="2" t="str">
        <x:v>CAKE NOW</x:v>
      </x:c>
      <x:c r="B137" s="11" t="str">
        <x:v>Main offer</x:v>
      </x:c>
      <x:c r="C137" s="13" t="n">
        <x:v>60</x:v>
      </x:c>
      <x:c r="D137" s="13" t="n">
        <x:v>100</x:v>
      </x:c>
      <x:c r="E137" s="13" t="n">
        <x:v>1</x:v>
      </x:c>
      <x:c r="F137" s="20" t="n">
        <x:f>Batches!L35</x:f>
        <x:v>7100</x:v>
      </x:c>
      <x:c r="G137" s="20" t="n">
        <x:f>Batches!C35</x:f>
        <x:v>6138.070175438596</x:v>
      </x:c>
      <x:c r="H137" s="28" t="n">
        <x:f>IF(AND(ISNUMBER(F137),ISNUMBER(C137),C137&gt;0,E137&gt;0),ROUNDDOWN(F137/C137/E137,0)*E137,"n.a.")</x:f>
        <x:v>118</x:v>
      </x:c>
      <x:c r="I137" s="32" t="n">
        <x:f>IF(AND(ISNUMBER(H137),ISNUMBER(Batches!F35),Batches!F35&gt;=0,Batches!F35&lt;=1),ROUNDDOWN(H137*Batches!F35/E137,0)*E137,"n.a.")</x:f>
        <x:v>118</x:v>
      </x:c>
      <x:c r="J137" s="11" t="n">
        <x:f>IF(AND(ISNUMBER(I137),ISNUMBER(D137)),I137*D137,"n.a.")</x:f>
        <x:v>11800</x:v>
      </x:c>
      <x:c r="K137" s="11" t="n">
        <x:f>IF(AND(ISNUMBER(I137),I137&gt;0),G137/I137,"n.a.")</x:f>
        <x:v>52.01754385964912</x:v>
      </x:c>
      <x:c r="L137" s="11" t="n">
        <x:f>IF(ISNUMBER(J137),J137-G137,"n.a.")</x:f>
        <x:v>5661.929824561404</x:v>
      </x:c>
      <x:c r="M137" s="34" t="n">
        <x:f>IF(AND(ISNUMBER(J137),J137&gt;0),L137/J137,"n.a.")</x:f>
        <x:v>0.47982456140350876</x:v>
      </x:c>
      <x:c r="N137" s="28" t="n">
        <x:f>IF(AND(ISNUMBER(D137),D137&gt;0),ROUNDUP(G137/(D137*E137),0)*E137,"n.a.")</x:f>
        <x:v>62</x:v>
      </x:c>
      <x:c r="O137" s="34" t="n">
        <x:f>IF(AND(ISNUMBER(H137),H137&gt;0,ISNUMBER(N137)),N137/H137,"n.a.")</x:f>
        <x:v>0.5254237288135594</x:v>
      </x:c>
      <x:c r="P137" s="32" t="n">
        <x:f>Batches!D35</x:f>
        <x:v>0</x:v>
      </x:c>
      <x:c r="Q137" s="36" t="str">
        <x:f>IF(AND(P137=0,ISNUMBER(J137),COUNT(Batches!G35:K35)=5),J137-G137-H137*Batches!G35-Batches!M35,"n.a.")</x:f>
        <x:v>n.a.</x:v>
      </x:c>
      <x:c r="R137" s="11" t="str">
        <x:f>IF(P137&gt;0,"Partial ingredient costs",IF(ISNUMBER(Q137),"Modeled operating profit","Other operating costs missing"))</x:f>
        <x:v>Other operating costs missing</x:v>
      </x:c>
      <x:c r="S137" s="11" t="str">
        <x:v>'CAKE NOW'!B18:C18</x:v>
      </x:c>
    </x:row>
    <x:row r="138" ht="28" customHeight="1">
      <x:c r="A138" s="10" t="str">
        <x:v>Short bread</x:v>
      </x:c>
      <x:c r="B138" s="12" t="str">
        <x:v>Main offer</x:v>
      </x:c>
      <x:c r="C138" s="14" t="n">
        <x:v>38</x:v>
      </x:c>
      <x:c r="D138" s="14" t="n">
        <x:v>50</x:v>
      </x:c>
      <x:c r="E138" s="14" t="n">
        <x:v>1</x:v>
      </x:c>
      <x:c r="F138" s="21" t="n">
        <x:f>Batches!L36</x:f>
        <x:v>3950</x:v>
      </x:c>
      <x:c r="G138" s="21" t="n">
        <x:f>Batches!C36</x:f>
        <x:v>2982.8801169590643</x:v>
      </x:c>
      <x:c r="H138" s="29" t="n">
        <x:f>IF(AND(ISNUMBER(F138),ISNUMBER(C138),C138&gt;0,E138&gt;0),ROUNDDOWN(F138/C138/E138,0)*E138,"n.a.")</x:f>
        <x:v>103</x:v>
      </x:c>
      <x:c r="I138" s="33" t="n">
        <x:f>IF(AND(ISNUMBER(H138),ISNUMBER(Batches!F36),Batches!F36&gt;=0,Batches!F36&lt;=1),ROUNDDOWN(H138*Batches!F36/E138,0)*E138,"n.a.")</x:f>
        <x:v>103</x:v>
      </x:c>
      <x:c r="J138" s="12" t="n">
        <x:f>IF(AND(ISNUMBER(I138),ISNUMBER(D138)),I138*D138,"n.a.")</x:f>
        <x:v>5150</x:v>
      </x:c>
      <x:c r="K138" s="12" t="n">
        <x:f>IF(AND(ISNUMBER(I138),I138&gt;0),G138/I138,"n.a.")</x:f>
        <x:v>28.960001135524895</x:v>
      </x:c>
      <x:c r="L138" s="12" t="n">
        <x:f>IF(ISNUMBER(J138),J138-G138,"n.a.")</x:f>
        <x:v>2167.1198830409357</x:v>
      </x:c>
      <x:c r="M138" s="35" t="n">
        <x:f>IF(AND(ISNUMBER(J138),J138&gt;0),L138/J138,"n.a.")</x:f>
        <x:v>0.4207999772895021</x:v>
      </x:c>
      <x:c r="N138" s="29" t="n">
        <x:f>IF(AND(ISNUMBER(D138),D138&gt;0),ROUNDUP(G138/(D138*E138),0)*E138,"n.a.")</x:f>
        <x:v>60</x:v>
      </x:c>
      <x:c r="O138" s="35" t="n">
        <x:f>IF(AND(ISNUMBER(H138),H138&gt;0,ISNUMBER(N138)),N138/H138,"n.a.")</x:f>
        <x:v>0.5825242718446602</x:v>
      </x:c>
      <x:c r="P138" s="33" t="n">
        <x:f>Batches!D36</x:f>
        <x:v>0</x:v>
      </x:c>
      <x:c r="Q138" s="37" t="str">
        <x:f>IF(AND(P138=0,ISNUMBER(J138),COUNT(Batches!G36:K36)=5),J138-G138-H138*Batches!G36-Batches!M36,"n.a.")</x:f>
        <x:v>n.a.</x:v>
      </x:c>
      <x:c r="R138" s="12" t="str">
        <x:f>IF(P138&gt;0,"Partial ingredient costs",IF(ISNUMBER(Q138),"Modeled operating profit","Other operating costs missing"))</x:f>
        <x:v>Other operating costs missing</x:v>
      </x:c>
      <x:c r="S138" s="12" t="str">
        <x:v>'Short bread'!B17:C17</x:v>
      </x:c>
    </x:row>
    <x:row r="139" ht="28" customHeight="1">
      <x:c r="A139" s="2" t="str">
        <x:v>Short bread</x:v>
      </x:c>
      <x:c r="B139" s="11" t="str">
        <x:v>Main offer</x:v>
      </x:c>
      <x:c r="C139" s="13" t="n">
        <x:v>45</x:v>
      </x:c>
      <x:c r="D139" s="13" t="n">
        <x:v>50</x:v>
      </x:c>
      <x:c r="E139" s="13" t="n">
        <x:v>1</x:v>
      </x:c>
      <x:c r="F139" s="20" t="n">
        <x:f>Batches!L36</x:f>
        <x:v>3950</x:v>
      </x:c>
      <x:c r="G139" s="20" t="n">
        <x:f>Batches!C36</x:f>
        <x:v>2982.8801169590643</x:v>
      </x:c>
      <x:c r="H139" s="28" t="n">
        <x:f>IF(AND(ISNUMBER(F139),ISNUMBER(C139),C139&gt;0,E139&gt;0),ROUNDDOWN(F139/C139/E139,0)*E139,"n.a.")</x:f>
        <x:v>87</x:v>
      </x:c>
      <x:c r="I139" s="32" t="n">
        <x:f>IF(AND(ISNUMBER(H139),ISNUMBER(Batches!F36),Batches!F36&gt;=0,Batches!F36&lt;=1),ROUNDDOWN(H139*Batches!F36/E139,0)*E139,"n.a.")</x:f>
        <x:v>87</x:v>
      </x:c>
      <x:c r="J139" s="11" t="n">
        <x:f>IF(AND(ISNUMBER(I139),ISNUMBER(D139)),I139*D139,"n.a.")</x:f>
        <x:v>4350</x:v>
      </x:c>
      <x:c r="K139" s="11" t="n">
        <x:f>IF(AND(ISNUMBER(I139),I139&gt;0),G139/I139,"n.a.")</x:f>
        <x:v>34.28597835585131</x:v>
      </x:c>
      <x:c r="L139" s="11" t="n">
        <x:f>IF(ISNUMBER(J139),J139-G139,"n.a.")</x:f>
        <x:v>1367.1198830409357</x:v>
      </x:c>
      <x:c r="M139" s="34" t="n">
        <x:f>IF(AND(ISNUMBER(J139),J139&gt;0),L139/J139,"n.a.")</x:f>
        <x:v>0.31428043288297375</x:v>
      </x:c>
      <x:c r="N139" s="28" t="n">
        <x:f>IF(AND(ISNUMBER(D139),D139&gt;0),ROUNDUP(G139/(D139*E139),0)*E139,"n.a.")</x:f>
        <x:v>60</x:v>
      </x:c>
      <x:c r="O139" s="34" t="n">
        <x:f>IF(AND(ISNUMBER(H139),H139&gt;0,ISNUMBER(N139)),N139/H139,"n.a.")</x:f>
        <x:v>0.6896551724137931</x:v>
      </x:c>
      <x:c r="P139" s="32" t="n">
        <x:f>Batches!D36</x:f>
        <x:v>0</x:v>
      </x:c>
      <x:c r="Q139" s="36" t="str">
        <x:f>IF(AND(P139=0,ISNUMBER(J139),COUNT(Batches!G36:K36)=5),J139-G139-H139*Batches!G36-Batches!M36,"n.a.")</x:f>
        <x:v>n.a.</x:v>
      </x:c>
      <x:c r="R139" s="11" t="str">
        <x:f>IF(P139&gt;0,"Partial ingredient costs",IF(ISNUMBER(Q139),"Modeled operating profit","Other operating costs missing"))</x:f>
        <x:v>Other operating costs missing</x:v>
      </x:c>
      <x:c r="S139" s="11" t="str">
        <x:v>'Short bread'!B18:C18</x:v>
      </x:c>
    </x:row>
    <x:row r="140" ht="28" customHeight="1">
      <x:c r="A140" s="10" t="str">
        <x:v>Melto</x:v>
      </x:c>
      <x:c r="B140" s="12" t="str">
        <x:v>Main offer</x:v>
      </x:c>
      <x:c r="C140" s="14" t="n">
        <x:v>34</x:v>
      </x:c>
      <x:c r="D140" s="14" t="n">
        <x:v>50</x:v>
      </x:c>
      <x:c r="E140" s="14" t="n">
        <x:v>1</x:v>
      </x:c>
      <x:c r="F140" s="21" t="n">
        <x:f>Batches!L37</x:f>
        <x:v>7490</x:v>
      </x:c>
      <x:c r="G140" s="21" t="n">
        <x:f>Batches!C37</x:f>
        <x:v>5768.87134502924</x:v>
      </x:c>
      <x:c r="H140" s="29" t="n">
        <x:f>IF(AND(ISNUMBER(F140),ISNUMBER(C140),C140&gt;0,E140&gt;0),ROUNDDOWN(F140/C140/E140,0)*E140,"n.a.")</x:f>
        <x:v>220</x:v>
      </x:c>
      <x:c r="I140" s="33" t="n">
        <x:f>IF(AND(ISNUMBER(H140),ISNUMBER(Batches!F37),Batches!F37&gt;=0,Batches!F37&lt;=1),ROUNDDOWN(H140*Batches!F37/E140,0)*E140,"n.a.")</x:f>
        <x:v>220</x:v>
      </x:c>
      <x:c r="J140" s="12" t="n">
        <x:f>IF(AND(ISNUMBER(I140),ISNUMBER(D140)),I140*D140,"n.a.")</x:f>
        <x:v>11000</x:v>
      </x:c>
      <x:c r="K140" s="12" t="n">
        <x:f>IF(AND(ISNUMBER(I140),I140&gt;0),G140/I140,"n.a.")</x:f>
        <x:v>26.222142477405637</x:v>
      </x:c>
      <x:c r="L140" s="12" t="n">
        <x:f>IF(ISNUMBER(J140),J140-G140,"n.a.")</x:f>
        <x:v>5231.12865497076</x:v>
      </x:c>
      <x:c r="M140" s="35" t="n">
        <x:f>IF(AND(ISNUMBER(J140),J140&gt;0),L140/J140,"n.a.")</x:f>
        <x:v>0.4755571504518873</x:v>
      </x:c>
      <x:c r="N140" s="29" t="n">
        <x:f>IF(AND(ISNUMBER(D140),D140&gt;0),ROUNDUP(G140/(D140*E140),0)*E140,"n.a.")</x:f>
        <x:v>116</x:v>
      </x:c>
      <x:c r="O140" s="35" t="n">
        <x:f>IF(AND(ISNUMBER(H140),H140&gt;0,ISNUMBER(N140)),N140/H140,"n.a.")</x:f>
        <x:v>0.5272727272727272</x:v>
      </x:c>
      <x:c r="P140" s="33" t="n">
        <x:f>Batches!D37</x:f>
        <x:v>0</x:v>
      </x:c>
      <x:c r="Q140" s="37" t="str">
        <x:f>IF(AND(P140=0,ISNUMBER(J140),COUNT(Batches!G37:K37)=5),J140-G140-H140*Batches!G37-Batches!M37,"n.a.")</x:f>
        <x:v>n.a.</x:v>
      </x:c>
      <x:c r="R140" s="12" t="str">
        <x:f>IF(P140&gt;0,"Partial ingredient costs",IF(ISNUMBER(Q140),"Modeled operating profit","Other operating costs missing"))</x:f>
        <x:v>Other operating costs missing</x:v>
      </x:c>
      <x:c r="S140" s="12" t="str">
        <x:v>'Melto'!B16:C16</x:v>
      </x:c>
    </x:row>
    <x:row r="141" ht="28" customHeight="1">
      <x:c r="A141" s="2" t="str">
        <x:v>Melto</x:v>
      </x:c>
      <x:c r="B141" s="11" t="str">
        <x:v>Main offer</x:v>
      </x:c>
      <x:c r="C141" s="13" t="n">
        <x:v>45</x:v>
      </x:c>
      <x:c r="D141" s="13" t="n">
        <x:v>50</x:v>
      </x:c>
      <x:c r="E141" s="13" t="n">
        <x:v>1</x:v>
      </x:c>
      <x:c r="F141" s="20" t="n">
        <x:f>Batches!L37</x:f>
        <x:v>7490</x:v>
      </x:c>
      <x:c r="G141" s="20" t="n">
        <x:f>Batches!C37</x:f>
        <x:v>5768.87134502924</x:v>
      </x:c>
      <x:c r="H141" s="28" t="n">
        <x:f>IF(AND(ISNUMBER(F141),ISNUMBER(C141),C141&gt;0,E141&gt;0),ROUNDDOWN(F141/C141/E141,0)*E141,"n.a.")</x:f>
        <x:v>166</x:v>
      </x:c>
      <x:c r="I141" s="32" t="n">
        <x:f>IF(AND(ISNUMBER(H141),ISNUMBER(Batches!F37),Batches!F37&gt;=0,Batches!F37&lt;=1),ROUNDDOWN(H141*Batches!F37/E141,0)*E141,"n.a.")</x:f>
        <x:v>166</x:v>
      </x:c>
      <x:c r="J141" s="11" t="n">
        <x:f>IF(AND(ISNUMBER(I141),ISNUMBER(D141)),I141*D141,"n.a.")</x:f>
        <x:v>8300</x:v>
      </x:c>
      <x:c r="K141" s="11" t="n">
        <x:f>IF(AND(ISNUMBER(I141),I141&gt;0),G141/I141,"n.a.")</x:f>
        <x:v>34.75223701824843</x:v>
      </x:c>
      <x:c r="L141" s="11" t="n">
        <x:f>IF(ISNUMBER(J141),J141-G141,"n.a.")</x:f>
        <x:v>2531.12865497076</x:v>
      </x:c>
      <x:c r="M141" s="34" t="n">
        <x:f>IF(AND(ISNUMBER(J141),J141&gt;0),L141/J141,"n.a.")</x:f>
        <x:v>0.30495525963503134</x:v>
      </x:c>
      <x:c r="N141" s="28" t="n">
        <x:f>IF(AND(ISNUMBER(D141),D141&gt;0),ROUNDUP(G141/(D141*E141),0)*E141,"n.a.")</x:f>
        <x:v>116</x:v>
      </x:c>
      <x:c r="O141" s="34" t="n">
        <x:f>IF(AND(ISNUMBER(H141),H141&gt;0,ISNUMBER(N141)),N141/H141,"n.a.")</x:f>
        <x:v>0.6987951807228916</x:v>
      </x:c>
      <x:c r="P141" s="32" t="n">
        <x:f>Batches!D37</x:f>
        <x:v>0</x:v>
      </x:c>
      <x:c r="Q141" s="36" t="str">
        <x:f>IF(AND(P141=0,ISNUMBER(J141),COUNT(Batches!G37:K37)=5),J141-G141-H141*Batches!G37-Batches!M37,"n.a.")</x:f>
        <x:v>n.a.</x:v>
      </x:c>
      <x:c r="R141" s="11" t="str">
        <x:f>IF(P141&gt;0,"Partial ingredient costs",IF(ISNUMBER(Q141),"Modeled operating profit","Other operating costs missing"))</x:f>
        <x:v>Other operating costs missing</x:v>
      </x:c>
      <x:c r="S141" s="11" t="str">
        <x:v>'Melto'!B17:C17</x:v>
      </x:c>
    </x:row>
    <x:row r="142" ht="28" customHeight="1">
      <x:c r="A142" s="10" t="str">
        <x:v>Kumba bread</x:v>
      </x:c>
      <x:c r="B142" s="12" t="str">
        <x:v>Main offer</x:v>
      </x:c>
      <x:c r="C142" s="14" t="n">
        <x:v>900</x:v>
      </x:c>
      <x:c r="D142" s="14" t="n">
        <x:v>1000</x:v>
      </x:c>
      <x:c r="E142" s="14" t="n">
        <x:v>1</x:v>
      </x:c>
      <x:c r="F142" s="21" t="n">
        <x:f>Batches!L38</x:f>
        <x:v>43575</x:v>
      </x:c>
      <x:c r="G142" s="21" t="n">
        <x:f>Batches!C38</x:f>
        <x:v>16401.686257309942</x:v>
      </x:c>
      <x:c r="H142" s="29" t="n">
        <x:f>IF(AND(ISNUMBER(F142),ISNUMBER(C142),C142&gt;0,E142&gt;0),ROUNDDOWN(F142/C142/E142,0)*E142,"n.a.")</x:f>
        <x:v>48</x:v>
      </x:c>
      <x:c r="I142" s="33" t="n">
        <x:f>IF(AND(ISNUMBER(H142),ISNUMBER(Batches!F38),Batches!F38&gt;=0,Batches!F38&lt;=1),ROUNDDOWN(H142*Batches!F38/E142,0)*E142,"n.a.")</x:f>
        <x:v>48</x:v>
      </x:c>
      <x:c r="J142" s="12" t="n">
        <x:f>IF(AND(ISNUMBER(I142),ISNUMBER(D142)),I142*D142,"n.a.")</x:f>
        <x:v>48000</x:v>
      </x:c>
      <x:c r="K142" s="12" t="n">
        <x:f>IF(AND(ISNUMBER(I142),I142&gt;0),G142/I142,"n.a.")</x:f>
        <x:v>341.70179702729047</x:v>
      </x:c>
      <x:c r="L142" s="12" t="n">
        <x:f>IF(ISNUMBER(J142),J142-G142,"n.a.")</x:f>
        <x:v>31598.313742690058</x:v>
      </x:c>
      <x:c r="M142" s="35" t="n">
        <x:f>IF(AND(ISNUMBER(J142),J142&gt;0),L142/J142,"n.a.")</x:f>
        <x:v>0.6582982029727096</x:v>
      </x:c>
      <x:c r="N142" s="29" t="n">
        <x:f>IF(AND(ISNUMBER(D142),D142&gt;0),ROUNDUP(G142/(D142*E142),0)*E142,"n.a.")</x:f>
        <x:v>17</x:v>
      </x:c>
      <x:c r="O142" s="35" t="n">
        <x:f>IF(AND(ISNUMBER(H142),H142&gt;0,ISNUMBER(N142)),N142/H142,"n.a.")</x:f>
        <x:v>0.3541666666666667</x:v>
      </x:c>
      <x:c r="P142" s="33" t="n">
        <x:f>Batches!D38</x:f>
        <x:v>0</x:v>
      </x:c>
      <x:c r="Q142" s="37" t="str">
        <x:f>IF(AND(P142=0,ISNUMBER(J142),COUNT(Batches!G38:K38)=5),J142-G142-H142*Batches!G38-Batches!M38,"n.a.")</x:f>
        <x:v>n.a.</x:v>
      </x:c>
      <x:c r="R142" s="12" t="str">
        <x:f>IF(P142&gt;0,"Partial ingredient costs",IF(ISNUMBER(Q142),"Modeled operating profit","Other operating costs missing"))</x:f>
        <x:v>Other operating costs missing</x:v>
      </x:c>
      <x:c r="S142" s="12" t="str">
        <x:v>'Kumba bread'!B17:C17</x:v>
      </x:c>
    </x:row>
    <x:row r="143" ht="28" customHeight="1">
      <x:c r="A143" s="2" t="str">
        <x:v>Kumba bread</x:v>
      </x:c>
      <x:c r="B143" s="11" t="str">
        <x:v>Main offer</x:v>
      </x:c>
      <x:c r="C143" s="13" t="n">
        <x:v>90</x:v>
      </x:c>
      <x:c r="D143" s="13" t="n">
        <x:v>100</x:v>
      </x:c>
      <x:c r="E143" s="13" t="n">
        <x:v>1</x:v>
      </x:c>
      <x:c r="F143" s="20" t="n">
        <x:f>Batches!L38</x:f>
        <x:v>43575</x:v>
      </x:c>
      <x:c r="G143" s="20" t="n">
        <x:f>Batches!C38</x:f>
        <x:v>16401.686257309942</x:v>
      </x:c>
      <x:c r="H143" s="28" t="n">
        <x:f>IF(AND(ISNUMBER(F143),ISNUMBER(C143),C143&gt;0,E143&gt;0),ROUNDDOWN(F143/C143/E143,0)*E143,"n.a.")</x:f>
        <x:v>484</x:v>
      </x:c>
      <x:c r="I143" s="32" t="n">
        <x:f>IF(AND(ISNUMBER(H143),ISNUMBER(Batches!F38),Batches!F38&gt;=0,Batches!F38&lt;=1),ROUNDDOWN(H143*Batches!F38/E143,0)*E143,"n.a.")</x:f>
        <x:v>484</x:v>
      </x:c>
      <x:c r="J143" s="11" t="n">
        <x:f>IF(AND(ISNUMBER(I143),ISNUMBER(D143)),I143*D143,"n.a.")</x:f>
        <x:v>48400</x:v>
      </x:c>
      <x:c r="K143" s="11" t="n">
        <x:f>IF(AND(ISNUMBER(I143),I143&gt;0),G143/I143,"n.a.")</x:f>
        <x:v>33.88778152336765</x:v>
      </x:c>
      <x:c r="L143" s="11" t="n">
        <x:f>IF(ISNUMBER(J143),J143-G143,"n.a.")</x:f>
        <x:v>31998.313742690058</x:v>
      </x:c>
      <x:c r="M143" s="34" t="n">
        <x:f>IF(AND(ISNUMBER(J143),J143&gt;0),L143/J143,"n.a.")</x:f>
        <x:v>0.6611221847663235</x:v>
      </x:c>
      <x:c r="N143" s="28" t="n">
        <x:f>IF(AND(ISNUMBER(D143),D143&gt;0),ROUNDUP(G143/(D143*E143),0)*E143,"n.a.")</x:f>
        <x:v>165</x:v>
      </x:c>
      <x:c r="O143" s="34" t="n">
        <x:f>IF(AND(ISNUMBER(H143),H143&gt;0,ISNUMBER(N143)),N143/H143,"n.a.")</x:f>
        <x:v>0.3409090909090909</x:v>
      </x:c>
      <x:c r="P143" s="32" t="n">
        <x:f>Batches!D38</x:f>
        <x:v>0</x:v>
      </x:c>
      <x:c r="Q143" s="36" t="str">
        <x:f>IF(AND(P143=0,ISNUMBER(J143),COUNT(Batches!G38:K38)=5),J143-G143-H143*Batches!G38-Batches!M38,"n.a.")</x:f>
        <x:v>n.a.</x:v>
      </x:c>
      <x:c r="R143" s="11" t="str">
        <x:f>IF(P143&gt;0,"Partial ingredient costs",IF(ISNUMBER(Q143),"Modeled operating profit","Other operating costs missing"))</x:f>
        <x:v>Other operating costs missing</x:v>
      </x:c>
      <x:c r="S143" s="11" t="str">
        <x:v>'Kumba bread'!B18:C18</x:v>
      </x:c>
    </x:row>
    <x:row r="144" ht="28" customHeight="1">
      <x:c r="A144" s="10" t="str">
        <x:v>Kumba bread</x:v>
      </x:c>
      <x:c r="B144" s="12" t="str">
        <x:v>Main offer</x:v>
      </x:c>
      <x:c r="C144" s="14" t="n">
        <x:v>90</x:v>
      </x:c>
      <x:c r="D144" s="14" t="n">
        <x:v>100</x:v>
      </x:c>
      <x:c r="E144" s="14" t="n">
        <x:v>1</x:v>
      </x:c>
      <x:c r="F144" s="21" t="n">
        <x:f>Batches!L38</x:f>
        <x:v>43575</x:v>
      </x:c>
      <x:c r="G144" s="21" t="n">
        <x:f>Batches!C38</x:f>
        <x:v>16401.686257309942</x:v>
      </x:c>
      <x:c r="H144" s="29" t="n">
        <x:f>IF(AND(ISNUMBER(F144),ISNUMBER(C144),C144&gt;0,E144&gt;0),ROUNDDOWN(F144/C144/E144,0)*E144,"n.a.")</x:f>
        <x:v>484</x:v>
      </x:c>
      <x:c r="I144" s="33" t="n">
        <x:f>IF(AND(ISNUMBER(H144),ISNUMBER(Batches!F38),Batches!F38&gt;=0,Batches!F38&lt;=1),ROUNDDOWN(H144*Batches!F38/E144,0)*E144,"n.a.")</x:f>
        <x:v>484</x:v>
      </x:c>
      <x:c r="J144" s="12" t="n">
        <x:f>IF(AND(ISNUMBER(I144),ISNUMBER(D144)),I144*D144,"n.a.")</x:f>
        <x:v>48400</x:v>
      </x:c>
      <x:c r="K144" s="12" t="n">
        <x:f>IF(AND(ISNUMBER(I144),I144&gt;0),G144/I144,"n.a.")</x:f>
        <x:v>33.88778152336765</x:v>
      </x:c>
      <x:c r="L144" s="12" t="n">
        <x:f>IF(ISNUMBER(J144),J144-G144,"n.a.")</x:f>
        <x:v>31998.313742690058</x:v>
      </x:c>
      <x:c r="M144" s="35" t="n">
        <x:f>IF(AND(ISNUMBER(J144),J144&gt;0),L144/J144,"n.a.")</x:f>
        <x:v>0.6611221847663235</x:v>
      </x:c>
      <x:c r="N144" s="29" t="n">
        <x:f>IF(AND(ISNUMBER(D144),D144&gt;0),ROUNDUP(G144/(D144*E144),0)*E144,"n.a.")</x:f>
        <x:v>165</x:v>
      </x:c>
      <x:c r="O144" s="35" t="n">
        <x:f>IF(AND(ISNUMBER(H144),H144&gt;0,ISNUMBER(N144)),N144/H144,"n.a.")</x:f>
        <x:v>0.3409090909090909</x:v>
      </x:c>
      <x:c r="P144" s="33" t="n">
        <x:f>Batches!D38</x:f>
        <x:v>0</x:v>
      </x:c>
      <x:c r="Q144" s="37" t="str">
        <x:f>IF(AND(P144=0,ISNUMBER(J144),COUNT(Batches!G38:K38)=5),J144-G144-H144*Batches!G38-Batches!M38,"n.a.")</x:f>
        <x:v>n.a.</x:v>
      </x:c>
      <x:c r="R144" s="12" t="str">
        <x:f>IF(P144&gt;0,"Partial ingredient costs",IF(ISNUMBER(Q144),"Modeled operating profit","Other operating costs missing"))</x:f>
        <x:v>Other operating costs missing</x:v>
      </x:c>
      <x:c r="S144" s="12" t="str">
        <x:v>'Kumba bread'!B19:C19</x:v>
      </x:c>
    </x:row>
    <x:row r="145" ht="28" customHeight="1">
      <x:c r="A145" s="2" t="str">
        <x:v>Kumba bread</x:v>
      </x:c>
      <x:c r="B145" s="11" t="str">
        <x:v>Main offer</x:v>
      </x:c>
      <x:c r="C145" s="13" t="n">
        <x:v>900</x:v>
      </x:c>
      <x:c r="D145" s="13" t="n">
        <x:v>1000</x:v>
      </x:c>
      <x:c r="E145" s="13" t="n">
        <x:v>1</x:v>
      </x:c>
      <x:c r="F145" s="20" t="n">
        <x:f>Batches!L38</x:f>
        <x:v>43575</x:v>
      </x:c>
      <x:c r="G145" s="20" t="n">
        <x:f>Batches!C38</x:f>
        <x:v>16401.686257309942</x:v>
      </x:c>
      <x:c r="H145" s="28" t="n">
        <x:f>IF(AND(ISNUMBER(F145),ISNUMBER(C145),C145&gt;0,E145&gt;0),ROUNDDOWN(F145/C145/E145,0)*E145,"n.a.")</x:f>
        <x:v>48</x:v>
      </x:c>
      <x:c r="I145" s="32" t="n">
        <x:f>IF(AND(ISNUMBER(H145),ISNUMBER(Batches!F38),Batches!F38&gt;=0,Batches!F38&lt;=1),ROUNDDOWN(H145*Batches!F38/E145,0)*E145,"n.a.")</x:f>
        <x:v>48</x:v>
      </x:c>
      <x:c r="J145" s="11" t="n">
        <x:f>IF(AND(ISNUMBER(I145),ISNUMBER(D145)),I145*D145,"n.a.")</x:f>
        <x:v>48000</x:v>
      </x:c>
      <x:c r="K145" s="11" t="n">
        <x:f>IF(AND(ISNUMBER(I145),I145&gt;0),G145/I145,"n.a.")</x:f>
        <x:v>341.70179702729047</x:v>
      </x:c>
      <x:c r="L145" s="11" t="n">
        <x:f>IF(ISNUMBER(J145),J145-G145,"n.a.")</x:f>
        <x:v>31598.313742690058</x:v>
      </x:c>
      <x:c r="M145" s="34" t="n">
        <x:f>IF(AND(ISNUMBER(J145),J145&gt;0),L145/J145,"n.a.")</x:f>
        <x:v>0.6582982029727096</x:v>
      </x:c>
      <x:c r="N145" s="28" t="n">
        <x:f>IF(AND(ISNUMBER(D145),D145&gt;0),ROUNDUP(G145/(D145*E145),0)*E145,"n.a.")</x:f>
        <x:v>17</x:v>
      </x:c>
      <x:c r="O145" s="34" t="n">
        <x:f>IF(AND(ISNUMBER(H145),H145&gt;0,ISNUMBER(N145)),N145/H145,"n.a.")</x:f>
        <x:v>0.3541666666666667</x:v>
      </x:c>
      <x:c r="P145" s="32" t="n">
        <x:f>Batches!D38</x:f>
        <x:v>0</x:v>
      </x:c>
      <x:c r="Q145" s="36" t="str">
        <x:f>IF(AND(P145=0,ISNUMBER(J145),COUNT(Batches!G38:K38)=5),J145-G145-H145*Batches!G38-Batches!M38,"n.a.")</x:f>
        <x:v>n.a.</x:v>
      </x:c>
      <x:c r="R145" s="11" t="str">
        <x:f>IF(P145&gt;0,"Partial ingredient costs",IF(ISNUMBER(Q145),"Modeled operating profit","Other operating costs missing"))</x:f>
        <x:v>Other operating costs missing</x:v>
      </x:c>
      <x:c r="S145" s="11" t="str">
        <x:v>'Kumba bread'!B20:C20</x:v>
      </x:c>
    </x:row>
    <x:row r="146" ht="28" customHeight="1">
      <x:c r="A146" s="10" t="str">
        <x:v>Kumba bread</x:v>
      </x:c>
      <x:c r="B146" s="12" t="str">
        <x:v>Manual offer; confirm</x:v>
      </x:c>
      <x:c r="C146" s="14" t="n">
        <x:v>80</x:v>
      </x:c>
      <x:c r="D146" s="14" t="n">
        <x:v>100</x:v>
      </x:c>
      <x:c r="E146" s="14" t="n">
        <x:v>1</x:v>
      </x:c>
      <x:c r="F146" s="21" t="n">
        <x:f>Batches!L38</x:f>
        <x:v>43575</x:v>
      </x:c>
      <x:c r="G146" s="21" t="n">
        <x:f>Batches!C38</x:f>
        <x:v>16401.686257309942</x:v>
      </x:c>
      <x:c r="H146" s="29" t="n">
        <x:f>IF(AND(ISNUMBER(F146),ISNUMBER(C146),C146&gt;0,E146&gt;0),ROUNDDOWN(F146/C146/E146,0)*E146,"n.a.")</x:f>
        <x:v>544</x:v>
      </x:c>
      <x:c r="I146" s="33" t="n">
        <x:f>IF(AND(ISNUMBER(H146),ISNUMBER(Batches!F38),Batches!F38&gt;=0,Batches!F38&lt;=1),ROUNDDOWN(H146*Batches!F38/E146,0)*E146,"n.a.")</x:f>
        <x:v>544</x:v>
      </x:c>
      <x:c r="J146" s="12" t="n">
        <x:f>IF(AND(ISNUMBER(I146),ISNUMBER(D146)),I146*D146,"n.a.")</x:f>
        <x:v>54400</x:v>
      </x:c>
      <x:c r="K146" s="12" t="n">
        <x:f>IF(AND(ISNUMBER(I146),I146&gt;0),G146/I146,"n.a.")</x:f>
        <x:v>30.15015856123151</x:v>
      </x:c>
      <x:c r="L146" s="12" t="n">
        <x:f>IF(ISNUMBER(J146),J146-G146,"n.a.")</x:f>
        <x:v>37998.31374269006</x:v>
      </x:c>
      <x:c r="M146" s="35" t="n">
        <x:f>IF(AND(ISNUMBER(J146),J146&gt;0),L146/J146,"n.a.")</x:f>
        <x:v>0.6984984143876849</x:v>
      </x:c>
      <x:c r="N146" s="29" t="n">
        <x:f>IF(AND(ISNUMBER(D146),D146&gt;0),ROUNDUP(G146/(D146*E146),0)*E146,"n.a.")</x:f>
        <x:v>165</x:v>
      </x:c>
      <x:c r="O146" s="35" t="n">
        <x:f>IF(AND(ISNUMBER(H146),H146&gt;0,ISNUMBER(N146)),N146/H146,"n.a.")</x:f>
        <x:v>0.30330882352941174</x:v>
      </x:c>
      <x:c r="P146" s="33" t="n">
        <x:f>Batches!D38</x:f>
        <x:v>0</x:v>
      </x:c>
      <x:c r="Q146" s="37" t="str">
        <x:f>IF(AND(P146=0,ISNUMBER(J146),COUNT(Batches!G38:K38)=5),J146-G146-H146*Batches!G38-Batches!M38,"n.a.")</x:f>
        <x:v>n.a.</x:v>
      </x:c>
      <x:c r="R146" s="12" t="str">
        <x:f>IF(P146&gt;0,"Partial ingredient costs",IF(ISNUMBER(Q146),"Modeled operating profit","Other operating costs missing"))</x:f>
        <x:v>Other operating costs missing</x:v>
      </x:c>
      <x:c r="S146" s="12" t="str">
        <x:v>'Kumba bread'!E27,G27</x:v>
      </x:c>
    </x:row>
    <x:row r="147" ht="28" customHeight="1">
      <x:c r="A147" s="2" t="str">
        <x:v>Kumba bread</x:v>
      </x:c>
      <x:c r="B147" s="11" t="str">
        <x:v>Suspect wholesale formula</x:v>
      </x:c>
      <x:c r="C147" s="13" t="n">
        <x:v>900</x:v>
      </x:c>
      <x:c r="D147" s="13" t="n">
        <x:v>83.33333333333333</x:v>
      </x:c>
      <x:c r="E147" s="13" t="n">
        <x:v>12</x:v>
      </x:c>
      <x:c r="F147" s="20" t="n">
        <x:f>Batches!L38</x:f>
        <x:v>43575</x:v>
      </x:c>
      <x:c r="G147" s="20" t="n">
        <x:f>Batches!C38</x:f>
        <x:v>16401.686257309942</x:v>
      </x:c>
      <x:c r="H147" s="28" t="n">
        <x:f>IF(AND(ISNUMBER(F147),ISNUMBER(C147),C147&gt;0,E147&gt;0),ROUNDDOWN(F147/C147/E147,0)*E147,"n.a.")</x:f>
        <x:v>48</x:v>
      </x:c>
      <x:c r="I147" s="32" t="n">
        <x:f>IF(AND(ISNUMBER(H147),ISNUMBER(Batches!F38),Batches!F38&gt;=0,Batches!F38&lt;=1),ROUNDDOWN(H147*Batches!F38/E147,0)*E147,"n.a.")</x:f>
        <x:v>48</x:v>
      </x:c>
      <x:c r="J147" s="11" t="n">
        <x:f>IF(AND(ISNUMBER(I147),ISNUMBER(D147)),I147*D147,"n.a.")</x:f>
        <x:v>4000</x:v>
      </x:c>
      <x:c r="K147" s="11" t="n">
        <x:f>IF(AND(ISNUMBER(I147),I147&gt;0),G147/I147,"n.a.")</x:f>
        <x:v>341.70179702729047</x:v>
      </x:c>
      <x:c r="L147" s="11" t="n">
        <x:f>IF(ISNUMBER(J147),J147-G147,"n.a.")</x:f>
        <x:v>-12401.686257309942</x:v>
      </x:c>
      <x:c r="M147" s="34" t="n">
        <x:f>IF(AND(ISNUMBER(J147),J147&gt;0),L147/J147,"n.a.")</x:f>
        <x:v>-3.1004215643274855</x:v>
      </x:c>
      <x:c r="N147" s="28" t="n">
        <x:f>IF(AND(ISNUMBER(D147),D147&gt;0),ROUNDUP(G147/(D147*E147),0)*E147,"n.a.")</x:f>
        <x:v>204</x:v>
      </x:c>
      <x:c r="O147" s="34" t="n">
        <x:f>IF(AND(ISNUMBER(H147),H147&gt;0,ISNUMBER(N147)),N147/H147,"n.a.")</x:f>
        <x:v>4.25</x:v>
      </x:c>
      <x:c r="P147" s="32" t="n">
        <x:f>Batches!D38</x:f>
        <x:v>0</x:v>
      </x:c>
      <x:c r="Q147" s="36" t="str">
        <x:f>IF(AND(P147=0,ISNUMBER(J147),COUNT(Batches!G38:K38)=5),J147-G147-H147*Batches!G38-Batches!M38,"n.a.")</x:f>
        <x:v>n.a.</x:v>
      </x:c>
      <x:c r="R147" s="11" t="str">
        <x:f>IF(P147&gt;0,"Partial ingredient costs",IF(ISNUMBER(Q147),"Modeled operating profit","Other operating costs missing"))</x:f>
        <x:v>Other operating costs missing</x:v>
      </x:c>
      <x:c r="S147" s="11" t="str">
        <x:v>'Kumba bread'!I19:I21/J19:J21</x:v>
      </x:c>
    </x:row>
    <x:row r="148" ht="28" customHeight="1">
      <x:c r="A148" s="10" t="str">
        <x:v>Hamburger buns</x:v>
      </x:c>
      <x:c r="B148" s="12" t="str">
        <x:v>Main offer</x:v>
      </x:c>
      <x:c r="C148" s="14" t="n">
        <x:v>370</x:v>
      </x:c>
      <x:c r="D148" s="14" t="n">
        <x:v>500</x:v>
      </x:c>
      <x:c r="E148" s="14" t="n">
        <x:v>1</x:v>
      </x:c>
      <x:c r="F148" s="21" t="n">
        <x:f>Batches!L39</x:f>
        <x:v>17480</x:v>
      </x:c>
      <x:c r="G148" s="21" t="n">
        <x:f>Batches!C39</x:f>
        <x:v>5899.211111111112</x:v>
      </x:c>
      <x:c r="H148" s="29" t="n">
        <x:f>IF(AND(ISNUMBER(F148),ISNUMBER(C148),C148&gt;0,E148&gt;0),ROUNDDOWN(F148/C148/E148,0)*E148,"n.a.")</x:f>
        <x:v>47</x:v>
      </x:c>
      <x:c r="I148" s="33" t="n">
        <x:f>IF(AND(ISNUMBER(H148),ISNUMBER(Batches!F39),Batches!F39&gt;=0,Batches!F39&lt;=1),ROUNDDOWN(H148*Batches!F39/E148,0)*E148,"n.a.")</x:f>
        <x:v>47</x:v>
      </x:c>
      <x:c r="J148" s="12" t="n">
        <x:f>IF(AND(ISNUMBER(I148),ISNUMBER(D148)),I148*D148,"n.a.")</x:f>
        <x:v>23500</x:v>
      </x:c>
      <x:c r="K148" s="12" t="n">
        <x:f>IF(AND(ISNUMBER(I148),I148&gt;0),G148/I148,"n.a.")</x:f>
        <x:v>125.51513002364068</x:v>
      </x:c>
      <x:c r="L148" s="12" t="n">
        <x:f>IF(ISNUMBER(J148),J148-G148,"n.a.")</x:f>
        <x:v>17600.78888888889</x:v>
      </x:c>
      <x:c r="M148" s="35" t="n">
        <x:f>IF(AND(ISNUMBER(J148),J148&gt;0),L148/J148,"n.a.")</x:f>
        <x:v>0.7489697399527186</x:v>
      </x:c>
      <x:c r="N148" s="29" t="n">
        <x:f>IF(AND(ISNUMBER(D148),D148&gt;0),ROUNDUP(G148/(D148*E148),0)*E148,"n.a.")</x:f>
        <x:v>12</x:v>
      </x:c>
      <x:c r="O148" s="35" t="n">
        <x:f>IF(AND(ISNUMBER(H148),H148&gt;0,ISNUMBER(N148)),N148/H148,"n.a.")</x:f>
        <x:v>0.2553191489361702</x:v>
      </x:c>
      <x:c r="P148" s="33" t="n">
        <x:f>Batches!D39</x:f>
        <x:v>0</x:v>
      </x:c>
      <x:c r="Q148" s="37" t="str">
        <x:f>IF(AND(P148=0,ISNUMBER(J148),COUNT(Batches!G39:K39)=5),J148-G148-H148*Batches!G39-Batches!M39,"n.a.")</x:f>
        <x:v>n.a.</x:v>
      </x:c>
      <x:c r="R148" s="12" t="str">
        <x:f>IF(P148&gt;0,"Partial ingredient costs",IF(ISNUMBER(Q148),"Modeled operating profit","Other operating costs missing"))</x:f>
        <x:v>Other operating costs missing</x:v>
      </x:c>
      <x:c r="S148" s="12" t="str">
        <x:v>'Hamburger buns'!B18:C18</x:v>
      </x:c>
    </x:row>
    <x:row r="149" ht="28" customHeight="1">
      <x:c r="A149" s="2" t="str">
        <x:v>Hamburger buns</x:v>
      </x:c>
      <x:c r="B149" s="11" t="str">
        <x:v>Main offer</x:v>
      </x:c>
      <x:c r="C149" s="13" t="n">
        <x:v>190</x:v>
      </x:c>
      <x:c r="D149" s="13" t="n">
        <x:v>250</x:v>
      </x:c>
      <x:c r="E149" s="13" t="n">
        <x:v>1</x:v>
      </x:c>
      <x:c r="F149" s="20" t="n">
        <x:f>Batches!L39</x:f>
        <x:v>17480</x:v>
      </x:c>
      <x:c r="G149" s="20" t="n">
        <x:f>Batches!C39</x:f>
        <x:v>5899.211111111112</x:v>
      </x:c>
      <x:c r="H149" s="28" t="n">
        <x:f>IF(AND(ISNUMBER(F149),ISNUMBER(C149),C149&gt;0,E149&gt;0),ROUNDDOWN(F149/C149/E149,0)*E149,"n.a.")</x:f>
        <x:v>92</x:v>
      </x:c>
      <x:c r="I149" s="32" t="n">
        <x:f>IF(AND(ISNUMBER(H149),ISNUMBER(Batches!F39),Batches!F39&gt;=0,Batches!F39&lt;=1),ROUNDDOWN(H149*Batches!F39/E149,0)*E149,"n.a.")</x:f>
        <x:v>92</x:v>
      </x:c>
      <x:c r="J149" s="11" t="n">
        <x:f>IF(AND(ISNUMBER(I149),ISNUMBER(D149)),I149*D149,"n.a.")</x:f>
        <x:v>23000</x:v>
      </x:c>
      <x:c r="K149" s="11" t="n">
        <x:f>IF(AND(ISNUMBER(I149),I149&gt;0),G149/I149,"n.a.")</x:f>
        <x:v>64.12185990338165</x:v>
      </x:c>
      <x:c r="L149" s="11" t="n">
        <x:f>IF(ISNUMBER(J149),J149-G149,"n.a.")</x:f>
        <x:v>17100.78888888889</x:v>
      </x:c>
      <x:c r="M149" s="34" t="n">
        <x:f>IF(AND(ISNUMBER(J149),J149&gt;0),L149/J149,"n.a.")</x:f>
        <x:v>0.7435125603864734</x:v>
      </x:c>
      <x:c r="N149" s="28" t="n">
        <x:f>IF(AND(ISNUMBER(D149),D149&gt;0),ROUNDUP(G149/(D149*E149),0)*E149,"n.a.")</x:f>
        <x:v>24</x:v>
      </x:c>
      <x:c r="O149" s="34" t="n">
        <x:f>IF(AND(ISNUMBER(H149),H149&gt;0,ISNUMBER(N149)),N149/H149,"n.a.")</x:f>
        <x:v>0.2608695652173913</x:v>
      </x:c>
      <x:c r="P149" s="32" t="n">
        <x:f>Batches!D39</x:f>
        <x:v>0</x:v>
      </x:c>
      <x:c r="Q149" s="36" t="str">
        <x:f>IF(AND(P149=0,ISNUMBER(J149),COUNT(Batches!G39:K39)=5),J149-G149-H149*Batches!G39-Batches!M39,"n.a.")</x:f>
        <x:v>n.a.</x:v>
      </x:c>
      <x:c r="R149" s="11" t="str">
        <x:f>IF(P149&gt;0,"Partial ingredient costs",IF(ISNUMBER(Q149),"Modeled operating profit","Other operating costs missing"))</x:f>
        <x:v>Other operating costs missing</x:v>
      </x:c>
      <x:c r="S149" s="11" t="str">
        <x:v>'Hamburger buns'!B19:C19</x:v>
      </x:c>
    </x:row>
    <x:row r="150" ht="28" customHeight="1">
      <x:c r="A150" s="10" t="str">
        <x:v>Hamburger buns</x:v>
      </x:c>
      <x:c r="B150" s="12" t="str">
        <x:v>Main offer</x:v>
      </x:c>
      <x:c r="C150" s="14" t="n">
        <x:v>700</x:v>
      </x:c>
      <x:c r="D150" s="14" t="n">
        <x:v>1000</x:v>
      </x:c>
      <x:c r="E150" s="14" t="n">
        <x:v>1</x:v>
      </x:c>
      <x:c r="F150" s="21" t="n">
        <x:f>Batches!L39</x:f>
        <x:v>17480</x:v>
      </x:c>
      <x:c r="G150" s="21" t="n">
        <x:f>Batches!C39</x:f>
        <x:v>5899.211111111112</x:v>
      </x:c>
      <x:c r="H150" s="29" t="n">
        <x:f>IF(AND(ISNUMBER(F150),ISNUMBER(C150),C150&gt;0,E150&gt;0),ROUNDDOWN(F150/C150/E150,0)*E150,"n.a.")</x:f>
        <x:v>24</x:v>
      </x:c>
      <x:c r="I150" s="33" t="n">
        <x:f>IF(AND(ISNUMBER(H150),ISNUMBER(Batches!F39),Batches!F39&gt;=0,Batches!F39&lt;=1),ROUNDDOWN(H150*Batches!F39/E150,0)*E150,"n.a.")</x:f>
        <x:v>24</x:v>
      </x:c>
      <x:c r="J150" s="12" t="n">
        <x:f>IF(AND(ISNUMBER(I150),ISNUMBER(D150)),I150*D150,"n.a.")</x:f>
        <x:v>24000</x:v>
      </x:c>
      <x:c r="K150" s="12" t="n">
        <x:f>IF(AND(ISNUMBER(I150),I150&gt;0),G150/I150,"n.a.")</x:f>
        <x:v>245.800462962963</x:v>
      </x:c>
      <x:c r="L150" s="12" t="n">
        <x:f>IF(ISNUMBER(J150),J150-G150,"n.a.")</x:f>
        <x:v>18100.78888888889</x:v>
      </x:c>
      <x:c r="M150" s="35" t="n">
        <x:f>IF(AND(ISNUMBER(J150),J150&gt;0),L150/J150,"n.a.")</x:f>
        <x:v>0.754199537037037</x:v>
      </x:c>
      <x:c r="N150" s="29" t="n">
        <x:f>IF(AND(ISNUMBER(D150),D150&gt;0),ROUNDUP(G150/(D150*E150),0)*E150,"n.a.")</x:f>
        <x:v>6</x:v>
      </x:c>
      <x:c r="O150" s="35" t="n">
        <x:f>IF(AND(ISNUMBER(H150),H150&gt;0,ISNUMBER(N150)),N150/H150,"n.a.")</x:f>
        <x:v>0.25</x:v>
      </x:c>
      <x:c r="P150" s="33" t="n">
        <x:f>Batches!D39</x:f>
        <x:v>0</x:v>
      </x:c>
      <x:c r="Q150" s="37" t="str">
        <x:f>IF(AND(P150=0,ISNUMBER(J150),COUNT(Batches!G39:K39)=5),J150-G150-H150*Batches!G39-Batches!M39,"n.a.")</x:f>
        <x:v>n.a.</x:v>
      </x:c>
      <x:c r="R150" s="12" t="str">
        <x:f>IF(P150&gt;0,"Partial ingredient costs",IF(ISNUMBER(Q150),"Modeled operating profit","Other operating costs missing"))</x:f>
        <x:v>Other operating costs missing</x:v>
      </x:c>
      <x:c r="S150" s="12" t="str">
        <x:v>'Hamburger buns'!B20:C20</x:v>
      </x:c>
    </x:row>
    <x:row r="151" ht="28" customHeight="1">
      <x:c r="A151" s="2" t="str">
        <x:v>Hamburger buns</x:v>
      </x:c>
      <x:c r="B151" s="11" t="str">
        <x:v>Manual offer; confirm</x:v>
      </x:c>
      <x:c r="C151" s="13" t="n">
        <x:v>380</x:v>
      </x:c>
      <x:c r="D151" s="13" t="n">
        <x:v>500</x:v>
      </x:c>
      <x:c r="E151" s="13" t="n">
        <x:v>1</x:v>
      </x:c>
      <x:c r="F151" s="20" t="n">
        <x:f>Batches!L39</x:f>
        <x:v>17480</x:v>
      </x:c>
      <x:c r="G151" s="20" t="n">
        <x:f>Batches!C39</x:f>
        <x:v>5899.211111111112</x:v>
      </x:c>
      <x:c r="H151" s="28" t="n">
        <x:f>IF(AND(ISNUMBER(F151),ISNUMBER(C151),C151&gt;0,E151&gt;0),ROUNDDOWN(F151/C151/E151,0)*E151,"n.a.")</x:f>
        <x:v>46</x:v>
      </x:c>
      <x:c r="I151" s="32" t="n">
        <x:f>IF(AND(ISNUMBER(H151),ISNUMBER(Batches!F39),Batches!F39&gt;=0,Batches!F39&lt;=1),ROUNDDOWN(H151*Batches!F39/E151,0)*E151,"n.a.")</x:f>
        <x:v>46</x:v>
      </x:c>
      <x:c r="J151" s="11" t="n">
        <x:f>IF(AND(ISNUMBER(I151),ISNUMBER(D151)),I151*D151,"n.a.")</x:f>
        <x:v>23000</x:v>
      </x:c>
      <x:c r="K151" s="11" t="n">
        <x:f>IF(AND(ISNUMBER(I151),I151&gt;0),G151/I151,"n.a.")</x:f>
        <x:v>128.2437198067633</x:v>
      </x:c>
      <x:c r="L151" s="11" t="n">
        <x:f>IF(ISNUMBER(J151),J151-G151,"n.a.")</x:f>
        <x:v>17100.78888888889</x:v>
      </x:c>
      <x:c r="M151" s="34" t="n">
        <x:f>IF(AND(ISNUMBER(J151),J151&gt;0),L151/J151,"n.a.")</x:f>
        <x:v>0.7435125603864734</x:v>
      </x:c>
      <x:c r="N151" s="28" t="n">
        <x:f>IF(AND(ISNUMBER(D151),D151&gt;0),ROUNDUP(G151/(D151*E151),0)*E151,"n.a.")</x:f>
        <x:v>12</x:v>
      </x:c>
      <x:c r="O151" s="34" t="n">
        <x:f>IF(AND(ISNUMBER(H151),H151&gt;0,ISNUMBER(N151)),N151/H151,"n.a.")</x:f>
        <x:v>0.2608695652173913</x:v>
      </x:c>
      <x:c r="P151" s="32" t="n">
        <x:f>Batches!D39</x:f>
        <x:v>0</x:v>
      </x:c>
      <x:c r="Q151" s="36" t="str">
        <x:f>IF(AND(P151=0,ISNUMBER(J151),COUNT(Batches!G39:K39)=5),J151-G151-H151*Batches!G39-Batches!M39,"n.a.")</x:f>
        <x:v>n.a.</x:v>
      </x:c>
      <x:c r="R151" s="11" t="str">
        <x:f>IF(P151&gt;0,"Partial ingredient costs",IF(ISNUMBER(Q151),"Modeled operating profit","Other operating costs missing"))</x:f>
        <x:v>Other operating costs missing</x:v>
      </x:c>
      <x:c r="S151" s="11" t="str">
        <x:v>'Hamburger buns'!D25,F25</x:v>
      </x:c>
    </x:row>
    <x:row r="152" ht="28" customHeight="1">
      <x:c r="A152" s="10" t="str">
        <x:v>Hamburger buns</x:v>
      </x:c>
      <x:c r="B152" s="12" t="str">
        <x:v>Manual offer; confirm</x:v>
      </x:c>
      <x:c r="C152" s="14" t="n">
        <x:v>190</x:v>
      </x:c>
      <x:c r="D152" s="14" t="n">
        <x:v>250</x:v>
      </x:c>
      <x:c r="E152" s="14" t="n">
        <x:v>1</x:v>
      </x:c>
      <x:c r="F152" s="21" t="n">
        <x:f>Batches!L39</x:f>
        <x:v>17480</x:v>
      </x:c>
      <x:c r="G152" s="21" t="n">
        <x:f>Batches!C39</x:f>
        <x:v>5899.211111111112</x:v>
      </x:c>
      <x:c r="H152" s="29" t="n">
        <x:f>IF(AND(ISNUMBER(F152),ISNUMBER(C152),C152&gt;0,E152&gt;0),ROUNDDOWN(F152/C152/E152,0)*E152,"n.a.")</x:f>
        <x:v>92</x:v>
      </x:c>
      <x:c r="I152" s="33" t="n">
        <x:f>IF(AND(ISNUMBER(H152),ISNUMBER(Batches!F39),Batches!F39&gt;=0,Batches!F39&lt;=1),ROUNDDOWN(H152*Batches!F39/E152,0)*E152,"n.a.")</x:f>
        <x:v>92</x:v>
      </x:c>
      <x:c r="J152" s="12" t="n">
        <x:f>IF(AND(ISNUMBER(I152),ISNUMBER(D152)),I152*D152,"n.a.")</x:f>
        <x:v>23000</x:v>
      </x:c>
      <x:c r="K152" s="12" t="n">
        <x:f>IF(AND(ISNUMBER(I152),I152&gt;0),G152/I152,"n.a.")</x:f>
        <x:v>64.12185990338165</x:v>
      </x:c>
      <x:c r="L152" s="12" t="n">
        <x:f>IF(ISNUMBER(J152),J152-G152,"n.a.")</x:f>
        <x:v>17100.78888888889</x:v>
      </x:c>
      <x:c r="M152" s="35" t="n">
        <x:f>IF(AND(ISNUMBER(J152),J152&gt;0),L152/J152,"n.a.")</x:f>
        <x:v>0.7435125603864734</x:v>
      </x:c>
      <x:c r="N152" s="29" t="n">
        <x:f>IF(AND(ISNUMBER(D152),D152&gt;0),ROUNDUP(G152/(D152*E152),0)*E152,"n.a.")</x:f>
        <x:v>24</x:v>
      </x:c>
      <x:c r="O152" s="35" t="n">
        <x:f>IF(AND(ISNUMBER(H152),H152&gt;0,ISNUMBER(N152)),N152/H152,"n.a.")</x:f>
        <x:v>0.2608695652173913</x:v>
      </x:c>
      <x:c r="P152" s="33" t="n">
        <x:f>Batches!D39</x:f>
        <x:v>0</x:v>
      </x:c>
      <x:c r="Q152" s="37" t="str">
        <x:f>IF(AND(P152=0,ISNUMBER(J152),COUNT(Batches!G39:K39)=5),J152-G152-H152*Batches!G39-Batches!M39,"n.a.")</x:f>
        <x:v>n.a.</x:v>
      </x:c>
      <x:c r="R152" s="12" t="str">
        <x:f>IF(P152&gt;0,"Partial ingredient costs",IF(ISNUMBER(Q152),"Modeled operating profit","Other operating costs missing"))</x:f>
        <x:v>Other operating costs missing</x:v>
      </x:c>
      <x:c r="S152" s="12" t="str">
        <x:v>'Hamburger buns'!D26,F26</x:v>
      </x:c>
    </x:row>
    <x:row r="153" ht="28" customHeight="1">
      <x:c r="A153" s="2" t="str">
        <x:v>Taste it</x:v>
      </x:c>
      <x:c r="B153" s="11" t="str">
        <x:v>Main offer</x:v>
      </x:c>
      <x:c r="C153" s="13" t="n">
        <x:v>800</x:v>
      </x:c>
      <x:c r="D153" s="13" t="n">
        <x:v>1000</x:v>
      </x:c>
      <x:c r="E153" s="13" t="n">
        <x:v>1</x:v>
      </x:c>
      <x:c r="F153" s="20" t="n">
        <x:f>Batches!L40</x:f>
        <x:v>16045</x:v>
      </x:c>
      <x:c r="G153" s="20" t="n">
        <x:f>Batches!C40</x:f>
        <x:v>9065.63567251462</x:v>
      </x:c>
      <x:c r="H153" s="28" t="n">
        <x:f>IF(AND(ISNUMBER(F153),ISNUMBER(C153),C153&gt;0,E153&gt;0),ROUNDDOWN(F153/C153/E153,0)*E153,"n.a.")</x:f>
        <x:v>20</x:v>
      </x:c>
      <x:c r="I153" s="32" t="n">
        <x:f>IF(AND(ISNUMBER(H153),ISNUMBER(Batches!F40),Batches!F40&gt;=0,Batches!F40&lt;=1),ROUNDDOWN(H153*Batches!F40/E153,0)*E153,"n.a.")</x:f>
        <x:v>20</x:v>
      </x:c>
      <x:c r="J153" s="11" t="n">
        <x:f>IF(AND(ISNUMBER(I153),ISNUMBER(D153)),I153*D153,"n.a.")</x:f>
        <x:v>20000</x:v>
      </x:c>
      <x:c r="K153" s="11" t="n">
        <x:f>IF(AND(ISNUMBER(I153),I153&gt;0),G153/I153,"n.a.")</x:f>
        <x:v>453.281783625731</x:v>
      </x:c>
      <x:c r="L153" s="11" t="n">
        <x:f>IF(ISNUMBER(J153),J153-G153,"n.a.")</x:f>
        <x:v>10934.36432748538</x:v>
      </x:c>
      <x:c r="M153" s="34" t="n">
        <x:f>IF(AND(ISNUMBER(J153),J153&gt;0),L153/J153,"n.a.")</x:f>
        <x:v>0.546718216374269</x:v>
      </x:c>
      <x:c r="N153" s="28" t="n">
        <x:f>IF(AND(ISNUMBER(D153),D153&gt;0),ROUNDUP(G153/(D153*E153),0)*E153,"n.a.")</x:f>
        <x:v>10</x:v>
      </x:c>
      <x:c r="O153" s="34" t="n">
        <x:f>IF(AND(ISNUMBER(H153),H153&gt;0,ISNUMBER(N153)),N153/H153,"n.a.")</x:f>
        <x:v>0.5</x:v>
      </x:c>
      <x:c r="P153" s="32" t="n">
        <x:f>Batches!D40</x:f>
        <x:v>0</x:v>
      </x:c>
      <x:c r="Q153" s="36" t="str">
        <x:f>IF(AND(P153=0,ISNUMBER(J153),COUNT(Batches!G40:K40)=5),J153-G153-H153*Batches!G40-Batches!M40,"n.a.")</x:f>
        <x:v>n.a.</x:v>
      </x:c>
      <x:c r="R153" s="11" t="str">
        <x:f>IF(P153&gt;0,"Partial ingredient costs",IF(ISNUMBER(Q153),"Modeled operating profit","Other operating costs missing"))</x:f>
        <x:v>Other operating costs missing</x:v>
      </x:c>
      <x:c r="S153" s="11" t="str">
        <x:v>'Taste it'!B21:C21</x:v>
      </x:c>
    </x:row>
    <x:row r="154" ht="28" customHeight="1">
      <x:c r="A154" s="10" t="str">
        <x:v>Taste it</x:v>
      </x:c>
      <x:c r="B154" s="12" t="str">
        <x:v>Main offer</x:v>
      </x:c>
      <x:c r="C154" s="14" t="n">
        <x:v>140</x:v>
      </x:c>
      <x:c r="D154" s="14" t="n">
        <x:v>200</x:v>
      </x:c>
      <x:c r="E154" s="14" t="n">
        <x:v>1</x:v>
      </x:c>
      <x:c r="F154" s="21" t="n">
        <x:f>Batches!L40</x:f>
        <x:v>16045</x:v>
      </x:c>
      <x:c r="G154" s="21" t="n">
        <x:f>Batches!C40</x:f>
        <x:v>9065.63567251462</x:v>
      </x:c>
      <x:c r="H154" s="29" t="n">
        <x:f>IF(AND(ISNUMBER(F154),ISNUMBER(C154),C154&gt;0,E154&gt;0),ROUNDDOWN(F154/C154/E154,0)*E154,"n.a.")</x:f>
        <x:v>114</x:v>
      </x:c>
      <x:c r="I154" s="33" t="n">
        <x:f>IF(AND(ISNUMBER(H154),ISNUMBER(Batches!F40),Batches!F40&gt;=0,Batches!F40&lt;=1),ROUNDDOWN(H154*Batches!F40/E154,0)*E154,"n.a.")</x:f>
        <x:v>114</x:v>
      </x:c>
      <x:c r="J154" s="12" t="n">
        <x:f>IF(AND(ISNUMBER(I154),ISNUMBER(D154)),I154*D154,"n.a.")</x:f>
        <x:v>22800</x:v>
      </x:c>
      <x:c r="K154" s="12" t="n">
        <x:f>IF(AND(ISNUMBER(I154),I154&gt;0),G154/I154,"n.a.")</x:f>
        <x:v>79.52311993433877</x:v>
      </x:c>
      <x:c r="L154" s="12" t="n">
        <x:f>IF(ISNUMBER(J154),J154-G154,"n.a.")</x:f>
        <x:v>13734.36432748538</x:v>
      </x:c>
      <x:c r="M154" s="35" t="n">
        <x:f>IF(AND(ISNUMBER(J154),J154&gt;0),L154/J154,"n.a.")</x:f>
        <x:v>0.6023844003283062</x:v>
      </x:c>
      <x:c r="N154" s="29" t="n">
        <x:f>IF(AND(ISNUMBER(D154),D154&gt;0),ROUNDUP(G154/(D154*E154),0)*E154,"n.a.")</x:f>
        <x:v>46</x:v>
      </x:c>
      <x:c r="O154" s="35" t="n">
        <x:f>IF(AND(ISNUMBER(H154),H154&gt;0,ISNUMBER(N154)),N154/H154,"n.a.")</x:f>
        <x:v>0.40350877192982454</x:v>
      </x:c>
      <x:c r="P154" s="33" t="n">
        <x:f>Batches!D40</x:f>
        <x:v>0</x:v>
      </x:c>
      <x:c r="Q154" s="37" t="str">
        <x:f>IF(AND(P154=0,ISNUMBER(J154),COUNT(Batches!G40:K40)=5),J154-G154-H154*Batches!G40-Batches!M40,"n.a.")</x:f>
        <x:v>n.a.</x:v>
      </x:c>
      <x:c r="R154" s="12" t="str">
        <x:f>IF(P154&gt;0,"Partial ingredient costs",IF(ISNUMBER(Q154),"Modeled operating profit","Other operating costs missing"))</x:f>
        <x:v>Other operating costs missing</x:v>
      </x:c>
      <x:c r="S154" s="12" t="str">
        <x:v>'Taste it'!B22:C22</x:v>
      </x:c>
    </x:row>
    <x:row r="155" ht="28" customHeight="1">
      <x:c r="A155" s="2" t="str">
        <x:v>Taste it</x:v>
      </x:c>
      <x:c r="B155" s="11" t="str">
        <x:v>Main offer</x:v>
      </x:c>
      <x:c r="C155" s="13" t="n">
        <x:v>700</x:v>
      </x:c>
      <x:c r="D155" s="13" t="n">
        <x:v>1000</x:v>
      </x:c>
      <x:c r="E155" s="13" t="n">
        <x:v>1</x:v>
      </x:c>
      <x:c r="F155" s="20" t="n">
        <x:f>Batches!L40</x:f>
        <x:v>16045</x:v>
      </x:c>
      <x:c r="G155" s="20" t="n">
        <x:f>Batches!C40</x:f>
        <x:v>9065.63567251462</x:v>
      </x:c>
      <x:c r="H155" s="28" t="n">
        <x:f>IF(AND(ISNUMBER(F155),ISNUMBER(C155),C155&gt;0,E155&gt;0),ROUNDDOWN(F155/C155/E155,0)*E155,"n.a.")</x:f>
        <x:v>22</x:v>
      </x:c>
      <x:c r="I155" s="32" t="n">
        <x:f>IF(AND(ISNUMBER(H155),ISNUMBER(Batches!F40),Batches!F40&gt;=0,Batches!F40&lt;=1),ROUNDDOWN(H155*Batches!F40/E155,0)*E155,"n.a.")</x:f>
        <x:v>22</x:v>
      </x:c>
      <x:c r="J155" s="11" t="n">
        <x:f>IF(AND(ISNUMBER(I155),ISNUMBER(D155)),I155*D155,"n.a.")</x:f>
        <x:v>22000</x:v>
      </x:c>
      <x:c r="K155" s="11" t="n">
        <x:f>IF(AND(ISNUMBER(I155),I155&gt;0),G155/I155,"n.a.")</x:f>
        <x:v>412.0743487506645</x:v>
      </x:c>
      <x:c r="L155" s="11" t="n">
        <x:f>IF(ISNUMBER(J155),J155-G155,"n.a.")</x:f>
        <x:v>12934.36432748538</x:v>
      </x:c>
      <x:c r="M155" s="34" t="n">
        <x:f>IF(AND(ISNUMBER(J155),J155&gt;0),L155/J155,"n.a.")</x:f>
        <x:v>0.5879256512493355</x:v>
      </x:c>
      <x:c r="N155" s="28" t="n">
        <x:f>IF(AND(ISNUMBER(D155),D155&gt;0),ROUNDUP(G155/(D155*E155),0)*E155,"n.a.")</x:f>
        <x:v>10</x:v>
      </x:c>
      <x:c r="O155" s="34" t="n">
        <x:f>IF(AND(ISNUMBER(H155),H155&gt;0,ISNUMBER(N155)),N155/H155,"n.a.")</x:f>
        <x:v>0.45454545454545453</x:v>
      </x:c>
      <x:c r="P155" s="32" t="n">
        <x:f>Batches!D40</x:f>
        <x:v>0</x:v>
      </x:c>
      <x:c r="Q155" s="36" t="str">
        <x:f>IF(AND(P155=0,ISNUMBER(J155),COUNT(Batches!G40:K40)=5),J155-G155-H155*Batches!G40-Batches!M40,"n.a.")</x:f>
        <x:v>n.a.</x:v>
      </x:c>
      <x:c r="R155" s="11" t="str">
        <x:f>IF(P155&gt;0,"Partial ingredient costs",IF(ISNUMBER(Q155),"Modeled operating profit","Other operating costs missing"))</x:f>
        <x:v>Other operating costs missing</x:v>
      </x:c>
      <x:c r="S155" s="11" t="str">
        <x:v>'Taste it'!B23:C23</x:v>
      </x:c>
    </x:row>
    <x:row r="156" ht="28" customHeight="1">
      <x:c r="A156" s="10" t="str">
        <x:v>Taste it</x:v>
      </x:c>
      <x:c r="B156" s="12" t="str">
        <x:v>Manual offer; confirm</x:v>
      </x:c>
      <x:c r="C156" s="14" t="n">
        <x:v>700</x:v>
      </x:c>
      <x:c r="D156" s="14" t="n">
        <x:v>1000</x:v>
      </x:c>
      <x:c r="E156" s="14" t="n">
        <x:v>1</x:v>
      </x:c>
      <x:c r="F156" s="21" t="n">
        <x:f>Batches!L40</x:f>
        <x:v>16045</x:v>
      </x:c>
      <x:c r="G156" s="21" t="n">
        <x:f>Batches!C40</x:f>
        <x:v>9065.63567251462</x:v>
      </x:c>
      <x:c r="H156" s="29" t="n">
        <x:f>IF(AND(ISNUMBER(F156),ISNUMBER(C156),C156&gt;0,E156&gt;0),ROUNDDOWN(F156/C156/E156,0)*E156,"n.a.")</x:f>
        <x:v>22</x:v>
      </x:c>
      <x:c r="I156" s="33" t="n">
        <x:f>IF(AND(ISNUMBER(H156),ISNUMBER(Batches!F40),Batches!F40&gt;=0,Batches!F40&lt;=1),ROUNDDOWN(H156*Batches!F40/E156,0)*E156,"n.a.")</x:f>
        <x:v>22</x:v>
      </x:c>
      <x:c r="J156" s="12" t="n">
        <x:f>IF(AND(ISNUMBER(I156),ISNUMBER(D156)),I156*D156,"n.a.")</x:f>
        <x:v>22000</x:v>
      </x:c>
      <x:c r="K156" s="12" t="n">
        <x:f>IF(AND(ISNUMBER(I156),I156&gt;0),G156/I156,"n.a.")</x:f>
        <x:v>412.0743487506645</x:v>
      </x:c>
      <x:c r="L156" s="12" t="n">
        <x:f>IF(ISNUMBER(J156),J156-G156,"n.a.")</x:f>
        <x:v>12934.36432748538</x:v>
      </x:c>
      <x:c r="M156" s="35" t="n">
        <x:f>IF(AND(ISNUMBER(J156),J156&gt;0),L156/J156,"n.a.")</x:f>
        <x:v>0.5879256512493355</x:v>
      </x:c>
      <x:c r="N156" s="29" t="n">
        <x:f>IF(AND(ISNUMBER(D156),D156&gt;0),ROUNDUP(G156/(D156*E156),0)*E156,"n.a.")</x:f>
        <x:v>10</x:v>
      </x:c>
      <x:c r="O156" s="35" t="n">
        <x:f>IF(AND(ISNUMBER(H156),H156&gt;0,ISNUMBER(N156)),N156/H156,"n.a.")</x:f>
        <x:v>0.45454545454545453</x:v>
      </x:c>
      <x:c r="P156" s="33" t="n">
        <x:f>Batches!D40</x:f>
        <x:v>0</x:v>
      </x:c>
      <x:c r="Q156" s="37" t="str">
        <x:f>IF(AND(P156=0,ISNUMBER(J156),COUNT(Batches!G40:K40)=5),J156-G156-H156*Batches!G40-Batches!M40,"n.a.")</x:f>
        <x:v>n.a.</x:v>
      </x:c>
      <x:c r="R156" s="12" t="str">
        <x:f>IF(P156&gt;0,"Partial ingredient costs",IF(ISNUMBER(Q156),"Modeled operating profit","Other operating costs missing"))</x:f>
        <x:v>Other operating costs missing</x:v>
      </x:c>
      <x:c r="S156" s="12" t="str">
        <x:v>'Taste it'!D28,F28</x:v>
      </x:c>
    </x:row>
    <x:row r="157" ht="28" customHeight="1">
      <x:c r="A157" s="2" t="str">
        <x:v>Taste it</x:v>
      </x:c>
      <x:c r="B157" s="11" t="str">
        <x:v>Manual offer; confirm</x:v>
      </x:c>
      <x:c r="C157" s="13" t="n">
        <x:v>86</x:v>
      </x:c>
      <x:c r="D157" s="13" t="n">
        <x:v>100</x:v>
      </x:c>
      <x:c r="E157" s="13" t="n">
        <x:v>1</x:v>
      </x:c>
      <x:c r="F157" s="20" t="n">
        <x:f>Batches!L40</x:f>
        <x:v>16045</x:v>
      </x:c>
      <x:c r="G157" s="20" t="n">
        <x:f>Batches!C40</x:f>
        <x:v>9065.63567251462</x:v>
      </x:c>
      <x:c r="H157" s="28" t="n">
        <x:f>IF(AND(ISNUMBER(F157),ISNUMBER(C157),C157&gt;0,E157&gt;0),ROUNDDOWN(F157/C157/E157,0)*E157,"n.a.")</x:f>
        <x:v>186</x:v>
      </x:c>
      <x:c r="I157" s="32" t="n">
        <x:f>IF(AND(ISNUMBER(H157),ISNUMBER(Batches!F40),Batches!F40&gt;=0,Batches!F40&lt;=1),ROUNDDOWN(H157*Batches!F40/E157,0)*E157,"n.a.")</x:f>
        <x:v>186</x:v>
      </x:c>
      <x:c r="J157" s="11" t="n">
        <x:f>IF(AND(ISNUMBER(I157),ISNUMBER(D157)),I157*D157,"n.a.")</x:f>
        <x:v>18600</x:v>
      </x:c>
      <x:c r="K157" s="11" t="n">
        <x:f>IF(AND(ISNUMBER(I157),I157&gt;0),G157/I157,"n.a.")</x:f>
        <x:v>48.73997673394957</x:v>
      </x:c>
      <x:c r="L157" s="11" t="n">
        <x:f>IF(ISNUMBER(J157),J157-G157,"n.a.")</x:f>
        <x:v>9534.36432748538</x:v>
      </x:c>
      <x:c r="M157" s="34" t="n">
        <x:f>IF(AND(ISNUMBER(J157),J157&gt;0),L157/J157,"n.a.")</x:f>
        <x:v>0.5126002326605044</x:v>
      </x:c>
      <x:c r="N157" s="28" t="n">
        <x:f>IF(AND(ISNUMBER(D157),D157&gt;0),ROUNDUP(G157/(D157*E157),0)*E157,"n.a.")</x:f>
        <x:v>91</x:v>
      </x:c>
      <x:c r="O157" s="34" t="n">
        <x:f>IF(AND(ISNUMBER(H157),H157&gt;0,ISNUMBER(N157)),N157/H157,"n.a.")</x:f>
        <x:v>0.489247311827957</x:v>
      </x:c>
      <x:c r="P157" s="32" t="n">
        <x:f>Batches!D40</x:f>
        <x:v>0</x:v>
      </x:c>
      <x:c r="Q157" s="36" t="str">
        <x:f>IF(AND(P157=0,ISNUMBER(J157),COUNT(Batches!G40:K40)=5),J157-G157-H157*Batches!G40-Batches!M40,"n.a.")</x:f>
        <x:v>n.a.</x:v>
      </x:c>
      <x:c r="R157" s="11" t="str">
        <x:f>IF(P157&gt;0,"Partial ingredient costs",IF(ISNUMBER(Q157),"Modeled operating profit","Other operating costs missing"))</x:f>
        <x:v>Other operating costs missing</x:v>
      </x:c>
      <x:c r="S157" s="11" t="str">
        <x:v>'Taste it'!D29,F29</x:v>
      </x:c>
    </x:row>
    <x:row r="158" ht="28" customHeight="1">
      <x:c r="A158" s="10" t="str">
        <x:v>Samosa</x:v>
      </x:c>
      <x:c r="B158" s="12" t="str">
        <x:v>Main offer</x:v>
      </x:c>
      <x:c r="C158" s="14" t="n">
        <x:v>25</x:v>
      </x:c>
      <x:c r="D158" s="14" t="n">
        <x:v>50</x:v>
      </x:c>
      <x:c r="E158" s="14" t="n">
        <x:v>1</x:v>
      </x:c>
      <x:c r="F158" s="21" t="n">
        <x:f>Batches!L41</x:f>
        <x:v>5210</x:v>
      </x:c>
      <x:c r="G158" s="21" t="n">
        <x:f>Batches!C41</x:f>
        <x:v>6402.721111111111</x:v>
      </x:c>
      <x:c r="H158" s="29" t="n">
        <x:f>IF(AND(ISNUMBER(F158),ISNUMBER(C158),C158&gt;0,E158&gt;0),ROUNDDOWN(F158/C158/E158,0)*E158,"n.a.")</x:f>
        <x:v>208</x:v>
      </x:c>
      <x:c r="I158" s="33" t="n">
        <x:f>IF(AND(ISNUMBER(H158),ISNUMBER(Batches!F41),Batches!F41&gt;=0,Batches!F41&lt;=1),ROUNDDOWN(H158*Batches!F41/E158,0)*E158,"n.a.")</x:f>
        <x:v>208</x:v>
      </x:c>
      <x:c r="J158" s="12" t="n">
        <x:f>IF(AND(ISNUMBER(I158),ISNUMBER(D158)),I158*D158,"n.a.")</x:f>
        <x:v>10400</x:v>
      </x:c>
      <x:c r="K158" s="12" t="n">
        <x:f>IF(AND(ISNUMBER(I158),I158&gt;0),G158/I158,"n.a.")</x:f>
        <x:v>30.782313034188032</x:v>
      </x:c>
      <x:c r="L158" s="12" t="n">
        <x:f>IF(ISNUMBER(J158),J158-G158,"n.a.")</x:f>
        <x:v>3997.278888888889</x:v>
      </x:c>
      <x:c r="M158" s="35" t="n">
        <x:f>IF(AND(ISNUMBER(J158),J158&gt;0),L158/J158,"n.a.")</x:f>
        <x:v>0.38435373931623934</x:v>
      </x:c>
      <x:c r="N158" s="29" t="n">
        <x:f>IF(AND(ISNUMBER(D158),D158&gt;0),ROUNDUP(G158/(D158*E158),0)*E158,"n.a.")</x:f>
        <x:v>129</x:v>
      </x:c>
      <x:c r="O158" s="35" t="n">
        <x:f>IF(AND(ISNUMBER(H158),H158&gt;0,ISNUMBER(N158)),N158/H158,"n.a.")</x:f>
        <x:v>0.6201923076923077</x:v>
      </x:c>
      <x:c r="P158" s="33" t="n">
        <x:f>Batches!D41</x:f>
        <x:v>1</x:v>
      </x:c>
      <x:c r="Q158" s="37" t="str">
        <x:f>IF(AND(P158=0,ISNUMBER(J158),COUNT(Batches!G41:K41)=5),J158-G158-H158*Batches!G41-Batches!M41,"n.a.")</x:f>
        <x:v>n.a.</x:v>
      </x:c>
      <x:c r="R158" s="12" t="str">
        <x:f>IF(P158&gt;0,"Partial ingredient costs",IF(ISNUMBER(Q158),"Modeled operating profit","Other operating costs missing"))</x:f>
        <x:v>Partial ingredient costs</x:v>
      </x:c>
      <x:c r="S158" s="12" t="str">
        <x:v>'Samosa'!B15:C15</x:v>
      </x:c>
    </x:row>
    <x:row r="159" ht="28" customHeight="1">
      <x:c r="A159" s="2" t="str">
        <x:v>Samosa</x:v>
      </x:c>
      <x:c r="B159" s="11" t="str">
        <x:v>Main offer</x:v>
      </x:c>
      <x:c r="C159" s="13" t="n">
        <x:v>140</x:v>
      </x:c>
      <x:c r="D159" s="13" t="n">
        <x:v>200</x:v>
      </x:c>
      <x:c r="E159" s="13" t="n">
        <x:v>1</x:v>
      </x:c>
      <x:c r="F159" s="20" t="n">
        <x:f>Batches!L41</x:f>
        <x:v>5210</x:v>
      </x:c>
      <x:c r="G159" s="20" t="n">
        <x:f>Batches!C41</x:f>
        <x:v>6402.721111111111</x:v>
      </x:c>
      <x:c r="H159" s="28" t="n">
        <x:f>IF(AND(ISNUMBER(F159),ISNUMBER(C159),C159&gt;0,E159&gt;0),ROUNDDOWN(F159/C159/E159,0)*E159,"n.a.")</x:f>
        <x:v>37</x:v>
      </x:c>
      <x:c r="I159" s="32" t="n">
        <x:f>IF(AND(ISNUMBER(H159),ISNUMBER(Batches!F41),Batches!F41&gt;=0,Batches!F41&lt;=1),ROUNDDOWN(H159*Batches!F41/E159,0)*E159,"n.a.")</x:f>
        <x:v>37</x:v>
      </x:c>
      <x:c r="J159" s="11" t="n">
        <x:f>IF(AND(ISNUMBER(I159),ISNUMBER(D159)),I159*D159,"n.a.")</x:f>
        <x:v>7400</x:v>
      </x:c>
      <x:c r="K159" s="11" t="n">
        <x:f>IF(AND(ISNUMBER(I159),I159&gt;0),G159/I159,"n.a.")</x:f>
        <x:v>173.0465165165165</x:v>
      </x:c>
      <x:c r="L159" s="11" t="n">
        <x:f>IF(ISNUMBER(J159),J159-G159,"n.a.")</x:f>
        <x:v>997.278888888889</x:v>
      </x:c>
      <x:c r="M159" s="34" t="n">
        <x:f>IF(AND(ISNUMBER(J159),J159&gt;0),L159/J159,"n.a.")</x:f>
        <x:v>0.13476741741741743</x:v>
      </x:c>
      <x:c r="N159" s="28" t="n">
        <x:f>IF(AND(ISNUMBER(D159),D159&gt;0),ROUNDUP(G159/(D159*E159),0)*E159,"n.a.")</x:f>
        <x:v>33</x:v>
      </x:c>
      <x:c r="O159" s="34" t="n">
        <x:f>IF(AND(ISNUMBER(H159),H159&gt;0,ISNUMBER(N159)),N159/H159,"n.a.")</x:f>
        <x:v>0.8918918918918919</x:v>
      </x:c>
      <x:c r="P159" s="32" t="n">
        <x:f>Batches!D41</x:f>
        <x:v>1</x:v>
      </x:c>
      <x:c r="Q159" s="36" t="str">
        <x:f>IF(AND(P159=0,ISNUMBER(J159),COUNT(Batches!G41:K41)=5),J159-G159-H159*Batches!G41-Batches!M41,"n.a.")</x:f>
        <x:v>n.a.</x:v>
      </x:c>
      <x:c r="R159" s="11" t="str">
        <x:f>IF(P159&gt;0,"Partial ingredient costs",IF(ISNUMBER(Q159),"Modeled operating profit","Other operating costs missing"))</x:f>
        <x:v>Partial ingredient costs</x:v>
      </x:c>
      <x:c r="S159" s="11" t="str">
        <x:v>'Samosa'!B16:C16</x:v>
      </x:c>
    </x:row>
    <x:row r="160" ht="28" customHeight="1">
      <x:c r="A160" s="10" t="str">
        <x:v>Samosa</x:v>
      </x:c>
      <x:c r="B160" s="12" t="str">
        <x:v>Main offer</x:v>
      </x:c>
      <x:c r="C160" s="14" t="n">
        <x:v>700</x:v>
      </x:c>
      <x:c r="D160" s="14" t="n">
        <x:v>1000</x:v>
      </x:c>
      <x:c r="E160" s="14" t="n">
        <x:v>1</x:v>
      </x:c>
      <x:c r="F160" s="21" t="n">
        <x:f>Batches!L41</x:f>
        <x:v>5210</x:v>
      </x:c>
      <x:c r="G160" s="21" t="n">
        <x:f>Batches!C41</x:f>
        <x:v>6402.721111111111</x:v>
      </x:c>
      <x:c r="H160" s="29" t="n">
        <x:f>IF(AND(ISNUMBER(F160),ISNUMBER(C160),C160&gt;0,E160&gt;0),ROUNDDOWN(F160/C160/E160,0)*E160,"n.a.")</x:f>
        <x:v>7</x:v>
      </x:c>
      <x:c r="I160" s="33" t="n">
        <x:f>IF(AND(ISNUMBER(H160),ISNUMBER(Batches!F41),Batches!F41&gt;=0,Batches!F41&lt;=1),ROUNDDOWN(H160*Batches!F41/E160,0)*E160,"n.a.")</x:f>
        <x:v>7</x:v>
      </x:c>
      <x:c r="J160" s="12" t="n">
        <x:f>IF(AND(ISNUMBER(I160),ISNUMBER(D160)),I160*D160,"n.a.")</x:f>
        <x:v>7000</x:v>
      </x:c>
      <x:c r="K160" s="12" t="n">
        <x:f>IF(AND(ISNUMBER(I160),I160&gt;0),G160/I160,"n.a.")</x:f>
        <x:v>914.6744444444445</x:v>
      </x:c>
      <x:c r="L160" s="12" t="n">
        <x:f>IF(ISNUMBER(J160),J160-G160,"n.a.")</x:f>
        <x:v>597.278888888889</x:v>
      </x:c>
      <x:c r="M160" s="35" t="n">
        <x:f>IF(AND(ISNUMBER(J160),J160&gt;0),L160/J160,"n.a.")</x:f>
        <x:v>0.08532555555555557</x:v>
      </x:c>
      <x:c r="N160" s="29" t="n">
        <x:f>IF(AND(ISNUMBER(D160),D160&gt;0),ROUNDUP(G160/(D160*E160),0)*E160,"n.a.")</x:f>
        <x:v>7</x:v>
      </x:c>
      <x:c r="O160" s="35" t="n">
        <x:f>IF(AND(ISNUMBER(H160),H160&gt;0,ISNUMBER(N160)),N160/H160,"n.a.")</x:f>
        <x:v>1</x:v>
      </x:c>
      <x:c r="P160" s="33" t="n">
        <x:f>Batches!D41</x:f>
        <x:v>1</x:v>
      </x:c>
      <x:c r="Q160" s="37" t="str">
        <x:f>IF(AND(P160=0,ISNUMBER(J160),COUNT(Batches!G41:K41)=5),J160-G160-H160*Batches!G41-Batches!M41,"n.a.")</x:f>
        <x:v>n.a.</x:v>
      </x:c>
      <x:c r="R160" s="12" t="str">
        <x:f>IF(P160&gt;0,"Partial ingredient costs",IF(ISNUMBER(Q160),"Modeled operating profit","Other operating costs missing"))</x:f>
        <x:v>Partial ingredient costs</x:v>
      </x:c>
      <x:c r="S160" s="12" t="str">
        <x:v>'Samosa'!B17:C17</x:v>
      </x:c>
    </x:row>
    <x:row r="161" ht="28" customHeight="1">
      <x:c r="A161" s="2" t="str">
        <x:v>Samosa</x:v>
      </x:c>
      <x:c r="B161" s="11" t="str">
        <x:v>Manual offer; confirm</x:v>
      </x:c>
      <x:c r="C161" s="13" t="n">
        <x:v>700</x:v>
      </x:c>
      <x:c r="D161" s="13" t="n">
        <x:v>1000</x:v>
      </x:c>
      <x:c r="E161" s="13" t="n">
        <x:v>1</x:v>
      </x:c>
      <x:c r="F161" s="20" t="n">
        <x:f>Batches!L41</x:f>
        <x:v>5210</x:v>
      </x:c>
      <x:c r="G161" s="20" t="n">
        <x:f>Batches!C41</x:f>
        <x:v>6402.721111111111</x:v>
      </x:c>
      <x:c r="H161" s="28" t="n">
        <x:f>IF(AND(ISNUMBER(F161),ISNUMBER(C161),C161&gt;0,E161&gt;0),ROUNDDOWN(F161/C161/E161,0)*E161,"n.a.")</x:f>
        <x:v>7</x:v>
      </x:c>
      <x:c r="I161" s="32" t="n">
        <x:f>IF(AND(ISNUMBER(H161),ISNUMBER(Batches!F41),Batches!F41&gt;=0,Batches!F41&lt;=1),ROUNDDOWN(H161*Batches!F41/E161,0)*E161,"n.a.")</x:f>
        <x:v>7</x:v>
      </x:c>
      <x:c r="J161" s="11" t="n">
        <x:f>IF(AND(ISNUMBER(I161),ISNUMBER(D161)),I161*D161,"n.a.")</x:f>
        <x:v>7000</x:v>
      </x:c>
      <x:c r="K161" s="11" t="n">
        <x:f>IF(AND(ISNUMBER(I161),I161&gt;0),G161/I161,"n.a.")</x:f>
        <x:v>914.6744444444445</x:v>
      </x:c>
      <x:c r="L161" s="11" t="n">
        <x:f>IF(ISNUMBER(J161),J161-G161,"n.a.")</x:f>
        <x:v>597.278888888889</x:v>
      </x:c>
      <x:c r="M161" s="34" t="n">
        <x:f>IF(AND(ISNUMBER(J161),J161&gt;0),L161/J161,"n.a.")</x:f>
        <x:v>0.08532555555555557</x:v>
      </x:c>
      <x:c r="N161" s="28" t="n">
        <x:f>IF(AND(ISNUMBER(D161),D161&gt;0),ROUNDUP(G161/(D161*E161),0)*E161,"n.a.")</x:f>
        <x:v>7</x:v>
      </x:c>
      <x:c r="O161" s="34" t="n">
        <x:f>IF(AND(ISNUMBER(H161),H161&gt;0,ISNUMBER(N161)),N161/H161,"n.a.")</x:f>
        <x:v>1</x:v>
      </x:c>
      <x:c r="P161" s="32" t="n">
        <x:f>Batches!D41</x:f>
        <x:v>1</x:v>
      </x:c>
      <x:c r="Q161" s="36" t="str">
        <x:f>IF(AND(P161=0,ISNUMBER(J161),COUNT(Batches!G41:K41)=5),J161-G161-H161*Batches!G41-Batches!M41,"n.a.")</x:f>
        <x:v>n.a.</x:v>
      </x:c>
      <x:c r="R161" s="11" t="str">
        <x:f>IF(P161&gt;0,"Partial ingredient costs",IF(ISNUMBER(Q161),"Modeled operating profit","Other operating costs missing"))</x:f>
        <x:v>Partial ingredient costs</x:v>
      </x:c>
      <x:c r="S161" s="11" t="str">
        <x:v>'Samosa'!D22,F22</x:v>
      </x:c>
    </x:row>
    <x:row r="162" ht="28" customHeight="1">
      <x:c r="A162" s="10" t="str">
        <x:v>Samosa</x:v>
      </x:c>
      <x:c r="B162" s="12" t="str">
        <x:v>Manual offer; confirm</x:v>
      </x:c>
      <x:c r="C162" s="14" t="n">
        <x:v>86</x:v>
      </x:c>
      <x:c r="D162" s="14" t="n">
        <x:v>100</x:v>
      </x:c>
      <x:c r="E162" s="14" t="n">
        <x:v>1</x:v>
      </x:c>
      <x:c r="F162" s="21" t="n">
        <x:f>Batches!L41</x:f>
        <x:v>5210</x:v>
      </x:c>
      <x:c r="G162" s="21" t="n">
        <x:f>Batches!C41</x:f>
        <x:v>6402.721111111111</x:v>
      </x:c>
      <x:c r="H162" s="29" t="n">
        <x:f>IF(AND(ISNUMBER(F162),ISNUMBER(C162),C162&gt;0,E162&gt;0),ROUNDDOWN(F162/C162/E162,0)*E162,"n.a.")</x:f>
        <x:v>60</x:v>
      </x:c>
      <x:c r="I162" s="33" t="n">
        <x:f>IF(AND(ISNUMBER(H162),ISNUMBER(Batches!F41),Batches!F41&gt;=0,Batches!F41&lt;=1),ROUNDDOWN(H162*Batches!F41/E162,0)*E162,"n.a.")</x:f>
        <x:v>60</x:v>
      </x:c>
      <x:c r="J162" s="12" t="n">
        <x:f>IF(AND(ISNUMBER(I162),ISNUMBER(D162)),I162*D162,"n.a.")</x:f>
        <x:v>6000</x:v>
      </x:c>
      <x:c r="K162" s="12" t="n">
        <x:f>IF(AND(ISNUMBER(I162),I162&gt;0),G162/I162,"n.a.")</x:f>
        <x:v>106.71201851851852</x:v>
      </x:c>
      <x:c r="L162" s="12" t="n">
        <x:f>IF(ISNUMBER(J162),J162-G162,"n.a.")</x:f>
        <x:v>-402.721111111111</x:v>
      </x:c>
      <x:c r="M162" s="35" t="n">
        <x:f>IF(AND(ISNUMBER(J162),J162&gt;0),L162/J162,"n.a.")</x:f>
        <x:v>-0.06712018518518516</x:v>
      </x:c>
      <x:c r="N162" s="29" t="n">
        <x:f>IF(AND(ISNUMBER(D162),D162&gt;0),ROUNDUP(G162/(D162*E162),0)*E162,"n.a.")</x:f>
        <x:v>65</x:v>
      </x:c>
      <x:c r="O162" s="35" t="n">
        <x:f>IF(AND(ISNUMBER(H162),H162&gt;0,ISNUMBER(N162)),N162/H162,"n.a.")</x:f>
        <x:v>1.0833333333333333</x:v>
      </x:c>
      <x:c r="P162" s="33" t="n">
        <x:f>Batches!D41</x:f>
        <x:v>1</x:v>
      </x:c>
      <x:c r="Q162" s="37" t="str">
        <x:f>IF(AND(P162=0,ISNUMBER(J162),COUNT(Batches!G41:K41)=5),J162-G162-H162*Batches!G41-Batches!M41,"n.a.")</x:f>
        <x:v>n.a.</x:v>
      </x:c>
      <x:c r="R162" s="12" t="str">
        <x:f>IF(P162&gt;0,"Partial ingredient costs",IF(ISNUMBER(Q162),"Modeled operating profit","Other operating costs missing"))</x:f>
        <x:v>Partial ingredient costs</x:v>
      </x:c>
      <x:c r="S162" s="12" t="str">
        <x:v>'Samosa'!D23,F23</x:v>
      </x:c>
    </x:row>
    <x:row r="163" ht="28" customHeight="1">
      <x:c r="A163" s="2" t="str">
        <x:v>Samosa</x:v>
      </x:c>
      <x:c r="B163" s="11" t="str">
        <x:v>12-piece wholesale pack</x:v>
      </x:c>
      <x:c r="C163" s="13" t="n">
        <x:v>25</x:v>
      </x:c>
      <x:c r="D163" s="13" t="n">
        <x:v>41.666666666666664</x:v>
      </x:c>
      <x:c r="E163" s="13" t="n">
        <x:v>12</x:v>
      </x:c>
      <x:c r="F163" s="20" t="n">
        <x:f>Batches!L41</x:f>
        <x:v>5210</x:v>
      </x:c>
      <x:c r="G163" s="20" t="n">
        <x:f>Batches!C41</x:f>
        <x:v>6402.721111111111</x:v>
      </x:c>
      <x:c r="H163" s="28" t="n">
        <x:f>IF(AND(ISNUMBER(F163),ISNUMBER(C163),C163&gt;0,E163&gt;0),ROUNDDOWN(F163/C163/E163,0)*E163,"n.a.")</x:f>
        <x:v>204</x:v>
      </x:c>
      <x:c r="I163" s="32" t="n">
        <x:f>IF(AND(ISNUMBER(H163),ISNUMBER(Batches!F41),Batches!F41&gt;=0,Batches!F41&lt;=1),ROUNDDOWN(H163*Batches!F41/E163,0)*E163,"n.a.")</x:f>
        <x:v>204</x:v>
      </x:c>
      <x:c r="J163" s="11" t="n">
        <x:f>IF(AND(ISNUMBER(I163),ISNUMBER(D163)),I163*D163,"n.a.")</x:f>
        <x:v>8500</x:v>
      </x:c>
      <x:c r="K163" s="11" t="n">
        <x:f>IF(AND(ISNUMBER(I163),I163&gt;0),G163/I163,"n.a.")</x:f>
        <x:v>31.38588779956427</x:v>
      </x:c>
      <x:c r="L163" s="11" t="n">
        <x:f>IF(ISNUMBER(J163),J163-G163,"n.a.")</x:f>
        <x:v>2097.278888888889</x:v>
      </x:c>
      <x:c r="M163" s="34" t="n">
        <x:f>IF(AND(ISNUMBER(J163),J163&gt;0),L163/J163,"n.a.")</x:f>
        <x:v>0.24673869281045754</x:v>
      </x:c>
      <x:c r="N163" s="28" t="n">
        <x:f>IF(AND(ISNUMBER(D163),D163&gt;0),ROUNDUP(G163/(D163*E163),0)*E163,"n.a.")</x:f>
        <x:v>156</x:v>
      </x:c>
      <x:c r="O163" s="34" t="n">
        <x:f>IF(AND(ISNUMBER(H163),H163&gt;0,ISNUMBER(N163)),N163/H163,"n.a.")</x:f>
        <x:v>0.7647058823529411</x:v>
      </x:c>
      <x:c r="P163" s="32" t="n">
        <x:f>Batches!D41</x:f>
        <x:v>1</x:v>
      </x:c>
      <x:c r="Q163" s="36" t="str">
        <x:f>IF(AND(P163=0,ISNUMBER(J163),COUNT(Batches!G41:K41)=5),J163-G163-H163*Batches!G41-Batches!M41,"n.a.")</x:f>
        <x:v>n.a.</x:v>
      </x:c>
      <x:c r="R163" s="11" t="str">
        <x:f>IF(P163&gt;0,"Partial ingredient costs",IF(ISNUMBER(Q163),"Modeled operating profit","Other operating costs missing"))</x:f>
        <x:v>Partial ingredient costs</x:v>
      </x:c>
      <x:c r="S163" s="11" t="str">
        <x:v>'Samosa'!J15/K15</x:v>
      </x:c>
    </x:row>
    <x:row r="164" ht="28" customHeight="1">
      <x:c r="A164" s="10" t="str">
        <x:v>Ice Cream</x:v>
      </x:c>
      <x:c r="B164" s="12" t="str">
        <x:v>Main offer</x:v>
      </x:c>
      <x:c r="C164" s="14" t="n">
        <x:v>70</x:v>
      </x:c>
      <x:c r="D164" s="14" t="n">
        <x:v>100</x:v>
      </x:c>
      <x:c r="E164" s="14" t="n">
        <x:v>1</x:v>
      </x:c>
      <x:c r="F164" s="21" t="n">
        <x:f>Batches!L42</x:f>
        <x:v>15500</x:v>
      </x:c>
      <x:c r="G164" s="21" t="n">
        <x:f>Batches!C42</x:f>
        <x:v>9361.2</x:v>
      </x:c>
      <x:c r="H164" s="29" t="n">
        <x:f>IF(AND(ISNUMBER(F164),ISNUMBER(C164),C164&gt;0,E164&gt;0),ROUNDDOWN(F164/C164/E164,0)*E164,"n.a.")</x:f>
        <x:v>221</x:v>
      </x:c>
      <x:c r="I164" s="33" t="n">
        <x:f>IF(AND(ISNUMBER(H164),ISNUMBER(Batches!F42),Batches!F42&gt;=0,Batches!F42&lt;=1),ROUNDDOWN(H164*Batches!F42/E164,0)*E164,"n.a.")</x:f>
        <x:v>221</x:v>
      </x:c>
      <x:c r="J164" s="12" t="n">
        <x:f>IF(AND(ISNUMBER(I164),ISNUMBER(D164)),I164*D164,"n.a.")</x:f>
        <x:v>22100</x:v>
      </x:c>
      <x:c r="K164" s="12" t="n">
        <x:f>IF(AND(ISNUMBER(I164),I164&gt;0),G164/I164,"n.a.")</x:f>
        <x:v>42.35837104072399</x:v>
      </x:c>
      <x:c r="L164" s="12" t="n">
        <x:f>IF(ISNUMBER(J164),J164-G164,"n.a.")</x:f>
        <x:v>12738.8</x:v>
      </x:c>
      <x:c r="M164" s="35" t="n">
        <x:f>IF(AND(ISNUMBER(J164),J164&gt;0),L164/J164,"n.a.")</x:f>
        <x:v>0.5764162895927601</x:v>
      </x:c>
      <x:c r="N164" s="29" t="n">
        <x:f>IF(AND(ISNUMBER(D164),D164&gt;0),ROUNDUP(G164/(D164*E164),0)*E164,"n.a.")</x:f>
        <x:v>94</x:v>
      </x:c>
      <x:c r="O164" s="35" t="n">
        <x:f>IF(AND(ISNUMBER(H164),H164&gt;0,ISNUMBER(N164)),N164/H164,"n.a.")</x:f>
        <x:v>0.4253393665158371</x:v>
      </x:c>
      <x:c r="P164" s="33" t="n">
        <x:f>Batches!D42</x:f>
        <x:v>0</x:v>
      </x:c>
      <x:c r="Q164" s="37" t="str">
        <x:f>IF(AND(P164=0,ISNUMBER(J164),COUNT(Batches!G42:K42)=5),J164-G164-H164*Batches!G42-Batches!M42,"n.a.")</x:f>
        <x:v>n.a.</x:v>
      </x:c>
      <x:c r="R164" s="12" t="str">
        <x:f>IF(P164&gt;0,"Partial ingredient costs",IF(ISNUMBER(Q164),"Modeled operating profit","Other operating costs missing"))</x:f>
        <x:v>Other operating costs missing</x:v>
      </x:c>
      <x:c r="S164" s="12" t="str">
        <x:v>'Ice Cream'!B14:C14</x:v>
      </x:c>
    </x:row>
    <x:row r="165" ht="28" customHeight="1">
      <x:c r="A165" s="2" t="str">
        <x:v>Ice Cream</x:v>
      </x:c>
      <x:c r="B165" s="11" t="str">
        <x:v>Main offer</x:v>
      </x:c>
      <x:c r="C165" s="13" t="n">
        <x:v>45</x:v>
      </x:c>
      <x:c r="D165" s="13" t="n">
        <x:v>50</x:v>
      </x:c>
      <x:c r="E165" s="13" t="n">
        <x:v>1</x:v>
      </x:c>
      <x:c r="F165" s="20" t="n">
        <x:f>Batches!L42</x:f>
        <x:v>15500</x:v>
      </x:c>
      <x:c r="G165" s="20" t="n">
        <x:f>Batches!C42</x:f>
        <x:v>9361.2</x:v>
      </x:c>
      <x:c r="H165" s="28" t="n">
        <x:f>IF(AND(ISNUMBER(F165),ISNUMBER(C165),C165&gt;0,E165&gt;0),ROUNDDOWN(F165/C165/E165,0)*E165,"n.a.")</x:f>
        <x:v>344</x:v>
      </x:c>
      <x:c r="I165" s="32" t="n">
        <x:f>IF(AND(ISNUMBER(H165),ISNUMBER(Batches!F42),Batches!F42&gt;=0,Batches!F42&lt;=1),ROUNDDOWN(H165*Batches!F42/E165,0)*E165,"n.a.")</x:f>
        <x:v>344</x:v>
      </x:c>
      <x:c r="J165" s="11" t="n">
        <x:f>IF(AND(ISNUMBER(I165),ISNUMBER(D165)),I165*D165,"n.a.")</x:f>
        <x:v>17200</x:v>
      </x:c>
      <x:c r="K165" s="11" t="n">
        <x:f>IF(AND(ISNUMBER(I165),I165&gt;0),G165/I165,"n.a.")</x:f>
        <x:v>27.21279069767442</x:v>
      </x:c>
      <x:c r="L165" s="11" t="n">
        <x:f>IF(ISNUMBER(J165),J165-G165,"n.a.")</x:f>
        <x:v>7838.799999999999</x:v>
      </x:c>
      <x:c r="M165" s="34" t="n">
        <x:f>IF(AND(ISNUMBER(J165),J165&gt;0),L165/J165,"n.a.")</x:f>
        <x:v>0.45574418604651157</x:v>
      </x:c>
      <x:c r="N165" s="28" t="n">
        <x:f>IF(AND(ISNUMBER(D165),D165&gt;0),ROUNDUP(G165/(D165*E165),0)*E165,"n.a.")</x:f>
        <x:v>188</x:v>
      </x:c>
      <x:c r="O165" s="34" t="n">
        <x:f>IF(AND(ISNUMBER(H165),H165&gt;0,ISNUMBER(N165)),N165/H165,"n.a.")</x:f>
        <x:v>0.5465116279069767</x:v>
      </x:c>
      <x:c r="P165" s="32" t="n">
        <x:f>Batches!D42</x:f>
        <x:v>0</x:v>
      </x:c>
      <x:c r="Q165" s="36" t="str">
        <x:f>IF(AND(P165=0,ISNUMBER(J165),COUNT(Batches!G42:K42)=5),J165-G165-H165*Batches!G42-Batches!M42,"n.a.")</x:f>
        <x:v>n.a.</x:v>
      </x:c>
      <x:c r="R165" s="11" t="str">
        <x:f>IF(P165&gt;0,"Partial ingredient costs",IF(ISNUMBER(Q165),"Modeled operating profit","Other operating costs missing"))</x:f>
        <x:v>Other operating costs missing</x:v>
      </x:c>
      <x:c r="S165" s="11" t="str">
        <x:v>'Ice Cream'!B15:C15</x:v>
      </x:c>
    </x:row>
    <x:row r="166" ht="28" customHeight="1">
      <x:c r="A166" s="10" t="str">
        <x:v>Melto1</x:v>
      </x:c>
      <x:c r="B166" s="12" t="str">
        <x:v>Main offer</x:v>
      </x:c>
      <x:c r="C166" s="14" t="n">
        <x:v>35</x:v>
      </x:c>
      <x:c r="D166" s="14" t="n">
        <x:v>50</x:v>
      </x:c>
      <x:c r="E166" s="14" t="n">
        <x:v>1</x:v>
      </x:c>
      <x:c r="F166" s="21" t="n">
        <x:f>Batches!L43</x:f>
        <x:v>7540</x:v>
      </x:c>
      <x:c r="G166" s="21" t="n">
        <x:f>Batches!C43</x:f>
        <x:v>5682.315789473684</x:v>
      </x:c>
      <x:c r="H166" s="29" t="n">
        <x:f>IF(AND(ISNUMBER(F166),ISNUMBER(C166),C166&gt;0,E166&gt;0),ROUNDDOWN(F166/C166/E166,0)*E166,"n.a.")</x:f>
        <x:v>215</x:v>
      </x:c>
      <x:c r="I166" s="33" t="n">
        <x:f>IF(AND(ISNUMBER(H166),ISNUMBER(Batches!F43),Batches!F43&gt;=0,Batches!F43&lt;=1),ROUNDDOWN(H166*Batches!F43/E166,0)*E166,"n.a.")</x:f>
        <x:v>215</x:v>
      </x:c>
      <x:c r="J166" s="12" t="n">
        <x:f>IF(AND(ISNUMBER(I166),ISNUMBER(D166)),I166*D166,"n.a.")</x:f>
        <x:v>10750</x:v>
      </x:c>
      <x:c r="K166" s="12" t="n">
        <x:f>IF(AND(ISNUMBER(I166),I166&gt;0),G166/I166,"n.a.")</x:f>
        <x:v>26.42937576499388</x:v>
      </x:c>
      <x:c r="L166" s="12" t="n">
        <x:f>IF(ISNUMBER(J166),J166-G166,"n.a.")</x:f>
        <x:v>5067.684210526316</x:v>
      </x:c>
      <x:c r="M166" s="35" t="n">
        <x:f>IF(AND(ISNUMBER(J166),J166&gt;0),L166/J166,"n.a.")</x:f>
        <x:v>0.4714124847001224</x:v>
      </x:c>
      <x:c r="N166" s="29" t="n">
        <x:f>IF(AND(ISNUMBER(D166),D166&gt;0),ROUNDUP(G166/(D166*E166),0)*E166,"n.a.")</x:f>
        <x:v>114</x:v>
      </x:c>
      <x:c r="O166" s="35" t="n">
        <x:f>IF(AND(ISNUMBER(H166),H166&gt;0,ISNUMBER(N166)),N166/H166,"n.a.")</x:f>
        <x:v>0.5302325581395348</x:v>
      </x:c>
      <x:c r="P166" s="33" t="n">
        <x:f>Batches!D43</x:f>
        <x:v>0</x:v>
      </x:c>
      <x:c r="Q166" s="37" t="str">
        <x:f>IF(AND(P166=0,ISNUMBER(J166),COUNT(Batches!G43:K43)=5),J166-G166-H166*Batches!G43-Batches!M43,"n.a.")</x:f>
        <x:v>n.a.</x:v>
      </x:c>
      <x:c r="R166" s="12" t="str">
        <x:f>IF(P166&gt;0,"Partial ingredient costs",IF(ISNUMBER(Q166),"Modeled operating profit","Other operating costs missing"))</x:f>
        <x:v>Other operating costs missing</x:v>
      </x:c>
      <x:c r="S166" s="12" t="str">
        <x:v>'Melto1'!B16:C16</x:v>
      </x:c>
    </x:row>
    <x:row r="167" ht="28" customHeight="1">
      <x:c r="A167" s="2" t="str">
        <x:v>Melto1</x:v>
      </x:c>
      <x:c r="B167" s="11" t="str">
        <x:v>Main offer</x:v>
      </x:c>
      <x:c r="C167" s="13" t="n">
        <x:v>45</x:v>
      </x:c>
      <x:c r="D167" s="13" t="n">
        <x:v>50</x:v>
      </x:c>
      <x:c r="E167" s="13" t="n">
        <x:v>1</x:v>
      </x:c>
      <x:c r="F167" s="20" t="n">
        <x:f>Batches!L43</x:f>
        <x:v>7540</x:v>
      </x:c>
      <x:c r="G167" s="20" t="n">
        <x:f>Batches!C43</x:f>
        <x:v>5682.315789473684</x:v>
      </x:c>
      <x:c r="H167" s="28" t="n">
        <x:f>IF(AND(ISNUMBER(F167),ISNUMBER(C167),C167&gt;0,E167&gt;0),ROUNDDOWN(F167/C167/E167,0)*E167,"n.a.")</x:f>
        <x:v>167</x:v>
      </x:c>
      <x:c r="I167" s="32" t="n">
        <x:f>IF(AND(ISNUMBER(H167),ISNUMBER(Batches!F43),Batches!F43&gt;=0,Batches!F43&lt;=1),ROUNDDOWN(H167*Batches!F43/E167,0)*E167,"n.a.")</x:f>
        <x:v>167</x:v>
      </x:c>
      <x:c r="J167" s="11" t="n">
        <x:f>IF(AND(ISNUMBER(I167),ISNUMBER(D167)),I167*D167,"n.a.")</x:f>
        <x:v>8350</x:v>
      </x:c>
      <x:c r="K167" s="11" t="n">
        <x:f>IF(AND(ISNUMBER(I167),I167&gt;0),G167/I167,"n.a.")</x:f>
        <x:v>34.025843050740626</x:v>
      </x:c>
      <x:c r="L167" s="11" t="n">
        <x:f>IF(ISNUMBER(J167),J167-G167,"n.a.")</x:f>
        <x:v>2667.684210526316</x:v>
      </x:c>
      <x:c r="M167" s="34" t="n">
        <x:f>IF(AND(ISNUMBER(J167),J167&gt;0),L167/J167,"n.a.")</x:f>
        <x:v>0.31948313898518754</x:v>
      </x:c>
      <x:c r="N167" s="28" t="n">
        <x:f>IF(AND(ISNUMBER(D167),D167&gt;0),ROUNDUP(G167/(D167*E167),0)*E167,"n.a.")</x:f>
        <x:v>114</x:v>
      </x:c>
      <x:c r="O167" s="34" t="n">
        <x:f>IF(AND(ISNUMBER(H167),H167&gt;0,ISNUMBER(N167)),N167/H167,"n.a.")</x:f>
        <x:v>0.6826347305389222</x:v>
      </x:c>
      <x:c r="P167" s="32" t="n">
        <x:f>Batches!D43</x:f>
        <x:v>0</x:v>
      </x:c>
      <x:c r="Q167" s="36" t="str">
        <x:f>IF(AND(P167=0,ISNUMBER(J167),COUNT(Batches!G43:K43)=5),J167-G167-H167*Batches!G43-Batches!M43,"n.a.")</x:f>
        <x:v>n.a.</x:v>
      </x:c>
      <x:c r="R167" s="11" t="str">
        <x:f>IF(P167&gt;0,"Partial ingredient costs",IF(ISNUMBER(Q167),"Modeled operating profit","Other operating costs missing"))</x:f>
        <x:v>Other operating costs missing</x:v>
      </x:c>
      <x:c r="S167" s="11" t="str">
        <x:v>'Melto1'!B17:C17</x:v>
      </x:c>
    </x:row>
    <x:row r="168" ht="28" customHeight="1">
      <x:c r="A168" s="10" t="str">
        <x:v>Croissant</x:v>
      </x:c>
      <x:c r="B168" s="12" t="str">
        <x:v>Main offer</x:v>
      </x:c>
      <x:c r="C168" s="14" t="n">
        <x:v>45</x:v>
      </x:c>
      <x:c r="D168" s="14" t="n">
        <x:v>100</x:v>
      </x:c>
      <x:c r="E168" s="14" t="n">
        <x:v>1</x:v>
      </x:c>
      <x:c r="F168" s="21" t="n">
        <x:f>Batches!L44</x:f>
        <x:v>6590</x:v>
      </x:c>
      <x:c r="G168" s="21" t="n">
        <x:f>Batches!C44</x:f>
        <x:v>3070.413450292397</x:v>
      </x:c>
      <x:c r="H168" s="29" t="n">
        <x:f>IF(AND(ISNUMBER(F168),ISNUMBER(C168),C168&gt;0,E168&gt;0),ROUNDDOWN(F168/C168/E168,0)*E168,"n.a.")</x:f>
        <x:v>146</x:v>
      </x:c>
      <x:c r="I168" s="33" t="n">
        <x:f>IF(AND(ISNUMBER(H168),ISNUMBER(Batches!F44),Batches!F44&gt;=0,Batches!F44&lt;=1),ROUNDDOWN(H168*Batches!F44/E168,0)*E168,"n.a.")</x:f>
        <x:v>146</x:v>
      </x:c>
      <x:c r="J168" s="12" t="n">
        <x:f>IF(AND(ISNUMBER(I168),ISNUMBER(D168)),I168*D168,"n.a.")</x:f>
        <x:v>14600</x:v>
      </x:c>
      <x:c r="K168" s="12" t="n">
        <x:f>IF(AND(ISNUMBER(I168),I168&gt;0),G168/I168,"n.a.")</x:f>
        <x:v>21.030229111591762</x:v>
      </x:c>
      <x:c r="L168" s="12" t="n">
        <x:f>IF(ISNUMBER(J168),J168-G168,"n.a.")</x:f>
        <x:v>11529.586549707603</x:v>
      </x:c>
      <x:c r="M168" s="35" t="n">
        <x:f>IF(AND(ISNUMBER(J168),J168&gt;0),L168/J168,"n.a.")</x:f>
        <x:v>0.7896977088840824</x:v>
      </x:c>
      <x:c r="N168" s="29" t="n">
        <x:f>IF(AND(ISNUMBER(D168),D168&gt;0),ROUNDUP(G168/(D168*E168),0)*E168,"n.a.")</x:f>
        <x:v>31</x:v>
      </x:c>
      <x:c r="O168" s="35" t="n">
        <x:f>IF(AND(ISNUMBER(H168),H168&gt;0,ISNUMBER(N168)),N168/H168,"n.a.")</x:f>
        <x:v>0.21232876712328766</x:v>
      </x:c>
      <x:c r="P168" s="33" t="n">
        <x:f>Batches!D44</x:f>
        <x:v>0</x:v>
      </x:c>
      <x:c r="Q168" s="37" t="str">
        <x:f>IF(AND(P168=0,ISNUMBER(J168),COUNT(Batches!G44:K44)=5),J168-G168-H168*Batches!G44-Batches!M44,"n.a.")</x:f>
        <x:v>n.a.</x:v>
      </x:c>
      <x:c r="R168" s="12" t="str">
        <x:f>IF(P168&gt;0,"Partial ingredient costs",IF(ISNUMBER(Q168),"Modeled operating profit","Other operating costs missing"))</x:f>
        <x:v>Other operating costs missing</x:v>
      </x:c>
      <x:c r="S168" s="12" t="str">
        <x:v>'Croissant'!B18:C18</x:v>
      </x:c>
    </x:row>
    <x:row r="169" ht="28" customHeight="1">
      <x:c r="A169" s="2" t="str">
        <x:v>Croissant</x:v>
      </x:c>
      <x:c r="B169" s="11" t="str">
        <x:v>Main offer</x:v>
      </x:c>
      <x:c r="C169" s="13" t="n">
        <x:v>190</x:v>
      </x:c>
      <x:c r="D169" s="13" t="n">
        <x:v>250</x:v>
      </x:c>
      <x:c r="E169" s="13" t="n">
        <x:v>1</x:v>
      </x:c>
      <x:c r="F169" s="20" t="n">
        <x:f>Batches!L44</x:f>
        <x:v>6590</x:v>
      </x:c>
      <x:c r="G169" s="20" t="n">
        <x:f>Batches!C44</x:f>
        <x:v>3070.413450292397</x:v>
      </x:c>
      <x:c r="H169" s="28" t="n">
        <x:f>IF(AND(ISNUMBER(F169),ISNUMBER(C169),C169&gt;0,E169&gt;0),ROUNDDOWN(F169/C169/E169,0)*E169,"n.a.")</x:f>
        <x:v>34</x:v>
      </x:c>
      <x:c r="I169" s="32" t="n">
        <x:f>IF(AND(ISNUMBER(H169),ISNUMBER(Batches!F44),Batches!F44&gt;=0,Batches!F44&lt;=1),ROUNDDOWN(H169*Batches!F44/E169,0)*E169,"n.a.")</x:f>
        <x:v>34</x:v>
      </x:c>
      <x:c r="J169" s="11" t="n">
        <x:f>IF(AND(ISNUMBER(I169),ISNUMBER(D169)),I169*D169,"n.a.")</x:f>
        <x:v>8500</x:v>
      </x:c>
      <x:c r="K169" s="11" t="n">
        <x:f>IF(AND(ISNUMBER(I169),I169&gt;0),G169/I169,"n.a.")</x:f>
        <x:v>90.30627794977639</x:v>
      </x:c>
      <x:c r="L169" s="11" t="n">
        <x:f>IF(ISNUMBER(J169),J169-G169,"n.a.")</x:f>
        <x:v>5429.586549707603</x:v>
      </x:c>
      <x:c r="M169" s="34" t="n">
        <x:f>IF(AND(ISNUMBER(J169),J169&gt;0),L169/J169,"n.a.")</x:f>
        <x:v>0.6387748882008945</x:v>
      </x:c>
      <x:c r="N169" s="28" t="n">
        <x:f>IF(AND(ISNUMBER(D169),D169&gt;0),ROUNDUP(G169/(D169*E169),0)*E169,"n.a.")</x:f>
        <x:v>13</x:v>
      </x:c>
      <x:c r="O169" s="34" t="n">
        <x:f>IF(AND(ISNUMBER(H169),H169&gt;0,ISNUMBER(N169)),N169/H169,"n.a.")</x:f>
        <x:v>0.38235294117647056</x:v>
      </x:c>
      <x:c r="P169" s="32" t="n">
        <x:f>Batches!D44</x:f>
        <x:v>0</x:v>
      </x:c>
      <x:c r="Q169" s="36" t="str">
        <x:f>IF(AND(P169=0,ISNUMBER(J169),COUNT(Batches!G44:K44)=5),J169-G169-H169*Batches!G44-Batches!M44,"n.a.")</x:f>
        <x:v>n.a.</x:v>
      </x:c>
      <x:c r="R169" s="11" t="str">
        <x:f>IF(P169&gt;0,"Partial ingredient costs",IF(ISNUMBER(Q169),"Modeled operating profit","Other operating costs missing"))</x:f>
        <x:v>Other operating costs missing</x:v>
      </x:c>
      <x:c r="S169" s="11" t="str">
        <x:v>'Croissant'!B19:C19</x:v>
      </x:c>
    </x:row>
    <x:row r="170" ht="28" customHeight="1">
      <x:c r="A170" s="10" t="str">
        <x:v>Croissant</x:v>
      </x:c>
      <x:c r="B170" s="12" t="str">
        <x:v>Main offer</x:v>
      </x:c>
      <x:c r="C170" s="14" t="n">
        <x:v>700</x:v>
      </x:c>
      <x:c r="D170" s="14" t="n">
        <x:v>1000</x:v>
      </x:c>
      <x:c r="E170" s="14" t="n">
        <x:v>1</x:v>
      </x:c>
      <x:c r="F170" s="21" t="n">
        <x:f>Batches!L44</x:f>
        <x:v>6590</x:v>
      </x:c>
      <x:c r="G170" s="21" t="n">
        <x:f>Batches!C44</x:f>
        <x:v>3070.413450292397</x:v>
      </x:c>
      <x:c r="H170" s="29" t="n">
        <x:f>IF(AND(ISNUMBER(F170),ISNUMBER(C170),C170&gt;0,E170&gt;0),ROUNDDOWN(F170/C170/E170,0)*E170,"n.a.")</x:f>
        <x:v>9</x:v>
      </x:c>
      <x:c r="I170" s="33" t="n">
        <x:f>IF(AND(ISNUMBER(H170),ISNUMBER(Batches!F44),Batches!F44&gt;=0,Batches!F44&lt;=1),ROUNDDOWN(H170*Batches!F44/E170,0)*E170,"n.a.")</x:f>
        <x:v>9</x:v>
      </x:c>
      <x:c r="J170" s="12" t="n">
        <x:f>IF(AND(ISNUMBER(I170),ISNUMBER(D170)),I170*D170,"n.a.")</x:f>
        <x:v>9000</x:v>
      </x:c>
      <x:c r="K170" s="12" t="n">
        <x:f>IF(AND(ISNUMBER(I170),I170&gt;0),G170/I170,"n.a.")</x:f>
        <x:v>341.15705003248854</x:v>
      </x:c>
      <x:c r="L170" s="12" t="n">
        <x:f>IF(ISNUMBER(J170),J170-G170,"n.a.")</x:f>
        <x:v>5929.586549707603</x:v>
      </x:c>
      <x:c r="M170" s="35" t="n">
        <x:f>IF(AND(ISNUMBER(J170),J170&gt;0),L170/J170,"n.a.")</x:f>
        <x:v>0.6588429499675115</x:v>
      </x:c>
      <x:c r="N170" s="29" t="n">
        <x:f>IF(AND(ISNUMBER(D170),D170&gt;0),ROUNDUP(G170/(D170*E170),0)*E170,"n.a.")</x:f>
        <x:v>4</x:v>
      </x:c>
      <x:c r="O170" s="35" t="n">
        <x:f>IF(AND(ISNUMBER(H170),H170&gt;0,ISNUMBER(N170)),N170/H170,"n.a.")</x:f>
        <x:v>0.4444444444444444</x:v>
      </x:c>
      <x:c r="P170" s="33" t="n">
        <x:f>Batches!D44</x:f>
        <x:v>0</x:v>
      </x:c>
      <x:c r="Q170" s="37" t="str">
        <x:f>IF(AND(P170=0,ISNUMBER(J170),COUNT(Batches!G44:K44)=5),J170-G170-H170*Batches!G44-Batches!M44,"n.a.")</x:f>
        <x:v>n.a.</x:v>
      </x:c>
      <x:c r="R170" s="12" t="str">
        <x:f>IF(P170&gt;0,"Partial ingredient costs",IF(ISNUMBER(Q170),"Modeled operating profit","Other operating costs missing"))</x:f>
        <x:v>Other operating costs missing</x:v>
      </x:c>
      <x:c r="S170" s="12" t="str">
        <x:v>'Croissant'!B20:C20</x:v>
      </x:c>
    </x:row>
    <x:row r="171" ht="28" customHeight="1">
      <x:c r="A171" s="2" t="str">
        <x:v>Croissant</x:v>
      </x:c>
      <x:c r="B171" s="11" t="str">
        <x:v>Manual offer; confirm</x:v>
      </x:c>
      <x:c r="C171" s="13" t="n">
        <x:v>380</x:v>
      </x:c>
      <x:c r="D171" s="13" t="n">
        <x:v>500</x:v>
      </x:c>
      <x:c r="E171" s="13" t="n">
        <x:v>1</x:v>
      </x:c>
      <x:c r="F171" s="20" t="n">
        <x:f>Batches!L44</x:f>
        <x:v>6590</x:v>
      </x:c>
      <x:c r="G171" s="20" t="n">
        <x:f>Batches!C44</x:f>
        <x:v>3070.413450292397</x:v>
      </x:c>
      <x:c r="H171" s="28" t="n">
        <x:f>IF(AND(ISNUMBER(F171),ISNUMBER(C171),C171&gt;0,E171&gt;0),ROUNDDOWN(F171/C171/E171,0)*E171,"n.a.")</x:f>
        <x:v>17</x:v>
      </x:c>
      <x:c r="I171" s="32" t="n">
        <x:f>IF(AND(ISNUMBER(H171),ISNUMBER(Batches!F44),Batches!F44&gt;=0,Batches!F44&lt;=1),ROUNDDOWN(H171*Batches!F44/E171,0)*E171,"n.a.")</x:f>
        <x:v>17</x:v>
      </x:c>
      <x:c r="J171" s="11" t="n">
        <x:f>IF(AND(ISNUMBER(I171),ISNUMBER(D171)),I171*D171,"n.a.")</x:f>
        <x:v>8500</x:v>
      </x:c>
      <x:c r="K171" s="11" t="n">
        <x:f>IF(AND(ISNUMBER(I171),I171&gt;0),G171/I171,"n.a.")</x:f>
        <x:v>180.61255589955277</x:v>
      </x:c>
      <x:c r="L171" s="11" t="n">
        <x:f>IF(ISNUMBER(J171),J171-G171,"n.a.")</x:f>
        <x:v>5429.586549707603</x:v>
      </x:c>
      <x:c r="M171" s="34" t="n">
        <x:f>IF(AND(ISNUMBER(J171),J171&gt;0),L171/J171,"n.a.")</x:f>
        <x:v>0.6387748882008945</x:v>
      </x:c>
      <x:c r="N171" s="28" t="n">
        <x:f>IF(AND(ISNUMBER(D171),D171&gt;0),ROUNDUP(G171/(D171*E171),0)*E171,"n.a.")</x:f>
        <x:v>7</x:v>
      </x:c>
      <x:c r="O171" s="34" t="n">
        <x:f>IF(AND(ISNUMBER(H171),H171&gt;0,ISNUMBER(N171)),N171/H171,"n.a.")</x:f>
        <x:v>0.4117647058823529</x:v>
      </x:c>
      <x:c r="P171" s="32" t="n">
        <x:f>Batches!D44</x:f>
        <x:v>0</x:v>
      </x:c>
      <x:c r="Q171" s="36" t="str">
        <x:f>IF(AND(P171=0,ISNUMBER(J171),COUNT(Batches!G44:K44)=5),J171-G171-H171*Batches!G44-Batches!M44,"n.a.")</x:f>
        <x:v>n.a.</x:v>
      </x:c>
      <x:c r="R171" s="11" t="str">
        <x:f>IF(P171&gt;0,"Partial ingredient costs",IF(ISNUMBER(Q171),"Modeled operating profit","Other operating costs missing"))</x:f>
        <x:v>Other operating costs missing</x:v>
      </x:c>
      <x:c r="S171" s="11" t="str">
        <x:v>'Croissant'!D25,F25</x:v>
      </x:c>
    </x:row>
    <x:row r="172" ht="28" customHeight="1">
      <x:c r="A172" s="10" t="str">
        <x:v>Croissant</x:v>
      </x:c>
      <x:c r="B172" s="12" t="str">
        <x:v>Manual offer; confirm</x:v>
      </x:c>
      <x:c r="C172" s="14" t="n">
        <x:v>190</x:v>
      </x:c>
      <x:c r="D172" s="14" t="n">
        <x:v>250</x:v>
      </x:c>
      <x:c r="E172" s="14" t="n">
        <x:v>1</x:v>
      </x:c>
      <x:c r="F172" s="21" t="n">
        <x:f>Batches!L44</x:f>
        <x:v>6590</x:v>
      </x:c>
      <x:c r="G172" s="21" t="n">
        <x:f>Batches!C44</x:f>
        <x:v>3070.413450292397</x:v>
      </x:c>
      <x:c r="H172" s="29" t="n">
        <x:f>IF(AND(ISNUMBER(F172),ISNUMBER(C172),C172&gt;0,E172&gt;0),ROUNDDOWN(F172/C172/E172,0)*E172,"n.a.")</x:f>
        <x:v>34</x:v>
      </x:c>
      <x:c r="I172" s="33" t="n">
        <x:f>IF(AND(ISNUMBER(H172),ISNUMBER(Batches!F44),Batches!F44&gt;=0,Batches!F44&lt;=1),ROUNDDOWN(H172*Batches!F44/E172,0)*E172,"n.a.")</x:f>
        <x:v>34</x:v>
      </x:c>
      <x:c r="J172" s="12" t="n">
        <x:f>IF(AND(ISNUMBER(I172),ISNUMBER(D172)),I172*D172,"n.a.")</x:f>
        <x:v>8500</x:v>
      </x:c>
      <x:c r="K172" s="12" t="n">
        <x:f>IF(AND(ISNUMBER(I172),I172&gt;0),G172/I172,"n.a.")</x:f>
        <x:v>90.30627794977639</x:v>
      </x:c>
      <x:c r="L172" s="12" t="n">
        <x:f>IF(ISNUMBER(J172),J172-G172,"n.a.")</x:f>
        <x:v>5429.586549707603</x:v>
      </x:c>
      <x:c r="M172" s="35" t="n">
        <x:f>IF(AND(ISNUMBER(J172),J172&gt;0),L172/J172,"n.a.")</x:f>
        <x:v>0.6387748882008945</x:v>
      </x:c>
      <x:c r="N172" s="29" t="n">
        <x:f>IF(AND(ISNUMBER(D172),D172&gt;0),ROUNDUP(G172/(D172*E172),0)*E172,"n.a.")</x:f>
        <x:v>13</x:v>
      </x:c>
      <x:c r="O172" s="35" t="n">
        <x:f>IF(AND(ISNUMBER(H172),H172&gt;0,ISNUMBER(N172)),N172/H172,"n.a.")</x:f>
        <x:v>0.38235294117647056</x:v>
      </x:c>
      <x:c r="P172" s="33" t="n">
        <x:f>Batches!D44</x:f>
        <x:v>0</x:v>
      </x:c>
      <x:c r="Q172" s="37" t="str">
        <x:f>IF(AND(P172=0,ISNUMBER(J172),COUNT(Batches!G44:K44)=5),J172-G172-H172*Batches!G44-Batches!M44,"n.a.")</x:f>
        <x:v>n.a.</x:v>
      </x:c>
      <x:c r="R172" s="12" t="str">
        <x:f>IF(P172&gt;0,"Partial ingredient costs",IF(ISNUMBER(Q172),"Modeled operating profit","Other operating costs missing"))</x:f>
        <x:v>Other operating costs missing</x:v>
      </x:c>
      <x:c r="S172" s="12" t="str">
        <x:v>'Croissant'!D26,F26</x:v>
      </x:c>
    </x:row>
    <x:row r="173" ht="28" customHeight="1">
      <x:c r="A173" s="2" t="str">
        <x:v>Universal bread</x:v>
      </x:c>
      <x:c r="B173" s="11" t="str">
        <x:v>Main offer</x:v>
      </x:c>
      <x:c r="C173" s="13" t="n">
        <x:v>81.4</x:v>
      </x:c>
      <x:c r="D173" s="13" t="n">
        <x:v>100</x:v>
      </x:c>
      <x:c r="E173" s="13" t="n">
        <x:v>1</x:v>
      </x:c>
      <x:c r="F173" s="20" t="n">
        <x:f>Batches!L45</x:f>
        <x:v>41170</x:v>
      </x:c>
      <x:c r="G173" s="20" t="n">
        <x:f>Batches!C45</x:f>
        <x:v>27727.698830409354</x:v>
      </x:c>
      <x:c r="H173" s="28" t="n">
        <x:f>IF(AND(ISNUMBER(F173),ISNUMBER(C173),C173&gt;0,E173&gt;0),ROUNDDOWN(F173/C173/E173,0)*E173,"n.a.")</x:f>
        <x:v>505</x:v>
      </x:c>
      <x:c r="I173" s="32" t="n">
        <x:f>IF(AND(ISNUMBER(H173),ISNUMBER(Batches!F45),Batches!F45&gt;=0,Batches!F45&lt;=1),ROUNDDOWN(H173*Batches!F45/E173,0)*E173,"n.a.")</x:f>
        <x:v>505</x:v>
      </x:c>
      <x:c r="J173" s="11" t="n">
        <x:f>IF(AND(ISNUMBER(I173),ISNUMBER(D173)),I173*D173,"n.a.")</x:f>
        <x:v>50500</x:v>
      </x:c>
      <x:c r="K173" s="11" t="n">
        <x:f>IF(AND(ISNUMBER(I173),I173&gt;0),G173/I173,"n.a.")</x:f>
        <x:v>54.90633431764228</x:v>
      </x:c>
      <x:c r="L173" s="11" t="n">
        <x:f>IF(ISNUMBER(J173),J173-G173,"n.a.")</x:f>
        <x:v>22772.301169590646</x:v>
      </x:c>
      <x:c r="M173" s="34" t="n">
        <x:f>IF(AND(ISNUMBER(J173),J173&gt;0),L173/J173,"n.a.")</x:f>
        <x:v>0.45093665682357714</x:v>
      </x:c>
      <x:c r="N173" s="28" t="n">
        <x:f>IF(AND(ISNUMBER(D173),D173&gt;0),ROUNDUP(G173/(D173*E173),0)*E173,"n.a.")</x:f>
        <x:v>278</x:v>
      </x:c>
      <x:c r="O173" s="34" t="n">
        <x:f>IF(AND(ISNUMBER(H173),H173&gt;0,ISNUMBER(N173)),N173/H173,"n.a.")</x:f>
        <x:v>0.5504950495049505</x:v>
      </x:c>
      <x:c r="P173" s="32" t="n">
        <x:f>Batches!D45</x:f>
        <x:v>0</x:v>
      </x:c>
      <x:c r="Q173" s="36" t="str">
        <x:f>IF(AND(P173=0,ISNUMBER(J173),COUNT(Batches!G45:K45)=5),J173-G173-H173*Batches!G45-Batches!M45,"n.a.")</x:f>
        <x:v>n.a.</x:v>
      </x:c>
      <x:c r="R173" s="11" t="str">
        <x:f>IF(P173&gt;0,"Partial ingredient costs",IF(ISNUMBER(Q173),"Modeled operating profit","Other operating costs missing"))</x:f>
        <x:v>Other operating costs missing</x:v>
      </x:c>
      <x:c r="S173" s="11" t="str">
        <x:v>'Universal bread'!B20:C20</x:v>
      </x:c>
    </x:row>
    <x:row r="174" ht="28" customHeight="1">
      <x:c r="A174" s="10" t="str">
        <x:v>Universal bread</x:v>
      </x:c>
      <x:c r="B174" s="12" t="str">
        <x:v>Main offer</x:v>
      </x:c>
      <x:c r="C174" s="14" t="n">
        <x:v>90</x:v>
      </x:c>
      <x:c r="D174" s="14" t="n">
        <x:v>100</x:v>
      </x:c>
      <x:c r="E174" s="14" t="n">
        <x:v>1</x:v>
      </x:c>
      <x:c r="F174" s="21" t="n">
        <x:f>Batches!L45</x:f>
        <x:v>41170</x:v>
      </x:c>
      <x:c r="G174" s="21" t="n">
        <x:f>Batches!C45</x:f>
        <x:v>27727.698830409354</x:v>
      </x:c>
      <x:c r="H174" s="29" t="n">
        <x:f>IF(AND(ISNUMBER(F174),ISNUMBER(C174),C174&gt;0,E174&gt;0),ROUNDDOWN(F174/C174/E174,0)*E174,"n.a.")</x:f>
        <x:v>457</x:v>
      </x:c>
      <x:c r="I174" s="33" t="n">
        <x:f>IF(AND(ISNUMBER(H174),ISNUMBER(Batches!F45),Batches!F45&gt;=0,Batches!F45&lt;=1),ROUNDDOWN(H174*Batches!F45/E174,0)*E174,"n.a.")</x:f>
        <x:v>457</x:v>
      </x:c>
      <x:c r="J174" s="12" t="n">
        <x:f>IF(AND(ISNUMBER(I174),ISNUMBER(D174)),I174*D174,"n.a.")</x:f>
        <x:v>45700</x:v>
      </x:c>
      <x:c r="K174" s="12" t="n">
        <x:f>IF(AND(ISNUMBER(I174),I174&gt;0),G174/I174,"n.a.")</x:f>
        <x:v>60.67330159826992</x:v>
      </x:c>
      <x:c r="L174" s="12" t="n">
        <x:f>IF(ISNUMBER(J174),J174-G174,"n.a.")</x:f>
        <x:v>17972.301169590646</x:v>
      </x:c>
      <x:c r="M174" s="35" t="n">
        <x:f>IF(AND(ISNUMBER(J174),J174&gt;0),L174/J174,"n.a.")</x:f>
        <x:v>0.3932669840173008</x:v>
      </x:c>
      <x:c r="N174" s="29" t="n">
        <x:f>IF(AND(ISNUMBER(D174),D174&gt;0),ROUNDUP(G174/(D174*E174),0)*E174,"n.a.")</x:f>
        <x:v>278</x:v>
      </x:c>
      <x:c r="O174" s="35" t="n">
        <x:f>IF(AND(ISNUMBER(H174),H174&gt;0,ISNUMBER(N174)),N174/H174,"n.a.")</x:f>
        <x:v>0.6083150984682714</x:v>
      </x:c>
      <x:c r="P174" s="33" t="n">
        <x:f>Batches!D45</x:f>
        <x:v>0</x:v>
      </x:c>
      <x:c r="Q174" s="37" t="str">
        <x:f>IF(AND(P174=0,ISNUMBER(J174),COUNT(Batches!G45:K45)=5),J174-G174-H174*Batches!G45-Batches!M45,"n.a.")</x:f>
        <x:v>n.a.</x:v>
      </x:c>
      <x:c r="R174" s="12" t="str">
        <x:f>IF(P174&gt;0,"Partial ingredient costs",IF(ISNUMBER(Q174),"Modeled operating profit","Other operating costs missing"))</x:f>
        <x:v>Other operating costs missing</x:v>
      </x:c>
      <x:c r="S174" s="12" t="str">
        <x:v>'Universal bread'!B21:C21</x:v>
      </x:c>
    </x:row>
    <x:row r="175" ht="28" customHeight="1">
      <x:c r="A175" s="2" t="str">
        <x:v>Universal bread</x:v>
      </x:c>
      <x:c r="B175" s="11" t="str">
        <x:v>Main offer</x:v>
      </x:c>
      <x:c r="C175" s="13" t="n">
        <x:v>90</x:v>
      </x:c>
      <x:c r="D175" s="13" t="n">
        <x:v>100</x:v>
      </x:c>
      <x:c r="E175" s="13" t="n">
        <x:v>1</x:v>
      </x:c>
      <x:c r="F175" s="20" t="n">
        <x:f>Batches!L45</x:f>
        <x:v>41170</x:v>
      </x:c>
      <x:c r="G175" s="20" t="n">
        <x:f>Batches!C45</x:f>
        <x:v>27727.698830409354</x:v>
      </x:c>
      <x:c r="H175" s="28" t="n">
        <x:f>IF(AND(ISNUMBER(F175),ISNUMBER(C175),C175&gt;0,E175&gt;0),ROUNDDOWN(F175/C175/E175,0)*E175,"n.a.")</x:f>
        <x:v>457</x:v>
      </x:c>
      <x:c r="I175" s="32" t="n">
        <x:f>IF(AND(ISNUMBER(H175),ISNUMBER(Batches!F45),Batches!F45&gt;=0,Batches!F45&lt;=1),ROUNDDOWN(H175*Batches!F45/E175,0)*E175,"n.a.")</x:f>
        <x:v>457</x:v>
      </x:c>
      <x:c r="J175" s="11" t="n">
        <x:f>IF(AND(ISNUMBER(I175),ISNUMBER(D175)),I175*D175,"n.a.")</x:f>
        <x:v>45700</x:v>
      </x:c>
      <x:c r="K175" s="11" t="n">
        <x:f>IF(AND(ISNUMBER(I175),I175&gt;0),G175/I175,"n.a.")</x:f>
        <x:v>60.67330159826992</x:v>
      </x:c>
      <x:c r="L175" s="11" t="n">
        <x:f>IF(ISNUMBER(J175),J175-G175,"n.a.")</x:f>
        <x:v>17972.301169590646</x:v>
      </x:c>
      <x:c r="M175" s="34" t="n">
        <x:f>IF(AND(ISNUMBER(J175),J175&gt;0),L175/J175,"n.a.")</x:f>
        <x:v>0.3932669840173008</x:v>
      </x:c>
      <x:c r="N175" s="28" t="n">
        <x:f>IF(AND(ISNUMBER(D175),D175&gt;0),ROUNDUP(G175/(D175*E175),0)*E175,"n.a.")</x:f>
        <x:v>278</x:v>
      </x:c>
      <x:c r="O175" s="34" t="n">
        <x:f>IF(AND(ISNUMBER(H175),H175&gt;0,ISNUMBER(N175)),N175/H175,"n.a.")</x:f>
        <x:v>0.6083150984682714</x:v>
      </x:c>
      <x:c r="P175" s="32" t="n">
        <x:f>Batches!D45</x:f>
        <x:v>0</x:v>
      </x:c>
      <x:c r="Q175" s="36" t="str">
        <x:f>IF(AND(P175=0,ISNUMBER(J175),COUNT(Batches!G45:K45)=5),J175-G175-H175*Batches!G45-Batches!M45,"n.a.")</x:f>
        <x:v>n.a.</x:v>
      </x:c>
      <x:c r="R175" s="11" t="str">
        <x:f>IF(P175&gt;0,"Partial ingredient costs",IF(ISNUMBER(Q175),"Modeled operating profit","Other operating costs missing"))</x:f>
        <x:v>Other operating costs missing</x:v>
      </x:c>
      <x:c r="S175" s="11" t="str">
        <x:v>'Universal bread'!B22:C22</x:v>
      </x:c>
    </x:row>
    <x:row r="176" ht="28" customHeight="1">
      <x:c r="A176" s="10" t="str">
        <x:v>Universal bread</x:v>
      </x:c>
      <x:c r="B176" s="12" t="str">
        <x:v>Main offer</x:v>
      </x:c>
      <x:c r="C176" s="14" t="n">
        <x:v>900</x:v>
      </x:c>
      <x:c r="D176" s="14" t="n">
        <x:v>1000</x:v>
      </x:c>
      <x:c r="E176" s="14" t="n">
        <x:v>1</x:v>
      </x:c>
      <x:c r="F176" s="21" t="n">
        <x:f>Batches!L45</x:f>
        <x:v>41170</x:v>
      </x:c>
      <x:c r="G176" s="21" t="n">
        <x:f>Batches!C45</x:f>
        <x:v>27727.698830409354</x:v>
      </x:c>
      <x:c r="H176" s="29" t="n">
        <x:f>IF(AND(ISNUMBER(F176),ISNUMBER(C176),C176&gt;0,E176&gt;0),ROUNDDOWN(F176/C176/E176,0)*E176,"n.a.")</x:f>
        <x:v>45</x:v>
      </x:c>
      <x:c r="I176" s="33" t="n">
        <x:f>IF(AND(ISNUMBER(H176),ISNUMBER(Batches!F45),Batches!F45&gt;=0,Batches!F45&lt;=1),ROUNDDOWN(H176*Batches!F45/E176,0)*E176,"n.a.")</x:f>
        <x:v>45</x:v>
      </x:c>
      <x:c r="J176" s="12" t="n">
        <x:f>IF(AND(ISNUMBER(I176),ISNUMBER(D176)),I176*D176,"n.a.")</x:f>
        <x:v>45000</x:v>
      </x:c>
      <x:c r="K176" s="12" t="n">
        <x:f>IF(AND(ISNUMBER(I176),I176&gt;0),G176/I176,"n.a.")</x:f>
        <x:v>616.1710851202079</x:v>
      </x:c>
      <x:c r="L176" s="12" t="n">
        <x:f>IF(ISNUMBER(J176),J176-G176,"n.a.")</x:f>
        <x:v>17272.301169590646</x:v>
      </x:c>
      <x:c r="M176" s="35" t="n">
        <x:f>IF(AND(ISNUMBER(J176),J176&gt;0),L176/J176,"n.a.")</x:f>
        <x:v>0.38382891487979215</x:v>
      </x:c>
      <x:c r="N176" s="29" t="n">
        <x:f>IF(AND(ISNUMBER(D176),D176&gt;0),ROUNDUP(G176/(D176*E176),0)*E176,"n.a.")</x:f>
        <x:v>28</x:v>
      </x:c>
      <x:c r="O176" s="35" t="n">
        <x:f>IF(AND(ISNUMBER(H176),H176&gt;0,ISNUMBER(N176)),N176/H176,"n.a.")</x:f>
        <x:v>0.6222222222222222</x:v>
      </x:c>
      <x:c r="P176" s="33" t="n">
        <x:f>Batches!D45</x:f>
        <x:v>0</x:v>
      </x:c>
      <x:c r="Q176" s="37" t="str">
        <x:f>IF(AND(P176=0,ISNUMBER(J176),COUNT(Batches!G45:K45)=5),J176-G176-H176*Batches!G45-Batches!M45,"n.a.")</x:f>
        <x:v>n.a.</x:v>
      </x:c>
      <x:c r="R176" s="12" t="str">
        <x:f>IF(P176&gt;0,"Partial ingredient costs",IF(ISNUMBER(Q176),"Modeled operating profit","Other operating costs missing"))</x:f>
        <x:v>Other operating costs missing</x:v>
      </x:c>
      <x:c r="S176" s="12" t="str">
        <x:v>'Universal bread'!B23:C23</x:v>
      </x:c>
    </x:row>
    <x:row r="177" ht="28" customHeight="1">
      <x:c r="A177" s="2" t="str">
        <x:v>Universal bread</x:v>
      </x:c>
      <x:c r="B177" s="11" t="str">
        <x:v>Manual offer; confirm</x:v>
      </x:c>
      <x:c r="C177" s="13" t="n">
        <x:v>190</x:v>
      </x:c>
      <x:c r="D177" s="13" t="n">
        <x:v>250</x:v>
      </x:c>
      <x:c r="E177" s="13" t="n">
        <x:v>1</x:v>
      </x:c>
      <x:c r="F177" s="20" t="n">
        <x:f>Batches!L45</x:f>
        <x:v>41170</x:v>
      </x:c>
      <x:c r="G177" s="20" t="n">
        <x:f>Batches!C45</x:f>
        <x:v>27727.698830409354</x:v>
      </x:c>
      <x:c r="H177" s="28" t="n">
        <x:f>IF(AND(ISNUMBER(F177),ISNUMBER(C177),C177&gt;0,E177&gt;0),ROUNDDOWN(F177/C177/E177,0)*E177,"n.a.")</x:f>
        <x:v>216</x:v>
      </x:c>
      <x:c r="I177" s="32" t="n">
        <x:f>IF(AND(ISNUMBER(H177),ISNUMBER(Batches!F45),Batches!F45&gt;=0,Batches!F45&lt;=1),ROUNDDOWN(H177*Batches!F45/E177,0)*E177,"n.a.")</x:f>
        <x:v>216</x:v>
      </x:c>
      <x:c r="J177" s="11" t="n">
        <x:f>IF(AND(ISNUMBER(I177),ISNUMBER(D177)),I177*D177,"n.a.")</x:f>
        <x:v>54000</x:v>
      </x:c>
      <x:c r="K177" s="11" t="n">
        <x:f>IF(AND(ISNUMBER(I177),I177&gt;0),G177/I177,"n.a.")</x:f>
        <x:v>128.36897606670996</x:v>
      </x:c>
      <x:c r="L177" s="11" t="n">
        <x:f>IF(ISNUMBER(J177),J177-G177,"n.a.")</x:f>
        <x:v>26272.301169590646</x:v>
      </x:c>
      <x:c r="M177" s="34" t="n">
        <x:f>IF(AND(ISNUMBER(J177),J177&gt;0),L177/J177,"n.a.")</x:f>
        <x:v>0.48652409573316013</x:v>
      </x:c>
      <x:c r="N177" s="28" t="n">
        <x:f>IF(AND(ISNUMBER(D177),D177&gt;0),ROUNDUP(G177/(D177*E177),0)*E177,"n.a.")</x:f>
        <x:v>111</x:v>
      </x:c>
      <x:c r="O177" s="34" t="n">
        <x:f>IF(AND(ISNUMBER(H177),H177&gt;0,ISNUMBER(N177)),N177/H177,"n.a.")</x:f>
        <x:v>0.5138888888888888</x:v>
      </x:c>
      <x:c r="P177" s="32" t="n">
        <x:f>Batches!D45</x:f>
        <x:v>0</x:v>
      </x:c>
      <x:c r="Q177" s="36" t="str">
        <x:f>IF(AND(P177=0,ISNUMBER(J177),COUNT(Batches!G45:K45)=5),J177-G177-H177*Batches!G45-Batches!M45,"n.a.")</x:f>
        <x:v>n.a.</x:v>
      </x:c>
      <x:c r="R177" s="11" t="str">
        <x:f>IF(P177&gt;0,"Partial ingredient costs",IF(ISNUMBER(Q177),"Modeled operating profit","Other operating costs missing"))</x:f>
        <x:v>Other operating costs missing</x:v>
      </x:c>
      <x:c r="S177" s="11" t="str">
        <x:v>'Universal bread'!E30,G30</x:v>
      </x:c>
    </x:row>
    <x:row r="178" ht="28" customHeight="1">
      <x:c r="A178" s="10" t="str">
        <x:v>Universal bread</x:v>
      </x:c>
      <x:c r="B178" s="12" t="str">
        <x:v>12-piece wholesale pack</x:v>
      </x:c>
      <x:c r="C178" s="14" t="n">
        <x:v>81.4</x:v>
      </x:c>
      <x:c r="D178" s="14" t="n">
        <x:v>83.33333333333333</x:v>
      </x:c>
      <x:c r="E178" s="14" t="n">
        <x:v>12</x:v>
      </x:c>
      <x:c r="F178" s="21" t="n">
        <x:f>Batches!L45</x:f>
        <x:v>41170</x:v>
      </x:c>
      <x:c r="G178" s="21" t="n">
        <x:f>Batches!C45</x:f>
        <x:v>27727.698830409354</x:v>
      </x:c>
      <x:c r="H178" s="29" t="n">
        <x:f>IF(AND(ISNUMBER(F178),ISNUMBER(C178),C178&gt;0,E178&gt;0),ROUNDDOWN(F178/C178/E178,0)*E178,"n.a.")</x:f>
        <x:v>504</x:v>
      </x:c>
      <x:c r="I178" s="33" t="n">
        <x:f>IF(AND(ISNUMBER(H178),ISNUMBER(Batches!F45),Batches!F45&gt;=0,Batches!F45&lt;=1),ROUNDDOWN(H178*Batches!F45/E178,0)*E178,"n.a.")</x:f>
        <x:v>504</x:v>
      </x:c>
      <x:c r="J178" s="12" t="n">
        <x:f>IF(AND(ISNUMBER(I178),ISNUMBER(D178)),I178*D178,"n.a.")</x:f>
        <x:v>42000</x:v>
      </x:c>
      <x:c r="K178" s="12" t="n">
        <x:f>IF(AND(ISNUMBER(I178),I178&gt;0),G178/I178,"n.a.")</x:f>
        <x:v>55.015275457161415</x:v>
      </x:c>
      <x:c r="L178" s="12" t="n">
        <x:f>IF(ISNUMBER(J178),J178-G178,"n.a.")</x:f>
        <x:v>14272.301169590646</x:v>
      </x:c>
      <x:c r="M178" s="35" t="n">
        <x:f>IF(AND(ISNUMBER(J178),J178&gt;0),L178/J178,"n.a.")</x:f>
        <x:v>0.339816694514063</x:v>
      </x:c>
      <x:c r="N178" s="29" t="n">
        <x:f>IF(AND(ISNUMBER(D178),D178&gt;0),ROUNDUP(G178/(D178*E178),0)*E178,"n.a.")</x:f>
        <x:v>336</x:v>
      </x:c>
      <x:c r="O178" s="35" t="n">
        <x:f>IF(AND(ISNUMBER(H178),H178&gt;0,ISNUMBER(N178)),N178/H178,"n.a.")</x:f>
        <x:v>0.6666666666666666</x:v>
      </x:c>
      <x:c r="P178" s="33" t="n">
        <x:f>Batches!D45</x:f>
        <x:v>0</x:v>
      </x:c>
      <x:c r="Q178" s="37" t="str">
        <x:f>IF(AND(P178=0,ISNUMBER(J178),COUNT(Batches!G45:K45)=5),J178-G178-H178*Batches!G45-Batches!M45,"n.a.")</x:f>
        <x:v>n.a.</x:v>
      </x:c>
      <x:c r="R178" s="12" t="str">
        <x:f>IF(P178&gt;0,"Partial ingredient costs",IF(ISNUMBER(Q178),"Modeled operating profit","Other operating costs missing"))</x:f>
        <x:v>Other operating costs missing</x:v>
      </x:c>
      <x:c r="S178" s="12" t="str">
        <x:v>'Universal bread'!I21:I24/J21:J24</x:v>
      </x:c>
    </x:row>
    <x:row r="179" ht="28" customHeight="1">
      <x:c r="A179" s="2" t="str">
        <x:v>Sheet3</x:v>
      </x:c>
      <x:c r="B179" s="11" t="str">
        <x:v>Main offer</x:v>
      </x:c>
      <x:c r="C179" s="13" t="n">
        <x:v>144</x:v>
      </x:c>
      <x:c r="D179" s="13" t="n">
        <x:v>125</x:v>
      </x:c>
      <x:c r="E179" s="13" t="n">
        <x:v>1</x:v>
      </x:c>
      <x:c r="F179" s="20" t="n">
        <x:f>Batches!L46</x:f>
        <x:v>19250</x:v>
      </x:c>
      <x:c r="G179" s="20" t="n">
        <x:f>Batches!C46</x:f>
        <x:v>9161.491228070176</x:v>
      </x:c>
      <x:c r="H179" s="28" t="n">
        <x:f>IF(AND(ISNUMBER(F179),ISNUMBER(C179),C179&gt;0,E179&gt;0),ROUNDDOWN(F179/C179/E179,0)*E179,"n.a.")</x:f>
        <x:v>133</x:v>
      </x:c>
      <x:c r="I179" s="32" t="n">
        <x:f>IF(AND(ISNUMBER(H179),ISNUMBER(Batches!F46),Batches!F46&gt;=0,Batches!F46&lt;=1),ROUNDDOWN(H179*Batches!F46/E179,0)*E179,"n.a.")</x:f>
        <x:v>133</x:v>
      </x:c>
      <x:c r="J179" s="11" t="n">
        <x:f>IF(AND(ISNUMBER(I179),ISNUMBER(D179)),I179*D179,"n.a.")</x:f>
        <x:v>16625</x:v>
      </x:c>
      <x:c r="K179" s="11" t="n">
        <x:f>IF(AND(ISNUMBER(I179),I179&gt;0),G179/I179,"n.a.")</x:f>
        <x:v>68.88339269225696</x:v>
      </x:c>
      <x:c r="L179" s="11" t="n">
        <x:f>IF(ISNUMBER(J179),J179-G179,"n.a.")</x:f>
        <x:v>7463.508771929824</x:v>
      </x:c>
      <x:c r="M179" s="34" t="n">
        <x:f>IF(AND(ISNUMBER(J179),J179&gt;0),L179/J179,"n.a.")</x:f>
        <x:v>0.4489328584619443</x:v>
      </x:c>
      <x:c r="N179" s="28" t="n">
        <x:f>IF(AND(ISNUMBER(D179),D179&gt;0),ROUNDUP(G179/(D179*E179),0)*E179,"n.a.")</x:f>
        <x:v>74</x:v>
      </x:c>
      <x:c r="O179" s="34" t="n">
        <x:f>IF(AND(ISNUMBER(H179),H179&gt;0,ISNUMBER(N179)),N179/H179,"n.a.")</x:f>
        <x:v>0.556390977443609</x:v>
      </x:c>
      <x:c r="P179" s="32" t="n">
        <x:f>Batches!D46</x:f>
        <x:v>0</x:v>
      </x:c>
      <x:c r="Q179" s="36" t="str">
        <x:f>IF(AND(P179=0,ISNUMBER(J179),COUNT(Batches!G46:K46)=5),J179-G179-H179*Batches!G46-Batches!M46,"n.a.")</x:f>
        <x:v>n.a.</x:v>
      </x:c>
      <x:c r="R179" s="11" t="str">
        <x:f>IF(P179&gt;0,"Partial ingredient costs",IF(ISNUMBER(Q179),"Modeled operating profit","Other operating costs missing"))</x:f>
        <x:v>Other operating costs missing</x:v>
      </x:c>
      <x:c r="S179" s="11" t="str">
        <x:v>'Sheet3'!B21:C21</x:v>
      </x:c>
    </x:row>
    <x:row r="180" ht="28" customHeight="1">
      <x:c r="A180" s="10" t="str">
        <x:v>Sheet3</x:v>
      </x:c>
      <x:c r="B180" s="12" t="str">
        <x:v>Main offer</x:v>
      </x:c>
      <x:c r="C180" s="14" t="n">
        <x:v>500</x:v>
      </x:c>
      <x:c r="D180" s="14" t="n">
        <x:v>500</x:v>
      </x:c>
      <x:c r="E180" s="14" t="n">
        <x:v>1</x:v>
      </x:c>
      <x:c r="F180" s="21" t="n">
        <x:f>Batches!L46</x:f>
        <x:v>19250</x:v>
      </x:c>
      <x:c r="G180" s="21" t="n">
        <x:f>Batches!C46</x:f>
        <x:v>9161.491228070176</x:v>
      </x:c>
      <x:c r="H180" s="29" t="n">
        <x:f>IF(AND(ISNUMBER(F180),ISNUMBER(C180),C180&gt;0,E180&gt;0),ROUNDDOWN(F180/C180/E180,0)*E180,"n.a.")</x:f>
        <x:v>38</x:v>
      </x:c>
      <x:c r="I180" s="33" t="n">
        <x:f>IF(AND(ISNUMBER(H180),ISNUMBER(Batches!F46),Batches!F46&gt;=0,Batches!F46&lt;=1),ROUNDDOWN(H180*Batches!F46/E180,0)*E180,"n.a.")</x:f>
        <x:v>38</x:v>
      </x:c>
      <x:c r="J180" s="12" t="n">
        <x:f>IF(AND(ISNUMBER(I180),ISNUMBER(D180)),I180*D180,"n.a.")</x:f>
        <x:v>19000</x:v>
      </x:c>
      <x:c r="K180" s="12" t="n">
        <x:f>IF(AND(ISNUMBER(I180),I180&gt;0),G180/I180,"n.a.")</x:f>
        <x:v>241.09187442289937</x:v>
      </x:c>
      <x:c r="L180" s="12" t="n">
        <x:f>IF(ISNUMBER(J180),J180-G180,"n.a.")</x:f>
        <x:v>9838.508771929824</x:v>
      </x:c>
      <x:c r="M180" s="35" t="n">
        <x:f>IF(AND(ISNUMBER(J180),J180&gt;0),L180/J180,"n.a.")</x:f>
        <x:v>0.5178162511542013</x:v>
      </x:c>
      <x:c r="N180" s="29" t="n">
        <x:f>IF(AND(ISNUMBER(D180),D180&gt;0),ROUNDUP(G180/(D180*E180),0)*E180,"n.a.")</x:f>
        <x:v>19</x:v>
      </x:c>
      <x:c r="O180" s="35" t="n">
        <x:f>IF(AND(ISNUMBER(H180),H180&gt;0,ISNUMBER(N180)),N180/H180,"n.a.")</x:f>
        <x:v>0.5</x:v>
      </x:c>
      <x:c r="P180" s="33" t="n">
        <x:f>Batches!D46</x:f>
        <x:v>0</x:v>
      </x:c>
      <x:c r="Q180" s="37" t="str">
        <x:f>IF(AND(P180=0,ISNUMBER(J180),COUNT(Batches!G46:K46)=5),J180-G180-H180*Batches!G46-Batches!M46,"n.a.")</x:f>
        <x:v>n.a.</x:v>
      </x:c>
      <x:c r="R180" s="12" t="str">
        <x:f>IF(P180&gt;0,"Partial ingredient costs",IF(ISNUMBER(Q180),"Modeled operating profit","Other operating costs missing"))</x:f>
        <x:v>Other operating costs missing</x:v>
      </x:c>
      <x:c r="S180" s="12" t="str">
        <x:v>'Sheet3'!B22:C22</x:v>
      </x:c>
    </x:row>
    <x:row r="181" ht="28" customHeight="1">
      <x:c r="A181" s="2" t="str">
        <x:v>Sheet3</x:v>
      </x:c>
      <x:c r="B181" s="11" t="str">
        <x:v>Main offer</x:v>
      </x:c>
      <x:c r="C181" s="13" t="n">
        <x:v>139</x:v>
      </x:c>
      <x:c r="D181" s="13" t="n">
        <x:v>150</x:v>
      </x:c>
      <x:c r="E181" s="13" t="n">
        <x:v>1</x:v>
      </x:c>
      <x:c r="F181" s="20" t="n">
        <x:f>Batches!L46</x:f>
        <x:v>19250</x:v>
      </x:c>
      <x:c r="G181" s="20" t="n">
        <x:f>Batches!C46</x:f>
        <x:v>9161.491228070176</x:v>
      </x:c>
      <x:c r="H181" s="28" t="n">
        <x:f>IF(AND(ISNUMBER(F181),ISNUMBER(C181),C181&gt;0,E181&gt;0),ROUNDDOWN(F181/C181/E181,0)*E181,"n.a.")</x:f>
        <x:v>138</x:v>
      </x:c>
      <x:c r="I181" s="32" t="n">
        <x:f>IF(AND(ISNUMBER(H181),ISNUMBER(Batches!F46),Batches!F46&gt;=0,Batches!F46&lt;=1),ROUNDDOWN(H181*Batches!F46/E181,0)*E181,"n.a.")</x:f>
        <x:v>138</x:v>
      </x:c>
      <x:c r="J181" s="11" t="n">
        <x:f>IF(AND(ISNUMBER(I181),ISNUMBER(D181)),I181*D181,"n.a.")</x:f>
        <x:v>20700</x:v>
      </x:c>
      <x:c r="K181" s="11" t="n">
        <x:f>IF(AND(ISNUMBER(I181),I181&gt;0),G181/I181,"n.a.")</x:f>
        <x:v>66.38761759471141</x:v>
      </x:c>
      <x:c r="L181" s="11" t="n">
        <x:f>IF(ISNUMBER(J181),J181-G181,"n.a.")</x:f>
        <x:v>11538.508771929824</x:v>
      </x:c>
      <x:c r="M181" s="34" t="n">
        <x:f>IF(AND(ISNUMBER(J181),J181&gt;0),L181/J181,"n.a.")</x:f>
        <x:v>0.5574158827019239</x:v>
      </x:c>
      <x:c r="N181" s="28" t="n">
        <x:f>IF(AND(ISNUMBER(D181),D181&gt;0),ROUNDUP(G181/(D181*E181),0)*E181,"n.a.")</x:f>
        <x:v>62</x:v>
      </x:c>
      <x:c r="O181" s="34" t="n">
        <x:f>IF(AND(ISNUMBER(H181),H181&gt;0,ISNUMBER(N181)),N181/H181,"n.a.")</x:f>
        <x:v>0.4492753623188406</x:v>
      </x:c>
      <x:c r="P181" s="32" t="n">
        <x:f>Batches!D46</x:f>
        <x:v>0</x:v>
      </x:c>
      <x:c r="Q181" s="36" t="str">
        <x:f>IF(AND(P181=0,ISNUMBER(J181),COUNT(Batches!G46:K46)=5),J181-G181-H181*Batches!G46-Batches!M46,"n.a.")</x:f>
        <x:v>n.a.</x:v>
      </x:c>
      <x:c r="R181" s="11" t="str">
        <x:f>IF(P181&gt;0,"Partial ingredient costs",IF(ISNUMBER(Q181),"Modeled operating profit","Other operating costs missing"))</x:f>
        <x:v>Other operating costs missing</x:v>
      </x:c>
      <x:c r="S181" s="11" t="str">
        <x:v>'Sheet3'!B23:C23</x:v>
      </x:c>
    </x:row>
    <x:row r="182" ht="28" customHeight="1">
      <x:c r="A182" s="10" t="str">
        <x:v>Sheet3</x:v>
      </x:c>
      <x:c r="B182" s="12" t="str">
        <x:v>Manual offer; confirm</x:v>
      </x:c>
      <x:c r="C182" s="14" t="n">
        <x:v>133</x:v>
      </x:c>
      <x:c r="D182" s="14" t="n">
        <x:v>150</x:v>
      </x:c>
      <x:c r="E182" s="14" t="n">
        <x:v>1</x:v>
      </x:c>
      <x:c r="F182" s="21" t="n">
        <x:f>Batches!L46</x:f>
        <x:v>19250</x:v>
      </x:c>
      <x:c r="G182" s="21" t="n">
        <x:f>Batches!C46</x:f>
        <x:v>9161.491228070176</x:v>
      </x:c>
      <x:c r="H182" s="29" t="n">
        <x:f>IF(AND(ISNUMBER(F182),ISNUMBER(C182),C182&gt;0,E182&gt;0),ROUNDDOWN(F182/C182/E182,0)*E182,"n.a.")</x:f>
        <x:v>144</x:v>
      </x:c>
      <x:c r="I182" s="33" t="n">
        <x:f>IF(AND(ISNUMBER(H182),ISNUMBER(Batches!F46),Batches!F46&gt;=0,Batches!F46&lt;=1),ROUNDDOWN(H182*Batches!F46/E182,0)*E182,"n.a.")</x:f>
        <x:v>144</x:v>
      </x:c>
      <x:c r="J182" s="12" t="n">
        <x:f>IF(AND(ISNUMBER(I182),ISNUMBER(D182)),I182*D182,"n.a.")</x:f>
        <x:v>21600</x:v>
      </x:c>
      <x:c r="K182" s="12" t="n">
        <x:f>IF(AND(ISNUMBER(I182),I182&gt;0),G182/I182,"n.a.")</x:f>
        <x:v>63.62146686159844</x:v>
      </x:c>
      <x:c r="L182" s="12" t="n">
        <x:f>IF(ISNUMBER(J182),J182-G182,"n.a.")</x:f>
        <x:v>12438.508771929824</x:v>
      </x:c>
      <x:c r="M182" s="35" t="n">
        <x:f>IF(AND(ISNUMBER(J182),J182&gt;0),L182/J182,"n.a.")</x:f>
        <x:v>0.5758568875893437</x:v>
      </x:c>
      <x:c r="N182" s="29" t="n">
        <x:f>IF(AND(ISNUMBER(D182),D182&gt;0),ROUNDUP(G182/(D182*E182),0)*E182,"n.a.")</x:f>
        <x:v>62</x:v>
      </x:c>
      <x:c r="O182" s="35" t="n">
        <x:f>IF(AND(ISNUMBER(H182),H182&gt;0,ISNUMBER(N182)),N182/H182,"n.a.")</x:f>
        <x:v>0.4305555555555556</x:v>
      </x:c>
      <x:c r="P182" s="33" t="n">
        <x:f>Batches!D46</x:f>
        <x:v>0</x:v>
      </x:c>
      <x:c r="Q182" s="37" t="str">
        <x:f>IF(AND(P182=0,ISNUMBER(J182),COUNT(Batches!G46:K46)=5),J182-G182-H182*Batches!G46-Batches!M46,"n.a.")</x:f>
        <x:v>n.a.</x:v>
      </x:c>
      <x:c r="R182" s="12" t="str">
        <x:f>IF(P182&gt;0,"Partial ingredient costs",IF(ISNUMBER(Q182),"Modeled operating profit","Other operating costs missing"))</x:f>
        <x:v>Other operating costs missing</x:v>
      </x:c>
      <x:c r="S182" s="12" t="str">
        <x:v>'Sheet3'!F28,J28</x:v>
      </x:c>
    </x:row>
    <x:row r="183" ht="28" customHeight="1">
      <x:c r="A183" s="2" t="str">
        <x:v>Sheet3</x:v>
      </x:c>
      <x:c r="B183" s="11" t="str">
        <x:v>Manual offer; confirm</x:v>
      </x:c>
      <x:c r="C183" s="13" t="n">
        <x:v>130</x:v>
      </x:c>
      <x:c r="D183" s="13" t="n">
        <x:v>150</x:v>
      </x:c>
      <x:c r="E183" s="13" t="n">
        <x:v>1</x:v>
      </x:c>
      <x:c r="F183" s="20" t="n">
        <x:f>Batches!L46</x:f>
        <x:v>19250</x:v>
      </x:c>
      <x:c r="G183" s="20" t="n">
        <x:f>Batches!C46</x:f>
        <x:v>9161.491228070176</x:v>
      </x:c>
      <x:c r="H183" s="28" t="n">
        <x:f>IF(AND(ISNUMBER(F183),ISNUMBER(C183),C183&gt;0,E183&gt;0),ROUNDDOWN(F183/C183/E183,0)*E183,"n.a.")</x:f>
        <x:v>148</x:v>
      </x:c>
      <x:c r="I183" s="32" t="n">
        <x:f>IF(AND(ISNUMBER(H183),ISNUMBER(Batches!F46),Batches!F46&gt;=0,Batches!F46&lt;=1),ROUNDDOWN(H183*Batches!F46/E183,0)*E183,"n.a.")</x:f>
        <x:v>148</x:v>
      </x:c>
      <x:c r="J183" s="11" t="n">
        <x:f>IF(AND(ISNUMBER(I183),ISNUMBER(D183)),I183*D183,"n.a.")</x:f>
        <x:v>22200</x:v>
      </x:c>
      <x:c r="K183" s="11" t="n">
        <x:f>IF(AND(ISNUMBER(I183),I183&gt;0),G183/I183,"n.a.")</x:f>
        <x:v>61.90196775723091</x:v>
      </x:c>
      <x:c r="L183" s="11" t="n">
        <x:f>IF(ISNUMBER(J183),J183-G183,"n.a.")</x:f>
        <x:v>13038.508771929824</x:v>
      </x:c>
      <x:c r="M183" s="34" t="n">
        <x:f>IF(AND(ISNUMBER(J183),J183&gt;0),L183/J183,"n.a.")</x:f>
        <x:v>0.5873202149517939</x:v>
      </x:c>
      <x:c r="N183" s="28" t="n">
        <x:f>IF(AND(ISNUMBER(D183),D183&gt;0),ROUNDUP(G183/(D183*E183),0)*E183,"n.a.")</x:f>
        <x:v>62</x:v>
      </x:c>
      <x:c r="O183" s="34" t="n">
        <x:f>IF(AND(ISNUMBER(H183),H183&gt;0,ISNUMBER(N183)),N183/H183,"n.a.")</x:f>
        <x:v>0.4189189189189189</x:v>
      </x:c>
      <x:c r="P183" s="32" t="n">
        <x:f>Batches!D46</x:f>
        <x:v>0</x:v>
      </x:c>
      <x:c r="Q183" s="36" t="str">
        <x:f>IF(AND(P183=0,ISNUMBER(J183),COUNT(Batches!G46:K46)=5),J183-G183-H183*Batches!G46-Batches!M46,"n.a.")</x:f>
        <x:v>n.a.</x:v>
      </x:c>
      <x:c r="R183" s="11" t="str">
        <x:f>IF(P183&gt;0,"Partial ingredient costs",IF(ISNUMBER(Q183),"Modeled operating profit","Other operating costs missing"))</x:f>
        <x:v>Other operating costs missing</x:v>
      </x:c>
      <x:c r="S183" s="11" t="str">
        <x:v>'Sheet3'!F29,J29</x:v>
      </x:c>
    </x:row>
    <x:row r="184" ht="28" customHeight="1">
      <x:c r="A184" s="10" t="str">
        <x:v>Croissant new</x:v>
      </x:c>
      <x:c r="B184" s="12" t="str">
        <x:v>Main offer</x:v>
      </x:c>
      <x:c r="C184" s="14" t="n">
        <x:v>50</x:v>
      </x:c>
      <x:c r="D184" s="14" t="n">
        <x:v>100</x:v>
      </x:c>
      <x:c r="E184" s="14" t="n">
        <x:v>1</x:v>
      </x:c>
      <x:c r="F184" s="21" t="n">
        <x:f>Batches!L47</x:f>
        <x:v>5800</x:v>
      </x:c>
      <x:c r="G184" s="21" t="n">
        <x:f>Batches!C47</x:f>
        <x:v>3639.554678362573</x:v>
      </x:c>
      <x:c r="H184" s="29" t="n">
        <x:f>IF(AND(ISNUMBER(F184),ISNUMBER(C184),C184&gt;0,E184&gt;0),ROUNDDOWN(F184/C184/E184,0)*E184,"n.a.")</x:f>
        <x:v>116</x:v>
      </x:c>
      <x:c r="I184" s="33" t="n">
        <x:f>IF(AND(ISNUMBER(H184),ISNUMBER(Batches!F47),Batches!F47&gt;=0,Batches!F47&lt;=1),ROUNDDOWN(H184*Batches!F47/E184,0)*E184,"n.a.")</x:f>
        <x:v>116</x:v>
      </x:c>
      <x:c r="J184" s="12" t="n">
        <x:f>IF(AND(ISNUMBER(I184),ISNUMBER(D184)),I184*D184,"n.a.")</x:f>
        <x:v>11600</x:v>
      </x:c>
      <x:c r="K184" s="12" t="n">
        <x:f>IF(AND(ISNUMBER(I184),I184&gt;0),G184/I184,"n.a.")</x:f>
        <x:v>31.375471365194596</x:v>
      </x:c>
      <x:c r="L184" s="12" t="n">
        <x:f>IF(ISNUMBER(J184),J184-G184,"n.a.")</x:f>
        <x:v>7960.445321637427</x:v>
      </x:c>
      <x:c r="M184" s="35" t="n">
        <x:f>IF(AND(ISNUMBER(J184),J184&gt;0),L184/J184,"n.a.")</x:f>
        <x:v>0.686245286348054</x:v>
      </x:c>
      <x:c r="N184" s="29" t="n">
        <x:f>IF(AND(ISNUMBER(D184),D184&gt;0),ROUNDUP(G184/(D184*E184),0)*E184,"n.a.")</x:f>
        <x:v>37</x:v>
      </x:c>
      <x:c r="O184" s="35" t="n">
        <x:f>IF(AND(ISNUMBER(H184),H184&gt;0,ISNUMBER(N184)),N184/H184,"n.a.")</x:f>
        <x:v>0.31896551724137934</x:v>
      </x:c>
      <x:c r="P184" s="33" t="n">
        <x:f>Batches!D47</x:f>
        <x:v>0</x:v>
      </x:c>
      <x:c r="Q184" s="37" t="str">
        <x:f>IF(AND(P184=0,ISNUMBER(J184),COUNT(Batches!G47:K47)=5),J184-G184-H184*Batches!G47-Batches!M47,"n.a.")</x:f>
        <x:v>n.a.</x:v>
      </x:c>
      <x:c r="R184" s="12" t="str">
        <x:f>IF(P184&gt;0,"Partial ingredient costs",IF(ISNUMBER(Q184),"Modeled operating profit","Other operating costs missing"))</x:f>
        <x:v>Other operating costs missing</x:v>
      </x:c>
      <x:c r="S184" s="12" t="str">
        <x:v>'Croissant new'!B20:C20</x:v>
      </x:c>
    </x:row>
    <x:row r="185" ht="28" customHeight="1">
      <x:c r="A185" s="2" t="str">
        <x:v>Croissant new</x:v>
      </x:c>
      <x:c r="B185" s="11" t="str">
        <x:v>Main offer</x:v>
      </x:c>
      <x:c r="C185" s="13" t="n">
        <x:v>200</x:v>
      </x:c>
      <x:c r="D185" s="13" t="n">
        <x:v>300</x:v>
      </x:c>
      <x:c r="E185" s="13" t="n">
        <x:v>1</x:v>
      </x:c>
      <x:c r="F185" s="20" t="n">
        <x:f>Batches!L47</x:f>
        <x:v>5800</x:v>
      </x:c>
      <x:c r="G185" s="20" t="n">
        <x:f>Batches!C47</x:f>
        <x:v>3639.554678362573</x:v>
      </x:c>
      <x:c r="H185" s="28" t="n">
        <x:f>IF(AND(ISNUMBER(F185),ISNUMBER(C185),C185&gt;0,E185&gt;0),ROUNDDOWN(F185/C185/E185,0)*E185,"n.a.")</x:f>
        <x:v>29</x:v>
      </x:c>
      <x:c r="I185" s="32" t="n">
        <x:f>IF(AND(ISNUMBER(H185),ISNUMBER(Batches!F47),Batches!F47&gt;=0,Batches!F47&lt;=1),ROUNDDOWN(H185*Batches!F47/E185,0)*E185,"n.a.")</x:f>
        <x:v>29</x:v>
      </x:c>
      <x:c r="J185" s="11" t="n">
        <x:f>IF(AND(ISNUMBER(I185),ISNUMBER(D185)),I185*D185,"n.a.")</x:f>
        <x:v>8700</x:v>
      </x:c>
      <x:c r="K185" s="11" t="n">
        <x:f>IF(AND(ISNUMBER(I185),I185&gt;0),G185/I185,"n.a.")</x:f>
        <x:v>125.50188546077838</x:v>
      </x:c>
      <x:c r="L185" s="11" t="n">
        <x:f>IF(ISNUMBER(J185),J185-G185,"n.a.")</x:f>
        <x:v>5060.445321637427</x:v>
      </x:c>
      <x:c r="M185" s="34" t="n">
        <x:f>IF(AND(ISNUMBER(J185),J185&gt;0),L185/J185,"n.a.")</x:f>
        <x:v>0.5816603817974054</x:v>
      </x:c>
      <x:c r="N185" s="28" t="n">
        <x:f>IF(AND(ISNUMBER(D185),D185&gt;0),ROUNDUP(G185/(D185*E185),0)*E185,"n.a.")</x:f>
        <x:v>13</x:v>
      </x:c>
      <x:c r="O185" s="34" t="n">
        <x:f>IF(AND(ISNUMBER(H185),H185&gt;0,ISNUMBER(N185)),N185/H185,"n.a.")</x:f>
        <x:v>0.4482758620689655</x:v>
      </x:c>
      <x:c r="P185" s="32" t="n">
        <x:f>Batches!D47</x:f>
        <x:v>0</x:v>
      </x:c>
      <x:c r="Q185" s="36" t="str">
        <x:f>IF(AND(P185=0,ISNUMBER(J185),COUNT(Batches!G47:K47)=5),J185-G185-H185*Batches!G47-Batches!M47,"n.a.")</x:f>
        <x:v>n.a.</x:v>
      </x:c>
      <x:c r="R185" s="11" t="str">
        <x:f>IF(P185&gt;0,"Partial ingredient costs",IF(ISNUMBER(Q185),"Modeled operating profit","Other operating costs missing"))</x:f>
        <x:v>Other operating costs missing</x:v>
      </x:c>
      <x:c r="S185" s="11" t="str">
        <x:v>'Croissant new'!B21:C21</x:v>
      </x:c>
    </x:row>
    <x:row r="186" ht="28" customHeight="1">
      <x:c r="A186" s="10" t="str">
        <x:v>Croissant new</x:v>
      </x:c>
      <x:c r="B186" s="12" t="str">
        <x:v>Main offer</x:v>
      </x:c>
      <x:c r="C186" s="14" t="n">
        <x:v>700</x:v>
      </x:c>
      <x:c r="D186" s="14" t="n">
        <x:v>1000</x:v>
      </x:c>
      <x:c r="E186" s="14" t="n">
        <x:v>1</x:v>
      </x:c>
      <x:c r="F186" s="21" t="n">
        <x:f>Batches!L47</x:f>
        <x:v>5800</x:v>
      </x:c>
      <x:c r="G186" s="21" t="n">
        <x:f>Batches!C47</x:f>
        <x:v>3639.554678362573</x:v>
      </x:c>
      <x:c r="H186" s="29" t="n">
        <x:f>IF(AND(ISNUMBER(F186),ISNUMBER(C186),C186&gt;0,E186&gt;0),ROUNDDOWN(F186/C186/E186,0)*E186,"n.a.")</x:f>
        <x:v>8</x:v>
      </x:c>
      <x:c r="I186" s="33" t="n">
        <x:f>IF(AND(ISNUMBER(H186),ISNUMBER(Batches!F47),Batches!F47&gt;=0,Batches!F47&lt;=1),ROUNDDOWN(H186*Batches!F47/E186,0)*E186,"n.a.")</x:f>
        <x:v>8</x:v>
      </x:c>
      <x:c r="J186" s="12" t="n">
        <x:f>IF(AND(ISNUMBER(I186),ISNUMBER(D186)),I186*D186,"n.a.")</x:f>
        <x:v>8000</x:v>
      </x:c>
      <x:c r="K186" s="12" t="n">
        <x:f>IF(AND(ISNUMBER(I186),I186&gt;0),G186/I186,"n.a.")</x:f>
        <x:v>454.94433479532165</x:v>
      </x:c>
      <x:c r="L186" s="12" t="n">
        <x:f>IF(ISNUMBER(J186),J186-G186,"n.a.")</x:f>
        <x:v>4360.445321637427</x:v>
      </x:c>
      <x:c r="M186" s="35" t="n">
        <x:f>IF(AND(ISNUMBER(J186),J186&gt;0),L186/J186,"n.a.")</x:f>
        <x:v>0.5450556652046783</x:v>
      </x:c>
      <x:c r="N186" s="29" t="n">
        <x:f>IF(AND(ISNUMBER(D186),D186&gt;0),ROUNDUP(G186/(D186*E186),0)*E186,"n.a.")</x:f>
        <x:v>4</x:v>
      </x:c>
      <x:c r="O186" s="35" t="n">
        <x:f>IF(AND(ISNUMBER(H186),H186&gt;0,ISNUMBER(N186)),N186/H186,"n.a.")</x:f>
        <x:v>0.5</x:v>
      </x:c>
      <x:c r="P186" s="33" t="n">
        <x:f>Batches!D47</x:f>
        <x:v>0</x:v>
      </x:c>
      <x:c r="Q186" s="37" t="str">
        <x:f>IF(AND(P186=0,ISNUMBER(J186),COUNT(Batches!G47:K47)=5),J186-G186-H186*Batches!G47-Batches!M47,"n.a.")</x:f>
        <x:v>n.a.</x:v>
      </x:c>
      <x:c r="R186" s="12" t="str">
        <x:f>IF(P186&gt;0,"Partial ingredient costs",IF(ISNUMBER(Q186),"Modeled operating profit","Other operating costs missing"))</x:f>
        <x:v>Other operating costs missing</x:v>
      </x:c>
      <x:c r="S186" s="12" t="str">
        <x:v>'Croissant new'!B22:C22</x:v>
      </x:c>
    </x:row>
    <x:row r="187" ht="28" customHeight="1">
      <x:c r="A187" s="2" t="str">
        <x:v>Croissant new</x:v>
      </x:c>
      <x:c r="B187" s="11" t="str">
        <x:v>Manual offer; confirm</x:v>
      </x:c>
      <x:c r="C187" s="13" t="n">
        <x:v>380</x:v>
      </x:c>
      <x:c r="D187" s="13" t="n">
        <x:v>500</x:v>
      </x:c>
      <x:c r="E187" s="13" t="n">
        <x:v>1</x:v>
      </x:c>
      <x:c r="F187" s="20" t="n">
        <x:f>Batches!L47</x:f>
        <x:v>5800</x:v>
      </x:c>
      <x:c r="G187" s="20" t="n">
        <x:f>Batches!C47</x:f>
        <x:v>3639.554678362573</x:v>
      </x:c>
      <x:c r="H187" s="28" t="n">
        <x:f>IF(AND(ISNUMBER(F187),ISNUMBER(C187),C187&gt;0,E187&gt;0),ROUNDDOWN(F187/C187/E187,0)*E187,"n.a.")</x:f>
        <x:v>15</x:v>
      </x:c>
      <x:c r="I187" s="32" t="n">
        <x:f>IF(AND(ISNUMBER(H187),ISNUMBER(Batches!F47),Batches!F47&gt;=0,Batches!F47&lt;=1),ROUNDDOWN(H187*Batches!F47/E187,0)*E187,"n.a.")</x:f>
        <x:v>15</x:v>
      </x:c>
      <x:c r="J187" s="11" t="n">
        <x:f>IF(AND(ISNUMBER(I187),ISNUMBER(D187)),I187*D187,"n.a.")</x:f>
        <x:v>7500</x:v>
      </x:c>
      <x:c r="K187" s="11" t="n">
        <x:f>IF(AND(ISNUMBER(I187),I187&gt;0),G187/I187,"n.a.")</x:f>
        <x:v>242.63697855750488</x:v>
      </x:c>
      <x:c r="L187" s="11" t="n">
        <x:f>IF(ISNUMBER(J187),J187-G187,"n.a.")</x:f>
        <x:v>3860.445321637427</x:v>
      </x:c>
      <x:c r="M187" s="34" t="n">
        <x:f>IF(AND(ISNUMBER(J187),J187&gt;0),L187/J187,"n.a.")</x:f>
        <x:v>0.5147260428849902</x:v>
      </x:c>
      <x:c r="N187" s="28" t="n">
        <x:f>IF(AND(ISNUMBER(D187),D187&gt;0),ROUNDUP(G187/(D187*E187),0)*E187,"n.a.")</x:f>
        <x:v>8</x:v>
      </x:c>
      <x:c r="O187" s="34" t="n">
        <x:f>IF(AND(ISNUMBER(H187),H187&gt;0,ISNUMBER(N187)),N187/H187,"n.a.")</x:f>
        <x:v>0.5333333333333333</x:v>
      </x:c>
      <x:c r="P187" s="32" t="n">
        <x:f>Batches!D47</x:f>
        <x:v>0</x:v>
      </x:c>
      <x:c r="Q187" s="36" t="str">
        <x:f>IF(AND(P187=0,ISNUMBER(J187),COUNT(Batches!G47:K47)=5),J187-G187-H187*Batches!G47-Batches!M47,"n.a.")</x:f>
        <x:v>n.a.</x:v>
      </x:c>
      <x:c r="R187" s="11" t="str">
        <x:f>IF(P187&gt;0,"Partial ingredient costs",IF(ISNUMBER(Q187),"Modeled operating profit","Other operating costs missing"))</x:f>
        <x:v>Other operating costs missing</x:v>
      </x:c>
      <x:c r="S187" s="11" t="str">
        <x:v>'Croissant new'!F27,H27</x:v>
      </x:c>
    </x:row>
    <x:row r="188" ht="28" customHeight="1">
      <x:c r="A188" s="10" t="str">
        <x:v>Croissant new</x:v>
      </x:c>
      <x:c r="B188" s="12" t="str">
        <x:v>Manual offer; confirm</x:v>
      </x:c>
      <x:c r="C188" s="14" t="n">
        <x:v>190</x:v>
      </x:c>
      <x:c r="D188" s="14" t="n">
        <x:v>250</x:v>
      </x:c>
      <x:c r="E188" s="14" t="n">
        <x:v>1</x:v>
      </x:c>
      <x:c r="F188" s="21" t="n">
        <x:f>Batches!L47</x:f>
        <x:v>5800</x:v>
      </x:c>
      <x:c r="G188" s="21" t="n">
        <x:f>Batches!C47</x:f>
        <x:v>3639.554678362573</x:v>
      </x:c>
      <x:c r="H188" s="29" t="n">
        <x:f>IF(AND(ISNUMBER(F188),ISNUMBER(C188),C188&gt;0,E188&gt;0),ROUNDDOWN(F188/C188/E188,0)*E188,"n.a.")</x:f>
        <x:v>30</x:v>
      </x:c>
      <x:c r="I188" s="33" t="n">
        <x:f>IF(AND(ISNUMBER(H188),ISNUMBER(Batches!F47),Batches!F47&gt;=0,Batches!F47&lt;=1),ROUNDDOWN(H188*Batches!F47/E188,0)*E188,"n.a.")</x:f>
        <x:v>30</x:v>
      </x:c>
      <x:c r="J188" s="12" t="n">
        <x:f>IF(AND(ISNUMBER(I188),ISNUMBER(D188)),I188*D188,"n.a.")</x:f>
        <x:v>7500</x:v>
      </x:c>
      <x:c r="K188" s="12" t="n">
        <x:f>IF(AND(ISNUMBER(I188),I188&gt;0),G188/I188,"n.a.")</x:f>
        <x:v>121.31848927875244</x:v>
      </x:c>
      <x:c r="L188" s="12" t="n">
        <x:f>IF(ISNUMBER(J188),J188-G188,"n.a.")</x:f>
        <x:v>3860.445321637427</x:v>
      </x:c>
      <x:c r="M188" s="35" t="n">
        <x:f>IF(AND(ISNUMBER(J188),J188&gt;0),L188/J188,"n.a.")</x:f>
        <x:v>0.5147260428849902</x:v>
      </x:c>
      <x:c r="N188" s="29" t="n">
        <x:f>IF(AND(ISNUMBER(D188),D188&gt;0),ROUNDUP(G188/(D188*E188),0)*E188,"n.a.")</x:f>
        <x:v>15</x:v>
      </x:c>
      <x:c r="O188" s="35" t="n">
        <x:f>IF(AND(ISNUMBER(H188),H188&gt;0,ISNUMBER(N188)),N188/H188,"n.a.")</x:f>
        <x:v>0.5</x:v>
      </x:c>
      <x:c r="P188" s="33" t="n">
        <x:f>Batches!D47</x:f>
        <x:v>0</x:v>
      </x:c>
      <x:c r="Q188" s="37" t="str">
        <x:f>IF(AND(P188=0,ISNUMBER(J188),COUNT(Batches!G47:K47)=5),J188-G188-H188*Batches!G47-Batches!M47,"n.a.")</x:f>
        <x:v>n.a.</x:v>
      </x:c>
      <x:c r="R188" s="12" t="str">
        <x:f>IF(P188&gt;0,"Partial ingredient costs",IF(ISNUMBER(Q188),"Modeled operating profit","Other operating costs missing"))</x:f>
        <x:v>Other operating costs missing</x:v>
      </x:c>
      <x:c r="S188" s="12" t="str">
        <x:v>'Croissant new'!F28,H28</x:v>
      </x:c>
    </x:row>
  </x:sheetData>
  <x:conditionalFormatting sqref="R7:R188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3879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3" hidden="0" customWidth="1"/>
    <x:col min="4" max="4" width="18" hidden="0" customWidth="1"/>
    <x:col min="5" max="5" width="20" hidden="0" customWidth="1"/>
    <x:col min="6" max="6" width="18" hidden="0" customWidth="1"/>
    <x:col min="7" max="7" width="23" hidden="0" customWidth="1"/>
    <x:col min="8" max="8" width="23" hidden="0" customWidth="1"/>
    <x:col min="9" max="9" width="23" hidden="0" customWidth="1"/>
    <x:col min="10" max="10" width="26" hidden="0" customWidth="1"/>
    <x:col min="11" max="11" width="26" hidden="0" customWidth="1"/>
    <x:col min="12" max="12" width="21" hidden="0" customWidth="1"/>
    <x:col min="13" max="13" width="23" hidden="0" customWidth="1"/>
    <x:col min="14" max="14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Batch costs and operating inputs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>
      <x:c r="A4" s="4" t="str">
        <x:v>Defaults: 100% nominal mass yield and sell-through, both unmeasured. Enter real non-ingredient costs; blank is unknown, zero means no charge.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3" customHeight="1">
      <x:c r="A6" s="9" t="str">
        <x:v>Recipe</x:v>
      </x:c>
      <x:c r="B6" s="9" t="str">
        <x:v>Dough / mix grams</x:v>
      </x:c>
      <x:c r="C6" s="9" t="str">
        <x:v>Known ingredient CFA</x:v>
      </x:c>
      <x:c r="D6" s="9" t="str">
        <x:v>Missing cost lines</x:v>
      </x:c>
      <x:c r="E6" s="9" t="str">
        <x:v>Usable mass factor</x:v>
      </x:c>
      <x:c r="F6" s="9" t="str">
        <x:v>Sell-through</x:v>
      </x:c>
      <x:c r="G6" s="9" t="str">
        <x:v>Pack / produced pc CFA</x:v>
      </x:c>
      <x:c r="H6" s="9" t="str">
        <x:v>Labour / batch CFA</x:v>
      </x:c>
      <x:c r="I6" s="9" t="str">
        <x:v>Energy / batch CFA</x:v>
      </x:c>
      <x:c r="J6" s="9" t="str">
        <x:v>Other variable / batch CFA</x:v>
      </x:c>
      <x:c r="K6" s="9" t="str">
        <x:v>Allocated fixed / batch CFA</x:v>
      </x:c>
      <x:c r="L6" s="9" t="str">
        <x:v>Usable mass g</x:v>
      </x:c>
      <x:c r="M6" s="9" t="str">
        <x:v>Non-pack costs CFA</x:v>
      </x:c>
      <x:c r="N6" s="9" t="str">
        <x:v>Ingredient basis / limitation</x:v>
      </x:c>
    </x:row>
    <x:row r="7" ht="28" customHeight="1">
      <x:c r="A7" s="2" t="str">
        <x:v>baguette</x:v>
      </x:c>
      <x:c r="B7" s="20" t="n">
        <x:f>SUMIFS(Ingredients!$I$7:$I$382,Ingredients!$A$7:$A$382,A7)</x:f>
        <x:v>9890</x:v>
      </x:c>
      <x:c r="C7" s="20" t="n">
        <x:f>SUMIFS(Ingredients!$G$7:$G$382,Ingredients!$A$7:$A$382,A7)</x:f>
        <x:v>3378.85</x:v>
      </x:c>
      <x:c r="D7" s="32" t="n">
        <x:f>SUMIFS(Ingredients!$J$7:$J$382,Ingredients!$A$7:$A$382,A7)</x:f>
        <x:v>0</x:v>
      </x:c>
      <x:c r="E7" s="30" t="n">
        <x:v>1</x:v>
      </x:c>
      <x:c r="F7" s="30" t="n">
        <x:v>1</x:v>
      </x:c>
      <x:c r="G7" s="15"/>
      <x:c r="H7" s="15"/>
      <x:c r="I7" s="15"/>
      <x:c r="J7" s="15"/>
      <x:c r="K7" s="15"/>
      <x:c r="L7" s="11" t="n">
        <x:f>IF(AND(ISNUMBER(E7),E7&gt;0),B7*E7,"n.a.")</x:f>
        <x:v>9890</x:v>
      </x:c>
      <x:c r="M7" s="26" t="str">
        <x:f>IF(COUNT(H7:K7)=4,SUM(H7:K7),"n.a.")</x:f>
        <x:v>n.a.</x:v>
      </x:c>
      <x:c r="N7" s="11" t="str">
        <x:v>Source D5:D9. The 18 kg column actually starts with 111 kg flour. Improver is 3% of flour; verify its specified dose. The 200 g/100 CFA format is much weaker than the 90 g format.</x:v>
      </x:c>
    </x:row>
    <x:row r="8" ht="28" customHeight="1">
      <x:c r="A8" s="10" t="str">
        <x:v>Baguette AI</x:v>
      </x:c>
      <x:c r="B8" s="21" t="n">
        <x:f>SUMIFS(Ingredients!$I$7:$I$382,Ingredients!$A$7:$A$382,A8)</x:f>
        <x:v>30520</x:v>
      </x:c>
      <x:c r="C8" s="21" t="n">
        <x:f>SUMIFS(Ingredients!$G$7:$G$382,Ingredients!$A$7:$A$382,A8)</x:f>
        <x:v>8109.144444444444</x:v>
      </x:c>
      <x:c r="D8" s="33" t="n">
        <x:f>SUMIFS(Ingredients!$J$7:$J$382,Ingredients!$A$7:$A$382,A8)</x:f>
        <x:v>0</x:v>
      </x:c>
      <x:c r="E8" s="31" t="n">
        <x:v>1</x:v>
      </x:c>
      <x:c r="F8" s="31" t="n">
        <x:v>1</x:v>
      </x:c>
      <x:c r="G8" s="15"/>
      <x:c r="H8" s="15"/>
      <x:c r="I8" s="15"/>
      <x:c r="J8" s="15"/>
      <x:c r="K8" s="15"/>
      <x:c r="L8" s="12" t="n">
        <x:f>IF(AND(ISNUMBER(E8),E8&gt;0),B8*E8,"n.a.")</x:f>
        <x:v>30520</x:v>
      </x:c>
      <x:c r="M8" s="27" t="str">
        <x:f>IF(COUNT(H8:K8)=4,SUM(H8:K8),"n.a.")</x:f>
        <x:v>n.a.</x:v>
      </x:c>
      <x:c r="N8" s="12" t="str">
        <x:v>Source D5:D9. D uses 18 kg flour despite its 10 kg heading. F and J use different salt/improver ratios, so they are separate formulas. Bulk revenue uses 12 pieces for 1,000 CFA.</x:v>
      </x:c>
    </x:row>
    <x:row r="9" ht="28" customHeight="1">
      <x:c r="A9" s="2" t="str">
        <x:v>Banh Mi</x:v>
      </x:c>
      <x:c r="B9" s="20" t="n">
        <x:f>SUMIFS(Ingredients!$I$7:$I$382,Ingredients!$A$7:$A$382,A9)</x:f>
        <x:v>10530</x:v>
      </x:c>
      <x:c r="C9" s="20" t="n">
        <x:f>SUMIFS(Ingredients!$G$7:$G$382,Ingredients!$A$7:$A$382,A9)</x:f>
        <x:v>3230.4700000000003</x:v>
      </x:c>
      <x:c r="D9" s="32" t="n">
        <x:f>SUMIFS(Ingredients!$J$7:$J$382,Ingredients!$A$7:$A$382,A9)</x:f>
        <x:v>0</x:v>
      </x:c>
      <x:c r="E9" s="30" t="n">
        <x:v>1</x:v>
      </x:c>
      <x:c r="F9" s="30" t="n">
        <x:v>1</x:v>
      </x:c>
      <x:c r="G9" s="15"/>
      <x:c r="H9" s="15"/>
      <x:c r="I9" s="15"/>
      <x:c r="J9" s="15"/>
      <x:c r="K9" s="15"/>
      <x:c r="L9" s="11" t="n">
        <x:f>IF(AND(ISNUMBER(E9),E9&gt;0),B9*E9,"n.a.")</x:f>
        <x:v>10530</x:v>
      </x:c>
      <x:c r="M9" s="26" t="str">
        <x:f>IF(COUNT(H9:K9)=4,SUM(H9:K9),"n.a.")</x:f>
        <x:v>n.a.</x:v>
      </x:c>
      <x:c r="N9" s="11" t="str">
        <x:v>Source F5:F10. The 50 kg column actually has 150 kg flour. Correct sugar from 37,000 to the master 32,000 per 50 kg. Very low salt and 2.5% improver require recipe review.</x:v>
      </x:c>
    </x:row>
    <x:row r="10" ht="28" customHeight="1">
      <x:c r="A10" s="10" t="str">
        <x:v>cake marbre</x:v>
      </x:c>
      <x:c r="B10" s="21" t="n">
        <x:f>SUMIFS(Ingredients!$I$7:$I$382,Ingredients!$A$7:$A$382,A10)</x:f>
        <x:v>5227</x:v>
      </x:c>
      <x:c r="C10" s="21" t="n">
        <x:f>SUMIFS(Ingredients!$G$7:$G$382,Ingredients!$A$7:$A$382,A10)</x:f>
        <x:v>3303.419005847953</x:v>
      </x:c>
      <x:c r="D10" s="33" t="n">
        <x:f>SUMIFS(Ingredients!$J$7:$J$382,Ingredients!$A$7:$A$382,A10)</x:f>
        <x:v>0</x:v>
      </x:c>
      <x:c r="E10" s="31" t="n">
        <x:v>1</x:v>
      </x:c>
      <x:c r="F10" s="31" t="n">
        <x:v>1</x:v>
      </x:c>
      <x:c r="G10" s="15"/>
      <x:c r="H10" s="15"/>
      <x:c r="I10" s="15"/>
      <x:c r="J10" s="15"/>
      <x:c r="K10" s="15"/>
      <x:c r="L10" s="12" t="n">
        <x:f>IF(AND(ISNUMBER(E10),E10&gt;0),B10*E10,"n.a.")</x:f>
        <x:v>5227</x:v>
      </x:c>
      <x:c r="M10" s="27" t="str">
        <x:f>IF(COUNT(H10:K10)=4,SUM(H10:K10),"n.a.")</x:f>
        <x:v>n.a.</x:v>
      </x:c>
      <x:c r="N10" s="12" t="str">
        <x:v>Source D5:D14. Piece-count formulas divide batch COST by piece weight. Historical ingredient rates differ sharply from the master. Milk identity is unclear. No cocoa/chocolate line identifies the marbling.</x:v>
      </x:c>
    </x:row>
    <x:row r="11" ht="28" customHeight="1">
      <x:c r="A11" s="2" t="str">
        <x:v>gateau</x:v>
      </x:c>
      <x:c r="B11" s="20" t="n">
        <x:f>SUMIFS(Ingredients!$I$7:$I$382,Ingredients!$A$7:$A$382,A11)</x:f>
        <x:v>39870</x:v>
      </x:c>
      <x:c r="C11" s="20" t="n">
        <x:f>SUMIFS(Ingredients!$G$7:$G$382,Ingredients!$A$7:$A$382,A11)</x:f>
        <x:v>16354.771929824561</x:v>
      </x:c>
      <x:c r="D11" s="32" t="n">
        <x:f>SUMIFS(Ingredients!$J$7:$J$382,Ingredients!$A$7:$A$382,A11)</x:f>
        <x:v>1</x:v>
      </x:c>
      <x:c r="E11" s="30" t="n">
        <x:v>1</x:v>
      </x:c>
      <x:c r="F11" s="30" t="n">
        <x:v>1</x:v>
      </x:c>
      <x:c r="G11" s="15"/>
      <x:c r="H11" s="15"/>
      <x:c r="I11" s="15"/>
      <x:c r="J11" s="15"/>
      <x:c r="K11" s="15"/>
      <x:c r="L11" s="11" t="n">
        <x:f>IF(AND(ISNUMBER(E11),E11&gt;0),B11*E11,"n.a.")</x:f>
        <x:v>39870</x:v>
      </x:c>
      <x:c r="M11" s="26" t="str">
        <x:f>IF(COUNT(H11:K11)=4,SUM(H11:K11),"n.a.")</x:f>
        <x:v>n.a.</x:v>
      </x:c>
      <x:c r="N11" s="11" t="str">
        <x:v>Source D5:D16. Frying oil is entered as 10 against a pack weight of 20; units and net oil consumption are unresolved. Butter uses 20,000 g instead of 9,500 g. Condensed milk and egg mass need confirmation.</x:v>
      </x:c>
    </x:row>
    <x:row r="12" ht="28" customHeight="1">
      <x:c r="A12" s="10" t="str">
        <x:v>buns new look</x:v>
      </x:c>
      <x:c r="B12" s="21" t="n">
        <x:f>SUMIFS(Ingredients!$I$7:$I$382,Ingredients!$A$7:$A$382,A12)</x:f>
        <x:v>24750</x:v>
      </x:c>
      <x:c r="C12" s="21" t="n">
        <x:f>SUMIFS(Ingredients!$G$7:$G$382,Ingredients!$A$7:$A$382,A12)</x:f>
        <x:v>12433.85350877193</x:v>
      </x:c>
      <x:c r="D12" s="33" t="n">
        <x:f>SUMIFS(Ingredients!$J$7:$J$382,Ingredients!$A$7:$A$382,A12)</x:f>
        <x:v>0</x:v>
      </x:c>
      <x:c r="E12" s="31" t="n">
        <x:v>1</x:v>
      </x:c>
      <x:c r="F12" s="31" t="n">
        <x:v>1</x:v>
      </x:c>
      <x:c r="G12" s="15"/>
      <x:c r="H12" s="15"/>
      <x:c r="I12" s="15"/>
      <x:c r="J12" s="15"/>
      <x:c r="K12" s="15"/>
      <x:c r="L12" s="12" t="n">
        <x:f>IF(AND(ISNUMBER(E12),E12&gt;0),B12*E12,"n.a.")</x:f>
        <x:v>24750</x:v>
      </x:c>
      <x:c r="M12" s="27" t="str">
        <x:f>IF(COUNT(H12:K12)=4,SUM(H12:K12),"n.a.")</x:f>
        <x:v>n.a.</x:v>
      </x:c>
      <x:c r="N12" s="12" t="str">
        <x:v>Source D5:D14. D/F/H/N are different formulas, not exact scales. D16 omits the 100 g EDC. Manual per-bun costs use selling weight/price instead of ingredient cost.</x:v>
      </x:c>
    </x:row>
    <x:row r="13" ht="28" customHeight="1">
      <x:c r="A13" s="2" t="str">
        <x:v>Donuts</x:v>
      </x:c>
      <x:c r="B13" s="20" t="n">
        <x:f>SUMIFS(Ingredients!$I$7:$I$382,Ingredients!$A$7:$A$382,A13)</x:f>
        <x:v>22450</x:v>
      </x:c>
      <x:c r="C13" s="20" t="n">
        <x:f>SUMIFS(Ingredients!$G$7:$G$382,Ingredients!$A$7:$A$382,A13)</x:f>
        <x:v>14597.735</x:v>
      </x:c>
      <x:c r="D13" s="32" t="n">
        <x:f>SUMIFS(Ingredients!$J$7:$J$382,Ingredients!$A$7:$A$382,A13)</x:f>
        <x:v>0</x:v>
      </x:c>
      <x:c r="E13" s="30" t="n">
        <x:v>1</x:v>
      </x:c>
      <x:c r="F13" s="30" t="n">
        <x:v>1</x:v>
      </x:c>
      <x:c r="G13" s="15"/>
      <x:c r="H13" s="15"/>
      <x:c r="I13" s="15"/>
      <x:c r="J13" s="15"/>
      <x:c r="K13" s="15"/>
      <x:c r="L13" s="11" t="n">
        <x:f>IF(AND(ISNUMBER(E13),E13&gt;0),B13*E13,"n.a.")</x:f>
        <x:v>22450</x:v>
      </x:c>
      <x:c r="M13" s="26" t="str">
        <x:f>IF(COUNT(H13:K13)=4,SUM(H13:K13),"n.a.")</x:f>
        <x:v>n.a.</x:v>
      </x:c>
      <x:c r="N13" s="11" t="str">
        <x:v>Source D5:D13. Keep the 5 kg frying-oil charge out of dough yield. Its full cost is charged provisionally; measure oil consumed/discarded. Large-scale cost and quantity use different multipliers; sales formulas have broken references.</x:v>
      </x:c>
    </x:row>
    <x:row r="14" ht="28" customHeight="1">
      <x:c r="A14" s="10" t="str">
        <x:v>Fish Pie</x:v>
      </x:c>
      <x:c r="B14" s="21" t="n">
        <x:f>SUMIFS(Ingredients!$I$7:$I$382,Ingredients!$A$7:$A$382,A14)</x:f>
        <x:v>5700</x:v>
      </x:c>
      <x:c r="C14" s="21" t="n">
        <x:f>SUMIFS(Ingredients!$G$7:$G$382,Ingredients!$A$7:$A$382,A14)</x:f>
        <x:v>4186.646616541353</x:v>
      </x:c>
      <x:c r="D14" s="33" t="n">
        <x:f>SUMIFS(Ingredients!$J$7:$J$382,Ingredients!$A$7:$A$382,A14)</x:f>
        <x:v>1</x:v>
      </x:c>
      <x:c r="E14" s="31" t="n">
        <x:v>1</x:v>
      </x:c>
      <x:c r="F14" s="31" t="n">
        <x:v>1</x:v>
      </x:c>
      <x:c r="G14" s="15"/>
      <x:c r="H14" s="15"/>
      <x:c r="I14" s="15"/>
      <x:c r="J14" s="15"/>
      <x:c r="K14" s="15"/>
      <x:c r="L14" s="12" t="n">
        <x:f>IF(AND(ISNUMBER(E14),E14&gt;0),B14*E14,"n.a.")</x:f>
        <x:v>5700</x:v>
      </x:c>
      <x:c r="M14" s="27" t="str">
        <x:f>IF(COUNT(H14:K14)=4,SUM(H14:K14),"n.a.")</x:f>
        <x:v>n.a.</x:v>
      </x:c>
      <x:c r="N14" s="12" t="str">
        <x:v>Source D5:D16. Cabbage (200 g) is unpriced. Improver points to baking powder. Filling trim/cook losses and labour are missing. Manual 60 g/100 CFA differs from the main 85 g/100 CFA format.</x:v>
      </x:c>
    </x:row>
    <x:row r="15" ht="28" customHeight="1">
      <x:c r="A15" s="2" t="str">
        <x:v>Galette</x:v>
      </x:c>
      <x:c r="B15" s="20" t="n">
        <x:f>SUMIFS(Ingredients!$I$7:$I$382,Ingredients!$A$7:$A$382,A15)</x:f>
        <x:v>16995</x:v>
      </x:c>
      <x:c r="C15" s="20" t="n">
        <x:f>SUMIFS(Ingredients!$G$7:$G$382,Ingredients!$A$7:$A$382,A15)</x:f>
        <x:v>10788.44269005848</x:v>
      </x:c>
      <x:c r="D15" s="32" t="n">
        <x:f>SUMIFS(Ingredients!$J$7:$J$382,Ingredients!$A$7:$A$382,A15)</x:f>
        <x:v>0</x:v>
      </x:c>
      <x:c r="E15" s="30" t="n">
        <x:v>1</x:v>
      </x:c>
      <x:c r="F15" s="30" t="n">
        <x:v>1</x:v>
      </x:c>
      <x:c r="G15" s="15"/>
      <x:c r="H15" s="15"/>
      <x:c r="I15" s="15"/>
      <x:c r="J15" s="15"/>
      <x:c r="K15" s="15"/>
      <x:c r="L15" s="11" t="n">
        <x:f>IF(AND(ISNUMBER(E15),E15&gt;0),B15*E15,"n.a.")</x:f>
        <x:v>16995</x:v>
      </x:c>
      <x:c r="M15" s="26" t="str">
        <x:f>IF(COUNT(H15:K15)=4,SUM(H15:K15),"n.a.")</x:f>
        <x:v>n.a.</x:v>
      </x:c>
      <x:c r="N15" s="11" t="str">
        <x:v>Source D5:D16. Baking powder uses a 4,000 g milk-tantalizer denominator instead of 500 g. Manual per-piece cost is a price/weight ratio, not ingredient cost. EDC identity needs confirmation.</x:v>
      </x:c>
    </x:row>
    <x:row r="16" ht="28" customHeight="1">
      <x:c r="A16" s="10" t="str">
        <x:v>New bread</x:v>
      </x:c>
      <x:c r="B16" s="21" t="n">
        <x:f>SUMIFS(Ingredients!$I$7:$I$382,Ingredients!$A$7:$A$382,A16)</x:f>
        <x:v>24160</x:v>
      </x:c>
      <x:c r="C16" s="21" t="n">
        <x:f>SUMIFS(Ingredients!$G$7:$G$382,Ingredients!$A$7:$A$382,A16)</x:f>
        <x:v>9079.983625730994</x:v>
      </x:c>
      <x:c r="D16" s="33" t="n">
        <x:f>SUMIFS(Ingredients!$J$7:$J$382,Ingredients!$A$7:$A$382,A16)</x:f>
        <x:v>0</x:v>
      </x:c>
      <x:c r="E16" s="31" t="n">
        <x:v>1</x:v>
      </x:c>
      <x:c r="F16" s="31" t="n">
        <x:v>1</x:v>
      </x:c>
      <x:c r="G16" s="15"/>
      <x:c r="H16" s="15"/>
      <x:c r="I16" s="15"/>
      <x:c r="J16" s="15"/>
      <x:c r="K16" s="15"/>
      <x:c r="L16" s="12" t="n">
        <x:f>IF(AND(ISNUMBER(E16),E16&gt;0),B16*E16,"n.a.")</x:f>
        <x:v>24160</x:v>
      </x:c>
      <x:c r="M16" s="27" t="str">
        <x:f>IF(COUNT(H16:K16)=4,SUM(H16:K16),"n.a.")</x:f>
        <x:v>n.a.</x:v>
      </x:c>
      <x:c r="N16" s="12" t="str">
        <x:v>Source D5:D13. Condensed milk combines a milk price with a 25 kg powder-milk pack. Egg denominator is 540 g rather than the master 1,500 g. The purported 50 kg batch contains 125 kg flour.</x:v>
      </x:c>
    </x:row>
    <x:row r="17" ht="28" customHeight="1">
      <x:c r="A17" s="2" t="str">
        <x:v>NGALA BREAD</x:v>
      </x:c>
      <x:c r="B17" s="20" t="n">
        <x:f>SUMIFS(Ingredients!$I$7:$I$382,Ingredients!$A$7:$A$382,A17)</x:f>
        <x:v>15430</x:v>
      </x:c>
      <x:c r="C17" s="20" t="n">
        <x:f>SUMIFS(Ingredients!$G$7:$G$382,Ingredients!$A$7:$A$382,A17)</x:f>
        <x:v>7351.391228070174</x:v>
      </x:c>
      <x:c r="D17" s="32" t="n">
        <x:f>SUMIFS(Ingredients!$J$7:$J$382,Ingredients!$A$7:$A$382,A17)</x:f>
        <x:v>0</x:v>
      </x:c>
      <x:c r="E17" s="30" t="n">
        <x:v>1</x:v>
      </x:c>
      <x:c r="F17" s="30" t="n">
        <x:v>1</x:v>
      </x:c>
      <x:c r="G17" s="15"/>
      <x:c r="H17" s="15"/>
      <x:c r="I17" s="15"/>
      <x:c r="J17" s="15"/>
      <x:c r="K17" s="15"/>
      <x:c r="L17" s="11" t="n">
        <x:f>IF(AND(ISNUMBER(E17),E17&gt;0),B17*E17,"n.a.")</x:f>
        <x:v>15430</x:v>
      </x:c>
      <x:c r="M17" s="26" t="str">
        <x:f>IF(COUNT(H17:K17)=4,SUM(H17:K17),"n.a.")</x:f>
        <x:v>n.a.</x:v>
      </x:c>
      <x:c r="N17" s="11" t="str">
        <x:v>Source D5:D13. Condensed milk uses the 25 kg powder-milk denominator. Egg pack weight is inconsistent. Manual cost formulas contain broken references.</x:v>
      </x:c>
    </x:row>
    <x:row r="18" ht="28" customHeight="1">
      <x:c r="A18" s="10" t="str">
        <x:v>Pain au lait</x:v>
      </x:c>
      <x:c r="B18" s="21" t="n">
        <x:f>SUMIFS(Ingredients!$I$7:$I$382,Ingredients!$A$7:$A$382,A18)</x:f>
        <x:v>20457</x:v>
      </x:c>
      <x:c r="C18" s="21" t="n">
        <x:f>SUMIFS(Ingredients!$G$7:$G$382,Ingredients!$A$7:$A$382,A18)</x:f>
        <x:v>9645.830116959065</x:v>
      </x:c>
      <x:c r="D18" s="33" t="n">
        <x:f>SUMIFS(Ingredients!$J$7:$J$382,Ingredients!$A$7:$A$382,A18)</x:f>
        <x:v>0</x:v>
      </x:c>
      <x:c r="E18" s="31" t="n">
        <x:v>1</x:v>
      </x:c>
      <x:c r="F18" s="31" t="n">
        <x:v>1</x:v>
      </x:c>
      <x:c r="G18" s="15"/>
      <x:c r="H18" s="15"/>
      <x:c r="I18" s="15"/>
      <x:c r="J18" s="15"/>
      <x:c r="K18" s="15"/>
      <x:c r="L18" s="12" t="n">
        <x:f>IF(AND(ISNUMBER(E18),E18&gt;0),B18*E18,"n.a.")</x:f>
        <x:v>20457</x:v>
      </x:c>
      <x:c r="M18" s="27" t="str">
        <x:f>IF(COUNT(H18:K18)=4,SUM(H18:K18),"n.a.")</x:f>
        <x:v>n.a.</x:v>
      </x:c>
      <x:c r="N18" s="12" t="str">
        <x:v>Source D5:D17. E19 omits ingredients after yeast although D19 includes them. The purported 18 kg batch starts with 43.2 kg flour. Confirm milk identity, EDC and flavour dosage.</x:v>
      </x:c>
    </x:row>
    <x:row r="19" ht="28" customHeight="1">
      <x:c r="A19" s="2" t="str">
        <x:v>NEW BRIOCHE</x:v>
      </x:c>
      <x:c r="B19" s="20" t="n">
        <x:f>SUMIFS(Ingredients!$I$7:$I$382,Ingredients!$A$7:$A$382,A19)</x:f>
        <x:v>17213</x:v>
      </x:c>
      <x:c r="C19" s="20" t="n">
        <x:f>SUMIFS(Ingredients!$G$7:$G$382,Ingredients!$A$7:$A$382,A19)</x:f>
        <x:v>10838.378070175437</x:v>
      </x:c>
      <x:c r="D19" s="32" t="n">
        <x:f>SUMIFS(Ingredients!$J$7:$J$382,Ingredients!$A$7:$A$382,A19)</x:f>
        <x:v>0</x:v>
      </x:c>
      <x:c r="E19" s="30" t="n">
        <x:v>1</x:v>
      </x:c>
      <x:c r="F19" s="30" t="n">
        <x:v>1</x:v>
      </x:c>
      <x:c r="G19" s="15"/>
      <x:c r="H19" s="15"/>
      <x:c r="I19" s="15"/>
      <x:c r="J19" s="15"/>
      <x:c r="K19" s="15"/>
      <x:c r="L19" s="11" t="n">
        <x:f>IF(AND(ISNUMBER(E19),E19&gt;0),B19*E19,"n.a.")</x:f>
        <x:v>17213</x:v>
      </x:c>
      <x:c r="M19" s="26" t="str">
        <x:f>IF(COUNT(H19:K19)=4,SUM(H19:K19),"n.a.")</x:f>
        <x:v>n.a.</x:v>
      </x:c>
      <x:c r="N19" s="11" t="str">
        <x:v>Source D5:D15. The secondary batch total omits rows and is not a faithful scale. The 82 g/100 CFA entry needs separate economics from 140 g/200 CFA. Compare flavour and demand before combining with brioche.</x:v>
      </x:c>
    </x:row>
    <x:row r="20" ht="28" customHeight="1">
      <x:c r="A20" s="10" t="str">
        <x:v>Brioche Professionel</x:v>
      </x:c>
      <x:c r="B20" s="21" t="n">
        <x:f>SUMIFS(Ingredients!$I$7:$I$382,Ingredients!$A$7:$A$382,A20)</x:f>
        <x:v>10750</x:v>
      </x:c>
      <x:c r="C20" s="21" t="n">
        <x:f>SUMIFS(Ingredients!$G$7:$G$382,Ingredients!$A$7:$A$382,A20)</x:f>
        <x:v>8800.684210526317</x:v>
      </x:c>
      <x:c r="D20" s="33" t="n">
        <x:f>SUMIFS(Ingredients!$J$7:$J$382,Ingredients!$A$7:$A$382,A20)</x:f>
        <x:v>0</x:v>
      </x:c>
      <x:c r="E20" s="31" t="n">
        <x:v>1</x:v>
      </x:c>
      <x:c r="F20" s="31" t="n">
        <x:v>1</x:v>
      </x:c>
      <x:c r="G20" s="15"/>
      <x:c r="H20" s="15"/>
      <x:c r="I20" s="15"/>
      <x:c r="J20" s="15"/>
      <x:c r="K20" s="15"/>
      <x:c r="L20" s="12" t="n">
        <x:f>IF(AND(ISNUMBER(E20),E20&gt;0),B20*E20,"n.a.")</x:f>
        <x:v>10750</x:v>
      </x:c>
      <x:c r="M20" s="27" t="str">
        <x:f>IF(COUNT(H20:K20)=4,SUM(H20:K20),"n.a.")</x:f>
        <x:v>n.a.</x:v>
      </x:c>
      <x:c r="N20" s="12" t="str">
        <x:v>Source D5:D13. E15 omits yeast and nutmeg. The 50 kg column starts with only 13.64 kg flour. Condensed-milk identity is unresolved; the manual 80 g/100 CFA is weaker than 70 g/100 CFA.</x:v>
      </x:c>
    </x:row>
    <x:row r="21" ht="28" customHeight="1">
      <x:c r="A21" s="2" t="str">
        <x:v>professinal Buns</x:v>
      </x:c>
      <x:c r="B21" s="20" t="n">
        <x:f>SUMIFS(Ingredients!$I$7:$I$382,Ingredients!$A$7:$A$382,A21)</x:f>
        <x:v>13905</x:v>
      </x:c>
      <x:c r="C21" s="20" t="n">
        <x:f>SUMIFS(Ingredients!$G$7:$G$382,Ingredients!$A$7:$A$382,A21)</x:f>
        <x:v>9383.410116959063</x:v>
      </x:c>
      <x:c r="D21" s="32" t="n">
        <x:f>SUMIFS(Ingredients!$J$7:$J$382,Ingredients!$A$7:$A$382,A21)</x:f>
        <x:v>0</x:v>
      </x:c>
      <x:c r="E21" s="30" t="n">
        <x:v>1</x:v>
      </x:c>
      <x:c r="F21" s="30" t="n">
        <x:v>1</x:v>
      </x:c>
      <x:c r="G21" s="15"/>
      <x:c r="H21" s="15"/>
      <x:c r="I21" s="15"/>
      <x:c r="J21" s="15"/>
      <x:c r="K21" s="15"/>
      <x:c r="L21" s="11" t="n">
        <x:f>IF(AND(ISNUMBER(E21),E21&gt;0),B21*E21,"n.a.")</x:f>
        <x:v>13905</x:v>
      </x:c>
      <x:c r="M21" s="26" t="str">
        <x:f>IF(COUNT(H21:K21)=4,SUM(H21:K21),"n.a.")</x:f>
        <x:v>n.a.</x:v>
      </x:c>
      <x:c r="N21" s="11" t="str">
        <x:v>Source D5:D17. E19 omits milk flavour, oil and nutmeg. Sales formulas multiply price twice. Water is only 300 g per 10 kg flour: confirm an omitted liquid before production.</x:v>
      </x:c>
    </x:row>
    <x:row r="22" ht="28" customHeight="1">
      <x:c r="A22" s="10" t="str">
        <x:v>brioche</x:v>
      </x:c>
      <x:c r="B22" s="21" t="n">
        <x:f>SUMIFS(Ingredients!$I$7:$I$382,Ingredients!$A$7:$A$382,A22)</x:f>
        <x:v>17400</x:v>
      </x:c>
      <x:c r="C22" s="21" t="n">
        <x:f>SUMIFS(Ingredients!$G$7:$G$382,Ingredients!$A$7:$A$382,A22)</x:f>
        <x:v>10861.148070175437</x:v>
      </x:c>
      <x:c r="D22" s="33" t="n">
        <x:f>SUMIFS(Ingredients!$J$7:$J$382,Ingredients!$A$7:$A$382,A22)</x:f>
        <x:v>0</x:v>
      </x:c>
      <x:c r="E22" s="31" t="n">
        <x:v>1</x:v>
      </x:c>
      <x:c r="F22" s="31" t="n">
        <x:v>1</x:v>
      </x:c>
      <x:c r="G22" s="15"/>
      <x:c r="H22" s="15"/>
      <x:c r="I22" s="15"/>
      <x:c r="J22" s="15"/>
      <x:c r="K22" s="15"/>
      <x:c r="L22" s="12" t="n">
        <x:f>IF(AND(ISNUMBER(E22),E22&gt;0),B22*E22,"n.a.")</x:f>
        <x:v>17400</x:v>
      </x:c>
      <x:c r="M22" s="27" t="str">
        <x:f>IF(COUNT(H22:K22)=4,SUM(H22:K22),"n.a.")</x:f>
        <x:v>n.a.</x:v>
      </x:c>
      <x:c r="N22" s="12" t="str">
        <x:v>Source D5:D15. Secondary batch quantities are blank. Some profit cells deduct 16% of ingredient surplus without a supported expense basis. Compare with NEW BRIOCHE by taste and measured yield.</x:v>
      </x:c>
    </x:row>
    <x:row r="23" ht="28" customHeight="1">
      <x:c r="A23" s="2" t="str">
        <x:v>Chinchin</x:v>
      </x:c>
      <x:c r="B23" s="20" t="n">
        <x:f>SUMIFS(Ingredients!$I$7:$I$382,Ingredients!$A$7:$A$382,A23)</x:f>
        <x:v>6065</x:v>
      </x:c>
      <x:c r="C23" s="20" t="n">
        <x:f>SUMIFS(Ingredients!$G$7:$G$382,Ingredients!$A$7:$A$382,A23)</x:f>
        <x:v>4445.698830409357</x:v>
      </x:c>
      <x:c r="D23" s="32" t="n">
        <x:f>SUMIFS(Ingredients!$J$7:$J$382,Ingredients!$A$7:$A$382,A23)</x:f>
        <x:v>1</x:v>
      </x:c>
      <x:c r="E23" s="30" t="n">
        <x:v>1</x:v>
      </x:c>
      <x:c r="F23" s="30" t="n">
        <x:v>1</x:v>
      </x:c>
      <x:c r="G23" s="15"/>
      <x:c r="H23" s="15"/>
      <x:c r="I23" s="15"/>
      <x:c r="J23" s="15"/>
      <x:c r="K23" s="15"/>
      <x:c r="L23" s="11" t="n">
        <x:f>IF(AND(ISNUMBER(E23),E23&gt;0),B23*E23,"n.a.")</x:f>
        <x:v>6065</x:v>
      </x:c>
      <x:c r="M23" s="26" t="str">
        <x:f>IF(COUNT(H23:K23)=4,SUM(H23:K23),"n.a.")</x:f>
        <x:v>n.a.</x:v>
      </x:c>
      <x:c r="N23" s="11" t="str">
        <x:v>Source D5:D13. Oil is entered as 2 and priced as 2 g; confirm its unit and consumption. The manual 30 g / 1,200 CFA pair lacks a price header and is only a possible offer, requiring confirmation. Egg mass is 1,200 g for 3,600 g flour.</x:v>
      </x:c>
    </x:row>
    <x:row r="24" ht="28" customHeight="1">
      <x:c r="A24" s="10" t="str">
        <x:v>choko bread</x:v>
      </x:c>
      <x:c r="B24" s="21" t="n">
        <x:f>SUMIFS(Ingredients!$I$7:$I$382,Ingredients!$A$7:$A$382,A24)</x:f>
        <x:v>8384</x:v>
      </x:c>
      <x:c r="C24" s="21" t="n">
        <x:f>SUMIFS(Ingredients!$G$7:$G$382,Ingredients!$A$7:$A$382,A24)</x:f>
        <x:v>4175.685087719297</x:v>
      </x:c>
      <x:c r="D24" s="33" t="n">
        <x:f>SUMIFS(Ingredients!$J$7:$J$382,Ingredients!$A$7:$A$382,A24)</x:f>
        <x:v>0</x:v>
      </x:c>
      <x:c r="E24" s="31" t="n">
        <x:v>1</x:v>
      </x:c>
      <x:c r="F24" s="31" t="n">
        <x:v>1</x:v>
      </x:c>
      <x:c r="G24" s="15"/>
      <x:c r="H24" s="15"/>
      <x:c r="I24" s="15"/>
      <x:c r="J24" s="15"/>
      <x:c r="K24" s="15"/>
      <x:c r="L24" s="12" t="n">
        <x:f>IF(AND(ISNUMBER(E24),E24&gt;0),B24*E24,"n.a.")</x:f>
        <x:v>8384</x:v>
      </x:c>
      <x:c r="M24" s="27" t="str">
        <x:f>IF(COUNT(H24:K24)=4,SUM(H24:K24),"n.a.")</x:f>
        <x:v>n.a.</x:v>
      </x:c>
      <x:c r="N24" s="12" t="str">
        <x:v>Source D5:D15. Old hard-coded prices and a powder-sized milk pack. Milk is provisionally mapped to powder milk. Base-cost total omits chocolate while scaled cost includes it.</x:v>
      </x:c>
    </x:row>
    <x:row r="25" ht="28" customHeight="1">
      <x:c r="A25" s="2" t="str">
        <x:v>YUMMY BREAD</x:v>
      </x:c>
      <x:c r="B25" s="20" t="n">
        <x:f>SUMIFS(Ingredients!$I$7:$I$382,Ingredients!$A$7:$A$382,A25)</x:f>
        <x:v>24750</x:v>
      </x:c>
      <x:c r="C25" s="20" t="n">
        <x:f>SUMIFS(Ingredients!$G$7:$G$382,Ingredients!$A$7:$A$382,A25)</x:f>
        <x:v>12133.85350877193</x:v>
      </x:c>
      <x:c r="D25" s="32" t="n">
        <x:f>SUMIFS(Ingredients!$J$7:$J$382,Ingredients!$A$7:$A$382,A25)</x:f>
        <x:v>0</x:v>
      </x:c>
      <x:c r="E25" s="30" t="n">
        <x:v>1</x:v>
      </x:c>
      <x:c r="F25" s="30" t="n">
        <x:v>1</x:v>
      </x:c>
      <x:c r="G25" s="15"/>
      <x:c r="H25" s="15"/>
      <x:c r="I25" s="15"/>
      <x:c r="J25" s="15"/>
      <x:c r="K25" s="15"/>
      <x:c r="L25" s="11" t="n">
        <x:f>IF(AND(ISNUMBER(E25),E25&gt;0),B25*E25,"n.a.")</x:f>
        <x:v>24750</x:v>
      </x:c>
      <x:c r="M25" s="26" t="str">
        <x:f>IF(COUNT(H25:K25)=4,SUM(H25:K25),"n.a.")</x:f>
        <x:v>n.a.</x:v>
      </x:c>
      <x:c r="N25" s="11" t="str">
        <x:v>Source D5:D14. Flour Bir at 20,000/50 kg is retained. The source total omits 100 g EDC. D/F/H are different formulas; 125 and 150 CFA are separate prices for the same 139 g piece.</x:v>
      </x:c>
    </x:row>
    <x:row r="26" ht="28" customHeight="1">
      <x:c r="A26" s="10" t="str">
        <x:v>Kouatchoua gato</x:v>
      </x:c>
      <x:c r="B26" s="21" t="n">
        <x:f>SUMIFS(Ingredients!$I$7:$I$382,Ingredients!$A$7:$A$382,A26)</x:f>
        <x:v>42710</x:v>
      </x:c>
      <x:c r="C26" s="21" t="n">
        <x:f>SUMIFS(Ingredients!$G$7:$G$382,Ingredients!$A$7:$A$382,A26)</x:f>
        <x:v>27540.04970760234</x:v>
      </x:c>
      <x:c r="D26" s="33" t="n">
        <x:f>SUMIFS(Ingredients!$J$7:$J$382,Ingredients!$A$7:$A$382,A26)</x:f>
        <x:v>0</x:v>
      </x:c>
      <x:c r="E26" s="31" t="n">
        <x:v>1</x:v>
      </x:c>
      <x:c r="F26" s="31" t="n">
        <x:v>1</x:v>
      </x:c>
      <x:c r="G26" s="15"/>
      <x:c r="H26" s="15"/>
      <x:c r="I26" s="15"/>
      <x:c r="J26" s="15"/>
      <x:c r="K26" s="15"/>
      <x:c r="L26" s="12" t="n">
        <x:f>IF(AND(ISNUMBER(E26),E26&gt;0),B26*E26,"n.a.")</x:f>
        <x:v>42710</x:v>
      </x:c>
      <x:c r="M26" s="27" t="str">
        <x:f>IF(COUNT(H26:K26)=4,SUM(H26:K26),"n.a.")</x:f>
        <x:v>n.a.</x:v>
      </x:c>
      <x:c r="N26" s="12" t="str">
        <x:v>Source D5:D15. Exclude 8 kg frying oil from dough yield, while provisionally charging its full cost. Condensed-milk identity remains unclear. The older report included fryer oil in saleable mass.</x:v>
      </x:c>
    </x:row>
    <x:row r="27" ht="28" customHeight="1">
      <x:c r="A27" s="2" t="str">
        <x:v>Cake Prof</x:v>
      </x:c>
      <x:c r="B27" s="20" t="n">
        <x:f>SUMIFS(Ingredients!$I$7:$I$382,Ingredients!$A$7:$A$382,A27)</x:f>
        <x:v>9260</x:v>
      </x:c>
      <x:c r="C27" s="20" t="n">
        <x:f>SUMIFS(Ingredients!$G$7:$G$382,Ingredients!$A$7:$A$382,A27)</x:f>
        <x:v>7511.196198830409</x:v>
      </x:c>
      <x:c r="D27" s="32" t="n">
        <x:f>SUMIFS(Ingredients!$J$7:$J$382,Ingredients!$A$7:$A$382,A27)</x:f>
        <x:v>0</x:v>
      </x:c>
      <x:c r="E27" s="30" t="n">
        <x:v>1</x:v>
      </x:c>
      <x:c r="F27" s="30" t="n">
        <x:v>1</x:v>
      </x:c>
      <x:c r="G27" s="15"/>
      <x:c r="H27" s="15"/>
      <x:c r="I27" s="15"/>
      <x:c r="J27" s="15"/>
      <x:c r="K27" s="15"/>
      <x:c r="L27" s="11" t="n">
        <x:f>IF(AND(ISNUMBER(E27),E27&gt;0),B27*E27,"n.a.")</x:f>
        <x:v>9260</x:v>
      </x:c>
      <x:c r="M27" s="26" t="str">
        <x:f>IF(COUNT(H27:K27)=4,SUM(H27:K27),"n.a.")</x:f>
        <x:v>n.a.</x:v>
      </x:c>
      <x:c r="N27" s="11" t="str">
        <x:v>Source D5:D10. D and H are materially different egg/butter/sugar formulas. Its profit-margin cell is a markup on cost. Use one approved formula and a measured cooled yield.</x:v>
      </x:c>
    </x:row>
    <x:row r="28" ht="28" customHeight="1">
      <x:c r="A28" s="10" t="str">
        <x:v>Best Chinchin</x:v>
      </x:c>
      <x:c r="B28" s="21" t="n">
        <x:f>SUMIFS(Ingredients!$I$7:$I$382,Ingredients!$A$7:$A$382,A28)</x:f>
        <x:v>45400</x:v>
      </x:c>
      <x:c r="C28" s="21" t="n">
        <x:f>SUMIFS(Ingredients!$G$7:$G$382,Ingredients!$A$7:$A$382,A28)</x:f>
        <x:v>54165.35380116959</x:v>
      </x:c>
      <x:c r="D28" s="33" t="n">
        <x:f>SUMIFS(Ingredients!$J$7:$J$382,Ingredients!$A$7:$A$382,A28)</x:f>
        <x:v>0</x:v>
      </x:c>
      <x:c r="E28" s="31" t="n">
        <x:v>1</x:v>
      </x:c>
      <x:c r="F28" s="31" t="n">
        <x:v>1</x:v>
      </x:c>
      <x:c r="G28" s="15"/>
      <x:c r="H28" s="15"/>
      <x:c r="I28" s="15"/>
      <x:c r="J28" s="15"/>
      <x:c r="K28" s="15"/>
      <x:c r="L28" s="12" t="n">
        <x:f>IF(AND(ISNUMBER(E28),E28&gt;0),B28*E28,"n.a.")</x:f>
        <x:v>45400</x:v>
      </x:c>
      <x:c r="M28" s="27" t="str">
        <x:f>IF(COUNT(H28:K28)=4,SUM(H28:K28),"n.a.")</x:f>
        <x:v>n.a.</x:v>
      </x:c>
      <x:c r="N28" s="12" t="str">
        <x:v>Source D5:D14. The 15 kg frying-oil line is excluded from dough mass but fully charged provisionally. Improver is incorrectly priced as milk. Smaller-batch ingredient ratios differ.</x:v>
      </x:c>
    </x:row>
    <x:row r="29" ht="28" customHeight="1">
      <x:c r="A29" s="2" t="str">
        <x:v>Sugar Balls</x:v>
      </x:c>
      <x:c r="B29" s="20" t="n">
        <x:f>SUMIFS(Ingredients!$I$7:$I$382,Ingredients!$A$7:$A$382,A29)</x:f>
        <x:v>17010</x:v>
      </x:c>
      <x:c r="C29" s="20" t="n">
        <x:f>SUMIFS(Ingredients!$G$7:$G$382,Ingredients!$A$7:$A$382,A29)</x:f>
        <x:v>7198.274561403508</x:v>
      </x:c>
      <x:c r="D29" s="32" t="n">
        <x:f>SUMIFS(Ingredients!$J$7:$J$382,Ingredients!$A$7:$A$382,A29)</x:f>
        <x:v>1</x:v>
      </x:c>
      <x:c r="E29" s="30" t="n">
        <x:v>1</x:v>
      </x:c>
      <x:c r="F29" s="30" t="n">
        <x:v>1</x:v>
      </x:c>
      <x:c r="G29" s="15"/>
      <x:c r="H29" s="15"/>
      <x:c r="I29" s="15"/>
      <x:c r="J29" s="15"/>
      <x:c r="K29" s="15"/>
      <x:c r="L29" s="11" t="n">
        <x:f>IF(AND(ISNUMBER(E29),E29&gt;0),B29*E29,"n.a.")</x:f>
        <x:v>17010</x:v>
      </x:c>
      <x:c r="M29" s="26" t="str">
        <x:f>IF(COUNT(H29:K29)=4,SUM(H29:K29),"n.a.")</x:f>
        <x:v>n.a.</x:v>
      </x:c>
      <x:c r="N29" s="11" t="str">
        <x:v>Source D5:D12. Improver is priced as baking powder. No frying-oil consumption is costed. Small and large batch formulas differ. The 500 CFA offer is a price hypothesis, not evidence of demand.</x:v>
      </x:c>
    </x:row>
    <x:row r="30" ht="28" customHeight="1">
      <x:c r="A30" s="10" t="str">
        <x:v>Beignet soufle</x:v>
      </x:c>
      <x:c r="B30" s="21" t="n">
        <x:f>SUMIFS(Ingredients!$I$7:$I$382,Ingredients!$A$7:$A$382,A30)</x:f>
        <x:v>12380</x:v>
      </x:c>
      <x:c r="C30" s="21" t="n">
        <x:f>SUMIFS(Ingredients!$G$7:$G$382,Ingredients!$A$7:$A$382,A30)</x:f>
        <x:v>7474.6912280701745</x:v>
      </x:c>
      <x:c r="D30" s="33" t="n">
        <x:f>SUMIFS(Ingredients!$J$7:$J$382,Ingredients!$A$7:$A$382,A30)</x:f>
        <x:v>1</x:v>
      </x:c>
      <x:c r="E30" s="31" t="n">
        <x:v>1</x:v>
      </x:c>
      <x:c r="F30" s="31" t="n">
        <x:v>1</x:v>
      </x:c>
      <x:c r="G30" s="15"/>
      <x:c r="H30" s="15"/>
      <x:c r="I30" s="15"/>
      <x:c r="J30" s="15"/>
      <x:c r="K30" s="15"/>
      <x:c r="L30" s="12" t="n">
        <x:f>IF(AND(ISNUMBER(E30),E30&gt;0),B30*E30,"n.a.")</x:f>
        <x:v>12380</x:v>
      </x:c>
      <x:c r="M30" s="27" t="str">
        <x:f>IF(COUNT(H30:K30)=4,SUM(H30:K30),"n.a.")</x:f>
        <x:v>n.a.</x:v>
      </x:c>
      <x:c r="N30" s="12" t="str">
        <x:v>Source F5:F14. Use the explicit 6 kg-flour F column. D/H are scaled from a different 7 kg formula. Frying oil is absent. Confirm EDC identity and dose.</x:v>
      </x:c>
    </x:row>
    <x:row r="31" ht="28" customHeight="1">
      <x:c r="A31" s="2" t="str">
        <x:v>Zebree</x:v>
      </x:c>
      <x:c r="B31" s="20" t="n">
        <x:f>SUMIFS(Ingredients!$I$7:$I$382,Ingredients!$A$7:$A$382,A31)</x:f>
        <x:v>19505</x:v>
      </x:c>
      <x:c r="C31" s="20" t="n">
        <x:f>SUMIFS(Ingredients!$G$7:$G$382,Ingredients!$A$7:$A$382,A31)</x:f>
        <x:v>12605.066374269005</x:v>
      </x:c>
      <x:c r="D31" s="32" t="n">
        <x:f>SUMIFS(Ingredients!$J$7:$J$382,Ingredients!$A$7:$A$382,A31)</x:f>
        <x:v>0</x:v>
      </x:c>
      <x:c r="E31" s="30" t="n">
        <x:v>1</x:v>
      </x:c>
      <x:c r="F31" s="30" t="n">
        <x:v>1</x:v>
      </x:c>
      <x:c r="G31" s="15"/>
      <x:c r="H31" s="15"/>
      <x:c r="I31" s="15"/>
      <x:c r="J31" s="15"/>
      <x:c r="K31" s="15"/>
      <x:c r="L31" s="11" t="n">
        <x:f>IF(AND(ISNUMBER(E31),E31&gt;0),B31*E31,"n.a.")</x:f>
        <x:v>19505</x:v>
      </x:c>
      <x:c r="M31" s="26" t="str">
        <x:f>IF(COUNT(H31:K31)=4,SUM(H31:K31),"n.a.")</x:f>
        <x:v>n.a.</x:v>
      </x:c>
      <x:c r="N31" s="11" t="str">
        <x:v>Source D5:D16. Baking powder uses the wrong pack weight; EDC uses a 25 kg milk-powder pack. Large and small formulas differ, including chocolate and butter.</x:v>
      </x:c>
    </x:row>
    <x:row r="32" ht="28" customHeight="1">
      <x:c r="A32" s="10" t="str">
        <x:v>Danisa biscuits</x:v>
      </x:c>
      <x:c r="B32" s="21" t="n">
        <x:f>SUMIFS(Ingredients!$I$7:$I$382,Ingredients!$A$7:$A$382,A32)</x:f>
        <x:v>35590</x:v>
      </x:c>
      <x:c r="C32" s="21" t="n">
        <x:f>SUMIFS(Ingredients!$G$7:$G$382,Ingredients!$A$7:$A$382,A32)</x:f>
        <x:v>28624.309941520467</x:v>
      </x:c>
      <x:c r="D32" s="33" t="n">
        <x:f>SUMIFS(Ingredients!$J$7:$J$382,Ingredients!$A$7:$A$382,A32)</x:f>
        <x:v>0</x:v>
      </x:c>
      <x:c r="E32" s="31" t="n">
        <x:v>1</x:v>
      </x:c>
      <x:c r="F32" s="31" t="n">
        <x:v>1</x:v>
      </x:c>
      <x:c r="G32" s="15"/>
      <x:c r="H32" s="15"/>
      <x:c r="I32" s="15"/>
      <x:c r="J32" s="15"/>
      <x:c r="K32" s="15"/>
      <x:c r="L32" s="12" t="n">
        <x:f>IF(AND(ISNUMBER(E32),E32&gt;0),B32*E32,"n.a.")</x:f>
        <x:v>35590</x:v>
      </x:c>
      <x:c r="M32" s="27" t="str">
        <x:f>IF(COUNT(H32:K32)=4,SUM(H32:K32),"n.a.")</x:f>
        <x:v>n.a.</x:v>
      </x:c>
      <x:c r="N32" s="12" t="str">
        <x:v>Source D5:D12. The 2 kg and trial formulas change sugar/egg ratios. The 30 g/50 CFA offer has a different price per gram from large packs. Packaging and cooled biscuit yield are missing.</x:v>
      </x:c>
    </x:row>
    <x:row r="33" ht="28" customHeight="1">
      <x:c r="A33" s="2" t="str">
        <x:v>Delice</x:v>
      </x:c>
      <x:c r="B33" s="20" t="n">
        <x:f>SUMIFS(Ingredients!$I$7:$I$382,Ingredients!$A$7:$A$382,A33)</x:f>
        <x:v>6785</x:v>
      </x:c>
      <x:c r="C33" s="20" t="n">
        <x:f>SUMIFS(Ingredients!$G$7:$G$382,Ingredients!$A$7:$A$382,A33)</x:f>
        <x:v>4893.358304093566</x:v>
      </x:c>
      <x:c r="D33" s="32" t="n">
        <x:f>SUMIFS(Ingredients!$J$7:$J$382,Ingredients!$A$7:$A$382,A33)</x:f>
        <x:v>0</x:v>
      </x:c>
      <x:c r="E33" s="30" t="n">
        <x:v>1</x:v>
      </x:c>
      <x:c r="F33" s="30" t="n">
        <x:v>1</x:v>
      </x:c>
      <x:c r="G33" s="15"/>
      <x:c r="H33" s="15"/>
      <x:c r="I33" s="15"/>
      <x:c r="J33" s="15"/>
      <x:c r="K33" s="15"/>
      <x:c r="L33" s="11" t="n">
        <x:f>IF(AND(ISNUMBER(E33),E33&gt;0),B33*E33,"n.a.")</x:f>
        <x:v>6785</x:v>
      </x:c>
      <x:c r="M33" s="26" t="str">
        <x:f>IF(COUNT(H33:K33)=4,SUM(H33:K33),"n.a.")</x:f>
        <x:v>n.a.</x:v>
      </x:c>
      <x:c r="N33" s="11" t="str">
        <x:v>Source D5:D17. Baking powder pack weight is wrong. The smaller formula omits honey and changes butter/sugar. Manual 86 g/100 CFA needs its own lower-margin calculation.</x:v>
      </x:c>
    </x:row>
    <x:row r="34" ht="28" customHeight="1">
      <x:c r="A34" s="10" t="str">
        <x:v>Okinawa</x:v>
      </x:c>
      <x:c r="B34" s="21" t="n">
        <x:f>SUMIFS(Ingredients!$I$7:$I$382,Ingredients!$A$7:$A$382,A34)</x:f>
        <x:v>6400</x:v>
      </x:c>
      <x:c r="C34" s="21" t="n">
        <x:f>SUMIFS(Ingredients!$G$7:$G$382,Ingredients!$A$7:$A$382,A34)</x:f>
        <x:v>4447.944444444444</x:v>
      </x:c>
      <x:c r="D34" s="33" t="n">
        <x:f>SUMIFS(Ingredients!$J$7:$J$382,Ingredients!$A$7:$A$382,A34)</x:f>
        <x:v>0</x:v>
      </x:c>
      <x:c r="E34" s="31" t="n">
        <x:v>1</x:v>
      </x:c>
      <x:c r="F34" s="31" t="n">
        <x:v>1</x:v>
      </x:c>
      <x:c r="G34" s="15"/>
      <x:c r="H34" s="15"/>
      <x:c r="I34" s="15"/>
      <x:c r="J34" s="15"/>
      <x:c r="K34" s="15"/>
      <x:c r="L34" s="12" t="n">
        <x:f>IF(AND(ISNUMBER(E34),E34&gt;0),B34*E34,"n.a.")</x:f>
        <x:v>6400</x:v>
      </x:c>
      <x:c r="M34" s="27" t="str">
        <x:f>IF(COUNT(H34:K34)=4,SUM(H34:K34),"n.a.")</x:f>
        <x:v>n.a.</x:v>
      </x:c>
      <x:c r="N34" s="12" t="str">
        <x:v>Source D5:D11. Egg is priced as butter. Exclude the 1 kg frying-oil line from yield but charge it provisionally. No water line is supplied; confirm the formula before judging texture or yield.</x:v>
      </x:c>
    </x:row>
    <x:row r="35" ht="28" customHeight="1">
      <x:c r="A35" s="2" t="str">
        <x:v>CAKE NOW</x:v>
      </x:c>
      <x:c r="B35" s="20" t="n">
        <x:f>SUMIFS(Ingredients!$I$7:$I$382,Ingredients!$A$7:$A$382,A35)</x:f>
        <x:v>7100</x:v>
      </x:c>
      <x:c r="C35" s="20" t="n">
        <x:f>SUMIFS(Ingredients!$G$7:$G$382,Ingredients!$A$7:$A$382,A35)</x:f>
        <x:v>6138.070175438596</x:v>
      </x:c>
      <x:c r="D35" s="32" t="n">
        <x:f>SUMIFS(Ingredients!$J$7:$J$382,Ingredients!$A$7:$A$382,A35)</x:f>
        <x:v>0</x:v>
      </x:c>
      <x:c r="E35" s="30" t="n">
        <x:v>1</x:v>
      </x:c>
      <x:c r="F35" s="30" t="n">
        <x:v>1</x:v>
      </x:c>
      <x:c r="G35" s="15"/>
      <x:c r="H35" s="15"/>
      <x:c r="I35" s="15"/>
      <x:c r="J35" s="15"/>
      <x:c r="K35" s="15"/>
      <x:c r="L35" s="11" t="n">
        <x:f>IF(AND(ISNUMBER(E35),E35&gt;0),B35*E35,"n.a.")</x:f>
        <x:v>7100</x:v>
      </x:c>
      <x:c r="M35" s="26" t="str">
        <x:f>IF(COUNT(H35:K35)=4,SUM(H35:K35),"n.a.")</x:f>
        <x:v>n.a.</x:v>
      </x:c>
      <x:c r="N35" s="11" t="str">
        <x:v>Source D5:D10. Water row is blank and treated as unused in the listed formula. The 100 CFA row without a weight cannot be costed. Source margin is markup, not sales margin.</x:v>
      </x:c>
    </x:row>
    <x:row r="36" ht="28" customHeight="1">
      <x:c r="A36" s="10" t="str">
        <x:v>Short bread</x:v>
      </x:c>
      <x:c r="B36" s="21" t="n">
        <x:f>SUMIFS(Ingredients!$I$7:$I$382,Ingredients!$A$7:$A$382,A36)</x:f>
        <x:v>3950</x:v>
      </x:c>
      <x:c r="C36" s="21" t="n">
        <x:f>SUMIFS(Ingredients!$G$7:$G$382,Ingredients!$A$7:$A$382,A36)</x:f>
        <x:v>2982.8801169590643</x:v>
      </x:c>
      <x:c r="D36" s="33" t="n">
        <x:f>SUMIFS(Ingredients!$J$7:$J$382,Ingredients!$A$7:$A$382,A36)</x:f>
        <x:v>0</x:v>
      </x:c>
      <x:c r="E36" s="31" t="n">
        <x:v>1</x:v>
      </x:c>
      <x:c r="F36" s="31" t="n">
        <x:v>1</x:v>
      </x:c>
      <x:c r="G36" s="15"/>
      <x:c r="H36" s="15"/>
      <x:c r="I36" s="15"/>
      <x:c r="J36" s="15"/>
      <x:c r="K36" s="15"/>
      <x:c r="L36" s="12" t="n">
        <x:f>IF(AND(ISNUMBER(E36),E36&gt;0),B36*E36,"n.a.")</x:f>
        <x:v>3950</x:v>
      </x:c>
      <x:c r="M36" s="27" t="str">
        <x:f>IF(COUNT(H36:K36)=4,SUM(H36:K36),"n.a.")</x:f>
        <x:v>n.a.</x:v>
      </x:c>
      <x:c r="N36" s="12" t="str">
        <x:v>Source D5:D11. Salt is 150 g per 2 kg flour (7.5%): confirm transcription before production. The smaller formula changes ratios. Two weights are sold at the same 50 CFA price.</x:v>
      </x:c>
    </x:row>
    <x:row r="37" ht="28" customHeight="1">
      <x:c r="A37" s="2" t="str">
        <x:v>Melto</x:v>
      </x:c>
      <x:c r="B37" s="20" t="n">
        <x:f>SUMIFS(Ingredients!$I$7:$I$382,Ingredients!$A$7:$A$382,A37)</x:f>
        <x:v>7490</x:v>
      </x:c>
      <x:c r="C37" s="20" t="n">
        <x:f>SUMIFS(Ingredients!$G$7:$G$382,Ingredients!$A$7:$A$382,A37)</x:f>
        <x:v>5768.87134502924</x:v>
      </x:c>
      <x:c r="D37" s="32" t="n">
        <x:f>SUMIFS(Ingredients!$J$7:$J$382,Ingredients!$A$7:$A$382,A37)</x:f>
        <x:v>0</x:v>
      </x:c>
      <x:c r="E37" s="30" t="n">
        <x:v>1</x:v>
      </x:c>
      <x:c r="F37" s="30" t="n">
        <x:v>1</x:v>
      </x:c>
      <x:c r="G37" s="15"/>
      <x:c r="H37" s="15"/>
      <x:c r="I37" s="15"/>
      <x:c r="J37" s="15"/>
      <x:c r="K37" s="15"/>
      <x:c r="L37" s="11" t="n">
        <x:f>IF(AND(ISNUMBER(E37),E37&gt;0),B37*E37,"n.a.")</x:f>
        <x:v>7490</x:v>
      </x:c>
      <x:c r="M37" s="26" t="str">
        <x:f>IF(COUNT(H37:K37)=4,SUM(H37:K37),"n.a.")</x:f>
        <x:v>n.a.</x:v>
      </x:c>
      <x:c r="N37" s="11" t="str">
        <x:v>Source D5:D10. F scales H, but H has 50 g egg while D has 150 g. The 50 kg column has 56.25 kg flour. At 50 CFA, moving from 34 to 45 g sharply reduces margin.</x:v>
      </x:c>
    </x:row>
    <x:row r="38" ht="28" customHeight="1">
      <x:c r="A38" s="10" t="str">
        <x:v>Kumba bread</x:v>
      </x:c>
      <x:c r="B38" s="21" t="n">
        <x:f>SUMIFS(Ingredients!$I$7:$I$382,Ingredients!$A$7:$A$382,A38)</x:f>
        <x:v>43575</x:v>
      </x:c>
      <x:c r="C38" s="21" t="n">
        <x:f>SUMIFS(Ingredients!$G$7:$G$382,Ingredients!$A$7:$A$382,A38)</x:f>
        <x:v>16401.686257309942</x:v>
      </x:c>
      <x:c r="D38" s="33" t="n">
        <x:f>SUMIFS(Ingredients!$J$7:$J$382,Ingredients!$A$7:$A$382,A38)</x:f>
        <x:v>0</x:v>
      </x:c>
      <x:c r="E38" s="31" t="n">
        <x:v>1</x:v>
      </x:c>
      <x:c r="F38" s="31" t="n">
        <x:v>1</x:v>
      </x:c>
      <x:c r="G38" s="15"/>
      <x:c r="H38" s="15"/>
      <x:c r="I38" s="15"/>
      <x:c r="J38" s="15"/>
      <x:c r="K38" s="15"/>
      <x:c r="L38" s="12" t="n">
        <x:f>IF(AND(ISNUMBER(E38),E38&gt;0),B38*E38,"n.a.")</x:f>
        <x:v>43575</x:v>
      </x:c>
      <x:c r="M38" s="27" t="str">
        <x:f>IF(COUNT(H38:K38)=4,SUM(H38:K38),"n.a.")</x:f>
        <x:v>n.a.</x:v>
      </x:c>
      <x:c r="N38" s="12" t="str">
        <x:v>Source D5:D12. Secondary sales rows reference empty batches. Wholesale formulas imply 12 pieces of 900 g for only 1,000 CFA, apparently a copied pricing error. The 80 g manual offer differs from 90 g main offer.</x:v>
      </x:c>
    </x:row>
    <x:row r="39" ht="28" customHeight="1">
      <x:c r="A39" s="2" t="str">
        <x:v>Hamburger buns</x:v>
      </x:c>
      <x:c r="B39" s="20" t="n">
        <x:f>SUMIFS(Ingredients!$I$7:$I$382,Ingredients!$A$7:$A$382,A39)</x:f>
        <x:v>17480</x:v>
      </x:c>
      <x:c r="C39" s="20" t="n">
        <x:f>SUMIFS(Ingredients!$G$7:$G$382,Ingredients!$A$7:$A$382,A39)</x:f>
        <x:v>5899.211111111112</x:v>
      </x:c>
      <x:c r="D39" s="32" t="n">
        <x:f>SUMIFS(Ingredients!$J$7:$J$382,Ingredients!$A$7:$A$382,A39)</x:f>
        <x:v>0</x:v>
      </x:c>
      <x:c r="E39" s="30" t="n">
        <x:v>1</x:v>
      </x:c>
      <x:c r="F39" s="30" t="n">
        <x:v>1</x:v>
      </x:c>
      <x:c r="G39" s="15"/>
      <x:c r="H39" s="15"/>
      <x:c r="I39" s="15"/>
      <x:c r="J39" s="15"/>
      <x:c r="K39" s="15"/>
      <x:c r="L39" s="11" t="n">
        <x:f>IF(AND(ISNUMBER(E39),E39&gt;0),B39*E39,"n.a.")</x:f>
        <x:v>17480</x:v>
      </x:c>
      <x:c r="M39" s="26" t="str">
        <x:f>IF(COUNT(H39:K39)=4,SUM(H39:K39),"n.a.")</x:f>
        <x:v>n.a.</x:v>
      </x:c>
      <x:c r="N39" s="11" t="str">
        <x:v>Source D5:D12. EDC uses powder-milk pack weight. Scaled batches use a different formula. The 370–700 g sale sizes look like loaves/packs; confirm units and whether any filling is included.</x:v>
      </x:c>
    </x:row>
    <x:row r="40" ht="28" customHeight="1">
      <x:c r="A40" s="10" t="str">
        <x:v>Taste it</x:v>
      </x:c>
      <x:c r="B40" s="21" t="n">
        <x:f>SUMIFS(Ingredients!$I$7:$I$382,Ingredients!$A$7:$A$382,A40)</x:f>
        <x:v>16045</x:v>
      </x:c>
      <x:c r="C40" s="21" t="n">
        <x:f>SUMIFS(Ingredients!$G$7:$G$382,Ingredients!$A$7:$A$382,A40)</x:f>
        <x:v>9065.63567251462</x:v>
      </x:c>
      <x:c r="D40" s="33" t="n">
        <x:f>SUMIFS(Ingredients!$J$7:$J$382,Ingredients!$A$7:$A$382,A40)</x:f>
        <x:v>0</x:v>
      </x:c>
      <x:c r="E40" s="31" t="n">
        <x:v>1</x:v>
      </x:c>
      <x:c r="F40" s="31" t="n">
        <x:v>1</x:v>
      </x:c>
      <x:c r="G40" s="15"/>
      <x:c r="H40" s="15"/>
      <x:c r="I40" s="15"/>
      <x:c r="J40" s="15"/>
      <x:c r="K40" s="15"/>
      <x:c r="L40" s="12" t="n">
        <x:f>IF(AND(ISNUMBER(E40),E40&gt;0),B40*E40,"n.a.")</x:f>
        <x:v>16045</x:v>
      </x:c>
      <x:c r="M40" s="27" t="str">
        <x:f>IF(COUNT(H40:K40)=4,SUM(H40:K40),"n.a.")</x:f>
        <x:v>n.a.</x:v>
      </x:c>
      <x:c r="N40" s="12" t="str">
        <x:v>Source D5:D15. Baking powder denominator is wrong. The 800 g/1,000 CFA format has a lower margin than 700 g at the same price. Manual costs use price/weight, not recipe cost.</x:v>
      </x:c>
    </x:row>
    <x:row r="41" ht="28" customHeight="1">
      <x:c r="A41" s="2" t="str">
        <x:v>Samosa</x:v>
      </x:c>
      <x:c r="B41" s="20" t="n">
        <x:f>SUMIFS(Ingredients!$I$7:$I$382,Ingredients!$A$7:$A$382,A41)</x:f>
        <x:v>5210</x:v>
      </x:c>
      <x:c r="C41" s="20" t="n">
        <x:f>SUMIFS(Ingredients!$G$7:$G$382,Ingredients!$A$7:$A$382,A41)</x:f>
        <x:v>6402.721111111111</x:v>
      </x:c>
      <x:c r="D41" s="32" t="n">
        <x:f>SUMIFS(Ingredients!$J$7:$J$382,Ingredients!$A$7:$A$382,A41)</x:f>
        <x:v>1</x:v>
      </x:c>
      <x:c r="E41" s="30" t="n">
        <x:v>1</x:v>
      </x:c>
      <x:c r="F41" s="30" t="n">
        <x:v>1</x:v>
      </x:c>
      <x:c r="G41" s="15"/>
      <x:c r="H41" s="15"/>
      <x:c r="I41" s="15"/>
      <x:c r="J41" s="15"/>
      <x:c r="K41" s="15"/>
      <x:c r="L41" s="11" t="n">
        <x:f>IF(AND(ISNUMBER(E41),E41&gt;0),B41*E41,"n.a.")</x:f>
        <x:v>5210</x:v>
      </x:c>
      <x:c r="M41" s="26" t="str">
        <x:f>IF(COUNT(H41:K41)=4,SUM(H41:K41),"n.a.")</x:f>
        <x:v>n.a.</x:v>
      </x:c>
      <x:c r="N41" s="11" t="str">
        <x:v>Source D5:D9. No frying oil or spices are listed. Filling cooking loss and assembly labour are missing. Salt is 110 g for 1,500 g flour; check formula and batch basis.</x:v>
      </x:c>
    </x:row>
    <x:row r="42" ht="28" customHeight="1">
      <x:c r="A42" s="10" t="str">
        <x:v>Ice Cream</x:v>
      </x:c>
      <x:c r="B42" s="21" t="n">
        <x:f>SUMIFS(Ingredients!$I$7:$I$382,Ingredients!$A$7:$A$382,A42)</x:f>
        <x:v>15500</x:v>
      </x:c>
      <x:c r="C42" s="21" t="n">
        <x:f>SUMIFS(Ingredients!$G$7:$G$382,Ingredients!$A$7:$A$382,A42)</x:f>
        <x:v>9361.2</x:v>
      </x:c>
      <x:c r="D42" s="33" t="n">
        <x:f>SUMIFS(Ingredients!$J$7:$J$382,Ingredients!$A$7:$A$382,A42)</x:f>
        <x:v>0</x:v>
      </x:c>
      <x:c r="E42" s="31" t="n">
        <x:v>1</x:v>
      </x:c>
      <x:c r="F42" s="31" t="n">
        <x:v>1</x:v>
      </x:c>
      <x:c r="G42" s="15"/>
      <x:c r="H42" s="15"/>
      <x:c r="I42" s="15"/>
      <x:c r="J42" s="15"/>
      <x:c r="K42" s="15"/>
      <x:c r="L42" s="12" t="n">
        <x:f>IF(AND(ISNUMBER(E42),E42&gt;0),B42*E42,"n.a.")</x:f>
        <x:v>15500</x:v>
      </x:c>
      <x:c r="M42" s="27" t="str">
        <x:f>IF(COUNT(H42:K42)=4,SUM(H42:K42),"n.a.")</x:f>
        <x:v>n.a.</x:v>
      </x:c>
      <x:c r="N42" s="12" t="str">
        <x:v>Source D5:D9. The 200 g stabilizer is 1.29% of mix: verify the specific product dose. The 200 g others are priced but unidentified. Overrun cannot increase saleable grams; cups, refrigeration and cleaning are missing.</x:v>
      </x:c>
    </x:row>
    <x:row r="43" ht="28" customHeight="1">
      <x:c r="A43" s="2" t="str">
        <x:v>Melto1</x:v>
      </x:c>
      <x:c r="B43" s="20" t="n">
        <x:f>SUMIFS(Ingredients!$I$7:$I$382,Ingredients!$A$7:$A$382,A43)</x:f>
        <x:v>7540</x:v>
      </x:c>
      <x:c r="C43" s="20" t="n">
        <x:f>SUMIFS(Ingredients!$G$7:$G$382,Ingredients!$A$7:$A$382,A43)</x:f>
        <x:v>5682.315789473684</x:v>
      </x:c>
      <x:c r="D43" s="32" t="n">
        <x:f>SUMIFS(Ingredients!$J$7:$J$382,Ingredients!$A$7:$A$382,A43)</x:f>
        <x:v>0</x:v>
      </x:c>
      <x:c r="E43" s="30" t="n">
        <x:v>1</x:v>
      </x:c>
      <x:c r="F43" s="30" t="n">
        <x:v>1</x:v>
      </x:c>
      <x:c r="G43" s="15"/>
      <x:c r="H43" s="15"/>
      <x:c r="I43" s="15"/>
      <x:c r="J43" s="15"/>
      <x:c r="K43" s="15"/>
      <x:c r="L43" s="11" t="n">
        <x:f>IF(AND(ISNUMBER(E43),E43&gt;0),B43*E43,"n.a.")</x:f>
        <x:v>7540</x:v>
      </x:c>
      <x:c r="M43" s="26" t="str">
        <x:f>IF(COUNT(H43:K43)=4,SUM(H43:K43),"n.a.")</x:f>
        <x:v>n.a.</x:v>
      </x:c>
      <x:c r="N43" s="11" t="str">
        <x:v>Source D5:D10. H is not an exact scale of D. Its 50 kg column uses 50.04 kg flour. Confirm the distinct product purpose versus Melto; the 45 g/50 CFA format is weaker.</x:v>
      </x:c>
    </x:row>
    <x:row r="44" ht="28" customHeight="1">
      <x:c r="A44" s="10" t="str">
        <x:v>Croissant</x:v>
      </x:c>
      <x:c r="B44" s="21" t="n">
        <x:f>SUMIFS(Ingredients!$I$7:$I$382,Ingredients!$A$7:$A$382,A44)</x:f>
        <x:v>6590</x:v>
      </x:c>
      <x:c r="C44" s="21" t="n">
        <x:f>SUMIFS(Ingredients!$G$7:$G$382,Ingredients!$A$7:$A$382,A44)</x:f>
        <x:v>3070.413450292397</x:v>
      </x:c>
      <x:c r="D44" s="33" t="n">
        <x:f>SUMIFS(Ingredients!$J$7:$J$382,Ingredients!$A$7:$A$382,A44)</x:f>
        <x:v>0</x:v>
      </x:c>
      <x:c r="E44" s="31" t="n">
        <x:v>1</x:v>
      </x:c>
      <x:c r="F44" s="31" t="n">
        <x:v>1</x:v>
      </x:c>
      <x:c r="G44" s="15"/>
      <x:c r="H44" s="15"/>
      <x:c r="I44" s="15"/>
      <x:c r="J44" s="15"/>
      <x:c r="K44" s="15"/>
      <x:c r="L44" s="12" t="n">
        <x:f>IF(AND(ISNUMBER(E44),E44&gt;0),B44*E44,"n.a.")</x:f>
        <x:v>6590</x:v>
      </x:c>
      <x:c r="M44" s="27" t="str">
        <x:f>IF(COUNT(H44:K44)=4,SUM(H44:K44),"n.a.")</x:f>
        <x:v>n.a.</x:v>
      </x:c>
      <x:c r="N44" s="12" t="str">
        <x:v>Source D5:D12. Source margin uses D18=350 rather than C18=45. Confirm whether 1,000 g butter includes all lamination butter. Lamination labour, trim and refrigeration are uncosted.</x:v>
      </x:c>
    </x:row>
    <x:row r="45" ht="28" customHeight="1">
      <x:c r="A45" s="2" t="str">
        <x:v>Universal bread</x:v>
      </x:c>
      <x:c r="B45" s="20" t="n">
        <x:f>SUMIFS(Ingredients!$I$7:$I$382,Ingredients!$A$7:$A$382,A45)</x:f>
        <x:v>41170</x:v>
      </x:c>
      <x:c r="C45" s="20" t="n">
        <x:f>SUMIFS(Ingredients!$G$7:$G$382,Ingredients!$A$7:$A$382,A45)</x:f>
        <x:v>27727.698830409354</x:v>
      </x:c>
      <x:c r="D45" s="32" t="n">
        <x:f>SUMIFS(Ingredients!$J$7:$J$382,Ingredients!$A$7:$A$382,A45)</x:f>
        <x:v>0</x:v>
      </x:c>
      <x:c r="E45" s="30" t="n">
        <x:v>1</x:v>
      </x:c>
      <x:c r="F45" s="30" t="n">
        <x:v>1</x:v>
      </x:c>
      <x:c r="G45" s="15"/>
      <x:c r="H45" s="15"/>
      <x:c r="I45" s="15"/>
      <x:c r="J45" s="15"/>
      <x:c r="K45" s="15"/>
      <x:c r="L45" s="11" t="n">
        <x:f>IF(AND(ISNUMBER(E45),E45&gt;0),B45*E45,"n.a.")</x:f>
        <x:v>41170</x:v>
      </x:c>
      <x:c r="M45" s="26" t="str">
        <x:f>IF(COUNT(H45:K45)=4,SUM(H45:K45),"n.a.")</x:f>
        <x:v>n.a.</x:v>
      </x:c>
      <x:c r="N45" s="11" t="str">
        <x:v>Source D5:D15. Exclude 9 kg frying oil from dough yield while provisionally charging it in full. Condensed-milk identity is unresolved. The old report overstated output by including fryer oil.</x:v>
      </x:c>
    </x:row>
    <x:row r="46" ht="28" customHeight="1">
      <x:c r="A46" s="10" t="str">
        <x:v>Sheet3</x:v>
      </x:c>
      <x:c r="B46" s="21" t="n">
        <x:f>SUMIFS(Ingredients!$I$7:$I$382,Ingredients!$A$7:$A$382,A46)</x:f>
        <x:v>19250</x:v>
      </x:c>
      <x:c r="C46" s="21" t="n">
        <x:f>SUMIFS(Ingredients!$G$7:$G$382,Ingredients!$A$7:$A$382,A46)</x:f>
        <x:v>9161.491228070176</x:v>
      </x:c>
      <x:c r="D46" s="33" t="n">
        <x:f>SUMIFS(Ingredients!$J$7:$J$382,Ingredients!$A$7:$A$382,A46)</x:f>
        <x:v>0</x:v>
      </x:c>
      <x:c r="E46" s="31" t="n">
        <x:v>1</x:v>
      </x:c>
      <x:c r="F46" s="31" t="n">
        <x:v>1</x:v>
      </x:c>
      <x:c r="G46" s="15"/>
      <x:c r="H46" s="15"/>
      <x:c r="I46" s="15"/>
      <x:c r="J46" s="15"/>
      <x:c r="K46" s="15"/>
      <x:c r="L46" s="12" t="n">
        <x:f>IF(AND(ISNUMBER(E46),E46&gt;0),B46*E46,"n.a.")</x:f>
        <x:v>19250</x:v>
      </x:c>
      <x:c r="M46" s="27" t="str">
        <x:f>IF(COUNT(H46:K46)=4,SUM(H46:K46),"n.a.")</x:f>
        <x:v>n.a.</x:v>
      </x:c>
      <x:c r="N46" s="12" t="str">
        <x:v>Source D5:D15. This is an unnamed but populated bread recipe, so it is included. Name and approve it before use. D/F/H formulations and manual price calculations differ.</x:v>
      </x:c>
    </x:row>
    <x:row r="47" ht="28" customHeight="1">
      <x:c r="A47" s="2" t="str">
        <x:v>Croissant new</x:v>
      </x:c>
      <x:c r="B47" s="20" t="n">
        <x:f>SUMIFS(Ingredients!$I$7:$I$382,Ingredients!$A$7:$A$382,A47)</x:f>
        <x:v>5800</x:v>
      </x:c>
      <x:c r="C47" s="20" t="n">
        <x:f>SUMIFS(Ingredients!$G$7:$G$382,Ingredients!$A$7:$A$382,A47)</x:f>
        <x:v>3639.554678362573</x:v>
      </x:c>
      <x:c r="D47" s="32" t="n">
        <x:f>SUMIFS(Ingredients!$J$7:$J$382,Ingredients!$A$7:$A$382,A47)</x:f>
        <x:v>0</x:v>
      </x:c>
      <x:c r="E47" s="30" t="n">
        <x:v>1</x:v>
      </x:c>
      <x:c r="F47" s="30" t="n">
        <x:v>1</x:v>
      </x:c>
      <x:c r="G47" s="15"/>
      <x:c r="H47" s="15"/>
      <x:c r="I47" s="15"/>
      <x:c r="J47" s="15"/>
      <x:c r="K47" s="15"/>
      <x:c r="L47" s="11" t="n">
        <x:f>IF(AND(ISNUMBER(E47),E47&gt;0),B47*E47,"n.a.")</x:f>
        <x:v>5800</x:v>
      </x:c>
      <x:c r="M47" s="26" t="str">
        <x:f>IF(COUNT(H47:K47)=4,SUM(H47:K47),"n.a.")</x:f>
        <x:v>n.a.</x:v>
      </x:c>
      <x:c r="N47" s="11" t="str">
        <x:v>Source F5:F14. Layering butter points to EDC price divided by powder-milk weight. Reprice its 600 g at the master butter rate, provisionally. Confirm that the quoted fat is suitable for lamination.</x:v>
      </x:c>
    </x:row>
  </x:sheetData>
  <x:dataValidations count="1">
    <x:dataValidation type="decimal" operator="between" sqref="F7:F47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20" hidden="0" customWidth="1"/>
    <x:col min="8" max="8" width="18" hidden="0" customWidth="1"/>
    <x:col min="9" max="9" width="19" hidden="0" customWidth="1"/>
    <x:col min="10" max="10" width="18" hidden="0" customWidth="1"/>
    <x:col min="11" max="11" width="36" hidden="0" customWidth="1"/>
    <x:col min="12" max="12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Recipe ingredient costing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4" t="str">
        <x:v>Prepared quantities are grams except unresolved blanks. Fryer charges are costed separately from dough mass. Known costs exclude missing lines.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3" customHeight="1">
      <x:c r="A6" s="9" t="str">
        <x:v>Recipe</x:v>
      </x:c>
      <x:c r="B6" s="9" t="str">
        <x:v>Ingredient</x:v>
      </x:c>
      <x:c r="C6" s="9" t="str">
        <x:v>Source quantity</x:v>
      </x:c>
      <x:c r="D6" s="9" t="str">
        <x:v>Prepared grams</x:v>
      </x:c>
      <x:c r="E6" s="9" t="str">
        <x:v>Price ID</x:v>
      </x:c>
      <x:c r="F6" s="9" t="str">
        <x:v>CFA / g</x:v>
      </x:c>
      <x:c r="G6" s="9" t="str">
        <x:v>Known line cost CFA</x:v>
      </x:c>
      <x:c r="H6" s="9" t="str">
        <x:v>In dough mass (1/0)</x:v>
      </x:c>
      <x:c r="I6" s="9" t="str">
        <x:v>Dough / mix grams</x:v>
      </x:c>
      <x:c r="J6" s="9" t="str">
        <x:v>Missing cost (1/0)</x:v>
      </x:c>
      <x:c r="K6" s="9" t="str">
        <x:v>Quantity source</x:v>
      </x:c>
      <x:c r="L6" s="9" t="str">
        <x:v>Mapping / quantity limitation</x:v>
      </x:c>
    </x:row>
    <x:row r="7" ht="28" customHeight="1">
      <x:c r="A7" s="2" t="str">
        <x:v>baguette</x:v>
      </x:c>
      <x:c r="B7" s="11" t="str">
        <x:v>flour</x:v>
      </x:c>
      <x:c r="C7" s="11" t="n">
        <x:v>6000</x:v>
      </x:c>
      <x:c r="D7" s="13" t="n">
        <x:v>6000</x:v>
      </x:c>
      <x:c r="E7" s="24" t="str">
        <x:v>P4</x:v>
      </x:c>
      <x:c r="F7" s="22" t="n">
        <x:f>Prices!E7</x:f>
        <x:v>0.42</x:v>
      </x:c>
      <x:c r="G7" s="26" t="n">
        <x:f>IF(AND(ISNUMBER(D7),ISNUMBER(F7)),D7*F7,"n.a.")</x:f>
        <x:v>2520</x:v>
      </x:c>
      <x:c r="H7" s="28" t="n">
        <x:v>1</x:v>
      </x:c>
      <x:c r="I7" s="28" t="n">
        <x:f>IF(H7=0,0,IF(ISNUMBER(D7),D7*H7,"n.a."))</x:f>
        <x:v>6000</x:v>
      </x:c>
      <x:c r="J7" s="28" t="n">
        <x:f>IF(ISNUMBER(G7),0,1)</x:f>
        <x:v>0</x:v>
      </x:c>
      <x:c r="K7" s="11" t="str">
        <x:v>'baguette'!C5:D5</x:v>
      </x:c>
      <x:c r="L7" s="11" t="str"/>
    </x:row>
    <x:row r="8" ht="28" customHeight="1">
      <x:c r="A8" s="10" t="str">
        <x:v>baguette</x:v>
      </x:c>
      <x:c r="B8" s="12" t="str">
        <x:v>yeast</x:v>
      </x:c>
      <x:c r="C8" s="12" t="n">
        <x:v>120</x:v>
      </x:c>
      <x:c r="D8" s="14" t="n">
        <x:v>120</x:v>
      </x:c>
      <x:c r="E8" s="25" t="str">
        <x:v>P9</x:v>
      </x:c>
      <x:c r="F8" s="23" t="n">
        <x:f>Prices!E12</x:f>
        <x:v>2.8</x:v>
      </x:c>
      <x:c r="G8" s="27" t="n">
        <x:f>IF(AND(ISNUMBER(D8),ISNUMBER(F8)),D8*F8,"n.a.")</x:f>
        <x:v>336</x:v>
      </x:c>
      <x:c r="H8" s="29" t="n">
        <x:v>1</x:v>
      </x:c>
      <x:c r="I8" s="29" t="n">
        <x:f>IF(H8=0,0,IF(ISNUMBER(D8),D8*H8,"n.a."))</x:f>
        <x:v>120</x:v>
      </x:c>
      <x:c r="J8" s="29" t="n">
        <x:f>IF(ISNUMBER(G8),0,1)</x:f>
        <x:v>0</x:v>
      </x:c>
      <x:c r="K8" s="12" t="str">
        <x:v>'baguette'!C6:D6</x:v>
      </x:c>
      <x:c r="L8" s="12" t="str"/>
    </x:row>
    <x:row r="9" ht="28" customHeight="1">
      <x:c r="A9" s="2" t="str">
        <x:v>baguette</x:v>
      </x:c>
      <x:c r="B9" s="11" t="str">
        <x:v>salt</x:v>
      </x:c>
      <x:c r="C9" s="11" t="n">
        <x:v>90</x:v>
      </x:c>
      <x:c r="D9" s="13" t="n">
        <x:v>90</x:v>
      </x:c>
      <x:c r="E9" s="24" t="str">
        <x:v>P6</x:v>
      </x:c>
      <x:c r="F9" s="22" t="n">
        <x:f>Prices!E9</x:f>
        <x:v>0.20555555555555555</x:v>
      </x:c>
      <x:c r="G9" s="26" t="n">
        <x:f>IF(AND(ISNUMBER(D9),ISNUMBER(F9)),D9*F9,"n.a.")</x:f>
        <x:v>18.5</x:v>
      </x:c>
      <x:c r="H9" s="28" t="n">
        <x:v>1</x:v>
      </x:c>
      <x:c r="I9" s="28" t="n">
        <x:f>IF(H9=0,0,IF(ISNUMBER(D9),D9*H9,"n.a."))</x:f>
        <x:v>90</x:v>
      </x:c>
      <x:c r="J9" s="28" t="n">
        <x:f>IF(ISNUMBER(G9),0,1)</x:f>
        <x:v>0</x:v>
      </x:c>
      <x:c r="K9" s="11" t="str">
        <x:v>'baguette'!C7:D7</x:v>
      </x:c>
      <x:c r="L9" s="11" t="str"/>
    </x:row>
    <x:row r="10" ht="28" customHeight="1">
      <x:c r="A10" s="10" t="str">
        <x:v>baguette</x:v>
      </x:c>
      <x:c r="B10" s="12" t="str">
        <x:v>water</x:v>
      </x:c>
      <x:c r="C10" s="12" t="n">
        <x:v>3500</x:v>
      </x:c>
      <x:c r="D10" s="14" t="n">
        <x:v>3500</x:v>
      </x:c>
      <x:c r="E10" s="25" t="str">
        <x:v>P16</x:v>
      </x:c>
      <x:c r="F10" s="23" t="n">
        <x:f>Prices!E19</x:f>
        <x:v>0.0001</x:v>
      </x:c>
      <x:c r="G10" s="27" t="n">
        <x:f>IF(AND(ISNUMBER(D10),ISNUMBER(F10)),D10*F10,"n.a.")</x:f>
        <x:v>0.35000000000000003</x:v>
      </x:c>
      <x:c r="H10" s="29" t="n">
        <x:v>1</x:v>
      </x:c>
      <x:c r="I10" s="29" t="n">
        <x:f>IF(H10=0,0,IF(ISNUMBER(D10),D10*H10,"n.a."))</x:f>
        <x:v>3500</x:v>
      </x:c>
      <x:c r="J10" s="29" t="n">
        <x:f>IF(ISNUMBER(G10),0,1)</x:f>
        <x:v>0</x:v>
      </x:c>
      <x:c r="K10" s="12" t="str">
        <x:v>'baguette'!C8:D8</x:v>
      </x:c>
      <x:c r="L10" s="12" t="str"/>
    </x:row>
    <x:row r="11" ht="28" customHeight="1">
      <x:c r="A11" s="2" t="str">
        <x:v>baguette</x:v>
      </x:c>
      <x:c r="B11" s="11" t="str">
        <x:v>improver</x:v>
      </x:c>
      <x:c r="C11" s="11" t="n">
        <x:v>180</x:v>
      </x:c>
      <x:c r="D11" s="13" t="n">
        <x:v>180</x:v>
      </x:c>
      <x:c r="E11" s="24" t="str">
        <x:v>P12</x:v>
      </x:c>
      <x:c r="F11" s="22" t="n">
        <x:f>Prices!E15</x:f>
        <x:v>2.8</x:v>
      </x:c>
      <x:c r="G11" s="26" t="n">
        <x:f>IF(AND(ISNUMBER(D11),ISNUMBER(F11)),D11*F11,"n.a.")</x:f>
        <x:v>503.99999999999994</x:v>
      </x:c>
      <x:c r="H11" s="28" t="n">
        <x:v>1</x:v>
      </x:c>
      <x:c r="I11" s="28" t="n">
        <x:f>IF(H11=0,0,IF(ISNUMBER(D11),D11*H11,"n.a."))</x:f>
        <x:v>180</x:v>
      </x:c>
      <x:c r="J11" s="28" t="n">
        <x:f>IF(ISNUMBER(G11),0,1)</x:f>
        <x:v>0</x:v>
      </x:c>
      <x:c r="K11" s="11" t="str">
        <x:v>'baguette'!C9:D9</x:v>
      </x:c>
      <x:c r="L11" s="11" t="str"/>
    </x:row>
    <x:row r="12" ht="28" customHeight="1">
      <x:c r="A12" s="10" t="str">
        <x:v>Baguette AI</x:v>
      </x:c>
      <x:c r="B12" s="12" t="str">
        <x:v>flour</x:v>
      </x:c>
      <x:c r="C12" s="12" t="n">
        <x:v>18000</x:v>
      </x:c>
      <x:c r="D12" s="14" t="n">
        <x:v>18000</x:v>
      </x:c>
      <x:c r="E12" s="25" t="str">
        <x:v>P4</x:v>
      </x:c>
      <x:c r="F12" s="23" t="n">
        <x:f>Prices!E7</x:f>
        <x:v>0.42</x:v>
      </x:c>
      <x:c r="G12" s="27" t="n">
        <x:f>IF(AND(ISNUMBER(D12),ISNUMBER(F12)),D12*F12,"n.a.")</x:f>
        <x:v>7560</x:v>
      </x:c>
      <x:c r="H12" s="29" t="n">
        <x:v>1</x:v>
      </x:c>
      <x:c r="I12" s="29" t="n">
        <x:f>IF(H12=0,0,IF(ISNUMBER(D12),D12*H12,"n.a."))</x:f>
        <x:v>18000</x:v>
      </x:c>
      <x:c r="J12" s="29" t="n">
        <x:f>IF(ISNUMBER(G12),0,1)</x:f>
        <x:v>0</x:v>
      </x:c>
      <x:c r="K12" s="12" t="str">
        <x:v>'Baguette AI'!C5:D5</x:v>
      </x:c>
      <x:c r="L12" s="12" t="str"/>
    </x:row>
    <x:row r="13" ht="28" customHeight="1">
      <x:c r="A13" s="2" t="str">
        <x:v>Baguette AI</x:v>
      </x:c>
      <x:c r="B13" s="11" t="str">
        <x:v>yeast</x:v>
      </x:c>
      <x:c r="C13" s="11" t="n">
        <x:v>100</x:v>
      </x:c>
      <x:c r="D13" s="13" t="n">
        <x:v>100</x:v>
      </x:c>
      <x:c r="E13" s="24" t="str">
        <x:v>P9</x:v>
      </x:c>
      <x:c r="F13" s="22" t="n">
        <x:f>Prices!E12</x:f>
        <x:v>2.8</x:v>
      </x:c>
      <x:c r="G13" s="26" t="n">
        <x:f>IF(AND(ISNUMBER(D13),ISNUMBER(F13)),D13*F13,"n.a.")</x:f>
        <x:v>280</x:v>
      </x:c>
      <x:c r="H13" s="28" t="n">
        <x:v>1</x:v>
      </x:c>
      <x:c r="I13" s="28" t="n">
        <x:f>IF(H13=0,0,IF(ISNUMBER(D13),D13*H13,"n.a."))</x:f>
        <x:v>100</x:v>
      </x:c>
      <x:c r="J13" s="28" t="n">
        <x:f>IF(ISNUMBER(G13),0,1)</x:f>
        <x:v>0</x:v>
      </x:c>
      <x:c r="K13" s="11" t="str">
        <x:v>'Baguette AI'!C6:D6</x:v>
      </x:c>
      <x:c r="L13" s="11" t="str"/>
    </x:row>
    <x:row r="14" ht="28" customHeight="1">
      <x:c r="A14" s="10" t="str">
        <x:v>Baguette AI</x:v>
      </x:c>
      <x:c r="B14" s="12" t="str">
        <x:v>salt</x:v>
      </x:c>
      <x:c r="C14" s="12" t="n">
        <x:v>350</x:v>
      </x:c>
      <x:c r="D14" s="14" t="n">
        <x:v>350</x:v>
      </x:c>
      <x:c r="E14" s="25" t="str">
        <x:v>P6</x:v>
      </x:c>
      <x:c r="F14" s="23" t="n">
        <x:f>Prices!E9</x:f>
        <x:v>0.20555555555555555</x:v>
      </x:c>
      <x:c r="G14" s="27" t="n">
        <x:f>IF(AND(ISNUMBER(D14),ISNUMBER(F14)),D14*F14,"n.a.")</x:f>
        <x:v>71.94444444444444</x:v>
      </x:c>
      <x:c r="H14" s="29" t="n">
        <x:v>1</x:v>
      </x:c>
      <x:c r="I14" s="29" t="n">
        <x:f>IF(H14=0,0,IF(ISNUMBER(D14),D14*H14,"n.a."))</x:f>
        <x:v>350</x:v>
      </x:c>
      <x:c r="J14" s="29" t="n">
        <x:f>IF(ISNUMBER(G14),0,1)</x:f>
        <x:v>0</x:v>
      </x:c>
      <x:c r="K14" s="12" t="str">
        <x:v>'Baguette AI'!C7:D7</x:v>
      </x:c>
      <x:c r="L14" s="12" t="str"/>
    </x:row>
    <x:row r="15" ht="28" customHeight="1">
      <x:c r="A15" s="2" t="str">
        <x:v>Baguette AI</x:v>
      </x:c>
      <x:c r="B15" s="11" t="str">
        <x:v>ice water</x:v>
      </x:c>
      <x:c r="C15" s="11" t="n">
        <x:v>12000</x:v>
      </x:c>
      <x:c r="D15" s="13" t="n">
        <x:v>12000</x:v>
      </x:c>
      <x:c r="E15" s="24" t="str">
        <x:v>P16</x:v>
      </x:c>
      <x:c r="F15" s="22" t="n">
        <x:f>Prices!E19</x:f>
        <x:v>0.0001</x:v>
      </x:c>
      <x:c r="G15" s="26" t="n">
        <x:f>IF(AND(ISNUMBER(D15),ISNUMBER(F15)),D15*F15,"n.a.")</x:f>
        <x:v>1.2</x:v>
      </x:c>
      <x:c r="H15" s="28" t="n">
        <x:v>1</x:v>
      </x:c>
      <x:c r="I15" s="28" t="n">
        <x:f>IF(H15=0,0,IF(ISNUMBER(D15),D15*H15,"n.a."))</x:f>
        <x:v>12000</x:v>
      </x:c>
      <x:c r="J15" s="28" t="n">
        <x:f>IF(ISNUMBER(G15),0,1)</x:f>
        <x:v>0</x:v>
      </x:c>
      <x:c r="K15" s="11" t="str">
        <x:v>'Baguette AI'!C8:D8</x:v>
      </x:c>
      <x:c r="L15" s="11" t="str"/>
    </x:row>
    <x:row r="16" ht="28" customHeight="1">
      <x:c r="A16" s="10" t="str">
        <x:v>Baguette AI</x:v>
      </x:c>
      <x:c r="B16" s="12" t="str">
        <x:v>improver</x:v>
      </x:c>
      <x:c r="C16" s="12" t="n">
        <x:v>70</x:v>
      </x:c>
      <x:c r="D16" s="14" t="n">
        <x:v>70</x:v>
      </x:c>
      <x:c r="E16" s="25" t="str">
        <x:v>P12</x:v>
      </x:c>
      <x:c r="F16" s="23" t="n">
        <x:f>Prices!E15</x:f>
        <x:v>2.8</x:v>
      </x:c>
      <x:c r="G16" s="27" t="n">
        <x:f>IF(AND(ISNUMBER(D16),ISNUMBER(F16)),D16*F16,"n.a.")</x:f>
        <x:v>196</x:v>
      </x:c>
      <x:c r="H16" s="29" t="n">
        <x:v>1</x:v>
      </x:c>
      <x:c r="I16" s="29" t="n">
        <x:f>IF(H16=0,0,IF(ISNUMBER(D16),D16*H16,"n.a."))</x:f>
        <x:v>70</x:v>
      </x:c>
      <x:c r="J16" s="29" t="n">
        <x:f>IF(ISNUMBER(G16),0,1)</x:f>
        <x:v>0</x:v>
      </x:c>
      <x:c r="K16" s="12" t="str">
        <x:v>'Baguette AI'!C9:D9</x:v>
      </x:c>
      <x:c r="L16" s="12" t="str"/>
    </x:row>
    <x:row r="17" ht="28" customHeight="1">
      <x:c r="A17" s="2" t="str">
        <x:v>Banh Mi</x:v>
      </x:c>
      <x:c r="B17" s="11" t="str">
        <x:v>flour</x:v>
      </x:c>
      <x:c r="C17" s="11" t="n">
        <x:v>6000</x:v>
      </x:c>
      <x:c r="D17" s="13" t="n">
        <x:v>6000</x:v>
      </x:c>
      <x:c r="E17" s="24" t="str">
        <x:v>P4</x:v>
      </x:c>
      <x:c r="F17" s="22" t="n">
        <x:f>Prices!E7</x:f>
        <x:v>0.42</x:v>
      </x:c>
      <x:c r="G17" s="26" t="n">
        <x:f>IF(AND(ISNUMBER(D17),ISNUMBER(F17)),D17*F17,"n.a.")</x:f>
        <x:v>2520</x:v>
      </x:c>
      <x:c r="H17" s="28" t="n">
        <x:v>1</x:v>
      </x:c>
      <x:c r="I17" s="28" t="n">
        <x:f>IF(H17=0,0,IF(ISNUMBER(D17),D17*H17,"n.a."))</x:f>
        <x:v>6000</x:v>
      </x:c>
      <x:c r="J17" s="28" t="n">
        <x:f>IF(ISNUMBER(G17),0,1)</x:f>
        <x:v>0</x:v>
      </x:c>
      <x:c r="K17" s="11" t="str">
        <x:v>'Banh Mi'!C5:F5</x:v>
      </x:c>
      <x:c r="L17" s="11" t="str"/>
    </x:row>
    <x:row r="18" ht="28" customHeight="1">
      <x:c r="A18" s="10" t="str">
        <x:v>Banh Mi</x:v>
      </x:c>
      <x:c r="B18" s="12" t="str">
        <x:v>yeast</x:v>
      </x:c>
      <x:c r="C18" s="12" t="n">
        <x:v>90</x:v>
      </x:c>
      <x:c r="D18" s="14" t="n">
        <x:v>90</x:v>
      </x:c>
      <x:c r="E18" s="25" t="str">
        <x:v>P9</x:v>
      </x:c>
      <x:c r="F18" s="23" t="n">
        <x:f>Prices!E12</x:f>
        <x:v>2.8</x:v>
      </x:c>
      <x:c r="G18" s="27" t="n">
        <x:f>IF(AND(ISNUMBER(D18),ISNUMBER(F18)),D18*F18,"n.a.")</x:f>
        <x:v>251.99999999999997</x:v>
      </x:c>
      <x:c r="H18" s="29" t="n">
        <x:v>1</x:v>
      </x:c>
      <x:c r="I18" s="29" t="n">
        <x:f>IF(H18=0,0,IF(ISNUMBER(D18),D18*H18,"n.a."))</x:f>
        <x:v>90</x:v>
      </x:c>
      <x:c r="J18" s="29" t="n">
        <x:f>IF(ISNUMBER(G18),0,1)</x:f>
        <x:v>0</x:v>
      </x:c>
      <x:c r="K18" s="12" t="str">
        <x:v>'Banh Mi'!C6:F6</x:v>
      </x:c>
      <x:c r="L18" s="12" t="str"/>
    </x:row>
    <x:row r="19" ht="28" customHeight="1">
      <x:c r="A19" s="2" t="str">
        <x:v>Banh Mi</x:v>
      </x:c>
      <x:c r="B19" s="11" t="str">
        <x:v>sugar</x:v>
      </x:c>
      <x:c r="C19" s="11" t="n">
        <x:v>45</x:v>
      </x:c>
      <x:c r="D19" s="13" t="n">
        <x:v>45</x:v>
      </x:c>
      <x:c r="E19" s="24" t="str">
        <x:v>P5</x:v>
      </x:c>
      <x:c r="F19" s="22" t="n">
        <x:f>Prices!E8</x:f>
        <x:v>0.64</x:v>
      </x:c>
      <x:c r="G19" s="26" t="n">
        <x:f>IF(AND(ISNUMBER(D19),ISNUMBER(F19)),D19*F19,"n.a.")</x:f>
        <x:v>28.8</x:v>
      </x:c>
      <x:c r="H19" s="28" t="n">
        <x:v>1</x:v>
      </x:c>
      <x:c r="I19" s="28" t="n">
        <x:f>IF(H19=0,0,IF(ISNUMBER(D19),D19*H19,"n.a."))</x:f>
        <x:v>45</x:v>
      </x:c>
      <x:c r="J19" s="28" t="n">
        <x:f>IF(ISNUMBER(G19),0,1)</x:f>
        <x:v>0</x:v>
      </x:c>
      <x:c r="K19" s="11" t="str">
        <x:v>'Banh Mi'!C7:F7</x:v>
      </x:c>
      <x:c r="L19" s="11" t="str"/>
    </x:row>
    <x:row r="20" ht="28" customHeight="1">
      <x:c r="A20" s="10" t="str">
        <x:v>Banh Mi</x:v>
      </x:c>
      <x:c r="B20" s="12" t="str">
        <x:v>salt</x:v>
      </x:c>
      <x:c r="C20" s="12" t="n">
        <x:v>45</x:v>
      </x:c>
      <x:c r="D20" s="14" t="n">
        <x:v>45</x:v>
      </x:c>
      <x:c r="E20" s="25" t="str">
        <x:v>P6</x:v>
      </x:c>
      <x:c r="F20" s="23" t="n">
        <x:f>Prices!E9</x:f>
        <x:v>0.20555555555555555</x:v>
      </x:c>
      <x:c r="G20" s="27" t="n">
        <x:f>IF(AND(ISNUMBER(D20),ISNUMBER(F20)),D20*F20,"n.a.")</x:f>
        <x:v>9.25</x:v>
      </x:c>
      <x:c r="H20" s="29" t="n">
        <x:v>1</x:v>
      </x:c>
      <x:c r="I20" s="29" t="n">
        <x:f>IF(H20=0,0,IF(ISNUMBER(D20),D20*H20,"n.a."))</x:f>
        <x:v>45</x:v>
      </x:c>
      <x:c r="J20" s="29" t="n">
        <x:f>IF(ISNUMBER(G20),0,1)</x:f>
        <x:v>0</x:v>
      </x:c>
      <x:c r="K20" s="12" t="str">
        <x:v>'Banh Mi'!C8:F8</x:v>
      </x:c>
      <x:c r="L20" s="12" t="str"/>
    </x:row>
    <x:row r="21" ht="28" customHeight="1">
      <x:c r="A21" s="2" t="str">
        <x:v>Banh Mi</x:v>
      </x:c>
      <x:c r="B21" s="11" t="str">
        <x:v>water</x:v>
      </x:c>
      <x:c r="C21" s="11" t="n">
        <x:v>4200</x:v>
      </x:c>
      <x:c r="D21" s="13" t="n">
        <x:v>4200</x:v>
      </x:c>
      <x:c r="E21" s="24" t="str">
        <x:v>P16</x:v>
      </x:c>
      <x:c r="F21" s="22" t="n">
        <x:f>Prices!E19</x:f>
        <x:v>0.0001</x:v>
      </x:c>
      <x:c r="G21" s="26" t="n">
        <x:f>IF(AND(ISNUMBER(D21),ISNUMBER(F21)),D21*F21,"n.a.")</x:f>
        <x:v>0.42000000000000004</x:v>
      </x:c>
      <x:c r="H21" s="28" t="n">
        <x:v>1</x:v>
      </x:c>
      <x:c r="I21" s="28" t="n">
        <x:f>IF(H21=0,0,IF(ISNUMBER(D21),D21*H21,"n.a."))</x:f>
        <x:v>4200</x:v>
      </x:c>
      <x:c r="J21" s="28" t="n">
        <x:f>IF(ISNUMBER(G21),0,1)</x:f>
        <x:v>0</x:v>
      </x:c>
      <x:c r="K21" s="11" t="str">
        <x:v>'Banh Mi'!C9:F9</x:v>
      </x:c>
      <x:c r="L21" s="11" t="str"/>
    </x:row>
    <x:row r="22" ht="28" customHeight="1">
      <x:c r="A22" s="10" t="str">
        <x:v>Banh Mi</x:v>
      </x:c>
      <x:c r="B22" s="12" t="str">
        <x:v>improver</x:v>
      </x:c>
      <x:c r="C22" s="12" t="n">
        <x:v>150</x:v>
      </x:c>
      <x:c r="D22" s="14" t="n">
        <x:v>150</x:v>
      </x:c>
      <x:c r="E22" s="25" t="str">
        <x:v>P12</x:v>
      </x:c>
      <x:c r="F22" s="23" t="n">
        <x:f>Prices!E15</x:f>
        <x:v>2.8</x:v>
      </x:c>
      <x:c r="G22" s="27" t="n">
        <x:f>IF(AND(ISNUMBER(D22),ISNUMBER(F22)),D22*F22,"n.a.")</x:f>
        <x:v>420</x:v>
      </x:c>
      <x:c r="H22" s="29" t="n">
        <x:v>1</x:v>
      </x:c>
      <x:c r="I22" s="29" t="n">
        <x:f>IF(H22=0,0,IF(ISNUMBER(D22),D22*H22,"n.a."))</x:f>
        <x:v>150</x:v>
      </x:c>
      <x:c r="J22" s="29" t="n">
        <x:f>IF(ISNUMBER(G22),0,1)</x:f>
        <x:v>0</x:v>
      </x:c>
      <x:c r="K22" s="12" t="str">
        <x:v>'Banh Mi'!C10:F10</x:v>
      </x:c>
      <x:c r="L22" s="12" t="str"/>
    </x:row>
    <x:row r="23" ht="28" customHeight="1">
      <x:c r="A23" s="2" t="str">
        <x:v>cake marbre</x:v>
      </x:c>
      <x:c r="B23" s="11" t="str">
        <x:v>flour</x:v>
      </x:c>
      <x:c r="C23" s="11" t="n">
        <x:v>2000</x:v>
      </x:c>
      <x:c r="D23" s="13" t="n">
        <x:v>2000</x:v>
      </x:c>
      <x:c r="E23" s="24" t="str">
        <x:v>P4</x:v>
      </x:c>
      <x:c r="F23" s="22" t="n">
        <x:f>Prices!E7</x:f>
        <x:v>0.42</x:v>
      </x:c>
      <x:c r="G23" s="26" t="n">
        <x:f>IF(AND(ISNUMBER(D23),ISNUMBER(F23)),D23*F23,"n.a.")</x:f>
        <x:v>840</x:v>
      </x:c>
      <x:c r="H23" s="28" t="n">
        <x:v>1</x:v>
      </x:c>
      <x:c r="I23" s="28" t="n">
        <x:f>IF(H23=0,0,IF(ISNUMBER(D23),D23*H23,"n.a."))</x:f>
        <x:v>2000</x:v>
      </x:c>
      <x:c r="J23" s="28" t="n">
        <x:f>IF(ISNUMBER(G23),0,1)</x:f>
        <x:v>0</x:v>
      </x:c>
      <x:c r="K23" s="11" t="str">
        <x:v>'cake marbre'!C5:D5</x:v>
      </x:c>
      <x:c r="L23" s="11" t="str"/>
    </x:row>
    <x:row r="24" ht="28" customHeight="1">
      <x:c r="A24" s="10" t="str">
        <x:v>cake marbre</x:v>
      </x:c>
      <x:c r="B24" s="12" t="str">
        <x:v>baking powder</x:v>
      </x:c>
      <x:c r="C24" s="12" t="n">
        <x:v>70</x:v>
      </x:c>
      <x:c r="D24" s="14" t="n">
        <x:v>70</x:v>
      </x:c>
      <x:c r="E24" s="25" t="str">
        <x:v>P10</x:v>
      </x:c>
      <x:c r="F24" s="23" t="n">
        <x:f>Prices!E13</x:f>
        <x:v>2.6</x:v>
      </x:c>
      <x:c r="G24" s="27" t="n">
        <x:f>IF(AND(ISNUMBER(D24),ISNUMBER(F24)),D24*F24,"n.a.")</x:f>
        <x:v>182</x:v>
      </x:c>
      <x:c r="H24" s="29" t="n">
        <x:v>1</x:v>
      </x:c>
      <x:c r="I24" s="29" t="n">
        <x:f>IF(H24=0,0,IF(ISNUMBER(D24),D24*H24,"n.a."))</x:f>
        <x:v>70</x:v>
      </x:c>
      <x:c r="J24" s="29" t="n">
        <x:f>IF(ISNUMBER(G24),0,1)</x:f>
        <x:v>0</x:v>
      </x:c>
      <x:c r="K24" s="12" t="str">
        <x:v>'cake marbre'!C6:D6</x:v>
      </x:c>
      <x:c r="L24" s="12" t="str"/>
    </x:row>
    <x:row r="25" ht="28" customHeight="1">
      <x:c r="A25" s="2" t="str">
        <x:v>cake marbre</x:v>
      </x:c>
      <x:c r="B25" s="11" t="str">
        <x:v>salt</x:v>
      </x:c>
      <x:c r="C25" s="11" t="n">
        <x:v>20</x:v>
      </x:c>
      <x:c r="D25" s="13" t="n">
        <x:v>20</x:v>
      </x:c>
      <x:c r="E25" s="24" t="str">
        <x:v>P6</x:v>
      </x:c>
      <x:c r="F25" s="22" t="n">
        <x:f>Prices!E9</x:f>
        <x:v>0.20555555555555555</x:v>
      </x:c>
      <x:c r="G25" s="26" t="n">
        <x:f>IF(AND(ISNUMBER(D25),ISNUMBER(F25)),D25*F25,"n.a.")</x:f>
        <x:v>4.111111111111111</x:v>
      </x:c>
      <x:c r="H25" s="28" t="n">
        <x:v>1</x:v>
      </x:c>
      <x:c r="I25" s="28" t="n">
        <x:f>IF(H25=0,0,IF(ISNUMBER(D25),D25*H25,"n.a."))</x:f>
        <x:v>20</x:v>
      </x:c>
      <x:c r="J25" s="28" t="n">
        <x:f>IF(ISNUMBER(G25),0,1)</x:f>
        <x:v>0</x:v>
      </x:c>
      <x:c r="K25" s="11" t="str">
        <x:v>'cake marbre'!C7:D7</x:v>
      </x:c>
      <x:c r="L25" s="11" t="str"/>
    </x:row>
    <x:row r="26" ht="28" customHeight="1">
      <x:c r="A26" s="10" t="str">
        <x:v>cake marbre</x:v>
      </x:c>
      <x:c r="B26" s="12" t="str">
        <x:v>Nut Meg</x:v>
      </x:c>
      <x:c r="C26" s="12" t="n">
        <x:v>10</x:v>
      </x:c>
      <x:c r="D26" s="14" t="n">
        <x:v>10</x:v>
      </x:c>
      <x:c r="E26" s="25" t="str">
        <x:v>P14</x:v>
      </x:c>
      <x:c r="F26" s="23" t="n">
        <x:f>Prices!E17</x:f>
        <x:v>9</x:v>
      </x:c>
      <x:c r="G26" s="27" t="n">
        <x:f>IF(AND(ISNUMBER(D26),ISNUMBER(F26)),D26*F26,"n.a.")</x:f>
        <x:v>90</x:v>
      </x:c>
      <x:c r="H26" s="29" t="n">
        <x:v>1</x:v>
      </x:c>
      <x:c r="I26" s="29" t="n">
        <x:f>IF(H26=0,0,IF(ISNUMBER(D26),D26*H26,"n.a."))</x:f>
        <x:v>10</x:v>
      </x:c>
      <x:c r="J26" s="29" t="n">
        <x:f>IF(ISNUMBER(G26),0,1)</x:f>
        <x:v>0</x:v>
      </x:c>
      <x:c r="K26" s="12" t="str">
        <x:v>'cake marbre'!C8:D8</x:v>
      </x:c>
      <x:c r="L26" s="12" t="str"/>
    </x:row>
    <x:row r="27" ht="28" customHeight="1">
      <x:c r="A27" s="2" t="str">
        <x:v>cake marbre</x:v>
      </x:c>
      <x:c r="B27" s="11" t="str">
        <x:v>water</x:v>
      </x:c>
      <x:c r="C27" s="11" t="n">
        <x:v>1100</x:v>
      </x:c>
      <x:c r="D27" s="13" t="n">
        <x:v>1100</x:v>
      </x:c>
      <x:c r="E27" s="24" t="str">
        <x:v>P16</x:v>
      </x:c>
      <x:c r="F27" s="22" t="n">
        <x:f>Prices!E19</x:f>
        <x:v>0.0001</x:v>
      </x:c>
      <x:c r="G27" s="26" t="n">
        <x:f>IF(AND(ISNUMBER(D27),ISNUMBER(F27)),D27*F27,"n.a.")</x:f>
        <x:v>0.11</x:v>
      </x:c>
      <x:c r="H27" s="28" t="n">
        <x:v>1</x:v>
      </x:c>
      <x:c r="I27" s="28" t="n">
        <x:f>IF(H27=0,0,IF(ISNUMBER(D27),D27*H27,"n.a."))</x:f>
        <x:v>1100</x:v>
      </x:c>
      <x:c r="J27" s="28" t="n">
        <x:f>IF(ISNUMBER(G27),0,1)</x:f>
        <x:v>0</x:v>
      </x:c>
      <x:c r="K27" s="11" t="str">
        <x:v>'cake marbre'!C9:D9</x:v>
      </x:c>
      <x:c r="L27" s="11" t="str"/>
    </x:row>
    <x:row r="28" ht="28" customHeight="1">
      <x:c r="A28" s="10" t="str">
        <x:v>cake marbre</x:v>
      </x:c>
      <x:c r="B28" s="12" t="str">
        <x:v>Egg</x:v>
      </x:c>
      <x:c r="C28" s="12" t="n">
        <x:v>360</x:v>
      </x:c>
      <x:c r="D28" s="14" t="n">
        <x:v>360</x:v>
      </x:c>
      <x:c r="E28" s="25" t="str">
        <x:v>P13</x:v>
      </x:c>
      <x:c r="F28" s="23" t="n">
        <x:f>Prices!E16</x:f>
        <x:v>1.3333333333333333</x:v>
      </x:c>
      <x:c r="G28" s="27" t="n">
        <x:f>IF(AND(ISNUMBER(D28),ISNUMBER(F28)),D28*F28,"n.a.")</x:f>
        <x:v>480</x:v>
      </x:c>
      <x:c r="H28" s="29" t="n">
        <x:v>1</x:v>
      </x:c>
      <x:c r="I28" s="29" t="n">
        <x:f>IF(H28=0,0,IF(ISNUMBER(D28),D28*H28,"n.a."))</x:f>
        <x:v>360</x:v>
      </x:c>
      <x:c r="J28" s="29" t="n">
        <x:f>IF(ISNUMBER(G28),0,1)</x:f>
        <x:v>0</x:v>
      </x:c>
      <x:c r="K28" s="12" t="str">
        <x:v>'cake marbre'!C10:D10</x:v>
      </x:c>
      <x:c r="L28" s="12" t="str"/>
    </x:row>
    <x:row r="29" ht="28" customHeight="1">
      <x:c r="A29" s="2" t="str">
        <x:v>cake marbre</x:v>
      </x:c>
      <x:c r="B29" s="11" t="str">
        <x:v>Butter</x:v>
      </x:c>
      <x:c r="C29" s="11" t="n">
        <x:v>1000</x:v>
      </x:c>
      <x:c r="D29" s="13" t="n">
        <x:v>1000</x:v>
      </x:c>
      <x:c r="E29" s="24" t="str">
        <x:v>P7</x:v>
      </x:c>
      <x:c r="F29" s="22" t="n">
        <x:f>Prices!E10</x:f>
        <x:v>1.263157894736842</x:v>
      </x:c>
      <x:c r="G29" s="26" t="n">
        <x:f>IF(AND(ISNUMBER(D29),ISNUMBER(F29)),D29*F29,"n.a.")</x:f>
        <x:v>1263.157894736842</x:v>
      </x:c>
      <x:c r="H29" s="28" t="n">
        <x:v>1</x:v>
      </x:c>
      <x:c r="I29" s="28" t="n">
        <x:f>IF(H29=0,0,IF(ISNUMBER(D29),D29*H29,"n.a."))</x:f>
        <x:v>1000</x:v>
      </x:c>
      <x:c r="J29" s="28" t="n">
        <x:f>IF(ISNUMBER(G29),0,1)</x:f>
        <x:v>0</x:v>
      </x:c>
      <x:c r="K29" s="11" t="str">
        <x:v>'cake marbre'!C11:D11</x:v>
      </x:c>
      <x:c r="L29" s="11" t="str"/>
    </x:row>
    <x:row r="30" ht="28" customHeight="1">
      <x:c r="A30" s="10" t="str">
        <x:v>cake marbre</x:v>
      </x:c>
      <x:c r="B30" s="12" t="str">
        <x:v>sugar</x:v>
      </x:c>
      <x:c r="C30" s="12" t="n">
        <x:v>650</x:v>
      </x:c>
      <x:c r="D30" s="14" t="n">
        <x:v>650</x:v>
      </x:c>
      <x:c r="E30" s="25" t="str">
        <x:v>P5</x:v>
      </x:c>
      <x:c r="F30" s="23" t="n">
        <x:f>Prices!E8</x:f>
        <x:v>0.64</x:v>
      </x:c>
      <x:c r="G30" s="27" t="n">
        <x:f>IF(AND(ISNUMBER(D30),ISNUMBER(F30)),D30*F30,"n.a.")</x:f>
        <x:v>416</x:v>
      </x:c>
      <x:c r="H30" s="29" t="n">
        <x:v>1</x:v>
      </x:c>
      <x:c r="I30" s="29" t="n">
        <x:f>IF(H30=0,0,IF(ISNUMBER(D30),D30*H30,"n.a."))</x:f>
        <x:v>650</x:v>
      </x:c>
      <x:c r="J30" s="29" t="n">
        <x:f>IF(ISNUMBER(G30),0,1)</x:f>
        <x:v>0</x:v>
      </x:c>
      <x:c r="K30" s="12" t="str">
        <x:v>'cake marbre'!C12:D12</x:v>
      </x:c>
      <x:c r="L30" s="12" t="str"/>
    </x:row>
    <x:row r="31" ht="28" customHeight="1">
      <x:c r="A31" s="2" t="str">
        <x:v>cake marbre</x:v>
      </x:c>
      <x:c r="B31" s="11" t="str">
        <x:v>improver</x:v>
      </x:c>
      <x:c r="C31" s="11" t="n">
        <x:v>5</x:v>
      </x:c>
      <x:c r="D31" s="13" t="n">
        <x:v>5</x:v>
      </x:c>
      <x:c r="E31" s="24" t="str">
        <x:v>P12</x:v>
      </x:c>
      <x:c r="F31" s="22" t="n">
        <x:f>Prices!E15</x:f>
        <x:v>2.8</x:v>
      </x:c>
      <x:c r="G31" s="26" t="n">
        <x:f>IF(AND(ISNUMBER(D31),ISNUMBER(F31)),D31*F31,"n.a.")</x:f>
        <x:v>14</x:v>
      </x:c>
      <x:c r="H31" s="28" t="n">
        <x:v>1</x:v>
      </x:c>
      <x:c r="I31" s="28" t="n">
        <x:f>IF(H31=0,0,IF(ISNUMBER(D31),D31*H31,"n.a."))</x:f>
        <x:v>5</x:v>
      </x:c>
      <x:c r="J31" s="28" t="n">
        <x:f>IF(ISNUMBER(G31),0,1)</x:f>
        <x:v>0</x:v>
      </x:c>
      <x:c r="K31" s="11" t="str">
        <x:v>'cake marbre'!C13:D13</x:v>
      </x:c>
      <x:c r="L31" s="11" t="str"/>
    </x:row>
    <x:row r="32" ht="28" customHeight="1">
      <x:c r="A32" s="10" t="str">
        <x:v>cake marbre</x:v>
      </x:c>
      <x:c r="B32" s="12" t="str">
        <x:v>milk</x:v>
      </x:c>
      <x:c r="C32" s="12" t="n">
        <x:v>12</x:v>
      </x:c>
      <x:c r="D32" s="14" t="n">
        <x:v>12</x:v>
      </x:c>
      <x:c r="E32" s="25" t="str">
        <x:v>P15</x:v>
      </x:c>
      <x:c r="F32" s="23" t="n">
        <x:f>Prices!E18</x:f>
        <x:v>1.17</x:v>
      </x:c>
      <x:c r="G32" s="27" t="n">
        <x:f>IF(AND(ISNUMBER(D32),ISNUMBER(F32)),D32*F32,"n.a.")</x:f>
        <x:v>14.04</x:v>
      </x:c>
      <x:c r="H32" s="29" t="n">
        <x:v>1</x:v>
      </x:c>
      <x:c r="I32" s="29" t="n">
        <x:f>IF(H32=0,0,IF(ISNUMBER(D32),D32*H32,"n.a."))</x:f>
        <x:v>12</x:v>
      </x:c>
      <x:c r="J32" s="29" t="n">
        <x:f>IF(ISNUMBER(G32),0,1)</x:f>
        <x:v>0</x:v>
      </x:c>
      <x:c r="K32" s="12" t="str">
        <x:v>'cake marbre'!C14:D14</x:v>
      </x:c>
      <x:c r="L32" s="12" t="str">
        <x:v>Milk type unclear; generic master milk rate used provisionally.</x:v>
      </x:c>
    </x:row>
    <x:row r="33" ht="28" customHeight="1">
      <x:c r="A33" s="2" t="str">
        <x:v>gateau</x:v>
      </x:c>
      <x:c r="B33" s="11" t="str">
        <x:v>flour</x:v>
      </x:c>
      <x:c r="C33" s="11" t="n">
        <x:v>25000</x:v>
      </x:c>
      <x:c r="D33" s="13" t="n">
        <x:v>25000</x:v>
      </x:c>
      <x:c r="E33" s="24" t="str">
        <x:v>P4</x:v>
      </x:c>
      <x:c r="F33" s="22" t="n">
        <x:f>Prices!E7</x:f>
        <x:v>0.42</x:v>
      </x:c>
      <x:c r="G33" s="26" t="n">
        <x:f>IF(AND(ISNUMBER(D33),ISNUMBER(F33)),D33*F33,"n.a.")</x:f>
        <x:v>10500</x:v>
      </x:c>
      <x:c r="H33" s="28" t="n">
        <x:v>1</x:v>
      </x:c>
      <x:c r="I33" s="28" t="n">
        <x:f>IF(H33=0,0,IF(ISNUMBER(D33),D33*H33,"n.a."))</x:f>
        <x:v>25000</x:v>
      </x:c>
      <x:c r="J33" s="28" t="n">
        <x:f>IF(ISNUMBER(G33),0,1)</x:f>
        <x:v>0</x:v>
      </x:c>
      <x:c r="K33" s="11" t="str">
        <x:v>'gateau'!C5:D5</x:v>
      </x:c>
      <x:c r="L33" s="11" t="str"/>
    </x:row>
    <x:row r="34" ht="28" customHeight="1">
      <x:c r="A34" s="10" t="str">
        <x:v>gateau</x:v>
      </x:c>
      <x:c r="B34" s="12" t="str">
        <x:v>Butter</x:v>
      </x:c>
      <x:c r="C34" s="12" t="n">
        <x:v>1300</x:v>
      </x:c>
      <x:c r="D34" s="14" t="n">
        <x:v>1300</x:v>
      </x:c>
      <x:c r="E34" s="25" t="str">
        <x:v>P7</x:v>
      </x:c>
      <x:c r="F34" s="23" t="n">
        <x:f>Prices!E10</x:f>
        <x:v>1.263157894736842</x:v>
      </x:c>
      <x:c r="G34" s="27" t="n">
        <x:f>IF(AND(ISNUMBER(D34),ISNUMBER(F34)),D34*F34,"n.a.")</x:f>
        <x:v>1642.1052631578946</x:v>
      </x:c>
      <x:c r="H34" s="29" t="n">
        <x:v>1</x:v>
      </x:c>
      <x:c r="I34" s="29" t="n">
        <x:f>IF(H34=0,0,IF(ISNUMBER(D34),D34*H34,"n.a."))</x:f>
        <x:v>1300</x:v>
      </x:c>
      <x:c r="J34" s="29" t="n">
        <x:f>IF(ISNUMBER(G34),0,1)</x:f>
        <x:v>0</x:v>
      </x:c>
      <x:c r="K34" s="12" t="str">
        <x:v>'gateau'!C6:D6</x:v>
      </x:c>
      <x:c r="L34" s="12" t="str"/>
    </x:row>
    <x:row r="35" ht="28" customHeight="1">
      <x:c r="A35" s="2" t="str">
        <x:v>gateau</x:v>
      </x:c>
      <x:c r="B35" s="11" t="str">
        <x:v>sugar</x:v>
      </x:c>
      <x:c r="C35" s="11" t="n">
        <x:v>1600</x:v>
      </x:c>
      <x:c r="D35" s="13" t="n">
        <x:v>1600</x:v>
      </x:c>
      <x:c r="E35" s="24" t="str">
        <x:v>P5</x:v>
      </x:c>
      <x:c r="F35" s="22" t="n">
        <x:f>Prices!E8</x:f>
        <x:v>0.64</x:v>
      </x:c>
      <x:c r="G35" s="26" t="n">
        <x:f>IF(AND(ISNUMBER(D35),ISNUMBER(F35)),D35*F35,"n.a.")</x:f>
        <x:v>1024</x:v>
      </x:c>
      <x:c r="H35" s="28" t="n">
        <x:v>1</x:v>
      </x:c>
      <x:c r="I35" s="28" t="n">
        <x:f>IF(H35=0,0,IF(ISNUMBER(D35),D35*H35,"n.a."))</x:f>
        <x:v>1600</x:v>
      </x:c>
      <x:c r="J35" s="28" t="n">
        <x:f>IF(ISNUMBER(G35),0,1)</x:f>
        <x:v>0</x:v>
      </x:c>
      <x:c r="K35" s="11" t="str">
        <x:v>'gateau'!C7:D7</x:v>
      </x:c>
      <x:c r="L35" s="11" t="str"/>
    </x:row>
    <x:row r="36" ht="28" customHeight="1">
      <x:c r="A36" s="10" t="str">
        <x:v>gateau</x:v>
      </x:c>
      <x:c r="B36" s="12" t="str">
        <x:v>Conc Milk</x:v>
      </x:c>
      <x:c r="C36" s="12" t="n">
        <x:v>950</x:v>
      </x:c>
      <x:c r="D36" s="14" t="n">
        <x:v>950</x:v>
      </x:c>
      <x:c r="E36" s="25" t="str">
        <x:v>P15</x:v>
      </x:c>
      <x:c r="F36" s="23" t="n">
        <x:f>Prices!E18</x:f>
        <x:v>1.17</x:v>
      </x:c>
      <x:c r="G36" s="27" t="n">
        <x:f>IF(AND(ISNUMBER(D36),ISNUMBER(F36)),D36*F36,"n.a.")</x:f>
        <x:v>1111.5</x:v>
      </x:c>
      <x:c r="H36" s="29" t="n">
        <x:v>1</x:v>
      </x:c>
      <x:c r="I36" s="29" t="n">
        <x:f>IF(H36=0,0,IF(ISNUMBER(D36),D36*H36,"n.a."))</x:f>
        <x:v>950</x:v>
      </x:c>
      <x:c r="J36" s="29" t="n">
        <x:f>IF(ISNUMBER(G36),0,1)</x:f>
        <x:v>0</x:v>
      </x:c>
      <x:c r="K36" s="12" t="str">
        <x:v>'gateau'!C8:D8</x:v>
      </x:c>
      <x:c r="L36" s="12" t="str">
        <x:v>Generic milk price used provisionally for condensed milk; confirm identity.</x:v>
      </x:c>
    </x:row>
    <x:row r="37" ht="28" customHeight="1">
      <x:c r="A37" s="2" t="str">
        <x:v>gateau</x:v>
      </x:c>
      <x:c r="B37" s="11" t="str">
        <x:v>egg</x:v>
      </x:c>
      <x:c r="C37" s="11" t="n">
        <x:v>200</x:v>
      </x:c>
      <x:c r="D37" s="13" t="n">
        <x:v>200</x:v>
      </x:c>
      <x:c r="E37" s="24" t="str">
        <x:v>P13</x:v>
      </x:c>
      <x:c r="F37" s="22" t="n">
        <x:f>Prices!E16</x:f>
        <x:v>1.3333333333333333</x:v>
      </x:c>
      <x:c r="G37" s="26" t="n">
        <x:f>IF(AND(ISNUMBER(D37),ISNUMBER(F37)),D37*F37,"n.a.")</x:f>
        <x:v>266.66666666666663</x:v>
      </x:c>
      <x:c r="H37" s="28" t="n">
        <x:v>1</x:v>
      </x:c>
      <x:c r="I37" s="28" t="n">
        <x:f>IF(H37=0,0,IF(ISNUMBER(D37),D37*H37,"n.a."))</x:f>
        <x:v>200</x:v>
      </x:c>
      <x:c r="J37" s="28" t="n">
        <x:f>IF(ISNUMBER(G37),0,1)</x:f>
        <x:v>0</x:v>
      </x:c>
      <x:c r="K37" s="11" t="str">
        <x:v>'gateau'!C9:D9</x:v>
      </x:c>
      <x:c r="L37" s="11" t="str"/>
    </x:row>
    <x:row r="38" ht="28" customHeight="1">
      <x:c r="A38" s="10" t="str">
        <x:v>gateau</x:v>
      </x:c>
      <x:c r="B38" s="12" t="str">
        <x:v>salt</x:v>
      </x:c>
      <x:c r="C38" s="12" t="n">
        <x:v>270</x:v>
      </x:c>
      <x:c r="D38" s="14" t="n">
        <x:v>270</x:v>
      </x:c>
      <x:c r="E38" s="25" t="str">
        <x:v>P6</x:v>
      </x:c>
      <x:c r="F38" s="23" t="n">
        <x:f>Prices!E9</x:f>
        <x:v>0.20555555555555555</x:v>
      </x:c>
      <x:c r="G38" s="27" t="n">
        <x:f>IF(AND(ISNUMBER(D38),ISNUMBER(F38)),D38*F38,"n.a.")</x:f>
        <x:v>55.5</x:v>
      </x:c>
      <x:c r="H38" s="29" t="n">
        <x:v>1</x:v>
      </x:c>
      <x:c r="I38" s="29" t="n">
        <x:f>IF(H38=0,0,IF(ISNUMBER(D38),D38*H38,"n.a."))</x:f>
        <x:v>270</x:v>
      </x:c>
      <x:c r="J38" s="29" t="n">
        <x:f>IF(ISNUMBER(G38),0,1)</x:f>
        <x:v>0</x:v>
      </x:c>
      <x:c r="K38" s="12" t="str">
        <x:v>'gateau'!C10:D10</x:v>
      </x:c>
      <x:c r="L38" s="12" t="str"/>
    </x:row>
    <x:row r="39" ht="28" customHeight="1">
      <x:c r="A39" s="2" t="str">
        <x:v>gateau</x:v>
      </x:c>
      <x:c r="B39" s="11" t="str">
        <x:v>improver</x:v>
      </x:c>
      <x:c r="C39" s="11" t="n">
        <x:v>170</x:v>
      </x:c>
      <x:c r="D39" s="13" t="n">
        <x:v>170</x:v>
      </x:c>
      <x:c r="E39" s="24" t="str">
        <x:v>P12</x:v>
      </x:c>
      <x:c r="F39" s="22" t="n">
        <x:f>Prices!E15</x:f>
        <x:v>2.8</x:v>
      </x:c>
      <x:c r="G39" s="26" t="n">
        <x:f>IF(AND(ISNUMBER(D39),ISNUMBER(F39)),D39*F39,"n.a.")</x:f>
        <x:v>475.99999999999994</x:v>
      </x:c>
      <x:c r="H39" s="28" t="n">
        <x:v>1</x:v>
      </x:c>
      <x:c r="I39" s="28" t="n">
        <x:f>IF(H39=0,0,IF(ISNUMBER(D39),D39*H39,"n.a."))</x:f>
        <x:v>170</x:v>
      </x:c>
      <x:c r="J39" s="28" t="n">
        <x:f>IF(ISNUMBER(G39),0,1)</x:f>
        <x:v>0</x:v>
      </x:c>
      <x:c r="K39" s="11" t="str">
        <x:v>'gateau'!C11:D11</x:v>
      </x:c>
      <x:c r="L39" s="11" t="str"/>
    </x:row>
    <x:row r="40" ht="28" customHeight="1">
      <x:c r="A40" s="10" t="str">
        <x:v>gateau</x:v>
      </x:c>
      <x:c r="B40" s="12" t="str">
        <x:v>yeast</x:v>
      </x:c>
      <x:c r="C40" s="12" t="n">
        <x:v>170</x:v>
      </x:c>
      <x:c r="D40" s="14" t="n">
        <x:v>170</x:v>
      </x:c>
      <x:c r="E40" s="25" t="str">
        <x:v>P9</x:v>
      </x:c>
      <x:c r="F40" s="23" t="n">
        <x:f>Prices!E12</x:f>
        <x:v>2.8</x:v>
      </x:c>
      <x:c r="G40" s="27" t="n">
        <x:f>IF(AND(ISNUMBER(D40),ISNUMBER(F40)),D40*F40,"n.a.")</x:f>
        <x:v>475.99999999999994</x:v>
      </x:c>
      <x:c r="H40" s="29" t="n">
        <x:v>1</x:v>
      </x:c>
      <x:c r="I40" s="29" t="n">
        <x:f>IF(H40=0,0,IF(ISNUMBER(D40),D40*H40,"n.a."))</x:f>
        <x:v>170</x:v>
      </x:c>
      <x:c r="J40" s="29" t="n">
        <x:f>IF(ISNUMBER(G40),0,1)</x:f>
        <x:v>0</x:v>
      </x:c>
      <x:c r="K40" s="12" t="str">
        <x:v>'gateau'!C12:D12</x:v>
      </x:c>
      <x:c r="L40" s="12" t="str"/>
    </x:row>
    <x:row r="41" ht="28" customHeight="1">
      <x:c r="A41" s="2" t="str">
        <x:v>gateau</x:v>
      </x:c>
      <x:c r="B41" s="11" t="str">
        <x:v>water</x:v>
      </x:c>
      <x:c r="C41" s="11" t="n">
        <x:v>10000</x:v>
      </x:c>
      <x:c r="D41" s="13" t="n">
        <x:v>10000</x:v>
      </x:c>
      <x:c r="E41" s="24" t="str">
        <x:v>P16</x:v>
      </x:c>
      <x:c r="F41" s="22" t="n">
        <x:f>Prices!E19</x:f>
        <x:v>0.0001</x:v>
      </x:c>
      <x:c r="G41" s="26" t="n">
        <x:f>IF(AND(ISNUMBER(D41),ISNUMBER(F41)),D41*F41,"n.a.")</x:f>
        <x:v>1</x:v>
      </x:c>
      <x:c r="H41" s="28" t="n">
        <x:v>1</x:v>
      </x:c>
      <x:c r="I41" s="28" t="n">
        <x:f>IF(H41=0,0,IF(ISNUMBER(D41),D41*H41,"n.a."))</x:f>
        <x:v>10000</x:v>
      </x:c>
      <x:c r="J41" s="28" t="n">
        <x:f>IF(ISNUMBER(G41),0,1)</x:f>
        <x:v>0</x:v>
      </x:c>
      <x:c r="K41" s="11" t="str">
        <x:v>'gateau'!C13:D13</x:v>
      </x:c>
      <x:c r="L41" s="11" t="str"/>
    </x:row>
    <x:row r="42" ht="28" customHeight="1">
      <x:c r="A42" s="10" t="str">
        <x:v>gateau</x:v>
      </x:c>
      <x:c r="B42" s="12" t="str">
        <x:v>Nutmeg</x:v>
      </x:c>
      <x:c r="C42" s="12" t="n">
        <x:v>40</x:v>
      </x:c>
      <x:c r="D42" s="14" t="n">
        <x:v>40</x:v>
      </x:c>
      <x:c r="E42" s="25" t="str">
        <x:v>P14</x:v>
      </x:c>
      <x:c r="F42" s="23" t="n">
        <x:f>Prices!E17</x:f>
        <x:v>9</x:v>
      </x:c>
      <x:c r="G42" s="27" t="n">
        <x:f>IF(AND(ISNUMBER(D42),ISNUMBER(F42)),D42*F42,"n.a.")</x:f>
        <x:v>360</x:v>
      </x:c>
      <x:c r="H42" s="29" t="n">
        <x:v>1</x:v>
      </x:c>
      <x:c r="I42" s="29" t="n">
        <x:f>IF(H42=0,0,IF(ISNUMBER(D42),D42*H42,"n.a."))</x:f>
        <x:v>40</x:v>
      </x:c>
      <x:c r="J42" s="29" t="n">
        <x:f>IF(ISNUMBER(G42),0,1)</x:f>
        <x:v>0</x:v>
      </x:c>
      <x:c r="K42" s="12" t="str">
        <x:v>'gateau'!C14:D14</x:v>
      </x:c>
      <x:c r="L42" s="12" t="str"/>
    </x:row>
    <x:row r="43" ht="28" customHeight="1">
      <x:c r="A43" s="2" t="str">
        <x:v>gateau</x:v>
      </x:c>
      <x:c r="B43" s="11" t="str">
        <x:v>baking powder</x:v>
      </x:c>
      <x:c r="C43" s="11" t="n">
        <x:v>170</x:v>
      </x:c>
      <x:c r="D43" s="13" t="n">
        <x:v>170</x:v>
      </x:c>
      <x:c r="E43" s="24" t="str">
        <x:v>P10</x:v>
      </x:c>
      <x:c r="F43" s="22" t="n">
        <x:f>Prices!E13</x:f>
        <x:v>2.6</x:v>
      </x:c>
      <x:c r="G43" s="26" t="n">
        <x:f>IF(AND(ISNUMBER(D43),ISNUMBER(F43)),D43*F43,"n.a.")</x:f>
        <x:v>442</x:v>
      </x:c>
      <x:c r="H43" s="28" t="n">
        <x:v>1</x:v>
      </x:c>
      <x:c r="I43" s="28" t="n">
        <x:f>IF(H43=0,0,IF(ISNUMBER(D43),D43*H43,"n.a."))</x:f>
        <x:v>170</x:v>
      </x:c>
      <x:c r="J43" s="28" t="n">
        <x:f>IF(ISNUMBER(G43),0,1)</x:f>
        <x:v>0</x:v>
      </x:c>
      <x:c r="K43" s="11" t="str">
        <x:v>'gateau'!C15:D15</x:v>
      </x:c>
      <x:c r="L43" s="11" t="str"/>
    </x:row>
    <x:row r="44" ht="28" customHeight="1">
      <x:c r="A44" s="10" t="str">
        <x:v>gateau</x:v>
      </x:c>
      <x:c r="B44" s="12" t="str">
        <x:v>frying oil</x:v>
      </x:c>
      <x:c r="C44" s="12" t="n">
        <x:v>10</x:v>
      </x:c>
      <x:c r="D44" s="15"/>
      <x:c r="E44" s="25" t="str">
        <x:v>P8</x:v>
      </x:c>
      <x:c r="F44" s="23" t="n">
        <x:f>Prices!E11</x:f>
        <x:v>1.22</x:v>
      </x:c>
      <x:c r="G44" s="27" t="str">
        <x:f>IF(AND(ISNUMBER(D44),ISNUMBER(F44)),D44*F44,"n.a.")</x:f>
        <x:v>n.a.</x:v>
      </x:c>
      <x:c r="H44" s="29" t="n">
        <x:v>0</x:v>
      </x:c>
      <x:c r="I44" s="29" t="n">
        <x:f>IF(H44=0,0,IF(ISNUMBER(D44),D44*H44,"n.a."))</x:f>
        <x:v>0</x:v>
      </x:c>
      <x:c r="J44" s="29" t="n">
        <x:f>IF(ISNUMBER(G44),0,1)</x:f>
        <x:v>1</x:v>
      </x:c>
      <x:c r="K44" s="12" t="str">
        <x:v>'gateau'!C16:D16</x:v>
      </x:c>
      <x:c r="L44" s="12" t="str">
        <x:v>Frying oil excluded from dough yield; stated charge is not measured net consumption. Quantity unit unresolved; no invented conversion.</x:v>
      </x:c>
    </x:row>
    <x:row r="45" ht="28" customHeight="1">
      <x:c r="A45" s="2" t="str">
        <x:v>buns new look</x:v>
      </x:c>
      <x:c r="B45" s="11" t="str">
        <x:v>flour</x:v>
      </x:c>
      <x:c r="C45" s="11" t="n">
        <x:v>15000</x:v>
      </x:c>
      <x:c r="D45" s="13" t="n">
        <x:v>15000</x:v>
      </x:c>
      <x:c r="E45" s="24" t="str">
        <x:v>P4</x:v>
      </x:c>
      <x:c r="F45" s="22" t="n">
        <x:f>Prices!E7</x:f>
        <x:v>0.42</x:v>
      </x:c>
      <x:c r="G45" s="26" t="n">
        <x:f>IF(AND(ISNUMBER(D45),ISNUMBER(F45)),D45*F45,"n.a.")</x:f>
        <x:v>6300</x:v>
      </x:c>
      <x:c r="H45" s="28" t="n">
        <x:v>1</x:v>
      </x:c>
      <x:c r="I45" s="28" t="n">
        <x:f>IF(H45=0,0,IF(ISNUMBER(D45),D45*H45,"n.a."))</x:f>
        <x:v>15000</x:v>
      </x:c>
      <x:c r="J45" s="28" t="n">
        <x:f>IF(ISNUMBER(G45),0,1)</x:f>
        <x:v>0</x:v>
      </x:c>
      <x:c r="K45" s="11" t="str">
        <x:v>'buns new look'!C5:D5</x:v>
      </x:c>
      <x:c r="L45" s="11" t="str"/>
    </x:row>
    <x:row r="46" ht="28" customHeight="1">
      <x:c r="A46" s="10" t="str">
        <x:v>buns new look</x:v>
      </x:c>
      <x:c r="B46" s="12" t="str">
        <x:v>Butter</x:v>
      </x:c>
      <x:c r="C46" s="12" t="n">
        <x:v>1500</x:v>
      </x:c>
      <x:c r="D46" s="14" t="n">
        <x:v>1500</x:v>
      </x:c>
      <x:c r="E46" s="25" t="str">
        <x:v>P7</x:v>
      </x:c>
      <x:c r="F46" s="23" t="n">
        <x:f>Prices!E10</x:f>
        <x:v>1.263157894736842</x:v>
      </x:c>
      <x:c r="G46" s="27" t="n">
        <x:f>IF(AND(ISNUMBER(D46),ISNUMBER(F46)),D46*F46,"n.a.")</x:f>
        <x:v>1894.7368421052631</x:v>
      </x:c>
      <x:c r="H46" s="29" t="n">
        <x:v>1</x:v>
      </x:c>
      <x:c r="I46" s="29" t="n">
        <x:f>IF(H46=0,0,IF(ISNUMBER(D46),D46*H46,"n.a."))</x:f>
        <x:v>1500</x:v>
      </x:c>
      <x:c r="J46" s="29" t="n">
        <x:f>IF(ISNUMBER(G46),0,1)</x:f>
        <x:v>0</x:v>
      </x:c>
      <x:c r="K46" s="12" t="str">
        <x:v>'buns new look'!C6:D6</x:v>
      </x:c>
      <x:c r="L46" s="12" t="str"/>
    </x:row>
    <x:row r="47" ht="28" customHeight="1">
      <x:c r="A47" s="2" t="str">
        <x:v>buns new look</x:v>
      </x:c>
      <x:c r="B47" s="11" t="str">
        <x:v>sugar</x:v>
      </x:c>
      <x:c r="C47" s="11" t="n">
        <x:v>1500</x:v>
      </x:c>
      <x:c r="D47" s="13" t="n">
        <x:v>1500</x:v>
      </x:c>
      <x:c r="E47" s="24" t="str">
        <x:v>P5</x:v>
      </x:c>
      <x:c r="F47" s="22" t="n">
        <x:f>Prices!E8</x:f>
        <x:v>0.64</x:v>
      </x:c>
      <x:c r="G47" s="26" t="n">
        <x:f>IF(AND(ISNUMBER(D47),ISNUMBER(F47)),D47*F47,"n.a.")</x:f>
        <x:v>960</x:v>
      </x:c>
      <x:c r="H47" s="28" t="n">
        <x:v>1</x:v>
      </x:c>
      <x:c r="I47" s="28" t="n">
        <x:f>IF(H47=0,0,IF(ISNUMBER(D47),D47*H47,"n.a."))</x:f>
        <x:v>1500</x:v>
      </x:c>
      <x:c r="J47" s="28" t="n">
        <x:f>IF(ISNUMBER(G47),0,1)</x:f>
        <x:v>0</x:v>
      </x:c>
      <x:c r="K47" s="11" t="str">
        <x:v>'buns new look'!C7:D7</x:v>
      </x:c>
      <x:c r="L47" s="11" t="str"/>
    </x:row>
    <x:row r="48" ht="28" customHeight="1">
      <x:c r="A48" s="10" t="str">
        <x:v>buns new look</x:v>
      </x:c>
      <x:c r="B48" s="12" t="str">
        <x:v>Milk</x:v>
      </x:c>
      <x:c r="C48" s="12" t="n">
        <x:v>1000</x:v>
      </x:c>
      <x:c r="D48" s="14" t="n">
        <x:v>1000</x:v>
      </x:c>
      <x:c r="E48" s="25" t="str">
        <x:v>P15</x:v>
      </x:c>
      <x:c r="F48" s="23" t="n">
        <x:f>Prices!E18</x:f>
        <x:v>1.17</x:v>
      </x:c>
      <x:c r="G48" s="27" t="n">
        <x:f>IF(AND(ISNUMBER(D48),ISNUMBER(F48)),D48*F48,"n.a.")</x:f>
        <x:v>1170</x:v>
      </x:c>
      <x:c r="H48" s="29" t="n">
        <x:v>1</x:v>
      </x:c>
      <x:c r="I48" s="29" t="n">
        <x:f>IF(H48=0,0,IF(ISNUMBER(D48),D48*H48,"n.a."))</x:f>
        <x:v>1000</x:v>
      </x:c>
      <x:c r="J48" s="29" t="n">
        <x:f>IF(ISNUMBER(G48),0,1)</x:f>
        <x:v>0</x:v>
      </x:c>
      <x:c r="K48" s="12" t="str">
        <x:v>'buns new look'!C8:D8</x:v>
      </x:c>
      <x:c r="L48" s="12" t="str"/>
    </x:row>
    <x:row r="49" ht="28" customHeight="1">
      <x:c r="A49" s="2" t="str">
        <x:v>buns new look</x:v>
      </x:c>
      <x:c r="B49" s="11" t="str">
        <x:v>egg</x:v>
      </x:c>
      <x:c r="C49" s="11" t="n">
        <x:v>750</x:v>
      </x:c>
      <x:c r="D49" s="13" t="n">
        <x:v>750</x:v>
      </x:c>
      <x:c r="E49" s="24" t="str">
        <x:v>P13</x:v>
      </x:c>
      <x:c r="F49" s="22" t="n">
        <x:f>Prices!E16</x:f>
        <x:v>1.3333333333333333</x:v>
      </x:c>
      <x:c r="G49" s="26" t="n">
        <x:f>IF(AND(ISNUMBER(D49),ISNUMBER(F49)),D49*F49,"n.a.")</x:f>
        <x:v>1000</x:v>
      </x:c>
      <x:c r="H49" s="28" t="n">
        <x:v>1</x:v>
      </x:c>
      <x:c r="I49" s="28" t="n">
        <x:f>IF(H49=0,0,IF(ISNUMBER(D49),D49*H49,"n.a."))</x:f>
        <x:v>750</x:v>
      </x:c>
      <x:c r="J49" s="28" t="n">
        <x:f>IF(ISNUMBER(G49),0,1)</x:f>
        <x:v>0</x:v>
      </x:c>
      <x:c r="K49" s="11" t="str">
        <x:v>'buns new look'!C9:D9</x:v>
      </x:c>
      <x:c r="L49" s="11" t="str"/>
    </x:row>
    <x:row r="50" ht="28" customHeight="1">
      <x:c r="A50" s="10" t="str">
        <x:v>buns new look</x:v>
      </x:c>
      <x:c r="B50" s="12" t="str">
        <x:v>salt</x:v>
      </x:c>
      <x:c r="C50" s="12" t="n">
        <x:v>120</x:v>
      </x:c>
      <x:c r="D50" s="14" t="n">
        <x:v>120</x:v>
      </x:c>
      <x:c r="E50" s="25" t="str">
        <x:v>P6</x:v>
      </x:c>
      <x:c r="F50" s="23" t="n">
        <x:f>Prices!E9</x:f>
        <x:v>0.20555555555555555</x:v>
      </x:c>
      <x:c r="G50" s="27" t="n">
        <x:f>IF(AND(ISNUMBER(D50),ISNUMBER(F50)),D50*F50,"n.a.")</x:f>
        <x:v>24.666666666666664</x:v>
      </x:c>
      <x:c r="H50" s="29" t="n">
        <x:v>1</x:v>
      </x:c>
      <x:c r="I50" s="29" t="n">
        <x:f>IF(H50=0,0,IF(ISNUMBER(D50),D50*H50,"n.a."))</x:f>
        <x:v>120</x:v>
      </x:c>
      <x:c r="J50" s="29" t="n">
        <x:f>IF(ISNUMBER(G50),0,1)</x:f>
        <x:v>0</x:v>
      </x:c>
      <x:c r="K50" s="12" t="str">
        <x:v>'buns new look'!C10:D10</x:v>
      </x:c>
      <x:c r="L50" s="12" t="str"/>
    </x:row>
    <x:row r="51" ht="28" customHeight="1">
      <x:c r="A51" s="2" t="str">
        <x:v>buns new look</x:v>
      </x:c>
      <x:c r="B51" s="11" t="str">
        <x:v>improver</x:v>
      </x:c>
      <x:c r="C51" s="11" t="n">
        <x:v>120</x:v>
      </x:c>
      <x:c r="D51" s="13" t="n">
        <x:v>120</x:v>
      </x:c>
      <x:c r="E51" s="24" t="str">
        <x:v>P12</x:v>
      </x:c>
      <x:c r="F51" s="22" t="n">
        <x:f>Prices!E15</x:f>
        <x:v>2.8</x:v>
      </x:c>
      <x:c r="G51" s="26" t="n">
        <x:f>IF(AND(ISNUMBER(D51),ISNUMBER(F51)),D51*F51,"n.a.")</x:f>
        <x:v>336</x:v>
      </x:c>
      <x:c r="H51" s="28" t="n">
        <x:v>1</x:v>
      </x:c>
      <x:c r="I51" s="28" t="n">
        <x:f>IF(H51=0,0,IF(ISNUMBER(D51),D51*H51,"n.a."))</x:f>
        <x:v>120</x:v>
      </x:c>
      <x:c r="J51" s="28" t="n">
        <x:f>IF(ISNUMBER(G51),0,1)</x:f>
        <x:v>0</x:v>
      </x:c>
      <x:c r="K51" s="11" t="str">
        <x:v>'buns new look'!C11:D11</x:v>
      </x:c>
      <x:c r="L51" s="11" t="str"/>
    </x:row>
    <x:row r="52" ht="28" customHeight="1">
      <x:c r="A52" s="10" t="str">
        <x:v>buns new look</x:v>
      </x:c>
      <x:c r="B52" s="12" t="str">
        <x:v>yeast</x:v>
      </x:c>
      <x:c r="C52" s="12" t="n">
        <x:v>160</x:v>
      </x:c>
      <x:c r="D52" s="14" t="n">
        <x:v>160</x:v>
      </x:c>
      <x:c r="E52" s="25" t="str">
        <x:v>P9</x:v>
      </x:c>
      <x:c r="F52" s="23" t="n">
        <x:f>Prices!E12</x:f>
        <x:v>2.8</x:v>
      </x:c>
      <x:c r="G52" s="27" t="n">
        <x:f>IF(AND(ISNUMBER(D52),ISNUMBER(F52)),D52*F52,"n.a.")</x:f>
        <x:v>448</x:v>
      </x:c>
      <x:c r="H52" s="29" t="n">
        <x:v>1</x:v>
      </x:c>
      <x:c r="I52" s="29" t="n">
        <x:f>IF(H52=0,0,IF(ISNUMBER(D52),D52*H52,"n.a."))</x:f>
        <x:v>160</x:v>
      </x:c>
      <x:c r="J52" s="29" t="n">
        <x:f>IF(ISNUMBER(G52),0,1)</x:f>
        <x:v>0</x:v>
      </x:c>
      <x:c r="K52" s="12" t="str">
        <x:v>'buns new look'!C12:D12</x:v>
      </x:c>
      <x:c r="L52" s="12" t="str"/>
    </x:row>
    <x:row r="53" ht="28" customHeight="1">
      <x:c r="A53" s="2" t="str">
        <x:v>buns new look</x:v>
      </x:c>
      <x:c r="B53" s="11" t="str">
        <x:v>water</x:v>
      </x:c>
      <x:c r="C53" s="11" t="n">
        <x:v>4500</x:v>
      </x:c>
      <x:c r="D53" s="13" t="n">
        <x:v>4500</x:v>
      </x:c>
      <x:c r="E53" s="24" t="str">
        <x:v>P16</x:v>
      </x:c>
      <x:c r="F53" s="22" t="n">
        <x:f>Prices!E19</x:f>
        <x:v>0.0001</x:v>
      </x:c>
      <x:c r="G53" s="26" t="n">
        <x:f>IF(AND(ISNUMBER(D53),ISNUMBER(F53)),D53*F53,"n.a.")</x:f>
        <x:v>0.45</x:v>
      </x:c>
      <x:c r="H53" s="28" t="n">
        <x:v>1</x:v>
      </x:c>
      <x:c r="I53" s="28" t="n">
        <x:f>IF(H53=0,0,IF(ISNUMBER(D53),D53*H53,"n.a."))</x:f>
        <x:v>4500</x:v>
      </x:c>
      <x:c r="J53" s="28" t="n">
        <x:f>IF(ISNUMBER(G53),0,1)</x:f>
        <x:v>0</x:v>
      </x:c>
      <x:c r="K53" s="11" t="str">
        <x:v>'buns new look'!C13:D13</x:v>
      </x:c>
      <x:c r="L53" s="11" t="str"/>
    </x:row>
    <x:row r="54" ht="28" customHeight="1">
      <x:c r="A54" s="10" t="str">
        <x:v>buns new look</x:v>
      </x:c>
      <x:c r="B54" s="12" t="str">
        <x:v>EDC</x:v>
      </x:c>
      <x:c r="C54" s="12" t="n">
        <x:v>100</x:v>
      </x:c>
      <x:c r="D54" s="14" t="n">
        <x:v>100</x:v>
      </x:c>
      <x:c r="E54" s="25" t="str">
        <x:v>P19</x:v>
      </x:c>
      <x:c r="F54" s="23" t="n">
        <x:f>Prices!E22</x:f>
        <x:v>3</x:v>
      </x:c>
      <x:c r="G54" s="27" t="n">
        <x:f>IF(AND(ISNUMBER(D54),ISNUMBER(F54)),D54*F54,"n.a.")</x:f>
        <x:v>300</x:v>
      </x:c>
      <x:c r="H54" s="29" t="n">
        <x:v>1</x:v>
      </x:c>
      <x:c r="I54" s="29" t="n">
        <x:f>IF(H54=0,0,IF(ISNUMBER(D54),D54*H54,"n.a."))</x:f>
        <x:v>100</x:v>
      </x:c>
      <x:c r="J54" s="29" t="n">
        <x:f>IF(ISNUMBER(G54),0,1)</x:f>
        <x:v>0</x:v>
      </x:c>
      <x:c r="K54" s="12" t="str">
        <x:v>'buns new look'!C14:D14</x:v>
      </x:c>
      <x:c r="L54" s="12" t="str"/>
    </x:row>
    <x:row r="55" ht="28" customHeight="1">
      <x:c r="A55" s="2" t="str">
        <x:v>Donuts</x:v>
      </x:c>
      <x:c r="B55" s="11" t="str">
        <x:v>flour</x:v>
      </x:c>
      <x:c r="C55" s="11" t="n">
        <x:v>12000</x:v>
      </x:c>
      <x:c r="D55" s="13" t="n">
        <x:v>12000</x:v>
      </x:c>
      <x:c r="E55" s="24" t="str">
        <x:v>P4</x:v>
      </x:c>
      <x:c r="F55" s="22" t="n">
        <x:f>Prices!E7</x:f>
        <x:v>0.42</x:v>
      </x:c>
      <x:c r="G55" s="26" t="n">
        <x:f>IF(AND(ISNUMBER(D55),ISNUMBER(F55)),D55*F55,"n.a.")</x:f>
        <x:v>5040</x:v>
      </x:c>
      <x:c r="H55" s="28" t="n">
        <x:v>1</x:v>
      </x:c>
      <x:c r="I55" s="28" t="n">
        <x:f>IF(H55=0,0,IF(ISNUMBER(D55),D55*H55,"n.a."))</x:f>
        <x:v>12000</x:v>
      </x:c>
      <x:c r="J55" s="28" t="n">
        <x:f>IF(ISNUMBER(G55),0,1)</x:f>
        <x:v>0</x:v>
      </x:c>
      <x:c r="K55" s="11" t="str">
        <x:v>'Donuts'!C5:D5</x:v>
      </x:c>
      <x:c r="L55" s="11" t="str"/>
    </x:row>
    <x:row r="56" ht="28" customHeight="1">
      <x:c r="A56" s="10" t="str">
        <x:v>Donuts</x:v>
      </x:c>
      <x:c r="B56" s="12" t="str">
        <x:v>baking powder</x:v>
      </x:c>
      <x:c r="C56" s="12" t="n">
        <x:v>190</x:v>
      </x:c>
      <x:c r="D56" s="14" t="n">
        <x:v>190</x:v>
      </x:c>
      <x:c r="E56" s="25" t="str">
        <x:v>P10</x:v>
      </x:c>
      <x:c r="F56" s="23" t="n">
        <x:f>Prices!E13</x:f>
        <x:v>2.6</x:v>
      </x:c>
      <x:c r="G56" s="27" t="n">
        <x:f>IF(AND(ISNUMBER(D56),ISNUMBER(F56)),D56*F56,"n.a.")</x:f>
        <x:v>494</x:v>
      </x:c>
      <x:c r="H56" s="29" t="n">
        <x:v>1</x:v>
      </x:c>
      <x:c r="I56" s="29" t="n">
        <x:f>IF(H56=0,0,IF(ISNUMBER(D56),D56*H56,"n.a."))</x:f>
        <x:v>190</x:v>
      </x:c>
      <x:c r="J56" s="29" t="n">
        <x:f>IF(ISNUMBER(G56),0,1)</x:f>
        <x:v>0</x:v>
      </x:c>
      <x:c r="K56" s="12" t="str">
        <x:v>'Donuts'!C6:D6</x:v>
      </x:c>
      <x:c r="L56" s="12" t="str"/>
    </x:row>
    <x:row r="57" ht="28" customHeight="1">
      <x:c r="A57" s="2" t="str">
        <x:v>Donuts</x:v>
      </x:c>
      <x:c r="B57" s="11" t="str">
        <x:v>milk</x:v>
      </x:c>
      <x:c r="C57" s="11" t="n">
        <x:v>500</x:v>
      </x:c>
      <x:c r="D57" s="13" t="n">
        <x:v>500</x:v>
      </x:c>
      <x:c r="E57" s="24" t="str">
        <x:v>P15</x:v>
      </x:c>
      <x:c r="F57" s="22" t="n">
        <x:f>Prices!E18</x:f>
        <x:v>1.17</x:v>
      </x:c>
      <x:c r="G57" s="26" t="n">
        <x:f>IF(AND(ISNUMBER(D57),ISNUMBER(F57)),D57*F57,"n.a.")</x:f>
        <x:v>585</x:v>
      </x:c>
      <x:c r="H57" s="28" t="n">
        <x:v>1</x:v>
      </x:c>
      <x:c r="I57" s="28" t="n">
        <x:f>IF(H57=0,0,IF(ISNUMBER(D57),D57*H57,"n.a."))</x:f>
        <x:v>500</x:v>
      </x:c>
      <x:c r="J57" s="28" t="n">
        <x:f>IF(ISNUMBER(G57),0,1)</x:f>
        <x:v>0</x:v>
      </x:c>
      <x:c r="K57" s="11" t="str">
        <x:v>'Donuts'!C7:D7</x:v>
      </x:c>
      <x:c r="L57" s="11" t="str"/>
    </x:row>
    <x:row r="58" ht="28" customHeight="1">
      <x:c r="A58" s="10" t="str">
        <x:v>Donuts</x:v>
      </x:c>
      <x:c r="B58" s="12" t="str">
        <x:v>salt</x:v>
      </x:c>
      <x:c r="C58" s="12" t="n">
        <x:v>120</x:v>
      </x:c>
      <x:c r="D58" s="14" t="n">
        <x:v>120</x:v>
      </x:c>
      <x:c r="E58" s="25" t="str">
        <x:v>P6</x:v>
      </x:c>
      <x:c r="F58" s="23" t="n">
        <x:f>Prices!E9</x:f>
        <x:v>0.20555555555555555</x:v>
      </x:c>
      <x:c r="G58" s="27" t="n">
        <x:f>IF(AND(ISNUMBER(D58),ISNUMBER(F58)),D58*F58,"n.a.")</x:f>
        <x:v>24.666666666666664</x:v>
      </x:c>
      <x:c r="H58" s="29" t="n">
        <x:v>1</x:v>
      </x:c>
      <x:c r="I58" s="29" t="n">
        <x:f>IF(H58=0,0,IF(ISNUMBER(D58),D58*H58,"n.a."))</x:f>
        <x:v>120</x:v>
      </x:c>
      <x:c r="J58" s="29" t="n">
        <x:f>IF(ISNUMBER(G58),0,1)</x:f>
        <x:v>0</x:v>
      </x:c>
      <x:c r="K58" s="12" t="str">
        <x:v>'Donuts'!C8:D8</x:v>
      </x:c>
      <x:c r="L58" s="12" t="str"/>
    </x:row>
    <x:row r="59" ht="28" customHeight="1">
      <x:c r="A59" s="2" t="str">
        <x:v>Donuts</x:v>
      </x:c>
      <x:c r="B59" s="11" t="str">
        <x:v>Sugar</x:v>
      </x:c>
      <x:c r="C59" s="11" t="n">
        <x:v>1200</x:v>
      </x:c>
      <x:c r="D59" s="13" t="n">
        <x:v>1200</x:v>
      </x:c>
      <x:c r="E59" s="24" t="str">
        <x:v>P5</x:v>
      </x:c>
      <x:c r="F59" s="22" t="n">
        <x:f>Prices!E8</x:f>
        <x:v>0.64</x:v>
      </x:c>
      <x:c r="G59" s="26" t="n">
        <x:f>IF(AND(ISNUMBER(D59),ISNUMBER(F59)),D59*F59,"n.a.")</x:f>
        <x:v>768</x:v>
      </x:c>
      <x:c r="H59" s="28" t="n">
        <x:v>1</x:v>
      </x:c>
      <x:c r="I59" s="28" t="n">
        <x:f>IF(H59=0,0,IF(ISNUMBER(D59),D59*H59,"n.a."))</x:f>
        <x:v>1200</x:v>
      </x:c>
      <x:c r="J59" s="28" t="n">
        <x:f>IF(ISNUMBER(G59),0,1)</x:f>
        <x:v>0</x:v>
      </x:c>
      <x:c r="K59" s="11" t="str">
        <x:v>'Donuts'!C9:D9</x:v>
      </x:c>
      <x:c r="L59" s="11" t="str"/>
    </x:row>
    <x:row r="60" ht="28" customHeight="1">
      <x:c r="A60" s="10" t="str">
        <x:v>Donuts</x:v>
      </x:c>
      <x:c r="B60" s="12" t="str">
        <x:v>Improver</x:v>
      </x:c>
      <x:c r="C60" s="12" t="n">
        <x:v>90</x:v>
      </x:c>
      <x:c r="D60" s="14" t="n">
        <x:v>90</x:v>
      </x:c>
      <x:c r="E60" s="25" t="str">
        <x:v>P12</x:v>
      </x:c>
      <x:c r="F60" s="23" t="n">
        <x:f>Prices!E15</x:f>
        <x:v>2.8</x:v>
      </x:c>
      <x:c r="G60" s="27" t="n">
        <x:f>IF(AND(ISNUMBER(D60),ISNUMBER(F60)),D60*F60,"n.a.")</x:f>
        <x:v>251.99999999999997</x:v>
      </x:c>
      <x:c r="H60" s="29" t="n">
        <x:v>1</x:v>
      </x:c>
      <x:c r="I60" s="29" t="n">
        <x:f>IF(H60=0,0,IF(ISNUMBER(D60),D60*H60,"n.a."))</x:f>
        <x:v>90</x:v>
      </x:c>
      <x:c r="J60" s="29" t="n">
        <x:f>IF(ISNUMBER(G60),0,1)</x:f>
        <x:v>0</x:v>
      </x:c>
      <x:c r="K60" s="12" t="str">
        <x:v>'Donuts'!C10:D10</x:v>
      </x:c>
      <x:c r="L60" s="12" t="str"/>
    </x:row>
    <x:row r="61" ht="28" customHeight="1">
      <x:c r="A61" s="2" t="str">
        <x:v>Donuts</x:v>
      </x:c>
      <x:c r="B61" s="11" t="str">
        <x:v>eggs</x:v>
      </x:c>
      <x:c r="C61" s="11" t="n">
        <x:v>1000</x:v>
      </x:c>
      <x:c r="D61" s="13" t="n">
        <x:v>1000</x:v>
      </x:c>
      <x:c r="E61" s="24" t="str">
        <x:v>P13</x:v>
      </x:c>
      <x:c r="F61" s="22" t="n">
        <x:f>Prices!E16</x:f>
        <x:v>1.3333333333333333</x:v>
      </x:c>
      <x:c r="G61" s="26" t="n">
        <x:f>IF(AND(ISNUMBER(D61),ISNUMBER(F61)),D61*F61,"n.a.")</x:f>
        <x:v>1333.3333333333333</x:v>
      </x:c>
      <x:c r="H61" s="28" t="n">
        <x:v>1</x:v>
      </x:c>
      <x:c r="I61" s="28" t="n">
        <x:f>IF(H61=0,0,IF(ISNUMBER(D61),D61*H61,"n.a."))</x:f>
        <x:v>1000</x:v>
      </x:c>
      <x:c r="J61" s="28" t="n">
        <x:f>IF(ISNUMBER(G61),0,1)</x:f>
        <x:v>0</x:v>
      </x:c>
      <x:c r="K61" s="11" t="str">
        <x:v>'Donuts'!C11:D11</x:v>
      </x:c>
      <x:c r="L61" s="11" t="str"/>
    </x:row>
    <x:row r="62" ht="28" customHeight="1">
      <x:c r="A62" s="10" t="str">
        <x:v>Donuts</x:v>
      </x:c>
      <x:c r="B62" s="12" t="str">
        <x:v>water</x:v>
      </x:c>
      <x:c r="C62" s="12" t="n">
        <x:v>7350</x:v>
      </x:c>
      <x:c r="D62" s="14" t="n">
        <x:v>7350</x:v>
      </x:c>
      <x:c r="E62" s="25" t="str">
        <x:v>P16</x:v>
      </x:c>
      <x:c r="F62" s="23" t="n">
        <x:f>Prices!E19</x:f>
        <x:v>0.0001</x:v>
      </x:c>
      <x:c r="G62" s="27" t="n">
        <x:f>IF(AND(ISNUMBER(D62),ISNUMBER(F62)),D62*F62,"n.a.")</x:f>
        <x:v>0.735</x:v>
      </x:c>
      <x:c r="H62" s="29" t="n">
        <x:v>1</x:v>
      </x:c>
      <x:c r="I62" s="29" t="n">
        <x:f>IF(H62=0,0,IF(ISNUMBER(D62),D62*H62,"n.a."))</x:f>
        <x:v>7350</x:v>
      </x:c>
      <x:c r="J62" s="29" t="n">
        <x:f>IF(ISNUMBER(G62),0,1)</x:f>
        <x:v>0</x:v>
      </x:c>
      <x:c r="K62" s="12" t="str">
        <x:v>'Donuts'!C12:D12</x:v>
      </x:c>
      <x:c r="L62" s="12" t="str"/>
    </x:row>
    <x:row r="63" ht="28" customHeight="1">
      <x:c r="A63" s="2" t="str">
        <x:v>Donuts</x:v>
      </x:c>
      <x:c r="B63" s="11" t="str">
        <x:v>oil</x:v>
      </x:c>
      <x:c r="C63" s="11" t="n">
        <x:v>5000</x:v>
      </x:c>
      <x:c r="D63" s="13" t="n">
        <x:v>5000</x:v>
      </x:c>
      <x:c r="E63" s="24" t="str">
        <x:v>P8</x:v>
      </x:c>
      <x:c r="F63" s="22" t="n">
        <x:f>Prices!E11</x:f>
        <x:v>1.22</x:v>
      </x:c>
      <x:c r="G63" s="26" t="n">
        <x:f>IF(AND(ISNUMBER(D63),ISNUMBER(F63)),D63*F63,"n.a.")</x:f>
        <x:v>6100</x:v>
      </x:c>
      <x:c r="H63" s="28" t="n">
        <x:v>0</x:v>
      </x:c>
      <x:c r="I63" s="28" t="n">
        <x:f>IF(H63=0,0,IF(ISNUMBER(D63),D63*H63,"n.a."))</x:f>
        <x:v>0</x:v>
      </x:c>
      <x:c r="J63" s="28" t="n">
        <x:f>IF(ISNUMBER(G63),0,1)</x:f>
        <x:v>0</x:v>
      </x:c>
      <x:c r="K63" s="11" t="str">
        <x:v>'Donuts'!C13:D13</x:v>
      </x:c>
      <x:c r="L63" s="11" t="str">
        <x:v>Frying oil excluded from dough yield; stated charge is not measured net consumption.</x:v>
      </x:c>
    </x:row>
    <x:row r="64" ht="28" customHeight="1">
      <x:c r="A64" s="10" t="str">
        <x:v>Fish Pie</x:v>
      </x:c>
      <x:c r="B64" s="12" t="str">
        <x:v>flour</x:v>
      </x:c>
      <x:c r="C64" s="12" t="n">
        <x:v>3000</x:v>
      </x:c>
      <x:c r="D64" s="14" t="n">
        <x:v>3000</x:v>
      </x:c>
      <x:c r="E64" s="25" t="str">
        <x:v>P4</x:v>
      </x:c>
      <x:c r="F64" s="23" t="n">
        <x:f>Prices!E7</x:f>
        <x:v>0.42</x:v>
      </x:c>
      <x:c r="G64" s="27" t="n">
        <x:f>IF(AND(ISNUMBER(D64),ISNUMBER(F64)),D64*F64,"n.a.")</x:f>
        <x:v>1260</x:v>
      </x:c>
      <x:c r="H64" s="29" t="n">
        <x:v>1</x:v>
      </x:c>
      <x:c r="I64" s="29" t="n">
        <x:f>IF(H64=0,0,IF(ISNUMBER(D64),D64*H64,"n.a."))</x:f>
        <x:v>3000</x:v>
      </x:c>
      <x:c r="J64" s="29" t="n">
        <x:f>IF(ISNUMBER(G64),0,1)</x:f>
        <x:v>0</x:v>
      </x:c>
      <x:c r="K64" s="12" t="str">
        <x:v>'Fish Pie'!C5:D5</x:v>
      </x:c>
      <x:c r="L64" s="12" t="str"/>
    </x:row>
    <x:row r="65" ht="28" customHeight="1">
      <x:c r="A65" s="2" t="str">
        <x:v>Fish Pie</x:v>
      </x:c>
      <x:c r="B65" s="11" t="str">
        <x:v>baking powder</x:v>
      </x:c>
      <x:c r="C65" s="11" t="n">
        <x:v>50</x:v>
      </x:c>
      <x:c r="D65" s="13" t="n">
        <x:v>50</x:v>
      </x:c>
      <x:c r="E65" s="24" t="str">
        <x:v>P10</x:v>
      </x:c>
      <x:c r="F65" s="22" t="n">
        <x:f>Prices!E13</x:f>
        <x:v>2.6</x:v>
      </x:c>
      <x:c r="G65" s="26" t="n">
        <x:f>IF(AND(ISNUMBER(D65),ISNUMBER(F65)),D65*F65,"n.a.")</x:f>
        <x:v>130</x:v>
      </x:c>
      <x:c r="H65" s="28" t="n">
        <x:v>1</x:v>
      </x:c>
      <x:c r="I65" s="28" t="n">
        <x:f>IF(H65=0,0,IF(ISNUMBER(D65),D65*H65,"n.a."))</x:f>
        <x:v>50</x:v>
      </x:c>
      <x:c r="J65" s="28" t="n">
        <x:f>IF(ISNUMBER(G65),0,1)</x:f>
        <x:v>0</x:v>
      </x:c>
      <x:c r="K65" s="11" t="str">
        <x:v>'Fish Pie'!C6:D6</x:v>
      </x:c>
      <x:c r="L65" s="11" t="str"/>
    </x:row>
    <x:row r="66" ht="28" customHeight="1">
      <x:c r="A66" s="10" t="str">
        <x:v>Fish Pie</x:v>
      </x:c>
      <x:c r="B66" s="12" t="str">
        <x:v>Butter</x:v>
      </x:c>
      <x:c r="C66" s="12" t="n">
        <x:v>1200</x:v>
      </x:c>
      <x:c r="D66" s="14" t="n">
        <x:v>1200</x:v>
      </x:c>
      <x:c r="E66" s="25" t="str">
        <x:v>P7</x:v>
      </x:c>
      <x:c r="F66" s="23" t="n">
        <x:f>Prices!E10</x:f>
        <x:v>1.263157894736842</x:v>
      </x:c>
      <x:c r="G66" s="27" t="n">
        <x:f>IF(AND(ISNUMBER(D66),ISNUMBER(F66)),D66*F66,"n.a.")</x:f>
        <x:v>1515.7894736842104</x:v>
      </x:c>
      <x:c r="H66" s="29" t="n">
        <x:v>1</x:v>
      </x:c>
      <x:c r="I66" s="29" t="n">
        <x:f>IF(H66=0,0,IF(ISNUMBER(D66),D66*H66,"n.a."))</x:f>
        <x:v>1200</x:v>
      </x:c>
      <x:c r="J66" s="29" t="n">
        <x:f>IF(ISNUMBER(G66),0,1)</x:f>
        <x:v>0</x:v>
      </x:c>
      <x:c r="K66" s="12" t="str">
        <x:v>'Fish Pie'!C7:D7</x:v>
      </x:c>
      <x:c r="L66" s="12" t="str"/>
    </x:row>
    <x:row r="67" ht="28" customHeight="1">
      <x:c r="A67" s="2" t="str">
        <x:v>Fish Pie</x:v>
      </x:c>
      <x:c r="B67" s="11" t="str">
        <x:v>Improver</x:v>
      </x:c>
      <x:c r="C67" s="11" t="n">
        <x:v>40</x:v>
      </x:c>
      <x:c r="D67" s="13" t="n">
        <x:v>40</x:v>
      </x:c>
      <x:c r="E67" s="24" t="str">
        <x:v>P12</x:v>
      </x:c>
      <x:c r="F67" s="22" t="n">
        <x:f>Prices!E15</x:f>
        <x:v>2.8</x:v>
      </x:c>
      <x:c r="G67" s="26" t="n">
        <x:f>IF(AND(ISNUMBER(D67),ISNUMBER(F67)),D67*F67,"n.a.")</x:f>
        <x:v>112</x:v>
      </x:c>
      <x:c r="H67" s="28" t="n">
        <x:v>1</x:v>
      </x:c>
      <x:c r="I67" s="28" t="n">
        <x:f>IF(H67=0,0,IF(ISNUMBER(D67),D67*H67,"n.a."))</x:f>
        <x:v>40</x:v>
      </x:c>
      <x:c r="J67" s="28" t="n">
        <x:f>IF(ISNUMBER(G67),0,1)</x:f>
        <x:v>0</x:v>
      </x:c>
      <x:c r="K67" s="11" t="str">
        <x:v>'Fish Pie'!C8:D8</x:v>
      </x:c>
      <x:c r="L67" s="11" t="str"/>
    </x:row>
    <x:row r="68" ht="28" customHeight="1">
      <x:c r="A68" s="10" t="str">
        <x:v>Fish Pie</x:v>
      </x:c>
      <x:c r="B68" s="12" t="str">
        <x:v>fish</x:v>
      </x:c>
      <x:c r="C68" s="12" t="n">
        <x:v>400</x:v>
      </x:c>
      <x:c r="D68" s="14" t="n">
        <x:v>400</x:v>
      </x:c>
      <x:c r="E68" s="25" t="str">
        <x:v>P22</x:v>
      </x:c>
      <x:c r="F68" s="23" t="n">
        <x:f>Prices!E25</x:f>
        <x:v>1.2</x:v>
      </x:c>
      <x:c r="G68" s="27" t="n">
        <x:f>IF(AND(ISNUMBER(D68),ISNUMBER(F68)),D68*F68,"n.a.")</x:f>
        <x:v>480</x:v>
      </x:c>
      <x:c r="H68" s="29" t="n">
        <x:v>1</x:v>
      </x:c>
      <x:c r="I68" s="29" t="n">
        <x:f>IF(H68=0,0,IF(ISNUMBER(D68),D68*H68,"n.a."))</x:f>
        <x:v>400</x:v>
      </x:c>
      <x:c r="J68" s="29" t="n">
        <x:f>IF(ISNUMBER(G68),0,1)</x:f>
        <x:v>0</x:v>
      </x:c>
      <x:c r="K68" s="12" t="str">
        <x:v>'Fish Pie'!C9:D9</x:v>
      </x:c>
      <x:c r="L68" s="12" t="str"/>
    </x:row>
    <x:row r="69" ht="28" customHeight="1">
      <x:c r="A69" s="2" t="str">
        <x:v>Fish Pie</x:v>
      </x:c>
      <x:c r="B69" s="11" t="str">
        <x:v>carrots</x:v>
      </x:c>
      <x:c r="C69" s="11" t="n">
        <x:v>200</x:v>
      </x:c>
      <x:c r="D69" s="13" t="n">
        <x:v>200</x:v>
      </x:c>
      <x:c r="E69" s="24" t="str">
        <x:v>P23</x:v>
      </x:c>
      <x:c r="F69" s="22" t="n">
        <x:f>Prices!E26</x:f>
        <x:v>0.8571428571428571</x:v>
      </x:c>
      <x:c r="G69" s="26" t="n">
        <x:f>IF(AND(ISNUMBER(D69),ISNUMBER(F69)),D69*F69,"n.a.")</x:f>
        <x:v>171.42857142857142</x:v>
      </x:c>
      <x:c r="H69" s="28" t="n">
        <x:v>1</x:v>
      </x:c>
      <x:c r="I69" s="28" t="n">
        <x:f>IF(H69=0,0,IF(ISNUMBER(D69),D69*H69,"n.a."))</x:f>
        <x:v>200</x:v>
      </x:c>
      <x:c r="J69" s="28" t="n">
        <x:f>IF(ISNUMBER(G69),0,1)</x:f>
        <x:v>0</x:v>
      </x:c>
      <x:c r="K69" s="11" t="str">
        <x:v>'Fish Pie'!C10:D10</x:v>
      </x:c>
      <x:c r="L69" s="11" t="str"/>
    </x:row>
    <x:row r="70" ht="28" customHeight="1">
      <x:c r="A70" s="10" t="str">
        <x:v>Fish Pie</x:v>
      </x:c>
      <x:c r="B70" s="12" t="str">
        <x:v>Green beans</x:v>
      </x:c>
      <x:c r="C70" s="12" t="n">
        <x:v>100</x:v>
      </x:c>
      <x:c r="D70" s="14" t="n">
        <x:v>100</x:v>
      </x:c>
      <x:c r="E70" s="25" t="str">
        <x:v>P24</x:v>
      </x:c>
      <x:c r="F70" s="23" t="n">
        <x:f>Prices!E27</x:f>
        <x:v>0.2</x:v>
      </x:c>
      <x:c r="G70" s="27" t="n">
        <x:f>IF(AND(ISNUMBER(D70),ISNUMBER(F70)),D70*F70,"n.a.")</x:f>
        <x:v>20</x:v>
      </x:c>
      <x:c r="H70" s="29" t="n">
        <x:v>1</x:v>
      </x:c>
      <x:c r="I70" s="29" t="n">
        <x:f>IF(H70=0,0,IF(ISNUMBER(D70),D70*H70,"n.a."))</x:f>
        <x:v>100</x:v>
      </x:c>
      <x:c r="J70" s="29" t="n">
        <x:f>IF(ISNUMBER(G70),0,1)</x:f>
        <x:v>0</x:v>
      </x:c>
      <x:c r="K70" s="12" t="str">
        <x:v>'Fish Pie'!C11:D11</x:v>
      </x:c>
      <x:c r="L70" s="12" t="str"/>
    </x:row>
    <x:row r="71" ht="28" customHeight="1">
      <x:c r="A71" s="2" t="str">
        <x:v>Fish Pie</x:v>
      </x:c>
      <x:c r="B71" s="11" t="str">
        <x:v>peppers</x:v>
      </x:c>
      <x:c r="C71" s="11" t="n">
        <x:v>10</x:v>
      </x:c>
      <x:c r="D71" s="13" t="n">
        <x:v>10</x:v>
      </x:c>
      <x:c r="E71" s="24" t="str">
        <x:v>P25</x:v>
      </x:c>
      <x:c r="F71" s="22" t="n">
        <x:f>Prices!E28</x:f>
        <x:v>0.4</x:v>
      </x:c>
      <x:c r="G71" s="26" t="n">
        <x:f>IF(AND(ISNUMBER(D71),ISNUMBER(F71)),D71*F71,"n.a.")</x:f>
        <x:v>4</x:v>
      </x:c>
      <x:c r="H71" s="28" t="n">
        <x:v>1</x:v>
      </x:c>
      <x:c r="I71" s="28" t="n">
        <x:f>IF(H71=0,0,IF(ISNUMBER(D71),D71*H71,"n.a."))</x:f>
        <x:v>10</x:v>
      </x:c>
      <x:c r="J71" s="28" t="n">
        <x:f>IF(ISNUMBER(G71),0,1)</x:f>
        <x:v>0</x:v>
      </x:c>
      <x:c r="K71" s="11" t="str">
        <x:v>'Fish Pie'!C12:D12</x:v>
      </x:c>
      <x:c r="L71" s="11" t="str"/>
    </x:row>
    <x:row r="72" ht="28" customHeight="1">
      <x:c r="A72" s="10" t="str">
        <x:v>Fish Pie</x:v>
      </x:c>
      <x:c r="B72" s="12" t="str">
        <x:v>onions</x:v>
      </x:c>
      <x:c r="C72" s="12" t="n">
        <x:v>100</x:v>
      </x:c>
      <x:c r="D72" s="14" t="n">
        <x:v>100</x:v>
      </x:c>
      <x:c r="E72" s="25" t="str">
        <x:v>P26</x:v>
      </x:c>
      <x:c r="F72" s="23" t="n">
        <x:f>Prices!E29</x:f>
        <x:v>2</x:v>
      </x:c>
      <x:c r="G72" s="27" t="n">
        <x:f>IF(AND(ISNUMBER(D72),ISNUMBER(F72)),D72*F72,"n.a.")</x:f>
        <x:v>200</x:v>
      </x:c>
      <x:c r="H72" s="29" t="n">
        <x:v>1</x:v>
      </x:c>
      <x:c r="I72" s="29" t="n">
        <x:f>IF(H72=0,0,IF(ISNUMBER(D72),D72*H72,"n.a."))</x:f>
        <x:v>100</x:v>
      </x:c>
      <x:c r="J72" s="29" t="n">
        <x:f>IF(ISNUMBER(G72),0,1)</x:f>
        <x:v>0</x:v>
      </x:c>
      <x:c r="K72" s="12" t="str">
        <x:v>'Fish Pie'!C13:D13</x:v>
      </x:c>
      <x:c r="L72" s="12" t="str"/>
    </x:row>
    <x:row r="73" ht="28" customHeight="1">
      <x:c r="A73" s="2" t="str">
        <x:v>Fish Pie</x:v>
      </x:c>
      <x:c r="B73" s="11" t="str">
        <x:v>irish</x:v>
      </x:c>
      <x:c r="C73" s="11" t="n">
        <x:v>300</x:v>
      </x:c>
      <x:c r="D73" s="13" t="n">
        <x:v>300</x:v>
      </x:c>
      <x:c r="E73" s="24" t="str">
        <x:v>P27</x:v>
      </x:c>
      <x:c r="F73" s="22" t="n">
        <x:f>Prices!E30</x:f>
        <x:v>0.5714285714285714</x:v>
      </x:c>
      <x:c r="G73" s="26" t="n">
        <x:f>IF(AND(ISNUMBER(D73),ISNUMBER(F73)),D73*F73,"n.a.")</x:f>
        <x:v>171.42857142857142</x:v>
      </x:c>
      <x:c r="H73" s="28" t="n">
        <x:v>1</x:v>
      </x:c>
      <x:c r="I73" s="28" t="n">
        <x:f>IF(H73=0,0,IF(ISNUMBER(D73),D73*H73,"n.a."))</x:f>
        <x:v>300</x:v>
      </x:c>
      <x:c r="J73" s="28" t="n">
        <x:f>IF(ISNUMBER(G73),0,1)</x:f>
        <x:v>0</x:v>
      </x:c>
      <x:c r="K73" s="11" t="str">
        <x:v>'Fish Pie'!C14:D14</x:v>
      </x:c>
      <x:c r="L73" s="11" t="str"/>
    </x:row>
    <x:row r="74" ht="28" customHeight="1">
      <x:c r="A74" s="10" t="str">
        <x:v>Fish Pie</x:v>
      </x:c>
      <x:c r="B74" s="12" t="str">
        <x:v>oil</x:v>
      </x:c>
      <x:c r="C74" s="12" t="n">
        <x:v>100</x:v>
      </x:c>
      <x:c r="D74" s="14" t="n">
        <x:v>100</x:v>
      </x:c>
      <x:c r="E74" s="25" t="str">
        <x:v>P8</x:v>
      </x:c>
      <x:c r="F74" s="23" t="n">
        <x:f>Prices!E11</x:f>
        <x:v>1.22</x:v>
      </x:c>
      <x:c r="G74" s="27" t="n">
        <x:f>IF(AND(ISNUMBER(D74),ISNUMBER(F74)),D74*F74,"n.a.")</x:f>
        <x:v>122</x:v>
      </x:c>
      <x:c r="H74" s="29" t="n">
        <x:v>1</x:v>
      </x:c>
      <x:c r="I74" s="29" t="n">
        <x:f>IF(H74=0,0,IF(ISNUMBER(D74),D74*H74,"n.a."))</x:f>
        <x:v>100</x:v>
      </x:c>
      <x:c r="J74" s="29" t="n">
        <x:f>IF(ISNUMBER(G74),0,1)</x:f>
        <x:v>0</x:v>
      </x:c>
      <x:c r="K74" s="12" t="str">
        <x:v>'Fish Pie'!C15:D15</x:v>
      </x:c>
      <x:c r="L74" s="12" t="str"/>
    </x:row>
    <x:row r="75" ht="28" customHeight="1">
      <x:c r="A75" s="2" t="str">
        <x:v>Fish Pie</x:v>
      </x:c>
      <x:c r="B75" s="11" t="str">
        <x:v>cabbage</x:v>
      </x:c>
      <x:c r="C75" s="11" t="n">
        <x:v>200</x:v>
      </x:c>
      <x:c r="D75" s="13" t="n">
        <x:v>200</x:v>
      </x:c>
      <x:c r="E75" s="24" t="str">
        <x:v>P_cabbage</x:v>
      </x:c>
      <x:c r="F75" s="22" t="str">
        <x:f>Prices!E37</x:f>
        <x:v>n.a.</x:v>
      </x:c>
      <x:c r="G75" s="26" t="str">
        <x:f>IF(AND(ISNUMBER(D75),ISNUMBER(F75)),D75*F75,"n.a.")</x:f>
        <x:v>n.a.</x:v>
      </x:c>
      <x:c r="H75" s="28" t="n">
        <x:v>1</x:v>
      </x:c>
      <x:c r="I75" s="28" t="n">
        <x:f>IF(H75=0,0,IF(ISNUMBER(D75),D75*H75,"n.a."))</x:f>
        <x:v>200</x:v>
      </x:c>
      <x:c r="J75" s="28" t="n">
        <x:f>IF(ISNUMBER(G75),0,1)</x:f>
        <x:v>1</x:v>
      </x:c>
      <x:c r="K75" s="11" t="str">
        <x:v>'Fish Pie'!C16:D16</x:v>
      </x:c>
      <x:c r="L75" s="11" t="str"/>
    </x:row>
    <x:row r="76" ht="28" customHeight="1">
      <x:c r="A76" s="10" t="str">
        <x:v>Galette</x:v>
      </x:c>
      <x:c r="B76" s="12" t="str">
        <x:v>flour</x:v>
      </x:c>
      <x:c r="C76" s="12" t="n">
        <x:v>10000</x:v>
      </x:c>
      <x:c r="D76" s="14" t="n">
        <x:v>10000</x:v>
      </x:c>
      <x:c r="E76" s="25" t="str">
        <x:v>P4</x:v>
      </x:c>
      <x:c r="F76" s="23" t="n">
        <x:f>Prices!E7</x:f>
        <x:v>0.42</x:v>
      </x:c>
      <x:c r="G76" s="27" t="n">
        <x:f>IF(AND(ISNUMBER(D76),ISNUMBER(F76)),D76*F76,"n.a.")</x:f>
        <x:v>4200</x:v>
      </x:c>
      <x:c r="H76" s="29" t="n">
        <x:v>1</x:v>
      </x:c>
      <x:c r="I76" s="29" t="n">
        <x:f>IF(H76=0,0,IF(ISNUMBER(D76),D76*H76,"n.a."))</x:f>
        <x:v>10000</x:v>
      </x:c>
      <x:c r="J76" s="29" t="n">
        <x:f>IF(ISNUMBER(G76),0,1)</x:f>
        <x:v>0</x:v>
      </x:c>
      <x:c r="K76" s="12" t="str">
        <x:v>'Galette'!C5:D5</x:v>
      </x:c>
      <x:c r="L76" s="12" t="str"/>
    </x:row>
    <x:row r="77" ht="28" customHeight="1">
      <x:c r="A77" s="2" t="str">
        <x:v>Galette</x:v>
      </x:c>
      <x:c r="B77" s="11" t="str">
        <x:v>Butter</x:v>
      </x:c>
      <x:c r="C77" s="11" t="n">
        <x:v>1000</x:v>
      </x:c>
      <x:c r="D77" s="13" t="n">
        <x:v>1000</x:v>
      </x:c>
      <x:c r="E77" s="24" t="str">
        <x:v>P7</x:v>
      </x:c>
      <x:c r="F77" s="22" t="n">
        <x:f>Prices!E10</x:f>
        <x:v>1.263157894736842</x:v>
      </x:c>
      <x:c r="G77" s="26" t="n">
        <x:f>IF(AND(ISNUMBER(D77),ISNUMBER(F77)),D77*F77,"n.a.")</x:f>
        <x:v>1263.157894736842</x:v>
      </x:c>
      <x:c r="H77" s="28" t="n">
        <x:v>1</x:v>
      </x:c>
      <x:c r="I77" s="28" t="n">
        <x:f>IF(H77=0,0,IF(ISNUMBER(D77),D77*H77,"n.a."))</x:f>
        <x:v>1000</x:v>
      </x:c>
      <x:c r="J77" s="28" t="n">
        <x:f>IF(ISNUMBER(G77),0,1)</x:f>
        <x:v>0</x:v>
      </x:c>
      <x:c r="K77" s="11" t="str">
        <x:v>'Galette'!C6:D6</x:v>
      </x:c>
      <x:c r="L77" s="11" t="str"/>
    </x:row>
    <x:row r="78" ht="28" customHeight="1">
      <x:c r="A78" s="10" t="str">
        <x:v>Galette</x:v>
      </x:c>
      <x:c r="B78" s="12" t="str">
        <x:v>sugar</x:v>
      </x:c>
      <x:c r="C78" s="12" t="n">
        <x:v>1000</x:v>
      </x:c>
      <x:c r="D78" s="14" t="n">
        <x:v>1000</x:v>
      </x:c>
      <x:c r="E78" s="25" t="str">
        <x:v>P5</x:v>
      </x:c>
      <x:c r="F78" s="23" t="n">
        <x:f>Prices!E8</x:f>
        <x:v>0.64</x:v>
      </x:c>
      <x:c r="G78" s="27" t="n">
        <x:f>IF(AND(ISNUMBER(D78),ISNUMBER(F78)),D78*F78,"n.a.")</x:f>
        <x:v>640</x:v>
      </x:c>
      <x:c r="H78" s="29" t="n">
        <x:v>1</x:v>
      </x:c>
      <x:c r="I78" s="29" t="n">
        <x:f>IF(H78=0,0,IF(ISNUMBER(D78),D78*H78,"n.a."))</x:f>
        <x:v>1000</x:v>
      </x:c>
      <x:c r="J78" s="29" t="n">
        <x:f>IF(ISNUMBER(G78),0,1)</x:f>
        <x:v>0</x:v>
      </x:c>
      <x:c r="K78" s="12" t="str">
        <x:v>'Galette'!C7:D7</x:v>
      </x:c>
      <x:c r="L78" s="12" t="str"/>
    </x:row>
    <x:row r="79" ht="28" customHeight="1">
      <x:c r="A79" s="2" t="str">
        <x:v>Galette</x:v>
      </x:c>
      <x:c r="B79" s="11" t="str">
        <x:v>Milk</x:v>
      </x:c>
      <x:c r="C79" s="11" t="n">
        <x:v>800</x:v>
      </x:c>
      <x:c r="D79" s="13" t="n">
        <x:v>800</x:v>
      </x:c>
      <x:c r="E79" s="24" t="str">
        <x:v>P15</x:v>
      </x:c>
      <x:c r="F79" s="22" t="n">
        <x:f>Prices!E18</x:f>
        <x:v>1.17</x:v>
      </x:c>
      <x:c r="G79" s="26" t="n">
        <x:f>IF(AND(ISNUMBER(D79),ISNUMBER(F79)),D79*F79,"n.a.")</x:f>
        <x:v>936</x:v>
      </x:c>
      <x:c r="H79" s="28" t="n">
        <x:v>1</x:v>
      </x:c>
      <x:c r="I79" s="28" t="n">
        <x:f>IF(H79=0,0,IF(ISNUMBER(D79),D79*H79,"n.a."))</x:f>
        <x:v>800</x:v>
      </x:c>
      <x:c r="J79" s="28" t="n">
        <x:f>IF(ISNUMBER(G79),0,1)</x:f>
        <x:v>0</x:v>
      </x:c>
      <x:c r="K79" s="11" t="str">
        <x:v>'Galette'!C8:D8</x:v>
      </x:c>
      <x:c r="L79" s="11" t="str"/>
    </x:row>
    <x:row r="80" ht="28" customHeight="1">
      <x:c r="A80" s="10" t="str">
        <x:v>Galette</x:v>
      </x:c>
      <x:c r="B80" s="12" t="str">
        <x:v>egg</x:v>
      </x:c>
      <x:c r="C80" s="12" t="n">
        <x:v>750</x:v>
      </x:c>
      <x:c r="D80" s="14" t="n">
        <x:v>750</x:v>
      </x:c>
      <x:c r="E80" s="25" t="str">
        <x:v>P13</x:v>
      </x:c>
      <x:c r="F80" s="23" t="n">
        <x:f>Prices!E16</x:f>
        <x:v>1.3333333333333333</x:v>
      </x:c>
      <x:c r="G80" s="27" t="n">
        <x:f>IF(AND(ISNUMBER(D80),ISNUMBER(F80)),D80*F80,"n.a.")</x:f>
        <x:v>1000</x:v>
      </x:c>
      <x:c r="H80" s="29" t="n">
        <x:v>1</x:v>
      </x:c>
      <x:c r="I80" s="29" t="n">
        <x:f>IF(H80=0,0,IF(ISNUMBER(D80),D80*H80,"n.a."))</x:f>
        <x:v>750</x:v>
      </x:c>
      <x:c r="J80" s="29" t="n">
        <x:f>IF(ISNUMBER(G80),0,1)</x:f>
        <x:v>0</x:v>
      </x:c>
      <x:c r="K80" s="12" t="str">
        <x:v>'Galette'!C9:D9</x:v>
      </x:c>
      <x:c r="L80" s="12" t="str"/>
    </x:row>
    <x:row r="81" ht="28" customHeight="1">
      <x:c r="A81" s="2" t="str">
        <x:v>Galette</x:v>
      </x:c>
      <x:c r="B81" s="11" t="str">
        <x:v>salt</x:v>
      </x:c>
      <x:c r="C81" s="11" t="n">
        <x:v>110</x:v>
      </x:c>
      <x:c r="D81" s="13" t="n">
        <x:v>110</x:v>
      </x:c>
      <x:c r="E81" s="24" t="str">
        <x:v>P6</x:v>
      </x:c>
      <x:c r="F81" s="22" t="n">
        <x:f>Prices!E9</x:f>
        <x:v>0.20555555555555555</x:v>
      </x:c>
      <x:c r="G81" s="26" t="n">
        <x:f>IF(AND(ISNUMBER(D81),ISNUMBER(F81)),D81*F81,"n.a.")</x:f>
        <x:v>22.61111111111111</x:v>
      </x:c>
      <x:c r="H81" s="28" t="n">
        <x:v>1</x:v>
      </x:c>
      <x:c r="I81" s="28" t="n">
        <x:f>IF(H81=0,0,IF(ISNUMBER(D81),D81*H81,"n.a."))</x:f>
        <x:v>110</x:v>
      </x:c>
      <x:c r="J81" s="28" t="n">
        <x:f>IF(ISNUMBER(G81),0,1)</x:f>
        <x:v>0</x:v>
      </x:c>
      <x:c r="K81" s="11" t="str">
        <x:v>'Galette'!C10:D10</x:v>
      </x:c>
      <x:c r="L81" s="11" t="str"/>
    </x:row>
    <x:row r="82" ht="28" customHeight="1">
      <x:c r="A82" s="10" t="str">
        <x:v>Galette</x:v>
      </x:c>
      <x:c r="B82" s="12" t="str">
        <x:v>improver</x:v>
      </x:c>
      <x:c r="C82" s="12" t="n">
        <x:v>100</x:v>
      </x:c>
      <x:c r="D82" s="14" t="n">
        <x:v>100</x:v>
      </x:c>
      <x:c r="E82" s="25" t="str">
        <x:v>P12</x:v>
      </x:c>
      <x:c r="F82" s="23" t="n">
        <x:f>Prices!E15</x:f>
        <x:v>2.8</x:v>
      </x:c>
      <x:c r="G82" s="27" t="n">
        <x:f>IF(AND(ISNUMBER(D82),ISNUMBER(F82)),D82*F82,"n.a.")</x:f>
        <x:v>280</x:v>
      </x:c>
      <x:c r="H82" s="29" t="n">
        <x:v>1</x:v>
      </x:c>
      <x:c r="I82" s="29" t="n">
        <x:f>IF(H82=0,0,IF(ISNUMBER(D82),D82*H82,"n.a."))</x:f>
        <x:v>100</x:v>
      </x:c>
      <x:c r="J82" s="29" t="n">
        <x:f>IF(ISNUMBER(G82),0,1)</x:f>
        <x:v>0</x:v>
      </x:c>
      <x:c r="K82" s="12" t="str">
        <x:v>'Galette'!C11:D11</x:v>
      </x:c>
      <x:c r="L82" s="12" t="str"/>
    </x:row>
    <x:row r="83" ht="28" customHeight="1">
      <x:c r="A83" s="2" t="str">
        <x:v>Galette</x:v>
      </x:c>
      <x:c r="B83" s="11" t="str">
        <x:v>yeast</x:v>
      </x:c>
      <x:c r="C83" s="11" t="n">
        <x:v>80</x:v>
      </x:c>
      <x:c r="D83" s="13" t="n">
        <x:v>80</x:v>
      </x:c>
      <x:c r="E83" s="24" t="str">
        <x:v>P9</x:v>
      </x:c>
      <x:c r="F83" s="22" t="n">
        <x:f>Prices!E12</x:f>
        <x:v>2.8</x:v>
      </x:c>
      <x:c r="G83" s="26" t="n">
        <x:f>IF(AND(ISNUMBER(D83),ISNUMBER(F83)),D83*F83,"n.a.")</x:f>
        <x:v>224</x:v>
      </x:c>
      <x:c r="H83" s="28" t="n">
        <x:v>1</x:v>
      </x:c>
      <x:c r="I83" s="28" t="n">
        <x:f>IF(H83=0,0,IF(ISNUMBER(D83),D83*H83,"n.a."))</x:f>
        <x:v>80</x:v>
      </x:c>
      <x:c r="J83" s="28" t="n">
        <x:f>IF(ISNUMBER(G83),0,1)</x:f>
        <x:v>0</x:v>
      </x:c>
      <x:c r="K83" s="11" t="str">
        <x:v>'Galette'!C12:D12</x:v>
      </x:c>
      <x:c r="L83" s="11" t="str"/>
    </x:row>
    <x:row r="84" ht="28" customHeight="1">
      <x:c r="A84" s="10" t="str">
        <x:v>Galette</x:v>
      </x:c>
      <x:c r="B84" s="12" t="str">
        <x:v>water</x:v>
      </x:c>
      <x:c r="C84" s="12" t="n">
        <x:v>2000</x:v>
      </x:c>
      <x:c r="D84" s="14" t="n">
        <x:v>2000</x:v>
      </x:c>
      <x:c r="E84" s="25" t="str">
        <x:v>P16</x:v>
      </x:c>
      <x:c r="F84" s="23" t="n">
        <x:f>Prices!E19</x:f>
        <x:v>0.0001</x:v>
      </x:c>
      <x:c r="G84" s="27" t="n">
        <x:f>IF(AND(ISNUMBER(D84),ISNUMBER(F84)),D84*F84,"n.a.")</x:f>
        <x:v>0.2</x:v>
      </x:c>
      <x:c r="H84" s="29" t="n">
        <x:v>1</x:v>
      </x:c>
      <x:c r="I84" s="29" t="n">
        <x:f>IF(H84=0,0,IF(ISNUMBER(D84),D84*H84,"n.a."))</x:f>
        <x:v>2000</x:v>
      </x:c>
      <x:c r="J84" s="29" t="n">
        <x:f>IF(ISNUMBER(G84),0,1)</x:f>
        <x:v>0</x:v>
      </x:c>
      <x:c r="K84" s="12" t="str">
        <x:v>'Galette'!C13:D13</x:v>
      </x:c>
      <x:c r="L84" s="12" t="str"/>
    </x:row>
    <x:row r="85" ht="28" customHeight="1">
      <x:c r="A85" s="2" t="str">
        <x:v>Galette</x:v>
      </x:c>
      <x:c r="B85" s="11" t="str">
        <x:v>baking powder</x:v>
      </x:c>
      <x:c r="C85" s="11" t="n">
        <x:v>80</x:v>
      </x:c>
      <x:c r="D85" s="13" t="n">
        <x:v>80</x:v>
      </x:c>
      <x:c r="E85" s="24" t="str">
        <x:v>P10</x:v>
      </x:c>
      <x:c r="F85" s="22" t="n">
        <x:f>Prices!E13</x:f>
        <x:v>2.6</x:v>
      </x:c>
      <x:c r="G85" s="26" t="n">
        <x:f>IF(AND(ISNUMBER(D85),ISNUMBER(F85)),D85*F85,"n.a.")</x:f>
        <x:v>208</x:v>
      </x:c>
      <x:c r="H85" s="28" t="n">
        <x:v>1</x:v>
      </x:c>
      <x:c r="I85" s="28" t="n">
        <x:f>IF(H85=0,0,IF(ISNUMBER(D85),D85*H85,"n.a."))</x:f>
        <x:v>80</x:v>
      </x:c>
      <x:c r="J85" s="28" t="n">
        <x:f>IF(ISNUMBER(G85),0,1)</x:f>
        <x:v>0</x:v>
      </x:c>
      <x:c r="K85" s="11" t="str">
        <x:v>'Galette'!C14:D14</x:v>
      </x:c>
      <x:c r="L85" s="11" t="str"/>
    </x:row>
    <x:row r="86" ht="28" customHeight="1">
      <x:c r="A86" s="10" t="str">
        <x:v>Galette</x:v>
      </x:c>
      <x:c r="B86" s="12" t="str">
        <x:v>Chocolate</x:v>
      </x:c>
      <x:c r="C86" s="12" t="n">
        <x:v>1000</x:v>
      </x:c>
      <x:c r="D86" s="14" t="n">
        <x:v>1000</x:v>
      </x:c>
      <x:c r="E86" s="25" t="str">
        <x:v>P21</x:v>
      </x:c>
      <x:c r="F86" s="23" t="n">
        <x:f>Prices!E24</x:f>
        <x:v>1.7894736842105263</x:v>
      </x:c>
      <x:c r="G86" s="27" t="n">
        <x:f>IF(AND(ISNUMBER(D86),ISNUMBER(F86)),D86*F86,"n.a.")</x:f>
        <x:v>1789.4736842105262</x:v>
      </x:c>
      <x:c r="H86" s="29" t="n">
        <x:v>1</x:v>
      </x:c>
      <x:c r="I86" s="29" t="n">
        <x:f>IF(H86=0,0,IF(ISNUMBER(D86),D86*H86,"n.a."))</x:f>
        <x:v>1000</x:v>
      </x:c>
      <x:c r="J86" s="29" t="n">
        <x:f>IF(ISNUMBER(G86),0,1)</x:f>
        <x:v>0</x:v>
      </x:c>
      <x:c r="K86" s="12" t="str">
        <x:v>'Galette'!C15:D15</x:v>
      </x:c>
      <x:c r="L86" s="12" t="str"/>
    </x:row>
    <x:row r="87" ht="28" customHeight="1">
      <x:c r="A87" s="2" t="str">
        <x:v>Galette</x:v>
      </x:c>
      <x:c r="B87" s="11" t="str">
        <x:v>EDC</x:v>
      </x:c>
      <x:c r="C87" s="11" t="n">
        <x:v>75</x:v>
      </x:c>
      <x:c r="D87" s="13" t="n">
        <x:v>75</x:v>
      </x:c>
      <x:c r="E87" s="24" t="str">
        <x:v>P19</x:v>
      </x:c>
      <x:c r="F87" s="22" t="n">
        <x:f>Prices!E22</x:f>
        <x:v>3</x:v>
      </x:c>
      <x:c r="G87" s="26" t="n">
        <x:f>IF(AND(ISNUMBER(D87),ISNUMBER(F87)),D87*F87,"n.a.")</x:f>
        <x:v>225</x:v>
      </x:c>
      <x:c r="H87" s="28" t="n">
        <x:v>1</x:v>
      </x:c>
      <x:c r="I87" s="28" t="n">
        <x:f>IF(H87=0,0,IF(ISNUMBER(D87),D87*H87,"n.a."))</x:f>
        <x:v>75</x:v>
      </x:c>
      <x:c r="J87" s="28" t="n">
        <x:f>IF(ISNUMBER(G87),0,1)</x:f>
        <x:v>0</x:v>
      </x:c>
      <x:c r="K87" s="11" t="str">
        <x:v>'Galette'!C16:D16</x:v>
      </x:c>
      <x:c r="L87" s="11" t="str"/>
    </x:row>
    <x:row r="88" ht="28" customHeight="1">
      <x:c r="A88" s="10" t="str">
        <x:v>New bread</x:v>
      </x:c>
      <x:c r="B88" s="12" t="str">
        <x:v>flour</x:v>
      </x:c>
      <x:c r="C88" s="12" t="n">
        <x:v>15000</x:v>
      </x:c>
      <x:c r="D88" s="14" t="n">
        <x:v>15000</x:v>
      </x:c>
      <x:c r="E88" s="25" t="str">
        <x:v>P4</x:v>
      </x:c>
      <x:c r="F88" s="23" t="n">
        <x:f>Prices!E7</x:f>
        <x:v>0.42</x:v>
      </x:c>
      <x:c r="G88" s="27" t="n">
        <x:f>IF(AND(ISNUMBER(D88),ISNUMBER(F88)),D88*F88,"n.a.")</x:f>
        <x:v>6300</x:v>
      </x:c>
      <x:c r="H88" s="29" t="n">
        <x:v>1</x:v>
      </x:c>
      <x:c r="I88" s="29" t="n">
        <x:f>IF(H88=0,0,IF(ISNUMBER(D88),D88*H88,"n.a."))</x:f>
        <x:v>15000</x:v>
      </x:c>
      <x:c r="J88" s="29" t="n">
        <x:f>IF(ISNUMBER(G88),0,1)</x:f>
        <x:v>0</x:v>
      </x:c>
      <x:c r="K88" s="12" t="str">
        <x:v>'New bread'!C5:D5</x:v>
      </x:c>
      <x:c r="L88" s="12" t="str"/>
    </x:row>
    <x:row r="89" ht="28" customHeight="1">
      <x:c r="A89" s="2" t="str">
        <x:v>New bread</x:v>
      </x:c>
      <x:c r="B89" s="11" t="str">
        <x:v>Butter</x:v>
      </x:c>
      <x:c r="C89" s="11" t="n">
        <x:v>600</x:v>
      </x:c>
      <x:c r="D89" s="13" t="n">
        <x:v>600</x:v>
      </x:c>
      <x:c r="E89" s="24" t="str">
        <x:v>P7</x:v>
      </x:c>
      <x:c r="F89" s="22" t="n">
        <x:f>Prices!E10</x:f>
        <x:v>1.263157894736842</x:v>
      </x:c>
      <x:c r="G89" s="26" t="n">
        <x:f>IF(AND(ISNUMBER(D89),ISNUMBER(F89)),D89*F89,"n.a.")</x:f>
        <x:v>757.8947368421052</x:v>
      </x:c>
      <x:c r="H89" s="28" t="n">
        <x:v>1</x:v>
      </x:c>
      <x:c r="I89" s="28" t="n">
        <x:f>IF(H89=0,0,IF(ISNUMBER(D89),D89*H89,"n.a."))</x:f>
        <x:v>600</x:v>
      </x:c>
      <x:c r="J89" s="28" t="n">
        <x:f>IF(ISNUMBER(G89),0,1)</x:f>
        <x:v>0</x:v>
      </x:c>
      <x:c r="K89" s="11" t="str">
        <x:v>'New bread'!C6:D6</x:v>
      </x:c>
      <x:c r="L89" s="11" t="str"/>
    </x:row>
    <x:row r="90" ht="28" customHeight="1">
      <x:c r="A90" s="10" t="str">
        <x:v>New bread</x:v>
      </x:c>
      <x:c r="B90" s="12" t="str">
        <x:v>sugar</x:v>
      </x:c>
      <x:c r="C90" s="12" t="n">
        <x:v>100</x:v>
      </x:c>
      <x:c r="D90" s="14" t="n">
        <x:v>100</x:v>
      </x:c>
      <x:c r="E90" s="25" t="str">
        <x:v>P5</x:v>
      </x:c>
      <x:c r="F90" s="23" t="n">
        <x:f>Prices!E8</x:f>
        <x:v>0.64</x:v>
      </x:c>
      <x:c r="G90" s="27" t="n">
        <x:f>IF(AND(ISNUMBER(D90),ISNUMBER(F90)),D90*F90,"n.a.")</x:f>
        <x:v>64</x:v>
      </x:c>
      <x:c r="H90" s="29" t="n">
        <x:v>1</x:v>
      </x:c>
      <x:c r="I90" s="29" t="n">
        <x:f>IF(H90=0,0,IF(ISNUMBER(D90),D90*H90,"n.a."))</x:f>
        <x:v>100</x:v>
      </x:c>
      <x:c r="J90" s="29" t="n">
        <x:f>IF(ISNUMBER(G90),0,1)</x:f>
        <x:v>0</x:v>
      </x:c>
      <x:c r="K90" s="12" t="str">
        <x:v>'New bread'!C7:D7</x:v>
      </x:c>
      <x:c r="L90" s="12" t="str"/>
    </x:row>
    <x:row r="91" ht="28" customHeight="1">
      <x:c r="A91" s="2" t="str">
        <x:v>New bread</x:v>
      </x:c>
      <x:c r="B91" s="11" t="str">
        <x:v>conc milk</x:v>
      </x:c>
      <x:c r="C91" s="11" t="n">
        <x:v>950</x:v>
      </x:c>
      <x:c r="D91" s="13" t="n">
        <x:v>950</x:v>
      </x:c>
      <x:c r="E91" s="24" t="str">
        <x:v>P15</x:v>
      </x:c>
      <x:c r="F91" s="22" t="n">
        <x:f>Prices!E18</x:f>
        <x:v>1.17</x:v>
      </x:c>
      <x:c r="G91" s="26" t="n">
        <x:f>IF(AND(ISNUMBER(D91),ISNUMBER(F91)),D91*F91,"n.a.")</x:f>
        <x:v>1111.5</x:v>
      </x:c>
      <x:c r="H91" s="28" t="n">
        <x:v>1</x:v>
      </x:c>
      <x:c r="I91" s="28" t="n">
        <x:f>IF(H91=0,0,IF(ISNUMBER(D91),D91*H91,"n.a."))</x:f>
        <x:v>950</x:v>
      </x:c>
      <x:c r="J91" s="28" t="n">
        <x:f>IF(ISNUMBER(G91),0,1)</x:f>
        <x:v>0</x:v>
      </x:c>
      <x:c r="K91" s="11" t="str">
        <x:v>'New bread'!C8:D8</x:v>
      </x:c>
      <x:c r="L91" s="11" t="str">
        <x:v>Generic milk price used provisionally for condensed milk; confirm identity.</x:v>
      </x:c>
    </x:row>
    <x:row r="92" ht="28" customHeight="1">
      <x:c r="A92" s="10" t="str">
        <x:v>New bread</x:v>
      </x:c>
      <x:c r="B92" s="12" t="str">
        <x:v>egg</x:v>
      </x:c>
      <x:c r="C92" s="12" t="n">
        <x:v>220</x:v>
      </x:c>
      <x:c r="D92" s="14" t="n">
        <x:v>220</x:v>
      </x:c>
      <x:c r="E92" s="25" t="str">
        <x:v>P13</x:v>
      </x:c>
      <x:c r="F92" s="23" t="n">
        <x:f>Prices!E16</x:f>
        <x:v>1.3333333333333333</x:v>
      </x:c>
      <x:c r="G92" s="27" t="n">
        <x:f>IF(AND(ISNUMBER(D92),ISNUMBER(F92)),D92*F92,"n.a.")</x:f>
        <x:v>293.3333333333333</x:v>
      </x:c>
      <x:c r="H92" s="29" t="n">
        <x:v>1</x:v>
      </x:c>
      <x:c r="I92" s="29" t="n">
        <x:f>IF(H92=0,0,IF(ISNUMBER(D92),D92*H92,"n.a."))</x:f>
        <x:v>220</x:v>
      </x:c>
      <x:c r="J92" s="29" t="n">
        <x:f>IF(ISNUMBER(G92),0,1)</x:f>
        <x:v>0</x:v>
      </x:c>
      <x:c r="K92" s="12" t="str">
        <x:v>'New bread'!C9:D9</x:v>
      </x:c>
      <x:c r="L92" s="12" t="str"/>
    </x:row>
    <x:row r="93" ht="28" customHeight="1">
      <x:c r="A93" s="2" t="str">
        <x:v>New bread</x:v>
      </x:c>
      <x:c r="B93" s="11" t="str">
        <x:v>salt</x:v>
      </x:c>
      <x:c r="C93" s="11" t="n">
        <x:v>100</x:v>
      </x:c>
      <x:c r="D93" s="13" t="n">
        <x:v>100</x:v>
      </x:c>
      <x:c r="E93" s="24" t="str">
        <x:v>P6</x:v>
      </x:c>
      <x:c r="F93" s="22" t="n">
        <x:f>Prices!E9</x:f>
        <x:v>0.20555555555555555</x:v>
      </x:c>
      <x:c r="G93" s="26" t="n">
        <x:f>IF(AND(ISNUMBER(D93),ISNUMBER(F93)),D93*F93,"n.a.")</x:f>
        <x:v>20.555555555555554</x:v>
      </x:c>
      <x:c r="H93" s="28" t="n">
        <x:v>1</x:v>
      </x:c>
      <x:c r="I93" s="28" t="n">
        <x:f>IF(H93=0,0,IF(ISNUMBER(D93),D93*H93,"n.a."))</x:f>
        <x:v>100</x:v>
      </x:c>
      <x:c r="J93" s="28" t="n">
        <x:f>IF(ISNUMBER(G93),0,1)</x:f>
        <x:v>0</x:v>
      </x:c>
      <x:c r="K93" s="11" t="str">
        <x:v>'New bread'!C10:D10</x:v>
      </x:c>
      <x:c r="L93" s="11" t="str"/>
    </x:row>
    <x:row r="94" ht="28" customHeight="1">
      <x:c r="A94" s="10" t="str">
        <x:v>New bread</x:v>
      </x:c>
      <x:c r="B94" s="12" t="str">
        <x:v>improver</x:v>
      </x:c>
      <x:c r="C94" s="12" t="n">
        <x:v>100</x:v>
      </x:c>
      <x:c r="D94" s="14" t="n">
        <x:v>100</x:v>
      </x:c>
      <x:c r="E94" s="25" t="str">
        <x:v>P12</x:v>
      </x:c>
      <x:c r="F94" s="23" t="n">
        <x:f>Prices!E15</x:f>
        <x:v>2.8</x:v>
      </x:c>
      <x:c r="G94" s="27" t="n">
        <x:f>IF(AND(ISNUMBER(D94),ISNUMBER(F94)),D94*F94,"n.a.")</x:f>
        <x:v>280</x:v>
      </x:c>
      <x:c r="H94" s="29" t="n">
        <x:v>1</x:v>
      </x:c>
      <x:c r="I94" s="29" t="n">
        <x:f>IF(H94=0,0,IF(ISNUMBER(D94),D94*H94,"n.a."))</x:f>
        <x:v>100</x:v>
      </x:c>
      <x:c r="J94" s="29" t="n">
        <x:f>IF(ISNUMBER(G94),0,1)</x:f>
        <x:v>0</x:v>
      </x:c>
      <x:c r="K94" s="12" t="str">
        <x:v>'New bread'!C11:D11</x:v>
      </x:c>
      <x:c r="L94" s="12" t="str"/>
    </x:row>
    <x:row r="95" ht="28" customHeight="1">
      <x:c r="A95" s="2" t="str">
        <x:v>New bread</x:v>
      </x:c>
      <x:c r="B95" s="11" t="str">
        <x:v>yeast</x:v>
      </x:c>
      <x:c r="C95" s="11" t="n">
        <x:v>90</x:v>
      </x:c>
      <x:c r="D95" s="13" t="n">
        <x:v>90</x:v>
      </x:c>
      <x:c r="E95" s="24" t="str">
        <x:v>P9</x:v>
      </x:c>
      <x:c r="F95" s="22" t="n">
        <x:f>Prices!E12</x:f>
        <x:v>2.8</x:v>
      </x:c>
      <x:c r="G95" s="26" t="n">
        <x:f>IF(AND(ISNUMBER(D95),ISNUMBER(F95)),D95*F95,"n.a.")</x:f>
        <x:v>251.99999999999997</x:v>
      </x:c>
      <x:c r="H95" s="28" t="n">
        <x:v>1</x:v>
      </x:c>
      <x:c r="I95" s="28" t="n">
        <x:f>IF(H95=0,0,IF(ISNUMBER(D95),D95*H95,"n.a."))</x:f>
        <x:v>90</x:v>
      </x:c>
      <x:c r="J95" s="28" t="n">
        <x:f>IF(ISNUMBER(G95),0,1)</x:f>
        <x:v>0</x:v>
      </x:c>
      <x:c r="K95" s="11" t="str">
        <x:v>'New bread'!C12:D12</x:v>
      </x:c>
      <x:c r="L95" s="11" t="str"/>
    </x:row>
    <x:row r="96" ht="28" customHeight="1">
      <x:c r="A96" s="10" t="str">
        <x:v>New bread</x:v>
      </x:c>
      <x:c r="B96" s="12" t="str">
        <x:v>water</x:v>
      </x:c>
      <x:c r="C96" s="12" t="n">
        <x:v>7000</x:v>
      </x:c>
      <x:c r="D96" s="14" t="n">
        <x:v>7000</x:v>
      </x:c>
      <x:c r="E96" s="25" t="str">
        <x:v>P16</x:v>
      </x:c>
      <x:c r="F96" s="23" t="n">
        <x:f>Prices!E19</x:f>
        <x:v>0.0001</x:v>
      </x:c>
      <x:c r="G96" s="27" t="n">
        <x:f>IF(AND(ISNUMBER(D96),ISNUMBER(F96)),D96*F96,"n.a.")</x:f>
        <x:v>0.7000000000000001</x:v>
      </x:c>
      <x:c r="H96" s="29" t="n">
        <x:v>1</x:v>
      </x:c>
      <x:c r="I96" s="29" t="n">
        <x:f>IF(H96=0,0,IF(ISNUMBER(D96),D96*H96,"n.a."))</x:f>
        <x:v>7000</x:v>
      </x:c>
      <x:c r="J96" s="29" t="n">
        <x:f>IF(ISNUMBER(G96),0,1)</x:f>
        <x:v>0</x:v>
      </x:c>
      <x:c r="K96" s="12" t="str">
        <x:v>'New bread'!C13:D13</x:v>
      </x:c>
      <x:c r="L96" s="12" t="str"/>
    </x:row>
    <x:row r="97" ht="28" customHeight="1">
      <x:c r="A97" s="2" t="str">
        <x:v>NGALA BREAD</x:v>
      </x:c>
      <x:c r="B97" s="11" t="str">
        <x:v>flour</x:v>
      </x:c>
      <x:c r="C97" s="11" t="n">
        <x:v>8500</x:v>
      </x:c>
      <x:c r="D97" s="13" t="n">
        <x:v>8500</x:v>
      </x:c>
      <x:c r="E97" s="24" t="str">
        <x:v>P4</x:v>
      </x:c>
      <x:c r="F97" s="22" t="n">
        <x:f>Prices!E7</x:f>
        <x:v>0.42</x:v>
      </x:c>
      <x:c r="G97" s="26" t="n">
        <x:f>IF(AND(ISNUMBER(D97),ISNUMBER(F97)),D97*F97,"n.a.")</x:f>
        <x:v>3570</x:v>
      </x:c>
      <x:c r="H97" s="28" t="n">
        <x:v>1</x:v>
      </x:c>
      <x:c r="I97" s="28" t="n">
        <x:f>IF(H97=0,0,IF(ISNUMBER(D97),D97*H97,"n.a."))</x:f>
        <x:v>8500</x:v>
      </x:c>
      <x:c r="J97" s="28" t="n">
        <x:f>IF(ISNUMBER(G97),0,1)</x:f>
        <x:v>0</x:v>
      </x:c>
      <x:c r="K97" s="11" t="str">
        <x:v>'NGALA BREAD'!C5:D5</x:v>
      </x:c>
      <x:c r="L97" s="11" t="str"/>
    </x:row>
    <x:row r="98" ht="28" customHeight="1">
      <x:c r="A98" s="10" t="str">
        <x:v>NGALA BREAD</x:v>
      </x:c>
      <x:c r="B98" s="12" t="str">
        <x:v>Butter</x:v>
      </x:c>
      <x:c r="C98" s="12" t="n">
        <x:v>1000</x:v>
      </x:c>
      <x:c r="D98" s="14" t="n">
        <x:v>1000</x:v>
      </x:c>
      <x:c r="E98" s="25" t="str">
        <x:v>P7</x:v>
      </x:c>
      <x:c r="F98" s="23" t="n">
        <x:f>Prices!E10</x:f>
        <x:v>1.263157894736842</x:v>
      </x:c>
      <x:c r="G98" s="27" t="n">
        <x:f>IF(AND(ISNUMBER(D98),ISNUMBER(F98)),D98*F98,"n.a.")</x:f>
        <x:v>1263.157894736842</x:v>
      </x:c>
      <x:c r="H98" s="29" t="n">
        <x:v>1</x:v>
      </x:c>
      <x:c r="I98" s="29" t="n">
        <x:f>IF(H98=0,0,IF(ISNUMBER(D98),D98*H98,"n.a."))</x:f>
        <x:v>1000</x:v>
      </x:c>
      <x:c r="J98" s="29" t="n">
        <x:f>IF(ISNUMBER(G98),0,1)</x:f>
        <x:v>0</x:v>
      </x:c>
      <x:c r="K98" s="12" t="str">
        <x:v>'NGALA BREAD'!C6:D6</x:v>
      </x:c>
      <x:c r="L98" s="12" t="str"/>
    </x:row>
    <x:row r="99" ht="28" customHeight="1">
      <x:c r="A99" s="2" t="str">
        <x:v>NGALA BREAD</x:v>
      </x:c>
      <x:c r="B99" s="11" t="str">
        <x:v>sugar</x:v>
      </x:c>
      <x:c r="C99" s="11" t="n">
        <x:v>100</x:v>
      </x:c>
      <x:c r="D99" s="13" t="n">
        <x:v>100</x:v>
      </x:c>
      <x:c r="E99" s="24" t="str">
        <x:v>P5</x:v>
      </x:c>
      <x:c r="F99" s="22" t="n">
        <x:f>Prices!E8</x:f>
        <x:v>0.64</x:v>
      </x:c>
      <x:c r="G99" s="26" t="n">
        <x:f>IF(AND(ISNUMBER(D99),ISNUMBER(F99)),D99*F99,"n.a.")</x:f>
        <x:v>64</x:v>
      </x:c>
      <x:c r="H99" s="28" t="n">
        <x:v>1</x:v>
      </x:c>
      <x:c r="I99" s="28" t="n">
        <x:f>IF(H99=0,0,IF(ISNUMBER(D99),D99*H99,"n.a."))</x:f>
        <x:v>100</x:v>
      </x:c>
      <x:c r="J99" s="28" t="n">
        <x:f>IF(ISNUMBER(G99),0,1)</x:f>
        <x:v>0</x:v>
      </x:c>
      <x:c r="K99" s="11" t="str">
        <x:v>'NGALA BREAD'!C7:D7</x:v>
      </x:c>
      <x:c r="L99" s="11" t="str"/>
    </x:row>
    <x:row r="100" ht="28" customHeight="1">
      <x:c r="A100" s="10" t="str">
        <x:v>NGALA BREAD</x:v>
      </x:c>
      <x:c r="B100" s="12" t="str">
        <x:v>conc milk</x:v>
      </x:c>
      <x:c r="C100" s="12" t="n">
        <x:v>1000</x:v>
      </x:c>
      <x:c r="D100" s="14" t="n">
        <x:v>1000</x:v>
      </x:c>
      <x:c r="E100" s="25" t="str">
        <x:v>P15</x:v>
      </x:c>
      <x:c r="F100" s="23" t="n">
        <x:f>Prices!E18</x:f>
        <x:v>1.17</x:v>
      </x:c>
      <x:c r="G100" s="27" t="n">
        <x:f>IF(AND(ISNUMBER(D100),ISNUMBER(F100)),D100*F100,"n.a.")</x:f>
        <x:v>1170</x:v>
      </x:c>
      <x:c r="H100" s="29" t="n">
        <x:v>1</x:v>
      </x:c>
      <x:c r="I100" s="29" t="n">
        <x:f>IF(H100=0,0,IF(ISNUMBER(D100),D100*H100,"n.a."))</x:f>
        <x:v>1000</x:v>
      </x:c>
      <x:c r="J100" s="29" t="n">
        <x:f>IF(ISNUMBER(G100),0,1)</x:f>
        <x:v>0</x:v>
      </x:c>
      <x:c r="K100" s="12" t="str">
        <x:v>'NGALA BREAD'!C8:D8</x:v>
      </x:c>
      <x:c r="L100" s="12" t="str">
        <x:v>Generic milk price used provisionally for condensed milk; confirm identity.</x:v>
      </x:c>
    </x:row>
    <x:row r="101" ht="28" customHeight="1">
      <x:c r="A101" s="2" t="str">
        <x:v>NGALA BREAD</x:v>
      </x:c>
      <x:c r="B101" s="11" t="str">
        <x:v>egg</x:v>
      </x:c>
      <x:c r="C101" s="11" t="n">
        <x:v>550</x:v>
      </x:c>
      <x:c r="D101" s="13" t="n">
        <x:v>550</x:v>
      </x:c>
      <x:c r="E101" s="24" t="str">
        <x:v>P13</x:v>
      </x:c>
      <x:c r="F101" s="22" t="n">
        <x:f>Prices!E16</x:f>
        <x:v>1.3333333333333333</x:v>
      </x:c>
      <x:c r="G101" s="26" t="n">
        <x:f>IF(AND(ISNUMBER(D101),ISNUMBER(F101)),D101*F101,"n.a.")</x:f>
        <x:v>733.3333333333333</x:v>
      </x:c>
      <x:c r="H101" s="28" t="n">
        <x:v>1</x:v>
      </x:c>
      <x:c r="I101" s="28" t="n">
        <x:f>IF(H101=0,0,IF(ISNUMBER(D101),D101*H101,"n.a."))</x:f>
        <x:v>550</x:v>
      </x:c>
      <x:c r="J101" s="28" t="n">
        <x:f>IF(ISNUMBER(G101),0,1)</x:f>
        <x:v>0</x:v>
      </x:c>
      <x:c r="K101" s="11" t="str">
        <x:v>'NGALA BREAD'!C9:D9</x:v>
      </x:c>
      <x:c r="L101" s="11" t="str"/>
    </x:row>
    <x:row r="102" ht="28" customHeight="1">
      <x:c r="A102" s="10" t="str">
        <x:v>NGALA BREAD</x:v>
      </x:c>
      <x:c r="B102" s="12" t="str">
        <x:v>salt</x:v>
      </x:c>
      <x:c r="C102" s="12" t="n">
        <x:v>90</x:v>
      </x:c>
      <x:c r="D102" s="14" t="n">
        <x:v>90</x:v>
      </x:c>
      <x:c r="E102" s="25" t="str">
        <x:v>P6</x:v>
      </x:c>
      <x:c r="F102" s="23" t="n">
        <x:f>Prices!E9</x:f>
        <x:v>0.20555555555555555</x:v>
      </x:c>
      <x:c r="G102" s="27" t="n">
        <x:f>IF(AND(ISNUMBER(D102),ISNUMBER(F102)),D102*F102,"n.a.")</x:f>
        <x:v>18.5</x:v>
      </x:c>
      <x:c r="H102" s="29" t="n">
        <x:v>1</x:v>
      </x:c>
      <x:c r="I102" s="29" t="n">
        <x:f>IF(H102=0,0,IF(ISNUMBER(D102),D102*H102,"n.a."))</x:f>
        <x:v>90</x:v>
      </x:c>
      <x:c r="J102" s="29" t="n">
        <x:f>IF(ISNUMBER(G102),0,1)</x:f>
        <x:v>0</x:v>
      </x:c>
      <x:c r="K102" s="12" t="str">
        <x:v>'NGALA BREAD'!C10:D10</x:v>
      </x:c>
      <x:c r="L102" s="12" t="str"/>
    </x:row>
    <x:row r="103" ht="28" customHeight="1">
      <x:c r="A103" s="2" t="str">
        <x:v>NGALA BREAD</x:v>
      </x:c>
      <x:c r="B103" s="11" t="str">
        <x:v>improver</x:v>
      </x:c>
      <x:c r="C103" s="11" t="n">
        <x:v>100</x:v>
      </x:c>
      <x:c r="D103" s="13" t="n">
        <x:v>100</x:v>
      </x:c>
      <x:c r="E103" s="24" t="str">
        <x:v>P12</x:v>
      </x:c>
      <x:c r="F103" s="22" t="n">
        <x:f>Prices!E15</x:f>
        <x:v>2.8</x:v>
      </x:c>
      <x:c r="G103" s="26" t="n">
        <x:f>IF(AND(ISNUMBER(D103),ISNUMBER(F103)),D103*F103,"n.a.")</x:f>
        <x:v>280</x:v>
      </x:c>
      <x:c r="H103" s="28" t="n">
        <x:v>1</x:v>
      </x:c>
      <x:c r="I103" s="28" t="n">
        <x:f>IF(H103=0,0,IF(ISNUMBER(D103),D103*H103,"n.a."))</x:f>
        <x:v>100</x:v>
      </x:c>
      <x:c r="J103" s="28" t="n">
        <x:f>IF(ISNUMBER(G103),0,1)</x:f>
        <x:v>0</x:v>
      </x:c>
      <x:c r="K103" s="11" t="str">
        <x:v>'NGALA BREAD'!C11:D11</x:v>
      </x:c>
      <x:c r="L103" s="11" t="str"/>
    </x:row>
    <x:row r="104" ht="28" customHeight="1">
      <x:c r="A104" s="10" t="str">
        <x:v>NGALA BREAD</x:v>
      </x:c>
      <x:c r="B104" s="12" t="str">
        <x:v>yeast</x:v>
      </x:c>
      <x:c r="C104" s="12" t="n">
        <x:v>90</x:v>
      </x:c>
      <x:c r="D104" s="14" t="n">
        <x:v>90</x:v>
      </x:c>
      <x:c r="E104" s="25" t="str">
        <x:v>P9</x:v>
      </x:c>
      <x:c r="F104" s="23" t="n">
        <x:f>Prices!E12</x:f>
        <x:v>2.8</x:v>
      </x:c>
      <x:c r="G104" s="27" t="n">
        <x:f>IF(AND(ISNUMBER(D104),ISNUMBER(F104)),D104*F104,"n.a.")</x:f>
        <x:v>251.99999999999997</x:v>
      </x:c>
      <x:c r="H104" s="29" t="n">
        <x:v>1</x:v>
      </x:c>
      <x:c r="I104" s="29" t="n">
        <x:f>IF(H104=0,0,IF(ISNUMBER(D104),D104*H104,"n.a."))</x:f>
        <x:v>90</x:v>
      </x:c>
      <x:c r="J104" s="29" t="n">
        <x:f>IF(ISNUMBER(G104),0,1)</x:f>
        <x:v>0</x:v>
      </x:c>
      <x:c r="K104" s="12" t="str">
        <x:v>'NGALA BREAD'!C12:D12</x:v>
      </x:c>
      <x:c r="L104" s="12" t="str"/>
    </x:row>
    <x:row r="105" ht="28" customHeight="1">
      <x:c r="A105" s="2" t="str">
        <x:v>NGALA BREAD</x:v>
      </x:c>
      <x:c r="B105" s="11" t="str">
        <x:v>water</x:v>
      </x:c>
      <x:c r="C105" s="11" t="n">
        <x:v>4000</x:v>
      </x:c>
      <x:c r="D105" s="13" t="n">
        <x:v>4000</x:v>
      </x:c>
      <x:c r="E105" s="24" t="str">
        <x:v>P16</x:v>
      </x:c>
      <x:c r="F105" s="22" t="n">
        <x:f>Prices!E19</x:f>
        <x:v>0.0001</x:v>
      </x:c>
      <x:c r="G105" s="26" t="n">
        <x:f>IF(AND(ISNUMBER(D105),ISNUMBER(F105)),D105*F105,"n.a.")</x:f>
        <x:v>0.4</x:v>
      </x:c>
      <x:c r="H105" s="28" t="n">
        <x:v>1</x:v>
      </x:c>
      <x:c r="I105" s="28" t="n">
        <x:f>IF(H105=0,0,IF(ISNUMBER(D105),D105*H105,"n.a."))</x:f>
        <x:v>4000</x:v>
      </x:c>
      <x:c r="J105" s="28" t="n">
        <x:f>IF(ISNUMBER(G105),0,1)</x:f>
        <x:v>0</x:v>
      </x:c>
      <x:c r="K105" s="11" t="str">
        <x:v>'NGALA BREAD'!C13:D13</x:v>
      </x:c>
      <x:c r="L105" s="11" t="str"/>
    </x:row>
    <x:row r="106" ht="28" customHeight="1">
      <x:c r="A106" s="10" t="str">
        <x:v>Pain au lait</x:v>
      </x:c>
      <x:c r="B106" s="12" t="str">
        <x:v>flour</x:v>
      </x:c>
      <x:c r="C106" s="12" t="n">
        <x:v>12000</x:v>
      </x:c>
      <x:c r="D106" s="14" t="n">
        <x:v>12000</x:v>
      </x:c>
      <x:c r="E106" s="25" t="str">
        <x:v>P4</x:v>
      </x:c>
      <x:c r="F106" s="23" t="n">
        <x:f>Prices!E7</x:f>
        <x:v>0.42</x:v>
      </x:c>
      <x:c r="G106" s="27" t="n">
        <x:f>IF(AND(ISNUMBER(D106),ISNUMBER(F106)),D106*F106,"n.a.")</x:f>
        <x:v>5040</x:v>
      </x:c>
      <x:c r="H106" s="29" t="n">
        <x:v>1</x:v>
      </x:c>
      <x:c r="I106" s="29" t="n">
        <x:f>IF(H106=0,0,IF(ISNUMBER(D106),D106*H106,"n.a."))</x:f>
        <x:v>12000</x:v>
      </x:c>
      <x:c r="J106" s="29" t="n">
        <x:f>IF(ISNUMBER(G106),0,1)</x:f>
        <x:v>0</x:v>
      </x:c>
      <x:c r="K106" s="12" t="str">
        <x:v>'Pain au lait'!C5:D5</x:v>
      </x:c>
      <x:c r="L106" s="12" t="str"/>
    </x:row>
    <x:row r="107" ht="28" customHeight="1">
      <x:c r="A107" s="2" t="str">
        <x:v>Pain au lait</x:v>
      </x:c>
      <x:c r="B107" s="11" t="str">
        <x:v>Butter</x:v>
      </x:c>
      <x:c r="C107" s="11" t="n">
        <x:v>1000</x:v>
      </x:c>
      <x:c r="D107" s="13" t="n">
        <x:v>1000</x:v>
      </x:c>
      <x:c r="E107" s="24" t="str">
        <x:v>P7</x:v>
      </x:c>
      <x:c r="F107" s="22" t="n">
        <x:f>Prices!E10</x:f>
        <x:v>1.263157894736842</x:v>
      </x:c>
      <x:c r="G107" s="26" t="n">
        <x:f>IF(AND(ISNUMBER(D107),ISNUMBER(F107)),D107*F107,"n.a.")</x:f>
        <x:v>1263.157894736842</x:v>
      </x:c>
      <x:c r="H107" s="28" t="n">
        <x:v>1</x:v>
      </x:c>
      <x:c r="I107" s="28" t="n">
        <x:f>IF(H107=0,0,IF(ISNUMBER(D107),D107*H107,"n.a."))</x:f>
        <x:v>1000</x:v>
      </x:c>
      <x:c r="J107" s="28" t="n">
        <x:f>IF(ISNUMBER(G107),0,1)</x:f>
        <x:v>0</x:v>
      </x:c>
      <x:c r="K107" s="11" t="str">
        <x:v>'Pain au lait'!C6:D6</x:v>
      </x:c>
      <x:c r="L107" s="11" t="str"/>
    </x:row>
    <x:row r="108" ht="28" customHeight="1">
      <x:c r="A108" s="10" t="str">
        <x:v>Pain au lait</x:v>
      </x:c>
      <x:c r="B108" s="12" t="str">
        <x:v>sugar</x:v>
      </x:c>
      <x:c r="C108" s="12" t="n">
        <x:v>1100</x:v>
      </x:c>
      <x:c r="D108" s="14" t="n">
        <x:v>1100</x:v>
      </x:c>
      <x:c r="E108" s="25" t="str">
        <x:v>P5</x:v>
      </x:c>
      <x:c r="F108" s="23" t="n">
        <x:f>Prices!E8</x:f>
        <x:v>0.64</x:v>
      </x:c>
      <x:c r="G108" s="27" t="n">
        <x:f>IF(AND(ISNUMBER(D108),ISNUMBER(F108)),D108*F108,"n.a.")</x:f>
        <x:v>704</x:v>
      </x:c>
      <x:c r="H108" s="29" t="n">
        <x:v>1</x:v>
      </x:c>
      <x:c r="I108" s="29" t="n">
        <x:f>IF(H108=0,0,IF(ISNUMBER(D108),D108*H108,"n.a."))</x:f>
        <x:v>1100</x:v>
      </x:c>
      <x:c r="J108" s="29" t="n">
        <x:f>IF(ISNUMBER(G108),0,1)</x:f>
        <x:v>0</x:v>
      </x:c>
      <x:c r="K108" s="12" t="str">
        <x:v>'Pain au lait'!C7:D7</x:v>
      </x:c>
      <x:c r="L108" s="12" t="str"/>
    </x:row>
    <x:row r="109" ht="28" customHeight="1">
      <x:c r="A109" s="2" t="str">
        <x:v>Pain au lait</x:v>
      </x:c>
      <x:c r="B109" s="11" t="str">
        <x:v>Milk</x:v>
      </x:c>
      <x:c r="C109" s="11" t="n">
        <x:v>950</x:v>
      </x:c>
      <x:c r="D109" s="13" t="n">
        <x:v>950</x:v>
      </x:c>
      <x:c r="E109" s="24" t="str">
        <x:v>P15</x:v>
      </x:c>
      <x:c r="F109" s="22" t="n">
        <x:f>Prices!E18</x:f>
        <x:v>1.17</x:v>
      </x:c>
      <x:c r="G109" s="26" t="n">
        <x:f>IF(AND(ISNUMBER(D109),ISNUMBER(F109)),D109*F109,"n.a.")</x:f>
        <x:v>1111.5</x:v>
      </x:c>
      <x:c r="H109" s="28" t="n">
        <x:v>1</x:v>
      </x:c>
      <x:c r="I109" s="28" t="n">
        <x:f>IF(H109=0,0,IF(ISNUMBER(D109),D109*H109,"n.a."))</x:f>
        <x:v>950</x:v>
      </x:c>
      <x:c r="J109" s="28" t="n">
        <x:f>IF(ISNUMBER(G109),0,1)</x:f>
        <x:v>0</x:v>
      </x:c>
      <x:c r="K109" s="11" t="str">
        <x:v>'Pain au lait'!C8:D8</x:v>
      </x:c>
      <x:c r="L109" s="11" t="str"/>
    </x:row>
    <x:row r="110" ht="28" customHeight="1">
      <x:c r="A110" s="10" t="str">
        <x:v>Pain au lait</x:v>
      </x:c>
      <x:c r="B110" s="12" t="str">
        <x:v>egg</x:v>
      </x:c>
      <x:c r="C110" s="12" t="n">
        <x:v>300</x:v>
      </x:c>
      <x:c r="D110" s="14" t="n">
        <x:v>300</x:v>
      </x:c>
      <x:c r="E110" s="25" t="str">
        <x:v>P13</x:v>
      </x:c>
      <x:c r="F110" s="23" t="n">
        <x:f>Prices!E16</x:f>
        <x:v>1.3333333333333333</x:v>
      </x:c>
      <x:c r="G110" s="27" t="n">
        <x:f>IF(AND(ISNUMBER(D110),ISNUMBER(F110)),D110*F110,"n.a.")</x:f>
        <x:v>400</x:v>
      </x:c>
      <x:c r="H110" s="29" t="n">
        <x:v>1</x:v>
      </x:c>
      <x:c r="I110" s="29" t="n">
        <x:f>IF(H110=0,0,IF(ISNUMBER(D110),D110*H110,"n.a."))</x:f>
        <x:v>300</x:v>
      </x:c>
      <x:c r="J110" s="29" t="n">
        <x:f>IF(ISNUMBER(G110),0,1)</x:f>
        <x:v>0</x:v>
      </x:c>
      <x:c r="K110" s="12" t="str">
        <x:v>'Pain au lait'!C9:D9</x:v>
      </x:c>
      <x:c r="L110" s="12" t="str"/>
    </x:row>
    <x:row r="111" ht="28" customHeight="1">
      <x:c r="A111" s="2" t="str">
        <x:v>Pain au lait</x:v>
      </x:c>
      <x:c r="B111" s="11" t="str">
        <x:v>salt</x:v>
      </x:c>
      <x:c r="C111" s="11" t="n">
        <x:v>85</x:v>
      </x:c>
      <x:c r="D111" s="13" t="n">
        <x:v>85</x:v>
      </x:c>
      <x:c r="E111" s="24" t="str">
        <x:v>P6</x:v>
      </x:c>
      <x:c r="F111" s="22" t="n">
        <x:f>Prices!E9</x:f>
        <x:v>0.20555555555555555</x:v>
      </x:c>
      <x:c r="G111" s="26" t="n">
        <x:f>IF(AND(ISNUMBER(D111),ISNUMBER(F111)),D111*F111,"n.a.")</x:f>
        <x:v>17.47222222222222</x:v>
      </x:c>
      <x:c r="H111" s="28" t="n">
        <x:v>1</x:v>
      </x:c>
      <x:c r="I111" s="28" t="n">
        <x:f>IF(H111=0,0,IF(ISNUMBER(D111),D111*H111,"n.a."))</x:f>
        <x:v>85</x:v>
      </x:c>
      <x:c r="J111" s="28" t="n">
        <x:f>IF(ISNUMBER(G111),0,1)</x:f>
        <x:v>0</x:v>
      </x:c>
      <x:c r="K111" s="11" t="str">
        <x:v>'Pain au lait'!C10:D10</x:v>
      </x:c>
      <x:c r="L111" s="11" t="str"/>
    </x:row>
    <x:row r="112" ht="28" customHeight="1">
      <x:c r="A112" s="10" t="str">
        <x:v>Pain au lait</x:v>
      </x:c>
      <x:c r="B112" s="12" t="str">
        <x:v>improver</x:v>
      </x:c>
      <x:c r="C112" s="12" t="n">
        <x:v>100</x:v>
      </x:c>
      <x:c r="D112" s="14" t="n">
        <x:v>100</x:v>
      </x:c>
      <x:c r="E112" s="25" t="str">
        <x:v>P12</x:v>
      </x:c>
      <x:c r="F112" s="23" t="n">
        <x:f>Prices!E15</x:f>
        <x:v>2.8</x:v>
      </x:c>
      <x:c r="G112" s="27" t="n">
        <x:f>IF(AND(ISNUMBER(D112),ISNUMBER(F112)),D112*F112,"n.a.")</x:f>
        <x:v>280</x:v>
      </x:c>
      <x:c r="H112" s="29" t="n">
        <x:v>1</x:v>
      </x:c>
      <x:c r="I112" s="29" t="n">
        <x:f>IF(H112=0,0,IF(ISNUMBER(D112),D112*H112,"n.a."))</x:f>
        <x:v>100</x:v>
      </x:c>
      <x:c r="J112" s="29" t="n">
        <x:f>IF(ISNUMBER(G112),0,1)</x:f>
        <x:v>0</x:v>
      </x:c>
      <x:c r="K112" s="12" t="str">
        <x:v>'Pain au lait'!C11:D11</x:v>
      </x:c>
      <x:c r="L112" s="12" t="str"/>
    </x:row>
    <x:row r="113" ht="28" customHeight="1">
      <x:c r="A113" s="2" t="str">
        <x:v>Pain au lait</x:v>
      </x:c>
      <x:c r="B113" s="11" t="str">
        <x:v>yeast</x:v>
      </x:c>
      <x:c r="C113" s="11" t="n">
        <x:v>80</x:v>
      </x:c>
      <x:c r="D113" s="13" t="n">
        <x:v>80</x:v>
      </x:c>
      <x:c r="E113" s="24" t="str">
        <x:v>P9</x:v>
      </x:c>
      <x:c r="F113" s="22" t="n">
        <x:f>Prices!E12</x:f>
        <x:v>2.8</x:v>
      </x:c>
      <x:c r="G113" s="26" t="n">
        <x:f>IF(AND(ISNUMBER(D113),ISNUMBER(F113)),D113*F113,"n.a.")</x:f>
        <x:v>224</x:v>
      </x:c>
      <x:c r="H113" s="28" t="n">
        <x:v>1</x:v>
      </x:c>
      <x:c r="I113" s="28" t="n">
        <x:f>IF(H113=0,0,IF(ISNUMBER(D113),D113*H113,"n.a."))</x:f>
        <x:v>80</x:v>
      </x:c>
      <x:c r="J113" s="28" t="n">
        <x:f>IF(ISNUMBER(G113),0,1)</x:f>
        <x:v>0</x:v>
      </x:c>
      <x:c r="K113" s="11" t="str">
        <x:v>'Pain au lait'!C12:D12</x:v>
      </x:c>
      <x:c r="L113" s="11" t="str"/>
    </x:row>
    <x:row r="114" ht="28" customHeight="1">
      <x:c r="A114" s="10" t="str">
        <x:v>Pain au lait</x:v>
      </x:c>
      <x:c r="B114" s="12" t="str">
        <x:v>water</x:v>
      </x:c>
      <x:c r="C114" s="12" t="n">
        <x:v>4500</x:v>
      </x:c>
      <x:c r="D114" s="14" t="n">
        <x:v>4500</x:v>
      </x:c>
      <x:c r="E114" s="25" t="str">
        <x:v>P16</x:v>
      </x:c>
      <x:c r="F114" s="23" t="n">
        <x:f>Prices!E19</x:f>
        <x:v>0.0001</x:v>
      </x:c>
      <x:c r="G114" s="27" t="n">
        <x:f>IF(AND(ISNUMBER(D114),ISNUMBER(F114)),D114*F114,"n.a.")</x:f>
        <x:v>0.45</x:v>
      </x:c>
      <x:c r="H114" s="29" t="n">
        <x:v>1</x:v>
      </x:c>
      <x:c r="I114" s="29" t="n">
        <x:f>IF(H114=0,0,IF(ISNUMBER(D114),D114*H114,"n.a."))</x:f>
        <x:v>4500</x:v>
      </x:c>
      <x:c r="J114" s="29" t="n">
        <x:f>IF(ISNUMBER(G114),0,1)</x:f>
        <x:v>0</x:v>
      </x:c>
      <x:c r="K114" s="12" t="str">
        <x:v>'Pain au lait'!C13:D13</x:v>
      </x:c>
      <x:c r="L114" s="12" t="str"/>
    </x:row>
    <x:row r="115" ht="28" customHeight="1">
      <x:c r="A115" s="2" t="str">
        <x:v>Pain au lait</x:v>
      </x:c>
      <x:c r="B115" s="11" t="str">
        <x:v>Oil</x:v>
      </x:c>
      <x:c r="C115" s="11" t="n">
        <x:v>300</x:v>
      </x:c>
      <x:c r="D115" s="13" t="n">
        <x:v>300</x:v>
      </x:c>
      <x:c r="E115" s="24" t="str">
        <x:v>P8</x:v>
      </x:c>
      <x:c r="F115" s="22" t="n">
        <x:f>Prices!E11</x:f>
        <x:v>1.22</x:v>
      </x:c>
      <x:c r="G115" s="26" t="n">
        <x:f>IF(AND(ISNUMBER(D115),ISNUMBER(F115)),D115*F115,"n.a.")</x:f>
        <x:v>366</x:v>
      </x:c>
      <x:c r="H115" s="28" t="n">
        <x:v>1</x:v>
      </x:c>
      <x:c r="I115" s="28" t="n">
        <x:f>IF(H115=0,0,IF(ISNUMBER(D115),D115*H115,"n.a."))</x:f>
        <x:v>300</x:v>
      </x:c>
      <x:c r="J115" s="28" t="n">
        <x:f>IF(ISNUMBER(G115),0,1)</x:f>
        <x:v>0</x:v>
      </x:c>
      <x:c r="K115" s="11" t="str">
        <x:v>'Pain au lait'!C14:D14</x:v>
      </x:c>
      <x:c r="L115" s="11" t="str"/>
    </x:row>
    <x:row r="116" ht="28" customHeight="1">
      <x:c r="A116" s="10" t="str">
        <x:v>Pain au lait</x:v>
      </x:c>
      <x:c r="B116" s="12" t="str">
        <x:v>Milk tantalizer</x:v>
      </x:c>
      <x:c r="C116" s="12" t="n">
        <x:v>5</x:v>
      </x:c>
      <x:c r="D116" s="14" t="n">
        <x:v>5</x:v>
      </x:c>
      <x:c r="E116" s="25" t="str">
        <x:v>P18</x:v>
      </x:c>
      <x:c r="F116" s="23" t="n">
        <x:f>Prices!E21</x:f>
        <x:v>11.25</x:v>
      </x:c>
      <x:c r="G116" s="27" t="n">
        <x:f>IF(AND(ISNUMBER(D116),ISNUMBER(F116)),D116*F116,"n.a.")</x:f>
        <x:v>56.25</x:v>
      </x:c>
      <x:c r="H116" s="29" t="n">
        <x:v>1</x:v>
      </x:c>
      <x:c r="I116" s="29" t="n">
        <x:f>IF(H116=0,0,IF(ISNUMBER(D116),D116*H116,"n.a."))</x:f>
        <x:v>5</x:v>
      </x:c>
      <x:c r="J116" s="29" t="n">
        <x:f>IF(ISNUMBER(G116),0,1)</x:f>
        <x:v>0</x:v>
      </x:c>
      <x:c r="K116" s="12" t="str">
        <x:v>'Pain au lait'!C15:D15</x:v>
      </x:c>
      <x:c r="L116" s="12" t="str"/>
    </x:row>
    <x:row r="117" ht="28" customHeight="1">
      <x:c r="A117" s="2" t="str">
        <x:v>Pain au lait</x:v>
      </x:c>
      <x:c r="B117" s="11" t="str">
        <x:v>EDC</x:v>
      </x:c>
      <x:c r="C117" s="11" t="n">
        <x:v>25</x:v>
      </x:c>
      <x:c r="D117" s="13" t="n">
        <x:v>25</x:v>
      </x:c>
      <x:c r="E117" s="24" t="str">
        <x:v>P19</x:v>
      </x:c>
      <x:c r="F117" s="22" t="n">
        <x:f>Prices!E22</x:f>
        <x:v>3</x:v>
      </x:c>
      <x:c r="G117" s="26" t="n">
        <x:f>IF(AND(ISNUMBER(D117),ISNUMBER(F117)),D117*F117,"n.a.")</x:f>
        <x:v>75</x:v>
      </x:c>
      <x:c r="H117" s="28" t="n">
        <x:v>1</x:v>
      </x:c>
      <x:c r="I117" s="28" t="n">
        <x:f>IF(H117=0,0,IF(ISNUMBER(D117),D117*H117,"n.a."))</x:f>
        <x:v>25</x:v>
      </x:c>
      <x:c r="J117" s="28" t="n">
        <x:f>IF(ISNUMBER(G117),0,1)</x:f>
        <x:v>0</x:v>
      </x:c>
      <x:c r="K117" s="11" t="str">
        <x:v>'Pain au lait'!C16:D16</x:v>
      </x:c>
      <x:c r="L117" s="11" t="str"/>
    </x:row>
    <x:row r="118" ht="28" customHeight="1">
      <x:c r="A118" s="10" t="str">
        <x:v>Pain au lait</x:v>
      </x:c>
      <x:c r="B118" s="12" t="str">
        <x:v>Nutmeg</x:v>
      </x:c>
      <x:c r="C118" s="12" t="n">
        <x:v>12</x:v>
      </x:c>
      <x:c r="D118" s="14" t="n">
        <x:v>12</x:v>
      </x:c>
      <x:c r="E118" s="25" t="str">
        <x:v>P14</x:v>
      </x:c>
      <x:c r="F118" s="23" t="n">
        <x:f>Prices!E17</x:f>
        <x:v>9</x:v>
      </x:c>
      <x:c r="G118" s="27" t="n">
        <x:f>IF(AND(ISNUMBER(D118),ISNUMBER(F118)),D118*F118,"n.a.")</x:f>
        <x:v>108</x:v>
      </x:c>
      <x:c r="H118" s="29" t="n">
        <x:v>1</x:v>
      </x:c>
      <x:c r="I118" s="29" t="n">
        <x:f>IF(H118=0,0,IF(ISNUMBER(D118),D118*H118,"n.a."))</x:f>
        <x:v>12</x:v>
      </x:c>
      <x:c r="J118" s="29" t="n">
        <x:f>IF(ISNUMBER(G118),0,1)</x:f>
        <x:v>0</x:v>
      </x:c>
      <x:c r="K118" s="12" t="str">
        <x:v>'Pain au lait'!C17:D17</x:v>
      </x:c>
      <x:c r="L118" s="12" t="str"/>
    </x:row>
    <x:row r="119" ht="28" customHeight="1">
      <x:c r="A119" s="2" t="str">
        <x:v>NEW BRIOCHE</x:v>
      </x:c>
      <x:c r="B119" s="11" t="str">
        <x:v>flour</x:v>
      </x:c>
      <x:c r="C119" s="11" t="n">
        <x:v>10000</x:v>
      </x:c>
      <x:c r="D119" s="13" t="n">
        <x:v>10000</x:v>
      </x:c>
      <x:c r="E119" s="24" t="str">
        <x:v>P4</x:v>
      </x:c>
      <x:c r="F119" s="22" t="n">
        <x:f>Prices!E7</x:f>
        <x:v>0.42</x:v>
      </x:c>
      <x:c r="G119" s="26" t="n">
        <x:f>IF(AND(ISNUMBER(D119),ISNUMBER(F119)),D119*F119,"n.a.")</x:f>
        <x:v>4200</x:v>
      </x:c>
      <x:c r="H119" s="28" t="n">
        <x:v>1</x:v>
      </x:c>
      <x:c r="I119" s="28" t="n">
        <x:f>IF(H119=0,0,IF(ISNUMBER(D119),D119*H119,"n.a."))</x:f>
        <x:v>10000</x:v>
      </x:c>
      <x:c r="J119" s="28" t="n">
        <x:f>IF(ISNUMBER(G119),0,1)</x:f>
        <x:v>0</x:v>
      </x:c>
      <x:c r="K119" s="11" t="str">
        <x:v>'NEW BRIOCHE'!C5:D5</x:v>
      </x:c>
      <x:c r="L119" s="11" t="str"/>
    </x:row>
    <x:row r="120" ht="28" customHeight="1">
      <x:c r="A120" s="10" t="str">
        <x:v>NEW BRIOCHE</x:v>
      </x:c>
      <x:c r="B120" s="12" t="str">
        <x:v>Butter</x:v>
      </x:c>
      <x:c r="C120" s="12" t="n">
        <x:v>2500</x:v>
      </x:c>
      <x:c r="D120" s="14" t="n">
        <x:v>2500</x:v>
      </x:c>
      <x:c r="E120" s="25" t="str">
        <x:v>P7</x:v>
      </x:c>
      <x:c r="F120" s="23" t="n">
        <x:f>Prices!E10</x:f>
        <x:v>1.263157894736842</x:v>
      </x:c>
      <x:c r="G120" s="27" t="n">
        <x:f>IF(AND(ISNUMBER(D120),ISNUMBER(F120)),D120*F120,"n.a.")</x:f>
        <x:v>3157.894736842105</x:v>
      </x:c>
      <x:c r="H120" s="29" t="n">
        <x:v>1</x:v>
      </x:c>
      <x:c r="I120" s="29" t="n">
        <x:f>IF(H120=0,0,IF(ISNUMBER(D120),D120*H120,"n.a."))</x:f>
        <x:v>2500</x:v>
      </x:c>
      <x:c r="J120" s="29" t="n">
        <x:f>IF(ISNUMBER(G120),0,1)</x:f>
        <x:v>0</x:v>
      </x:c>
      <x:c r="K120" s="12" t="str">
        <x:v>'NEW BRIOCHE'!C6:D6</x:v>
      </x:c>
      <x:c r="L120" s="12" t="str"/>
    </x:row>
    <x:row r="121" ht="28" customHeight="1">
      <x:c r="A121" s="2" t="str">
        <x:v>NEW BRIOCHE</x:v>
      </x:c>
      <x:c r="B121" s="11" t="str">
        <x:v>sugar</x:v>
      </x:c>
      <x:c r="C121" s="11" t="n">
        <x:v>1500</x:v>
      </x:c>
      <x:c r="D121" s="13" t="n">
        <x:v>1500</x:v>
      </x:c>
      <x:c r="E121" s="24" t="str">
        <x:v>P5</x:v>
      </x:c>
      <x:c r="F121" s="22" t="n">
        <x:f>Prices!E8</x:f>
        <x:v>0.64</x:v>
      </x:c>
      <x:c r="G121" s="26" t="n">
        <x:f>IF(AND(ISNUMBER(D121),ISNUMBER(F121)),D121*F121,"n.a.")</x:f>
        <x:v>960</x:v>
      </x:c>
      <x:c r="H121" s="28" t="n">
        <x:v>1</x:v>
      </x:c>
      <x:c r="I121" s="28" t="n">
        <x:f>IF(H121=0,0,IF(ISNUMBER(D121),D121*H121,"n.a."))</x:f>
        <x:v>1500</x:v>
      </x:c>
      <x:c r="J121" s="28" t="n">
        <x:f>IF(ISNUMBER(G121),0,1)</x:f>
        <x:v>0</x:v>
      </x:c>
      <x:c r="K121" s="11" t="str">
        <x:v>'NEW BRIOCHE'!C7:D7</x:v>
      </x:c>
      <x:c r="L121" s="11" t="str"/>
    </x:row>
    <x:row r="122" ht="28" customHeight="1">
      <x:c r="A122" s="10" t="str">
        <x:v>NEW BRIOCHE</x:v>
      </x:c>
      <x:c r="B122" s="12" t="str">
        <x:v>Milk</x:v>
      </x:c>
      <x:c r="C122" s="12" t="n">
        <x:v>800</x:v>
      </x:c>
      <x:c r="D122" s="14" t="n">
        <x:v>800</x:v>
      </x:c>
      <x:c r="E122" s="25" t="str">
        <x:v>P15</x:v>
      </x:c>
      <x:c r="F122" s="23" t="n">
        <x:f>Prices!E18</x:f>
        <x:v>1.17</x:v>
      </x:c>
      <x:c r="G122" s="27" t="n">
        <x:f>IF(AND(ISNUMBER(D122),ISNUMBER(F122)),D122*F122,"n.a.")</x:f>
        <x:v>936</x:v>
      </x:c>
      <x:c r="H122" s="29" t="n">
        <x:v>1</x:v>
      </x:c>
      <x:c r="I122" s="29" t="n">
        <x:f>IF(H122=0,0,IF(ISNUMBER(D122),D122*H122,"n.a."))</x:f>
        <x:v>800</x:v>
      </x:c>
      <x:c r="J122" s="29" t="n">
        <x:f>IF(ISNUMBER(G122),0,1)</x:f>
        <x:v>0</x:v>
      </x:c>
      <x:c r="K122" s="12" t="str">
        <x:v>'NEW BRIOCHE'!C8:D8</x:v>
      </x:c>
      <x:c r="L122" s="12" t="str"/>
    </x:row>
    <x:row r="123" ht="28" customHeight="1">
      <x:c r="A123" s="2" t="str">
        <x:v>NEW BRIOCHE</x:v>
      </x:c>
      <x:c r="B123" s="11" t="str">
        <x:v>egg</x:v>
      </x:c>
      <x:c r="C123" s="11" t="n">
        <x:v>500</x:v>
      </x:c>
      <x:c r="D123" s="13" t="n">
        <x:v>500</x:v>
      </x:c>
      <x:c r="E123" s="24" t="str">
        <x:v>P13</x:v>
      </x:c>
      <x:c r="F123" s="22" t="n">
        <x:f>Prices!E16</x:f>
        <x:v>1.3333333333333333</x:v>
      </x:c>
      <x:c r="G123" s="26" t="n">
        <x:f>IF(AND(ISNUMBER(D123),ISNUMBER(F123)),D123*F123,"n.a.")</x:f>
        <x:v>666.6666666666666</x:v>
      </x:c>
      <x:c r="H123" s="28" t="n">
        <x:v>1</x:v>
      </x:c>
      <x:c r="I123" s="28" t="n">
        <x:f>IF(H123=0,0,IF(ISNUMBER(D123),D123*H123,"n.a."))</x:f>
        <x:v>500</x:v>
      </x:c>
      <x:c r="J123" s="28" t="n">
        <x:f>IF(ISNUMBER(G123),0,1)</x:f>
        <x:v>0</x:v>
      </x:c>
      <x:c r="K123" s="11" t="str">
        <x:v>'NEW BRIOCHE'!C9:D9</x:v>
      </x:c>
      <x:c r="L123" s="11" t="str"/>
    </x:row>
    <x:row r="124" ht="28" customHeight="1">
      <x:c r="A124" s="10" t="str">
        <x:v>NEW BRIOCHE</x:v>
      </x:c>
      <x:c r="B124" s="12" t="str">
        <x:v>salt</x:v>
      </x:c>
      <x:c r="C124" s="12" t="n">
        <x:v>120</x:v>
      </x:c>
      <x:c r="D124" s="14" t="n">
        <x:v>120</x:v>
      </x:c>
      <x:c r="E124" s="25" t="str">
        <x:v>P6</x:v>
      </x:c>
      <x:c r="F124" s="23" t="n">
        <x:f>Prices!E9</x:f>
        <x:v>0.20555555555555555</x:v>
      </x:c>
      <x:c r="G124" s="27" t="n">
        <x:f>IF(AND(ISNUMBER(D124),ISNUMBER(F124)),D124*F124,"n.a.")</x:f>
        <x:v>24.666666666666664</x:v>
      </x:c>
      <x:c r="H124" s="29" t="n">
        <x:v>1</x:v>
      </x:c>
      <x:c r="I124" s="29" t="n">
        <x:f>IF(H124=0,0,IF(ISNUMBER(D124),D124*H124,"n.a."))</x:f>
        <x:v>120</x:v>
      </x:c>
      <x:c r="J124" s="29" t="n">
        <x:f>IF(ISNUMBER(G124),0,1)</x:f>
        <x:v>0</x:v>
      </x:c>
      <x:c r="K124" s="12" t="str">
        <x:v>'NEW BRIOCHE'!C10:D10</x:v>
      </x:c>
      <x:c r="L124" s="12" t="str"/>
    </x:row>
    <x:row r="125" ht="28" customHeight="1">
      <x:c r="A125" s="2" t="str">
        <x:v>NEW BRIOCHE</x:v>
      </x:c>
      <x:c r="B125" s="11" t="str">
        <x:v>improver</x:v>
      </x:c>
      <x:c r="C125" s="11" t="n">
        <x:v>120</x:v>
      </x:c>
      <x:c r="D125" s="13" t="n">
        <x:v>120</x:v>
      </x:c>
      <x:c r="E125" s="24" t="str">
        <x:v>P12</x:v>
      </x:c>
      <x:c r="F125" s="22" t="n">
        <x:f>Prices!E15</x:f>
        <x:v>2.8</x:v>
      </x:c>
      <x:c r="G125" s="26" t="n">
        <x:f>IF(AND(ISNUMBER(D125),ISNUMBER(F125)),D125*F125,"n.a.")</x:f>
        <x:v>336</x:v>
      </x:c>
      <x:c r="H125" s="28" t="n">
        <x:v>1</x:v>
      </x:c>
      <x:c r="I125" s="28" t="n">
        <x:f>IF(H125=0,0,IF(ISNUMBER(D125),D125*H125,"n.a."))</x:f>
        <x:v>120</x:v>
      </x:c>
      <x:c r="J125" s="28" t="n">
        <x:f>IF(ISNUMBER(G125),0,1)</x:f>
        <x:v>0</x:v>
      </x:c>
      <x:c r="K125" s="11" t="str">
        <x:v>'NEW BRIOCHE'!C11:D11</x:v>
      </x:c>
      <x:c r="L125" s="11" t="str"/>
    </x:row>
    <x:row r="126" ht="28" customHeight="1">
      <x:c r="A126" s="10" t="str">
        <x:v>NEW BRIOCHE</x:v>
      </x:c>
      <x:c r="B126" s="12" t="str">
        <x:v>yeast</x:v>
      </x:c>
      <x:c r="C126" s="12" t="n">
        <x:v>140</x:v>
      </x:c>
      <x:c r="D126" s="14" t="n">
        <x:v>140</x:v>
      </x:c>
      <x:c r="E126" s="25" t="str">
        <x:v>P9</x:v>
      </x:c>
      <x:c r="F126" s="23" t="n">
        <x:f>Prices!E12</x:f>
        <x:v>2.8</x:v>
      </x:c>
      <x:c r="G126" s="27" t="n">
        <x:f>IF(AND(ISNUMBER(D126),ISNUMBER(F126)),D126*F126,"n.a.")</x:f>
        <x:v>392</x:v>
      </x:c>
      <x:c r="H126" s="29" t="n">
        <x:v>1</x:v>
      </x:c>
      <x:c r="I126" s="29" t="n">
        <x:f>IF(H126=0,0,IF(ISNUMBER(D126),D126*H126,"n.a."))</x:f>
        <x:v>140</x:v>
      </x:c>
      <x:c r="J126" s="29" t="n">
        <x:f>IF(ISNUMBER(G126),0,1)</x:f>
        <x:v>0</x:v>
      </x:c>
      <x:c r="K126" s="12" t="str">
        <x:v>'NEW BRIOCHE'!C12:D12</x:v>
      </x:c>
      <x:c r="L126" s="12" t="str"/>
    </x:row>
    <x:row r="127" ht="28" customHeight="1">
      <x:c r="A127" s="2" t="str">
        <x:v>NEW BRIOCHE</x:v>
      </x:c>
      <x:c r="B127" s="11" t="str">
        <x:v>water</x:v>
      </x:c>
      <x:c r="C127" s="11" t="n">
        <x:v>1500</x:v>
      </x:c>
      <x:c r="D127" s="13" t="n">
        <x:v>1500</x:v>
      </x:c>
      <x:c r="E127" s="24" t="str">
        <x:v>P16</x:v>
      </x:c>
      <x:c r="F127" s="22" t="n">
        <x:f>Prices!E19</x:f>
        <x:v>0.0001</x:v>
      </x:c>
      <x:c r="G127" s="26" t="n">
        <x:f>IF(AND(ISNUMBER(D127),ISNUMBER(F127)),D127*F127,"n.a.")</x:f>
        <x:v>0.15</x:v>
      </x:c>
      <x:c r="H127" s="28" t="n">
        <x:v>1</x:v>
      </x:c>
      <x:c r="I127" s="28" t="n">
        <x:f>IF(H127=0,0,IF(ISNUMBER(D127),D127*H127,"n.a."))</x:f>
        <x:v>1500</x:v>
      </x:c>
      <x:c r="J127" s="28" t="n">
        <x:f>IF(ISNUMBER(G127),0,1)</x:f>
        <x:v>0</x:v>
      </x:c>
      <x:c r="K127" s="11" t="str">
        <x:v>'NEW BRIOCHE'!C13:D13</x:v>
      </x:c>
      <x:c r="L127" s="11" t="str"/>
    </x:row>
    <x:row r="128" ht="28" customHeight="1">
      <x:c r="A128" s="10" t="str">
        <x:v>NEW BRIOCHE</x:v>
      </x:c>
      <x:c r="B128" s="12" t="str">
        <x:v>Milk tantalizer</x:v>
      </x:c>
      <x:c r="C128" s="12" t="n">
        <x:v>8</x:v>
      </x:c>
      <x:c r="D128" s="14" t="n">
        <x:v>8</x:v>
      </x:c>
      <x:c r="E128" s="25" t="str">
        <x:v>P18</x:v>
      </x:c>
      <x:c r="F128" s="23" t="n">
        <x:f>Prices!E21</x:f>
        <x:v>11.25</x:v>
      </x:c>
      <x:c r="G128" s="27" t="n">
        <x:f>IF(AND(ISNUMBER(D128),ISNUMBER(F128)),D128*F128,"n.a.")</x:f>
        <x:v>90</x:v>
      </x:c>
      <x:c r="H128" s="29" t="n">
        <x:v>1</x:v>
      </x:c>
      <x:c r="I128" s="29" t="n">
        <x:f>IF(H128=0,0,IF(ISNUMBER(D128),D128*H128,"n.a."))</x:f>
        <x:v>8</x:v>
      </x:c>
      <x:c r="J128" s="29" t="n">
        <x:f>IF(ISNUMBER(G128),0,1)</x:f>
        <x:v>0</x:v>
      </x:c>
      <x:c r="K128" s="12" t="str">
        <x:v>'NEW BRIOCHE'!C14:D14</x:v>
      </x:c>
      <x:c r="L128" s="12" t="str"/>
    </x:row>
    <x:row r="129" ht="28" customHeight="1">
      <x:c r="A129" s="2" t="str">
        <x:v>NEW BRIOCHE</x:v>
      </x:c>
      <x:c r="B129" s="11" t="str">
        <x:v>EDC</x:v>
      </x:c>
      <x:c r="C129" s="11" t="n">
        <x:v>25</x:v>
      </x:c>
      <x:c r="D129" s="13" t="n">
        <x:v>25</x:v>
      </x:c>
      <x:c r="E129" s="24" t="str">
        <x:v>P19</x:v>
      </x:c>
      <x:c r="F129" s="22" t="n">
        <x:f>Prices!E22</x:f>
        <x:v>3</x:v>
      </x:c>
      <x:c r="G129" s="26" t="n">
        <x:f>IF(AND(ISNUMBER(D129),ISNUMBER(F129)),D129*F129,"n.a.")</x:f>
        <x:v>75</x:v>
      </x:c>
      <x:c r="H129" s="28" t="n">
        <x:v>1</x:v>
      </x:c>
      <x:c r="I129" s="28" t="n">
        <x:f>IF(H129=0,0,IF(ISNUMBER(D129),D129*H129,"n.a."))</x:f>
        <x:v>25</x:v>
      </x:c>
      <x:c r="J129" s="28" t="n">
        <x:f>IF(ISNUMBER(G129),0,1)</x:f>
        <x:v>0</x:v>
      </x:c>
      <x:c r="K129" s="11" t="str">
        <x:v>'NEW BRIOCHE'!C15:D15</x:v>
      </x:c>
      <x:c r="L129" s="11" t="str"/>
    </x:row>
    <x:row r="130" ht="28" customHeight="1">
      <x:c r="A130" s="10" t="str">
        <x:v>Brioche Professionel</x:v>
      </x:c>
      <x:c r="B130" s="12" t="str">
        <x:v>flour</x:v>
      </x:c>
      <x:c r="C130" s="12" t="n">
        <x:v>6000</x:v>
      </x:c>
      <x:c r="D130" s="14" t="n">
        <x:v>6000</x:v>
      </x:c>
      <x:c r="E130" s="25" t="str">
        <x:v>P4</x:v>
      </x:c>
      <x:c r="F130" s="23" t="n">
        <x:f>Prices!E7</x:f>
        <x:v>0.42</x:v>
      </x:c>
      <x:c r="G130" s="27" t="n">
        <x:f>IF(AND(ISNUMBER(D130),ISNUMBER(F130)),D130*F130,"n.a.")</x:f>
        <x:v>2520</x:v>
      </x:c>
      <x:c r="H130" s="29" t="n">
        <x:v>1</x:v>
      </x:c>
      <x:c r="I130" s="29" t="n">
        <x:f>IF(H130=0,0,IF(ISNUMBER(D130),D130*H130,"n.a."))</x:f>
        <x:v>6000</x:v>
      </x:c>
      <x:c r="J130" s="29" t="n">
        <x:f>IF(ISNUMBER(G130),0,1)</x:f>
        <x:v>0</x:v>
      </x:c>
      <x:c r="K130" s="12" t="str">
        <x:v>'Brioche Professionel'!C5:D5</x:v>
      </x:c>
      <x:c r="L130" s="12" t="str"/>
    </x:row>
    <x:row r="131" ht="28" customHeight="1">
      <x:c r="A131" s="2" t="str">
        <x:v>Brioche Professionel</x:v>
      </x:c>
      <x:c r="B131" s="11" t="str">
        <x:v>Butter</x:v>
      </x:c>
      <x:c r="C131" s="11" t="n">
        <x:v>1800</x:v>
      </x:c>
      <x:c r="D131" s="13" t="n">
        <x:v>1800</x:v>
      </x:c>
      <x:c r="E131" s="24" t="str">
        <x:v>P7</x:v>
      </x:c>
      <x:c r="F131" s="22" t="n">
        <x:f>Prices!E10</x:f>
        <x:v>1.263157894736842</x:v>
      </x:c>
      <x:c r="G131" s="26" t="n">
        <x:f>IF(AND(ISNUMBER(D131),ISNUMBER(F131)),D131*F131,"n.a.")</x:f>
        <x:v>2273.684210526316</x:v>
      </x:c>
      <x:c r="H131" s="28" t="n">
        <x:v>1</x:v>
      </x:c>
      <x:c r="I131" s="28" t="n">
        <x:f>IF(H131=0,0,IF(ISNUMBER(D131),D131*H131,"n.a."))</x:f>
        <x:v>1800</x:v>
      </x:c>
      <x:c r="J131" s="28" t="n">
        <x:f>IF(ISNUMBER(G131),0,1)</x:f>
        <x:v>0</x:v>
      </x:c>
      <x:c r="K131" s="11" t="str">
        <x:v>'Brioche Professionel'!C6:D6</x:v>
      </x:c>
      <x:c r="L131" s="11" t="str"/>
    </x:row>
    <x:row r="132" ht="28" customHeight="1">
      <x:c r="A132" s="10" t="str">
        <x:v>Brioche Professionel</x:v>
      </x:c>
      <x:c r="B132" s="12" t="str">
        <x:v>sugar</x:v>
      </x:c>
      <x:c r="C132" s="12" t="n">
        <x:v>800</x:v>
      </x:c>
      <x:c r="D132" s="14" t="n">
        <x:v>800</x:v>
      </x:c>
      <x:c r="E132" s="25" t="str">
        <x:v>P5</x:v>
      </x:c>
      <x:c r="F132" s="23" t="n">
        <x:f>Prices!E8</x:f>
        <x:v>0.64</x:v>
      </x:c>
      <x:c r="G132" s="27" t="n">
        <x:f>IF(AND(ISNUMBER(D132),ISNUMBER(F132)),D132*F132,"n.a.")</x:f>
        <x:v>512</x:v>
      </x:c>
      <x:c r="H132" s="29" t="n">
        <x:v>1</x:v>
      </x:c>
      <x:c r="I132" s="29" t="n">
        <x:f>IF(H132=0,0,IF(ISNUMBER(D132),D132*H132,"n.a."))</x:f>
        <x:v>800</x:v>
      </x:c>
      <x:c r="J132" s="29" t="n">
        <x:f>IF(ISNUMBER(G132),0,1)</x:f>
        <x:v>0</x:v>
      </x:c>
      <x:c r="K132" s="12" t="str">
        <x:v>'Brioche Professionel'!C7:D7</x:v>
      </x:c>
      <x:c r="L132" s="12" t="str"/>
    </x:row>
    <x:row r="133" ht="28" customHeight="1">
      <x:c r="A133" s="2" t="str">
        <x:v>Brioche Professionel</x:v>
      </x:c>
      <x:c r="B133" s="11" t="str">
        <x:v>CONC MILK</x:v>
      </x:c>
      <x:c r="C133" s="11" t="n">
        <x:v>1000</x:v>
      </x:c>
      <x:c r="D133" s="13" t="n">
        <x:v>1000</x:v>
      </x:c>
      <x:c r="E133" s="24" t="str">
        <x:v>P15</x:v>
      </x:c>
      <x:c r="F133" s="22" t="n">
        <x:f>Prices!E18</x:f>
        <x:v>1.17</x:v>
      </x:c>
      <x:c r="G133" s="26" t="n">
        <x:f>IF(AND(ISNUMBER(D133),ISNUMBER(F133)),D133*F133,"n.a.")</x:f>
        <x:v>1170</x:v>
      </x:c>
      <x:c r="H133" s="28" t="n">
        <x:v>1</x:v>
      </x:c>
      <x:c r="I133" s="28" t="n">
        <x:f>IF(H133=0,0,IF(ISNUMBER(D133),D133*H133,"n.a."))</x:f>
        <x:v>1000</x:v>
      </x:c>
      <x:c r="J133" s="28" t="n">
        <x:f>IF(ISNUMBER(G133),0,1)</x:f>
        <x:v>0</x:v>
      </x:c>
      <x:c r="K133" s="11" t="str">
        <x:v>'Brioche Professionel'!C8:D8</x:v>
      </x:c>
      <x:c r="L133" s="11" t="str">
        <x:v>Generic milk price used provisionally for condensed milk; confirm identity.</x:v>
      </x:c>
    </x:row>
    <x:row r="134" ht="28" customHeight="1">
      <x:c r="A134" s="10" t="str">
        <x:v>Brioche Professionel</x:v>
      </x:c>
      <x:c r="B134" s="12" t="str">
        <x:v>egg</x:v>
      </x:c>
      <x:c r="C134" s="12" t="n">
        <x:v>800</x:v>
      </x:c>
      <x:c r="D134" s="14" t="n">
        <x:v>800</x:v>
      </x:c>
      <x:c r="E134" s="25" t="str">
        <x:v>P13</x:v>
      </x:c>
      <x:c r="F134" s="23" t="n">
        <x:f>Prices!E16</x:f>
        <x:v>1.3333333333333333</x:v>
      </x:c>
      <x:c r="G134" s="27" t="n">
        <x:f>IF(AND(ISNUMBER(D134),ISNUMBER(F134)),D134*F134,"n.a.")</x:f>
        <x:v>1066.6666666666665</x:v>
      </x:c>
      <x:c r="H134" s="29" t="n">
        <x:v>1</x:v>
      </x:c>
      <x:c r="I134" s="29" t="n">
        <x:f>IF(H134=0,0,IF(ISNUMBER(D134),D134*H134,"n.a."))</x:f>
        <x:v>800</x:v>
      </x:c>
      <x:c r="J134" s="29" t="n">
        <x:f>IF(ISNUMBER(G134),0,1)</x:f>
        <x:v>0</x:v>
      </x:c>
      <x:c r="K134" s="12" t="str">
        <x:v>'Brioche Professionel'!C9:D9</x:v>
      </x:c>
      <x:c r="L134" s="12" t="str"/>
    </x:row>
    <x:row r="135" ht="28" customHeight="1">
      <x:c r="A135" s="2" t="str">
        <x:v>Brioche Professionel</x:v>
      </x:c>
      <x:c r="B135" s="11" t="str">
        <x:v>salt</x:v>
      </x:c>
      <x:c r="C135" s="11" t="n">
        <x:v>60</x:v>
      </x:c>
      <x:c r="D135" s="13" t="n">
        <x:v>60</x:v>
      </x:c>
      <x:c r="E135" s="24" t="str">
        <x:v>P6</x:v>
      </x:c>
      <x:c r="F135" s="22" t="n">
        <x:f>Prices!E9</x:f>
        <x:v>0.20555555555555555</x:v>
      </x:c>
      <x:c r="G135" s="26" t="n">
        <x:f>IF(AND(ISNUMBER(D135),ISNUMBER(F135)),D135*F135,"n.a.")</x:f>
        <x:v>12.333333333333332</x:v>
      </x:c>
      <x:c r="H135" s="28" t="n">
        <x:v>1</x:v>
      </x:c>
      <x:c r="I135" s="28" t="n">
        <x:f>IF(H135=0,0,IF(ISNUMBER(D135),D135*H135,"n.a."))</x:f>
        <x:v>60</x:v>
      </x:c>
      <x:c r="J135" s="28" t="n">
        <x:f>IF(ISNUMBER(G135),0,1)</x:f>
        <x:v>0</x:v>
      </x:c>
      <x:c r="K135" s="11" t="str">
        <x:v>'Brioche Professionel'!C10:D10</x:v>
      </x:c>
      <x:c r="L135" s="11" t="str"/>
    </x:row>
    <x:row r="136" ht="28" customHeight="1">
      <x:c r="A136" s="10" t="str">
        <x:v>Brioche Professionel</x:v>
      </x:c>
      <x:c r="B136" s="12" t="str">
        <x:v>improver</x:v>
      </x:c>
      <x:c r="C136" s="12" t="n">
        <x:v>100</x:v>
      </x:c>
      <x:c r="D136" s="14" t="n">
        <x:v>100</x:v>
      </x:c>
      <x:c r="E136" s="25" t="str">
        <x:v>P12</x:v>
      </x:c>
      <x:c r="F136" s="23" t="n">
        <x:f>Prices!E15</x:f>
        <x:v>2.8</x:v>
      </x:c>
      <x:c r="G136" s="27" t="n">
        <x:f>IF(AND(ISNUMBER(D136),ISNUMBER(F136)),D136*F136,"n.a.")</x:f>
        <x:v>280</x:v>
      </x:c>
      <x:c r="H136" s="29" t="n">
        <x:v>1</x:v>
      </x:c>
      <x:c r="I136" s="29" t="n">
        <x:f>IF(H136=0,0,IF(ISNUMBER(D136),D136*H136,"n.a."))</x:f>
        <x:v>100</x:v>
      </x:c>
      <x:c r="J136" s="29" t="n">
        <x:f>IF(ISNUMBER(G136),0,1)</x:f>
        <x:v>0</x:v>
      </x:c>
      <x:c r="K136" s="12" t="str">
        <x:v>'Brioche Professionel'!C11:D11</x:v>
      </x:c>
      <x:c r="L136" s="12" t="str"/>
    </x:row>
    <x:row r="137" ht="28" customHeight="1">
      <x:c r="A137" s="2" t="str">
        <x:v>Brioche Professionel</x:v>
      </x:c>
      <x:c r="B137" s="11" t="str">
        <x:v>yeast</x:v>
      </x:c>
      <x:c r="C137" s="11" t="n">
        <x:v>120</x:v>
      </x:c>
      <x:c r="D137" s="13" t="n">
        <x:v>120</x:v>
      </x:c>
      <x:c r="E137" s="24" t="str">
        <x:v>P9</x:v>
      </x:c>
      <x:c r="F137" s="22" t="n">
        <x:f>Prices!E12</x:f>
        <x:v>2.8</x:v>
      </x:c>
      <x:c r="G137" s="26" t="n">
        <x:f>IF(AND(ISNUMBER(D137),ISNUMBER(F137)),D137*F137,"n.a.")</x:f>
        <x:v>336</x:v>
      </x:c>
      <x:c r="H137" s="28" t="n">
        <x:v>1</x:v>
      </x:c>
      <x:c r="I137" s="28" t="n">
        <x:f>IF(H137=0,0,IF(ISNUMBER(D137),D137*H137,"n.a."))</x:f>
        <x:v>120</x:v>
      </x:c>
      <x:c r="J137" s="28" t="n">
        <x:f>IF(ISNUMBER(G137),0,1)</x:f>
        <x:v>0</x:v>
      </x:c>
      <x:c r="K137" s="11" t="str">
        <x:v>'Brioche Professionel'!C12:D12</x:v>
      </x:c>
      <x:c r="L137" s="11" t="str"/>
    </x:row>
    <x:row r="138" ht="28" customHeight="1">
      <x:c r="A138" s="10" t="str">
        <x:v>Brioche Professionel</x:v>
      </x:c>
      <x:c r="B138" s="12" t="str">
        <x:v>Nutmeg</x:v>
      </x:c>
      <x:c r="C138" s="12" t="n">
        <x:v>70</x:v>
      </x:c>
      <x:c r="D138" s="14" t="n">
        <x:v>70</x:v>
      </x:c>
      <x:c r="E138" s="25" t="str">
        <x:v>P14</x:v>
      </x:c>
      <x:c r="F138" s="23" t="n">
        <x:f>Prices!E17</x:f>
        <x:v>9</x:v>
      </x:c>
      <x:c r="G138" s="27" t="n">
        <x:f>IF(AND(ISNUMBER(D138),ISNUMBER(F138)),D138*F138,"n.a.")</x:f>
        <x:v>630</x:v>
      </x:c>
      <x:c r="H138" s="29" t="n">
        <x:v>1</x:v>
      </x:c>
      <x:c r="I138" s="29" t="n">
        <x:f>IF(H138=0,0,IF(ISNUMBER(D138),D138*H138,"n.a."))</x:f>
        <x:v>70</x:v>
      </x:c>
      <x:c r="J138" s="29" t="n">
        <x:f>IF(ISNUMBER(G138),0,1)</x:f>
        <x:v>0</x:v>
      </x:c>
      <x:c r="K138" s="12" t="str">
        <x:v>'Brioche Professionel'!C13:D13</x:v>
      </x:c>
      <x:c r="L138" s="12" t="str"/>
    </x:row>
    <x:row r="139" ht="28" customHeight="1">
      <x:c r="A139" s="2" t="str">
        <x:v>professinal Buns</x:v>
      </x:c>
      <x:c r="B139" s="11" t="str">
        <x:v>flour</x:v>
      </x:c>
      <x:c r="C139" s="11" t="n">
        <x:v>10000</x:v>
      </x:c>
      <x:c r="D139" s="13" t="n">
        <x:v>10000</x:v>
      </x:c>
      <x:c r="E139" s="24" t="str">
        <x:v>P4</x:v>
      </x:c>
      <x:c r="F139" s="22" t="n">
        <x:f>Prices!E7</x:f>
        <x:v>0.42</x:v>
      </x:c>
      <x:c r="G139" s="26" t="n">
        <x:f>IF(AND(ISNUMBER(D139),ISNUMBER(F139)),D139*F139,"n.a.")</x:f>
        <x:v>4200</x:v>
      </x:c>
      <x:c r="H139" s="28" t="n">
        <x:v>1</x:v>
      </x:c>
      <x:c r="I139" s="28" t="n">
        <x:f>IF(H139=0,0,IF(ISNUMBER(D139),D139*H139,"n.a."))</x:f>
        <x:v>10000</x:v>
      </x:c>
      <x:c r="J139" s="28" t="n">
        <x:f>IF(ISNUMBER(G139),0,1)</x:f>
        <x:v>0</x:v>
      </x:c>
      <x:c r="K139" s="11" t="str">
        <x:v>'professinal Buns'!C5:D5</x:v>
      </x:c>
      <x:c r="L139" s="11" t="str"/>
    </x:row>
    <x:row r="140" ht="28" customHeight="1">
      <x:c r="A140" s="10" t="str">
        <x:v>professinal Buns</x:v>
      </x:c>
      <x:c r="B140" s="12" t="str">
        <x:v>Butter</x:v>
      </x:c>
      <x:c r="C140" s="12" t="n">
        <x:v>1000</x:v>
      </x:c>
      <x:c r="D140" s="14" t="n">
        <x:v>1000</x:v>
      </x:c>
      <x:c r="E140" s="25" t="str">
        <x:v>P7</x:v>
      </x:c>
      <x:c r="F140" s="23" t="n">
        <x:f>Prices!E10</x:f>
        <x:v>1.263157894736842</x:v>
      </x:c>
      <x:c r="G140" s="27" t="n">
        <x:f>IF(AND(ISNUMBER(D140),ISNUMBER(F140)),D140*F140,"n.a.")</x:f>
        <x:v>1263.157894736842</x:v>
      </x:c>
      <x:c r="H140" s="29" t="n">
        <x:v>1</x:v>
      </x:c>
      <x:c r="I140" s="29" t="n">
        <x:f>IF(H140=0,0,IF(ISNUMBER(D140),D140*H140,"n.a."))</x:f>
        <x:v>1000</x:v>
      </x:c>
      <x:c r="J140" s="29" t="n">
        <x:f>IF(ISNUMBER(G140),0,1)</x:f>
        <x:v>0</x:v>
      </x:c>
      <x:c r="K140" s="12" t="str">
        <x:v>'professinal Buns'!C6:D6</x:v>
      </x:c>
      <x:c r="L140" s="12" t="str"/>
    </x:row>
    <x:row r="141" ht="28" customHeight="1">
      <x:c r="A141" s="2" t="str">
        <x:v>professinal Buns</x:v>
      </x:c>
      <x:c r="B141" s="11" t="str">
        <x:v>sugar</x:v>
      </x:c>
      <x:c r="C141" s="11" t="n">
        <x:v>800</x:v>
      </x:c>
      <x:c r="D141" s="13" t="n">
        <x:v>800</x:v>
      </x:c>
      <x:c r="E141" s="24" t="str">
        <x:v>P5</x:v>
      </x:c>
      <x:c r="F141" s="22" t="n">
        <x:f>Prices!E8</x:f>
        <x:v>0.64</x:v>
      </x:c>
      <x:c r="G141" s="26" t="n">
        <x:f>IF(AND(ISNUMBER(D141),ISNUMBER(F141)),D141*F141,"n.a.")</x:f>
        <x:v>512</x:v>
      </x:c>
      <x:c r="H141" s="28" t="n">
        <x:v>1</x:v>
      </x:c>
      <x:c r="I141" s="28" t="n">
        <x:f>IF(H141=0,0,IF(ISNUMBER(D141),D141*H141,"n.a."))</x:f>
        <x:v>800</x:v>
      </x:c>
      <x:c r="J141" s="28" t="n">
        <x:f>IF(ISNUMBER(G141),0,1)</x:f>
        <x:v>0</x:v>
      </x:c>
      <x:c r="K141" s="11" t="str">
        <x:v>'professinal Buns'!C7:D7</x:v>
      </x:c>
      <x:c r="L141" s="11" t="str"/>
    </x:row>
    <x:row r="142" ht="28" customHeight="1">
      <x:c r="A142" s="10" t="str">
        <x:v>professinal Buns</x:v>
      </x:c>
      <x:c r="B142" s="12" t="str">
        <x:v>CONC MILK</x:v>
      </x:c>
      <x:c r="C142" s="12" t="n">
        <x:v>700</x:v>
      </x:c>
      <x:c r="D142" s="14" t="n">
        <x:v>700</x:v>
      </x:c>
      <x:c r="E142" s="25" t="str">
        <x:v>P15</x:v>
      </x:c>
      <x:c r="F142" s="23" t="n">
        <x:f>Prices!E18</x:f>
        <x:v>1.17</x:v>
      </x:c>
      <x:c r="G142" s="27" t="n">
        <x:f>IF(AND(ISNUMBER(D142),ISNUMBER(F142)),D142*F142,"n.a.")</x:f>
        <x:v>819</x:v>
      </x:c>
      <x:c r="H142" s="29" t="n">
        <x:v>1</x:v>
      </x:c>
      <x:c r="I142" s="29" t="n">
        <x:f>IF(H142=0,0,IF(ISNUMBER(D142),D142*H142,"n.a."))</x:f>
        <x:v>700</x:v>
      </x:c>
      <x:c r="J142" s="29" t="n">
        <x:f>IF(ISNUMBER(G142),0,1)</x:f>
        <x:v>0</x:v>
      </x:c>
      <x:c r="K142" s="12" t="str">
        <x:v>'professinal Buns'!C8:D8</x:v>
      </x:c>
      <x:c r="L142" s="12" t="str">
        <x:v>Generic milk price used provisionally for condensed milk; confirm identity.</x:v>
      </x:c>
    </x:row>
    <x:row r="143" ht="28" customHeight="1">
      <x:c r="A143" s="2" t="str">
        <x:v>professinal Buns</x:v>
      </x:c>
      <x:c r="B143" s="11" t="str">
        <x:v>egg</x:v>
      </x:c>
      <x:c r="C143" s="11" t="n">
        <x:v>400</x:v>
      </x:c>
      <x:c r="D143" s="13" t="n">
        <x:v>400</x:v>
      </x:c>
      <x:c r="E143" s="24" t="str">
        <x:v>P13</x:v>
      </x:c>
      <x:c r="F143" s="22" t="n">
        <x:f>Prices!E16</x:f>
        <x:v>1.3333333333333333</x:v>
      </x:c>
      <x:c r="G143" s="26" t="n">
        <x:f>IF(AND(ISNUMBER(D143),ISNUMBER(F143)),D143*F143,"n.a.")</x:f>
        <x:v>533.3333333333333</x:v>
      </x:c>
      <x:c r="H143" s="28" t="n">
        <x:v>1</x:v>
      </x:c>
      <x:c r="I143" s="28" t="n">
        <x:f>IF(H143=0,0,IF(ISNUMBER(D143),D143*H143,"n.a."))</x:f>
        <x:v>400</x:v>
      </x:c>
      <x:c r="J143" s="28" t="n">
        <x:f>IF(ISNUMBER(G143),0,1)</x:f>
        <x:v>0</x:v>
      </x:c>
      <x:c r="K143" s="11" t="str">
        <x:v>'professinal Buns'!C9:D9</x:v>
      </x:c>
      <x:c r="L143" s="11" t="str"/>
    </x:row>
    <x:row r="144" ht="28" customHeight="1">
      <x:c r="A144" s="10" t="str">
        <x:v>professinal Buns</x:v>
      </x:c>
      <x:c r="B144" s="12" t="str">
        <x:v>salt</x:v>
      </x:c>
      <x:c r="C144" s="12" t="n">
        <x:v>70</x:v>
      </x:c>
      <x:c r="D144" s="14" t="n">
        <x:v>70</x:v>
      </x:c>
      <x:c r="E144" s="25" t="str">
        <x:v>P6</x:v>
      </x:c>
      <x:c r="F144" s="23" t="n">
        <x:f>Prices!E9</x:f>
        <x:v>0.20555555555555555</x:v>
      </x:c>
      <x:c r="G144" s="27" t="n">
        <x:f>IF(AND(ISNUMBER(D144),ISNUMBER(F144)),D144*F144,"n.a.")</x:f>
        <x:v>14.388888888888888</x:v>
      </x:c>
      <x:c r="H144" s="29" t="n">
        <x:v>1</x:v>
      </x:c>
      <x:c r="I144" s="29" t="n">
        <x:f>IF(H144=0,0,IF(ISNUMBER(D144),D144*H144,"n.a."))</x:f>
        <x:v>70</x:v>
      </x:c>
      <x:c r="J144" s="29" t="n">
        <x:f>IF(ISNUMBER(G144),0,1)</x:f>
        <x:v>0</x:v>
      </x:c>
      <x:c r="K144" s="12" t="str">
        <x:v>'professinal Buns'!C10:D10</x:v>
      </x:c>
      <x:c r="L144" s="12" t="str"/>
    </x:row>
    <x:row r="145" ht="28" customHeight="1">
      <x:c r="A145" s="2" t="str">
        <x:v>professinal Buns</x:v>
      </x:c>
      <x:c r="B145" s="11" t="str">
        <x:v>improver</x:v>
      </x:c>
      <x:c r="C145" s="11" t="n">
        <x:v>100</x:v>
      </x:c>
      <x:c r="D145" s="13" t="n">
        <x:v>100</x:v>
      </x:c>
      <x:c r="E145" s="24" t="str">
        <x:v>P12</x:v>
      </x:c>
      <x:c r="F145" s="22" t="n">
        <x:f>Prices!E15</x:f>
        <x:v>2.8</x:v>
      </x:c>
      <x:c r="G145" s="26" t="n">
        <x:f>IF(AND(ISNUMBER(D145),ISNUMBER(F145)),D145*F145,"n.a.")</x:f>
        <x:v>280</x:v>
      </x:c>
      <x:c r="H145" s="28" t="n">
        <x:v>1</x:v>
      </x:c>
      <x:c r="I145" s="28" t="n">
        <x:f>IF(H145=0,0,IF(ISNUMBER(D145),D145*H145,"n.a."))</x:f>
        <x:v>100</x:v>
      </x:c>
      <x:c r="J145" s="28" t="n">
        <x:f>IF(ISNUMBER(G145),0,1)</x:f>
        <x:v>0</x:v>
      </x:c>
      <x:c r="K145" s="11" t="str">
        <x:v>'professinal Buns'!C11:D11</x:v>
      </x:c>
      <x:c r="L145" s="11" t="str"/>
    </x:row>
    <x:row r="146" ht="28" customHeight="1">
      <x:c r="A146" s="10" t="str">
        <x:v>professinal Buns</x:v>
      </x:c>
      <x:c r="B146" s="12" t="str">
        <x:v>yeast</x:v>
      </x:c>
      <x:c r="C146" s="12" t="n">
        <x:v>110</x:v>
      </x:c>
      <x:c r="D146" s="14" t="n">
        <x:v>110</x:v>
      </x:c>
      <x:c r="E146" s="25" t="str">
        <x:v>P9</x:v>
      </x:c>
      <x:c r="F146" s="23" t="n">
        <x:f>Prices!E12</x:f>
        <x:v>2.8</x:v>
      </x:c>
      <x:c r="G146" s="27" t="n">
        <x:f>IF(AND(ISNUMBER(D146),ISNUMBER(F146)),D146*F146,"n.a.")</x:f>
        <x:v>308</x:v>
      </x:c>
      <x:c r="H146" s="29" t="n">
        <x:v>1</x:v>
      </x:c>
      <x:c r="I146" s="29" t="n">
        <x:f>IF(H146=0,0,IF(ISNUMBER(D146),D146*H146,"n.a."))</x:f>
        <x:v>110</x:v>
      </x:c>
      <x:c r="J146" s="29" t="n">
        <x:f>IF(ISNUMBER(G146),0,1)</x:f>
        <x:v>0</x:v>
      </x:c>
      <x:c r="K146" s="12" t="str">
        <x:v>'professinal Buns'!C12:D12</x:v>
      </x:c>
      <x:c r="L146" s="12" t="str"/>
    </x:row>
    <x:row r="147" ht="28" customHeight="1">
      <x:c r="A147" s="2" t="str">
        <x:v>professinal Buns</x:v>
      </x:c>
      <x:c r="B147" s="11" t="str">
        <x:v>water</x:v>
      </x:c>
      <x:c r="C147" s="11" t="n">
        <x:v>300</x:v>
      </x:c>
      <x:c r="D147" s="13" t="n">
        <x:v>300</x:v>
      </x:c>
      <x:c r="E147" s="24" t="str">
        <x:v>P16</x:v>
      </x:c>
      <x:c r="F147" s="22" t="n">
        <x:f>Prices!E19</x:f>
        <x:v>0.0001</x:v>
      </x:c>
      <x:c r="G147" s="26" t="n">
        <x:f>IF(AND(ISNUMBER(D147),ISNUMBER(F147)),D147*F147,"n.a.")</x:f>
        <x:v>0.030000000000000002</x:v>
      </x:c>
      <x:c r="H147" s="28" t="n">
        <x:v>1</x:v>
      </x:c>
      <x:c r="I147" s="28" t="n">
        <x:f>IF(H147=0,0,IF(ISNUMBER(D147),D147*H147,"n.a."))</x:f>
        <x:v>300</x:v>
      </x:c>
      <x:c r="J147" s="28" t="n">
        <x:f>IF(ISNUMBER(G147),0,1)</x:f>
        <x:v>0</x:v>
      </x:c>
      <x:c r="K147" s="11" t="str">
        <x:v>'professinal Buns'!C13:D13</x:v>
      </x:c>
      <x:c r="L147" s="11" t="str"/>
    </x:row>
    <x:row r="148" ht="28" customHeight="1">
      <x:c r="A148" s="10" t="str">
        <x:v>professinal Buns</x:v>
      </x:c>
      <x:c r="B148" s="12" t="str">
        <x:v>EDC</x:v>
      </x:c>
      <x:c r="C148" s="12" t="n">
        <x:v>25</x:v>
      </x:c>
      <x:c r="D148" s="14" t="n">
        <x:v>25</x:v>
      </x:c>
      <x:c r="E148" s="25" t="str">
        <x:v>P19</x:v>
      </x:c>
      <x:c r="F148" s="23" t="n">
        <x:f>Prices!E22</x:f>
        <x:v>3</x:v>
      </x:c>
      <x:c r="G148" s="27" t="n">
        <x:f>IF(AND(ISNUMBER(D148),ISNUMBER(F148)),D148*F148,"n.a.")</x:f>
        <x:v>75</x:v>
      </x:c>
      <x:c r="H148" s="29" t="n">
        <x:v>1</x:v>
      </x:c>
      <x:c r="I148" s="29" t="n">
        <x:f>IF(H148=0,0,IF(ISNUMBER(D148),D148*H148,"n.a."))</x:f>
        <x:v>25</x:v>
      </x:c>
      <x:c r="J148" s="29" t="n">
        <x:f>IF(ISNUMBER(G148),0,1)</x:f>
        <x:v>0</x:v>
      </x:c>
      <x:c r="K148" s="12" t="str">
        <x:v>'professinal Buns'!C14:D14</x:v>
      </x:c>
      <x:c r="L148" s="12" t="str"/>
    </x:row>
    <x:row r="149" ht="28" customHeight="1">
      <x:c r="A149" s="2" t="str">
        <x:v>professinal Buns</x:v>
      </x:c>
      <x:c r="B149" s="11" t="str">
        <x:v>Milk tantalizer</x:v>
      </x:c>
      <x:c r="C149" s="11" t="n">
        <x:v>50</x:v>
      </x:c>
      <x:c r="D149" s="13" t="n">
        <x:v>50</x:v>
      </x:c>
      <x:c r="E149" s="24" t="str">
        <x:v>P18</x:v>
      </x:c>
      <x:c r="F149" s="22" t="n">
        <x:f>Prices!E21</x:f>
        <x:v>11.25</x:v>
      </x:c>
      <x:c r="G149" s="26" t="n">
        <x:f>IF(AND(ISNUMBER(D149),ISNUMBER(F149)),D149*F149,"n.a.")</x:f>
        <x:v>562.5</x:v>
      </x:c>
      <x:c r="H149" s="28" t="n">
        <x:v>1</x:v>
      </x:c>
      <x:c r="I149" s="28" t="n">
        <x:f>IF(H149=0,0,IF(ISNUMBER(D149),D149*H149,"n.a."))</x:f>
        <x:v>50</x:v>
      </x:c>
      <x:c r="J149" s="28" t="n">
        <x:f>IF(ISNUMBER(G149),0,1)</x:f>
        <x:v>0</x:v>
      </x:c>
      <x:c r="K149" s="11" t="str">
        <x:v>'professinal Buns'!C15:D15</x:v>
      </x:c>
      <x:c r="L149" s="11" t="str"/>
    </x:row>
    <x:row r="150" ht="28" customHeight="1">
      <x:c r="A150" s="10" t="str">
        <x:v>professinal Buns</x:v>
      </x:c>
      <x:c r="B150" s="12" t="str">
        <x:v>Oil</x:v>
      </x:c>
      <x:c r="C150" s="12" t="n">
        <x:v>300</x:v>
      </x:c>
      <x:c r="D150" s="14" t="n">
        <x:v>300</x:v>
      </x:c>
      <x:c r="E150" s="25" t="str">
        <x:v>P8</x:v>
      </x:c>
      <x:c r="F150" s="23" t="n">
        <x:f>Prices!E11</x:f>
        <x:v>1.22</x:v>
      </x:c>
      <x:c r="G150" s="27" t="n">
        <x:f>IF(AND(ISNUMBER(D150),ISNUMBER(F150)),D150*F150,"n.a.")</x:f>
        <x:v>366</x:v>
      </x:c>
      <x:c r="H150" s="29" t="n">
        <x:v>1</x:v>
      </x:c>
      <x:c r="I150" s="29" t="n">
        <x:f>IF(H150=0,0,IF(ISNUMBER(D150),D150*H150,"n.a."))</x:f>
        <x:v>300</x:v>
      </x:c>
      <x:c r="J150" s="29" t="n">
        <x:f>IF(ISNUMBER(G150),0,1)</x:f>
        <x:v>0</x:v>
      </x:c>
      <x:c r="K150" s="12" t="str">
        <x:v>'professinal Buns'!C16:D16</x:v>
      </x:c>
      <x:c r="L150" s="12" t="str"/>
    </x:row>
    <x:row r="151" ht="28" customHeight="1">
      <x:c r="A151" s="2" t="str">
        <x:v>professinal Buns</x:v>
      </x:c>
      <x:c r="B151" s="11" t="str">
        <x:v>Nutmeg</x:v>
      </x:c>
      <x:c r="C151" s="11" t="n">
        <x:v>50</x:v>
      </x:c>
      <x:c r="D151" s="13" t="n">
        <x:v>50</x:v>
      </x:c>
      <x:c r="E151" s="24" t="str">
        <x:v>P14</x:v>
      </x:c>
      <x:c r="F151" s="22" t="n">
        <x:f>Prices!E17</x:f>
        <x:v>9</x:v>
      </x:c>
      <x:c r="G151" s="26" t="n">
        <x:f>IF(AND(ISNUMBER(D151),ISNUMBER(F151)),D151*F151,"n.a.")</x:f>
        <x:v>450</x:v>
      </x:c>
      <x:c r="H151" s="28" t="n">
        <x:v>1</x:v>
      </x:c>
      <x:c r="I151" s="28" t="n">
        <x:f>IF(H151=0,0,IF(ISNUMBER(D151),D151*H151,"n.a."))</x:f>
        <x:v>50</x:v>
      </x:c>
      <x:c r="J151" s="28" t="n">
        <x:f>IF(ISNUMBER(G151),0,1)</x:f>
        <x:v>0</x:v>
      </x:c>
      <x:c r="K151" s="11" t="str">
        <x:v>'professinal Buns'!C17:D17</x:v>
      </x:c>
      <x:c r="L151" s="11" t="str"/>
    </x:row>
    <x:row r="152" ht="28" customHeight="1">
      <x:c r="A152" s="10" t="str">
        <x:v>brioche</x:v>
      </x:c>
      <x:c r="B152" s="12" t="str">
        <x:v>flour</x:v>
      </x:c>
      <x:c r="C152" s="12" t="n">
        <x:v>10000</x:v>
      </x:c>
      <x:c r="D152" s="14" t="n">
        <x:v>10000</x:v>
      </x:c>
      <x:c r="E152" s="25" t="str">
        <x:v>P4</x:v>
      </x:c>
      <x:c r="F152" s="23" t="n">
        <x:f>Prices!E7</x:f>
        <x:v>0.42</x:v>
      </x:c>
      <x:c r="G152" s="27" t="n">
        <x:f>IF(AND(ISNUMBER(D152),ISNUMBER(F152)),D152*F152,"n.a.")</x:f>
        <x:v>4200</x:v>
      </x:c>
      <x:c r="H152" s="29" t="n">
        <x:v>1</x:v>
      </x:c>
      <x:c r="I152" s="29" t="n">
        <x:f>IF(H152=0,0,IF(ISNUMBER(D152),D152*H152,"n.a."))</x:f>
        <x:v>10000</x:v>
      </x:c>
      <x:c r="J152" s="29" t="n">
        <x:f>IF(ISNUMBER(G152),0,1)</x:f>
        <x:v>0</x:v>
      </x:c>
      <x:c r="K152" s="12" t="str">
        <x:v>'brioche'!C5:D5</x:v>
      </x:c>
      <x:c r="L152" s="12" t="str"/>
    </x:row>
    <x:row r="153" ht="28" customHeight="1">
      <x:c r="A153" s="2" t="str">
        <x:v>brioche</x:v>
      </x:c>
      <x:c r="B153" s="11" t="str">
        <x:v>Butter</x:v>
      </x:c>
      <x:c r="C153" s="11" t="n">
        <x:v>2500</x:v>
      </x:c>
      <x:c r="D153" s="13" t="n">
        <x:v>2500</x:v>
      </x:c>
      <x:c r="E153" s="24" t="str">
        <x:v>P7</x:v>
      </x:c>
      <x:c r="F153" s="22" t="n">
        <x:f>Prices!E10</x:f>
        <x:v>1.263157894736842</x:v>
      </x:c>
      <x:c r="G153" s="26" t="n">
        <x:f>IF(AND(ISNUMBER(D153),ISNUMBER(F153)),D153*F153,"n.a.")</x:f>
        <x:v>3157.894736842105</x:v>
      </x:c>
      <x:c r="H153" s="28" t="n">
        <x:v>1</x:v>
      </x:c>
      <x:c r="I153" s="28" t="n">
        <x:f>IF(H153=0,0,IF(ISNUMBER(D153),D153*H153,"n.a."))</x:f>
        <x:v>2500</x:v>
      </x:c>
      <x:c r="J153" s="28" t="n">
        <x:f>IF(ISNUMBER(G153),0,1)</x:f>
        <x:v>0</x:v>
      </x:c>
      <x:c r="K153" s="11" t="str">
        <x:v>'brioche'!C6:D6</x:v>
      </x:c>
      <x:c r="L153" s="11" t="str"/>
    </x:row>
    <x:row r="154" ht="28" customHeight="1">
      <x:c r="A154" s="10" t="str">
        <x:v>brioche</x:v>
      </x:c>
      <x:c r="B154" s="12" t="str">
        <x:v>sugar</x:v>
      </x:c>
      <x:c r="C154" s="12" t="n">
        <x:v>1500</x:v>
      </x:c>
      <x:c r="D154" s="14" t="n">
        <x:v>1500</x:v>
      </x:c>
      <x:c r="E154" s="25" t="str">
        <x:v>P5</x:v>
      </x:c>
      <x:c r="F154" s="23" t="n">
        <x:f>Prices!E8</x:f>
        <x:v>0.64</x:v>
      </x:c>
      <x:c r="G154" s="27" t="n">
        <x:f>IF(AND(ISNUMBER(D154),ISNUMBER(F154)),D154*F154,"n.a.")</x:f>
        <x:v>960</x:v>
      </x:c>
      <x:c r="H154" s="29" t="n">
        <x:v>1</x:v>
      </x:c>
      <x:c r="I154" s="29" t="n">
        <x:f>IF(H154=0,0,IF(ISNUMBER(D154),D154*H154,"n.a."))</x:f>
        <x:v>1500</x:v>
      </x:c>
      <x:c r="J154" s="29" t="n">
        <x:f>IF(ISNUMBER(G154),0,1)</x:f>
        <x:v>0</x:v>
      </x:c>
      <x:c r="K154" s="12" t="str">
        <x:v>'brioche'!C7:D7</x:v>
      </x:c>
      <x:c r="L154" s="12" t="str"/>
    </x:row>
    <x:row r="155" ht="28" customHeight="1">
      <x:c r="A155" s="2" t="str">
        <x:v>brioche</x:v>
      </x:c>
      <x:c r="B155" s="11" t="str">
        <x:v>Milk</x:v>
      </x:c>
      <x:c r="C155" s="11" t="n">
        <x:v>800</x:v>
      </x:c>
      <x:c r="D155" s="13" t="n">
        <x:v>800</x:v>
      </x:c>
      <x:c r="E155" s="24" t="str">
        <x:v>P15</x:v>
      </x:c>
      <x:c r="F155" s="22" t="n">
        <x:f>Prices!E18</x:f>
        <x:v>1.17</x:v>
      </x:c>
      <x:c r="G155" s="26" t="n">
        <x:f>IF(AND(ISNUMBER(D155),ISNUMBER(F155)),D155*F155,"n.a.")</x:f>
        <x:v>936</x:v>
      </x:c>
      <x:c r="H155" s="28" t="n">
        <x:v>1</x:v>
      </x:c>
      <x:c r="I155" s="28" t="n">
        <x:f>IF(H155=0,0,IF(ISNUMBER(D155),D155*H155,"n.a."))</x:f>
        <x:v>800</x:v>
      </x:c>
      <x:c r="J155" s="28" t="n">
        <x:f>IF(ISNUMBER(G155),0,1)</x:f>
        <x:v>0</x:v>
      </x:c>
      <x:c r="K155" s="11" t="str">
        <x:v>'brioche'!C8:D8</x:v>
      </x:c>
      <x:c r="L155" s="11" t="str"/>
    </x:row>
    <x:row r="156" ht="28" customHeight="1">
      <x:c r="A156" s="10" t="str">
        <x:v>brioche</x:v>
      </x:c>
      <x:c r="B156" s="12" t="str">
        <x:v>egg</x:v>
      </x:c>
      <x:c r="C156" s="12" t="n">
        <x:v>500</x:v>
      </x:c>
      <x:c r="D156" s="14" t="n">
        <x:v>500</x:v>
      </x:c>
      <x:c r="E156" s="25" t="str">
        <x:v>P13</x:v>
      </x:c>
      <x:c r="F156" s="23" t="n">
        <x:f>Prices!E16</x:f>
        <x:v>1.3333333333333333</x:v>
      </x:c>
      <x:c r="G156" s="27" t="n">
        <x:f>IF(AND(ISNUMBER(D156),ISNUMBER(F156)),D156*F156,"n.a.")</x:f>
        <x:v>666.6666666666666</x:v>
      </x:c>
      <x:c r="H156" s="29" t="n">
        <x:v>1</x:v>
      </x:c>
      <x:c r="I156" s="29" t="n">
        <x:f>IF(H156=0,0,IF(ISNUMBER(D156),D156*H156,"n.a."))</x:f>
        <x:v>500</x:v>
      </x:c>
      <x:c r="J156" s="29" t="n">
        <x:f>IF(ISNUMBER(G156),0,1)</x:f>
        <x:v>0</x:v>
      </x:c>
      <x:c r="K156" s="12" t="str">
        <x:v>'brioche'!C9:D9</x:v>
      </x:c>
      <x:c r="L156" s="12" t="str"/>
    </x:row>
    <x:row r="157" ht="28" customHeight="1">
      <x:c r="A157" s="2" t="str">
        <x:v>brioche</x:v>
      </x:c>
      <x:c r="B157" s="11" t="str">
        <x:v>salt</x:v>
      </x:c>
      <x:c r="C157" s="11" t="n">
        <x:v>120</x:v>
      </x:c>
      <x:c r="D157" s="13" t="n">
        <x:v>120</x:v>
      </x:c>
      <x:c r="E157" s="24" t="str">
        <x:v>P6</x:v>
      </x:c>
      <x:c r="F157" s="22" t="n">
        <x:f>Prices!E9</x:f>
        <x:v>0.20555555555555555</x:v>
      </x:c>
      <x:c r="G157" s="26" t="n">
        <x:f>IF(AND(ISNUMBER(D157),ISNUMBER(F157)),D157*F157,"n.a.")</x:f>
        <x:v>24.666666666666664</x:v>
      </x:c>
      <x:c r="H157" s="28" t="n">
        <x:v>1</x:v>
      </x:c>
      <x:c r="I157" s="28" t="n">
        <x:f>IF(H157=0,0,IF(ISNUMBER(D157),D157*H157,"n.a."))</x:f>
        <x:v>120</x:v>
      </x:c>
      <x:c r="J157" s="28" t="n">
        <x:f>IF(ISNUMBER(G157),0,1)</x:f>
        <x:v>0</x:v>
      </x:c>
      <x:c r="K157" s="11" t="str">
        <x:v>'brioche'!C10:D10</x:v>
      </x:c>
      <x:c r="L157" s="11" t="str"/>
    </x:row>
    <x:row r="158" ht="28" customHeight="1">
      <x:c r="A158" s="10" t="str">
        <x:v>brioche</x:v>
      </x:c>
      <x:c r="B158" s="12" t="str">
        <x:v>improver</x:v>
      </x:c>
      <x:c r="C158" s="12" t="n">
        <x:v>100</x:v>
      </x:c>
      <x:c r="D158" s="14" t="n">
        <x:v>100</x:v>
      </x:c>
      <x:c r="E158" s="25" t="str">
        <x:v>P12</x:v>
      </x:c>
      <x:c r="F158" s="23" t="n">
        <x:f>Prices!E15</x:f>
        <x:v>2.8</x:v>
      </x:c>
      <x:c r="G158" s="27" t="n">
        <x:f>IF(AND(ISNUMBER(D158),ISNUMBER(F158)),D158*F158,"n.a.")</x:f>
        <x:v>280</x:v>
      </x:c>
      <x:c r="H158" s="29" t="n">
        <x:v>1</x:v>
      </x:c>
      <x:c r="I158" s="29" t="n">
        <x:f>IF(H158=0,0,IF(ISNUMBER(D158),D158*H158,"n.a."))</x:f>
        <x:v>100</x:v>
      </x:c>
      <x:c r="J158" s="29" t="n">
        <x:f>IF(ISNUMBER(G158),0,1)</x:f>
        <x:v>0</x:v>
      </x:c>
      <x:c r="K158" s="12" t="str">
        <x:v>'brioche'!C11:D11</x:v>
      </x:c>
      <x:c r="L158" s="12" t="str"/>
    </x:row>
    <x:row r="159" ht="28" customHeight="1">
      <x:c r="A159" s="2" t="str">
        <x:v>brioche</x:v>
      </x:c>
      <x:c r="B159" s="11" t="str">
        <x:v>yeast</x:v>
      </x:c>
      <x:c r="C159" s="11" t="n">
        <x:v>140</x:v>
      </x:c>
      <x:c r="D159" s="13" t="n">
        <x:v>140</x:v>
      </x:c>
      <x:c r="E159" s="24" t="str">
        <x:v>P9</x:v>
      </x:c>
      <x:c r="F159" s="22" t="n">
        <x:f>Prices!E12</x:f>
        <x:v>2.8</x:v>
      </x:c>
      <x:c r="G159" s="26" t="n">
        <x:f>IF(AND(ISNUMBER(D159),ISNUMBER(F159)),D159*F159,"n.a.")</x:f>
        <x:v>392</x:v>
      </x:c>
      <x:c r="H159" s="28" t="n">
        <x:v>1</x:v>
      </x:c>
      <x:c r="I159" s="28" t="n">
        <x:f>IF(H159=0,0,IF(ISNUMBER(D159),D159*H159,"n.a."))</x:f>
        <x:v>140</x:v>
      </x:c>
      <x:c r="J159" s="28" t="n">
        <x:f>IF(ISNUMBER(G159),0,1)</x:f>
        <x:v>0</x:v>
      </x:c>
      <x:c r="K159" s="11" t="str">
        <x:v>'brioche'!C12:D12</x:v>
      </x:c>
      <x:c r="L159" s="11" t="str"/>
    </x:row>
    <x:row r="160" ht="28" customHeight="1">
      <x:c r="A160" s="10" t="str">
        <x:v>brioche</x:v>
      </x:c>
      <x:c r="B160" s="12" t="str">
        <x:v>water</x:v>
      </x:c>
      <x:c r="C160" s="12" t="n">
        <x:v>1700</x:v>
      </x:c>
      <x:c r="D160" s="14" t="n">
        <x:v>1700</x:v>
      </x:c>
      <x:c r="E160" s="25" t="str">
        <x:v>P16</x:v>
      </x:c>
      <x:c r="F160" s="23" t="n">
        <x:f>Prices!E19</x:f>
        <x:v>0.0001</x:v>
      </x:c>
      <x:c r="G160" s="27" t="n">
        <x:f>IF(AND(ISNUMBER(D160),ISNUMBER(F160)),D160*F160,"n.a.")</x:f>
        <x:v>0.17</x:v>
      </x:c>
      <x:c r="H160" s="29" t="n">
        <x:v>1</x:v>
      </x:c>
      <x:c r="I160" s="29" t="n">
        <x:f>IF(H160=0,0,IF(ISNUMBER(D160),D160*H160,"n.a."))</x:f>
        <x:v>1700</x:v>
      </x:c>
      <x:c r="J160" s="29" t="n">
        <x:f>IF(ISNUMBER(G160),0,1)</x:f>
        <x:v>0</x:v>
      </x:c>
      <x:c r="K160" s="12" t="str">
        <x:v>'brioche'!C13:D13</x:v>
      </x:c>
      <x:c r="L160" s="12" t="str"/>
    </x:row>
    <x:row r="161" ht="28" customHeight="1">
      <x:c r="A161" s="2" t="str">
        <x:v>brioche</x:v>
      </x:c>
      <x:c r="B161" s="11" t="str">
        <x:v>Milk tantalizer</x:v>
      </x:c>
      <x:c r="C161" s="11" t="n">
        <x:v>15</x:v>
      </x:c>
      <x:c r="D161" s="13" t="n">
        <x:v>15</x:v>
      </x:c>
      <x:c r="E161" s="24" t="str">
        <x:v>P18</x:v>
      </x:c>
      <x:c r="F161" s="22" t="n">
        <x:f>Prices!E21</x:f>
        <x:v>11.25</x:v>
      </x:c>
      <x:c r="G161" s="26" t="n">
        <x:f>IF(AND(ISNUMBER(D161),ISNUMBER(F161)),D161*F161,"n.a.")</x:f>
        <x:v>168.75</x:v>
      </x:c>
      <x:c r="H161" s="28" t="n">
        <x:v>1</x:v>
      </x:c>
      <x:c r="I161" s="28" t="n">
        <x:f>IF(H161=0,0,IF(ISNUMBER(D161),D161*H161,"n.a."))</x:f>
        <x:v>15</x:v>
      </x:c>
      <x:c r="J161" s="28" t="n">
        <x:f>IF(ISNUMBER(G161),0,1)</x:f>
        <x:v>0</x:v>
      </x:c>
      <x:c r="K161" s="11" t="str">
        <x:v>'brioche'!C14:D14</x:v>
      </x:c>
      <x:c r="L161" s="11" t="str"/>
    </x:row>
    <x:row r="162" ht="28" customHeight="1">
      <x:c r="A162" s="10" t="str">
        <x:v>brioche</x:v>
      </x:c>
      <x:c r="B162" s="12" t="str">
        <x:v>EDC</x:v>
      </x:c>
      <x:c r="C162" s="12" t="n">
        <x:v>25</x:v>
      </x:c>
      <x:c r="D162" s="14" t="n">
        <x:v>25</x:v>
      </x:c>
      <x:c r="E162" s="25" t="str">
        <x:v>P19</x:v>
      </x:c>
      <x:c r="F162" s="23" t="n">
        <x:f>Prices!E22</x:f>
        <x:v>3</x:v>
      </x:c>
      <x:c r="G162" s="27" t="n">
        <x:f>IF(AND(ISNUMBER(D162),ISNUMBER(F162)),D162*F162,"n.a.")</x:f>
        <x:v>75</x:v>
      </x:c>
      <x:c r="H162" s="29" t="n">
        <x:v>1</x:v>
      </x:c>
      <x:c r="I162" s="29" t="n">
        <x:f>IF(H162=0,0,IF(ISNUMBER(D162),D162*H162,"n.a."))</x:f>
        <x:v>25</x:v>
      </x:c>
      <x:c r="J162" s="29" t="n">
        <x:f>IF(ISNUMBER(G162),0,1)</x:f>
        <x:v>0</x:v>
      </x:c>
      <x:c r="K162" s="12" t="str">
        <x:v>'brioche'!C15:D15</x:v>
      </x:c>
      <x:c r="L162" s="12" t="str"/>
    </x:row>
    <x:row r="163" ht="28" customHeight="1">
      <x:c r="A163" s="2" t="str">
        <x:v>Chinchin</x:v>
      </x:c>
      <x:c r="B163" s="11" t="str">
        <x:v>flour</x:v>
      </x:c>
      <x:c r="C163" s="11" t="n">
        <x:v>3600</x:v>
      </x:c>
      <x:c r="D163" s="13" t="n">
        <x:v>3600</x:v>
      </x:c>
      <x:c r="E163" s="24" t="str">
        <x:v>P4</x:v>
      </x:c>
      <x:c r="F163" s="22" t="n">
        <x:f>Prices!E7</x:f>
        <x:v>0.42</x:v>
      </x:c>
      <x:c r="G163" s="26" t="n">
        <x:f>IF(AND(ISNUMBER(D163),ISNUMBER(F163)),D163*F163,"n.a.")</x:f>
        <x:v>1512</x:v>
      </x:c>
      <x:c r="H163" s="28" t="n">
        <x:v>1</x:v>
      </x:c>
      <x:c r="I163" s="28" t="n">
        <x:f>IF(H163=0,0,IF(ISNUMBER(D163),D163*H163,"n.a."))</x:f>
        <x:v>3600</x:v>
      </x:c>
      <x:c r="J163" s="28" t="n">
        <x:f>IF(ISNUMBER(G163),0,1)</x:f>
        <x:v>0</x:v>
      </x:c>
      <x:c r="K163" s="11" t="str">
        <x:v>'Chinchin'!C5:D5</x:v>
      </x:c>
      <x:c r="L163" s="11" t="str"/>
    </x:row>
    <x:row r="164" ht="28" customHeight="1">
      <x:c r="A164" s="10" t="str">
        <x:v>Chinchin</x:v>
      </x:c>
      <x:c r="B164" s="12" t="str">
        <x:v>baking powder</x:v>
      </x:c>
      <x:c r="C164" s="12" t="n">
        <x:v>70</x:v>
      </x:c>
      <x:c r="D164" s="14" t="n">
        <x:v>70</x:v>
      </x:c>
      <x:c r="E164" s="25" t="str">
        <x:v>P10</x:v>
      </x:c>
      <x:c r="F164" s="23" t="n">
        <x:f>Prices!E13</x:f>
        <x:v>2.6</x:v>
      </x:c>
      <x:c r="G164" s="27" t="n">
        <x:f>IF(AND(ISNUMBER(D164),ISNUMBER(F164)),D164*F164,"n.a.")</x:f>
        <x:v>182</x:v>
      </x:c>
      <x:c r="H164" s="29" t="n">
        <x:v>1</x:v>
      </x:c>
      <x:c r="I164" s="29" t="n">
        <x:f>IF(H164=0,0,IF(ISNUMBER(D164),D164*H164,"n.a."))</x:f>
        <x:v>70</x:v>
      </x:c>
      <x:c r="J164" s="29" t="n">
        <x:f>IF(ISNUMBER(G164),0,1)</x:f>
        <x:v>0</x:v>
      </x:c>
      <x:c r="K164" s="12" t="str">
        <x:v>'Chinchin'!C6:D6</x:v>
      </x:c>
      <x:c r="L164" s="12" t="str"/>
    </x:row>
    <x:row r="165" ht="28" customHeight="1">
      <x:c r="A165" s="2" t="str">
        <x:v>Chinchin</x:v>
      </x:c>
      <x:c r="B165" s="11" t="str">
        <x:v>nut meg</x:v>
      </x:c>
      <x:c r="C165" s="11" t="n">
        <x:v>5</x:v>
      </x:c>
      <x:c r="D165" s="13" t="n">
        <x:v>5</x:v>
      </x:c>
      <x:c r="E165" s="24" t="str">
        <x:v>P14</x:v>
      </x:c>
      <x:c r="F165" s="22" t="n">
        <x:f>Prices!E17</x:f>
        <x:v>9</x:v>
      </x:c>
      <x:c r="G165" s="26" t="n">
        <x:f>IF(AND(ISNUMBER(D165),ISNUMBER(F165)),D165*F165,"n.a.")</x:f>
        <x:v>45</x:v>
      </x:c>
      <x:c r="H165" s="28" t="n">
        <x:v>1</x:v>
      </x:c>
      <x:c r="I165" s="28" t="n">
        <x:f>IF(H165=0,0,IF(ISNUMBER(D165),D165*H165,"n.a."))</x:f>
        <x:v>5</x:v>
      </x:c>
      <x:c r="J165" s="28" t="n">
        <x:f>IF(ISNUMBER(G165),0,1)</x:f>
        <x:v>0</x:v>
      </x:c>
      <x:c r="K165" s="11" t="str">
        <x:v>'Chinchin'!C7:D7</x:v>
      </x:c>
      <x:c r="L165" s="11" t="str"/>
    </x:row>
    <x:row r="166" ht="28" customHeight="1">
      <x:c r="A166" s="10" t="str">
        <x:v>Chinchin</x:v>
      </x:c>
      <x:c r="B166" s="12" t="str">
        <x:v>sugar</x:v>
      </x:c>
      <x:c r="C166" s="12" t="n">
        <x:v>650</x:v>
      </x:c>
      <x:c r="D166" s="14" t="n">
        <x:v>650</x:v>
      </x:c>
      <x:c r="E166" s="25" t="str">
        <x:v>P5</x:v>
      </x:c>
      <x:c r="F166" s="23" t="n">
        <x:f>Prices!E8</x:f>
        <x:v>0.64</x:v>
      </x:c>
      <x:c r="G166" s="27" t="n">
        <x:f>IF(AND(ISNUMBER(D166),ISNUMBER(F166)),D166*F166,"n.a.")</x:f>
        <x:v>416</x:v>
      </x:c>
      <x:c r="H166" s="29" t="n">
        <x:v>1</x:v>
      </x:c>
      <x:c r="I166" s="29" t="n">
        <x:f>IF(H166=0,0,IF(ISNUMBER(D166),D166*H166,"n.a."))</x:f>
        <x:v>650</x:v>
      </x:c>
      <x:c r="J166" s="29" t="n">
        <x:f>IF(ISNUMBER(G166),0,1)</x:f>
        <x:v>0</x:v>
      </x:c>
      <x:c r="K166" s="12" t="str">
        <x:v>'Chinchin'!C8:D8</x:v>
      </x:c>
      <x:c r="L166" s="12" t="str"/>
    </x:row>
    <x:row r="167" ht="28" customHeight="1">
      <x:c r="A167" s="2" t="str">
        <x:v>Chinchin</x:v>
      </x:c>
      <x:c r="B167" s="11" t="str">
        <x:v>Butter</x:v>
      </x:c>
      <x:c r="C167" s="11" t="n">
        <x:v>450</x:v>
      </x:c>
      <x:c r="D167" s="13" t="n">
        <x:v>450</x:v>
      </x:c>
      <x:c r="E167" s="24" t="str">
        <x:v>P7</x:v>
      </x:c>
      <x:c r="F167" s="22" t="n">
        <x:f>Prices!E10</x:f>
        <x:v>1.263157894736842</x:v>
      </x:c>
      <x:c r="G167" s="26" t="n">
        <x:f>IF(AND(ISNUMBER(D167),ISNUMBER(F167)),D167*F167,"n.a.")</x:f>
        <x:v>568.421052631579</x:v>
      </x:c>
      <x:c r="H167" s="28" t="n">
        <x:v>1</x:v>
      </x:c>
      <x:c r="I167" s="28" t="n">
        <x:f>IF(H167=0,0,IF(ISNUMBER(D167),D167*H167,"n.a."))</x:f>
        <x:v>450</x:v>
      </x:c>
      <x:c r="J167" s="28" t="n">
        <x:f>IF(ISNUMBER(G167),0,1)</x:f>
        <x:v>0</x:v>
      </x:c>
      <x:c r="K167" s="11" t="str">
        <x:v>'Chinchin'!C9:D9</x:v>
      </x:c>
      <x:c r="L167" s="11" t="str"/>
    </x:row>
    <x:row r="168" ht="28" customHeight="1">
      <x:c r="A168" s="10" t="str">
        <x:v>Chinchin</x:v>
      </x:c>
      <x:c r="B168" s="12" t="str">
        <x:v>egg</x:v>
      </x:c>
      <x:c r="C168" s="12" t="n">
        <x:v>1200</x:v>
      </x:c>
      <x:c r="D168" s="14" t="n">
        <x:v>1200</x:v>
      </x:c>
      <x:c r="E168" s="25" t="str">
        <x:v>P13</x:v>
      </x:c>
      <x:c r="F168" s="23" t="n">
        <x:f>Prices!E16</x:f>
        <x:v>1.3333333333333333</x:v>
      </x:c>
      <x:c r="G168" s="27" t="n">
        <x:f>IF(AND(ISNUMBER(D168),ISNUMBER(F168)),D168*F168,"n.a.")</x:f>
        <x:v>1600</x:v>
      </x:c>
      <x:c r="H168" s="29" t="n">
        <x:v>1</x:v>
      </x:c>
      <x:c r="I168" s="29" t="n">
        <x:f>IF(H168=0,0,IF(ISNUMBER(D168),D168*H168,"n.a."))</x:f>
        <x:v>1200</x:v>
      </x:c>
      <x:c r="J168" s="29" t="n">
        <x:f>IF(ISNUMBER(G168),0,1)</x:f>
        <x:v>0</x:v>
      </x:c>
      <x:c r="K168" s="12" t="str">
        <x:v>'Chinchin'!C10:D10</x:v>
      </x:c>
      <x:c r="L168" s="12" t="str"/>
    </x:row>
    <x:row r="169" ht="28" customHeight="1">
      <x:c r="A169" s="2" t="str">
        <x:v>Chinchin</x:v>
      </x:c>
      <x:c r="B169" s="11" t="str">
        <x:v>salt</x:v>
      </x:c>
      <x:c r="C169" s="11" t="n">
        <x:v>50</x:v>
      </x:c>
      <x:c r="D169" s="13" t="n">
        <x:v>50</x:v>
      </x:c>
      <x:c r="E169" s="24" t="str">
        <x:v>P6</x:v>
      </x:c>
      <x:c r="F169" s="22" t="n">
        <x:f>Prices!E9</x:f>
        <x:v>0.20555555555555555</x:v>
      </x:c>
      <x:c r="G169" s="26" t="n">
        <x:f>IF(AND(ISNUMBER(D169),ISNUMBER(F169)),D169*F169,"n.a.")</x:f>
        <x:v>10.277777777777777</x:v>
      </x:c>
      <x:c r="H169" s="28" t="n">
        <x:v>1</x:v>
      </x:c>
      <x:c r="I169" s="28" t="n">
        <x:f>IF(H169=0,0,IF(ISNUMBER(D169),D169*H169,"n.a."))</x:f>
        <x:v>50</x:v>
      </x:c>
      <x:c r="J169" s="28" t="n">
        <x:f>IF(ISNUMBER(G169),0,1)</x:f>
        <x:v>0</x:v>
      </x:c>
      <x:c r="K169" s="11" t="str">
        <x:v>'Chinchin'!C11:D11</x:v>
      </x:c>
      <x:c r="L169" s="11" t="str"/>
    </x:row>
    <x:row r="170" ht="28" customHeight="1">
      <x:c r="A170" s="10" t="str">
        <x:v>Chinchin</x:v>
      </x:c>
      <x:c r="B170" s="12" t="str">
        <x:v>improver</x:v>
      </x:c>
      <x:c r="C170" s="12" t="n">
        <x:v>40</x:v>
      </x:c>
      <x:c r="D170" s="14" t="n">
        <x:v>40</x:v>
      </x:c>
      <x:c r="E170" s="25" t="str">
        <x:v>P12</x:v>
      </x:c>
      <x:c r="F170" s="23" t="n">
        <x:f>Prices!E15</x:f>
        <x:v>2.8</x:v>
      </x:c>
      <x:c r="G170" s="27" t="n">
        <x:f>IF(AND(ISNUMBER(D170),ISNUMBER(F170)),D170*F170,"n.a.")</x:f>
        <x:v>112</x:v>
      </x:c>
      <x:c r="H170" s="29" t="n">
        <x:v>1</x:v>
      </x:c>
      <x:c r="I170" s="29" t="n">
        <x:f>IF(H170=0,0,IF(ISNUMBER(D170),D170*H170,"n.a."))</x:f>
        <x:v>40</x:v>
      </x:c>
      <x:c r="J170" s="29" t="n">
        <x:f>IF(ISNUMBER(G170),0,1)</x:f>
        <x:v>0</x:v>
      </x:c>
      <x:c r="K170" s="12" t="str">
        <x:v>'Chinchin'!C12:D12</x:v>
      </x:c>
      <x:c r="L170" s="12" t="str"/>
    </x:row>
    <x:row r="171" ht="28" customHeight="1">
      <x:c r="A171" s="2" t="str">
        <x:v>Chinchin</x:v>
      </x:c>
      <x:c r="B171" s="11" t="str">
        <x:v>oil</x:v>
      </x:c>
      <x:c r="C171" s="11" t="n">
        <x:v>2</x:v>
      </x:c>
      <x:c r="D171" s="15"/>
      <x:c r="E171" s="24" t="str">
        <x:v>P8</x:v>
      </x:c>
      <x:c r="F171" s="22" t="n">
        <x:f>Prices!E11</x:f>
        <x:v>1.22</x:v>
      </x:c>
      <x:c r="G171" s="26" t="str">
        <x:f>IF(AND(ISNUMBER(D171),ISNUMBER(F171)),D171*F171,"n.a.")</x:f>
        <x:v>n.a.</x:v>
      </x:c>
      <x:c r="H171" s="28" t="n">
        <x:v>0</x:v>
      </x:c>
      <x:c r="I171" s="28" t="n">
        <x:f>IF(H171=0,0,IF(ISNUMBER(D171),D171*H171,"n.a."))</x:f>
        <x:v>0</x:v>
      </x:c>
      <x:c r="J171" s="28" t="n">
        <x:f>IF(ISNUMBER(G171),0,1)</x:f>
        <x:v>1</x:v>
      </x:c>
      <x:c r="K171" s="11" t="str">
        <x:v>'Chinchin'!C13:D13</x:v>
      </x:c>
      <x:c r="L171" s="11" t="str">
        <x:v>Frying oil excluded from dough yield; stated charge is not measured net consumption. Quantity unit unresolved; no invented conversion.</x:v>
      </x:c>
    </x:row>
    <x:row r="172" ht="28" customHeight="1">
      <x:c r="A172" s="10" t="str">
        <x:v>choko bread</x:v>
      </x:c>
      <x:c r="B172" s="12" t="str">
        <x:v>flour</x:v>
      </x:c>
      <x:c r="C172" s="12" t="n">
        <x:v>5000</x:v>
      </x:c>
      <x:c r="D172" s="14" t="n">
        <x:v>5000</x:v>
      </x:c>
      <x:c r="E172" s="25" t="str">
        <x:v>P4</x:v>
      </x:c>
      <x:c r="F172" s="23" t="n">
        <x:f>Prices!E7</x:f>
        <x:v>0.42</x:v>
      </x:c>
      <x:c r="G172" s="27" t="n">
        <x:f>IF(AND(ISNUMBER(D172),ISNUMBER(F172)),D172*F172,"n.a.")</x:f>
        <x:v>2100</x:v>
      </x:c>
      <x:c r="H172" s="29" t="n">
        <x:v>1</x:v>
      </x:c>
      <x:c r="I172" s="29" t="n">
        <x:f>IF(H172=0,0,IF(ISNUMBER(D172),D172*H172,"n.a."))</x:f>
        <x:v>5000</x:v>
      </x:c>
      <x:c r="J172" s="29" t="n">
        <x:f>IF(ISNUMBER(G172),0,1)</x:f>
        <x:v>0</x:v>
      </x:c>
      <x:c r="K172" s="12" t="str">
        <x:v>'choko bread'!C5:D5</x:v>
      </x:c>
      <x:c r="L172" s="12" t="str"/>
    </x:row>
    <x:row r="173" ht="28" customHeight="1">
      <x:c r="A173" s="2" t="str">
        <x:v>choko bread</x:v>
      </x:c>
      <x:c r="B173" s="11" t="str">
        <x:v>Butter</x:v>
      </x:c>
      <x:c r="C173" s="11" t="n">
        <x:v>200</x:v>
      </x:c>
      <x:c r="D173" s="13" t="n">
        <x:v>200</x:v>
      </x:c>
      <x:c r="E173" s="24" t="str">
        <x:v>P7</x:v>
      </x:c>
      <x:c r="F173" s="22" t="n">
        <x:f>Prices!E10</x:f>
        <x:v>1.263157894736842</x:v>
      </x:c>
      <x:c r="G173" s="26" t="n">
        <x:f>IF(AND(ISNUMBER(D173),ISNUMBER(F173)),D173*F173,"n.a.")</x:f>
        <x:v>252.6315789473684</x:v>
      </x:c>
      <x:c r="H173" s="28" t="n">
        <x:v>1</x:v>
      </x:c>
      <x:c r="I173" s="28" t="n">
        <x:f>IF(H173=0,0,IF(ISNUMBER(D173),D173*H173,"n.a."))</x:f>
        <x:v>200</x:v>
      </x:c>
      <x:c r="J173" s="28" t="n">
        <x:f>IF(ISNUMBER(G173),0,1)</x:f>
        <x:v>0</x:v>
      </x:c>
      <x:c r="K173" s="11" t="str">
        <x:v>'choko bread'!C6:D6</x:v>
      </x:c>
      <x:c r="L173" s="11" t="str"/>
    </x:row>
    <x:row r="174" ht="28" customHeight="1">
      <x:c r="A174" s="10" t="str">
        <x:v>choko bread</x:v>
      </x:c>
      <x:c r="B174" s="12" t="str">
        <x:v>sugar</x:v>
      </x:c>
      <x:c r="C174" s="12" t="n">
        <x:v>300</x:v>
      </x:c>
      <x:c r="D174" s="14" t="n">
        <x:v>300</x:v>
      </x:c>
      <x:c r="E174" s="25" t="str">
        <x:v>P5</x:v>
      </x:c>
      <x:c r="F174" s="23" t="n">
        <x:f>Prices!E8</x:f>
        <x:v>0.64</x:v>
      </x:c>
      <x:c r="G174" s="27" t="n">
        <x:f>IF(AND(ISNUMBER(D174),ISNUMBER(F174)),D174*F174,"n.a.")</x:f>
        <x:v>192</x:v>
      </x:c>
      <x:c r="H174" s="29" t="n">
        <x:v>1</x:v>
      </x:c>
      <x:c r="I174" s="29" t="n">
        <x:f>IF(H174=0,0,IF(ISNUMBER(D174),D174*H174,"n.a."))</x:f>
        <x:v>300</x:v>
      </x:c>
      <x:c r="J174" s="29" t="n">
        <x:f>IF(ISNUMBER(G174),0,1)</x:f>
        <x:v>0</x:v>
      </x:c>
      <x:c r="K174" s="12" t="str">
        <x:v>'choko bread'!C7:D7</x:v>
      </x:c>
      <x:c r="L174" s="12" t="str"/>
    </x:row>
    <x:row r="175" ht="28" customHeight="1">
      <x:c r="A175" s="2" t="str">
        <x:v>choko bread</x:v>
      </x:c>
      <x:c r="B175" s="11" t="str">
        <x:v>Milk</x:v>
      </x:c>
      <x:c r="C175" s="11" t="n">
        <x:v>100</x:v>
      </x:c>
      <x:c r="D175" s="13" t="n">
        <x:v>100</x:v>
      </x:c>
      <x:c r="E175" s="24" t="str">
        <x:v>P17</x:v>
      </x:c>
      <x:c r="F175" s="22" t="n">
        <x:f>Prices!E20</x:f>
        <x:v>3.2</x:v>
      </x:c>
      <x:c r="G175" s="26" t="n">
        <x:f>IF(AND(ISNUMBER(D175),ISNUMBER(F175)),D175*F175,"n.a.")</x:f>
        <x:v>320</x:v>
      </x:c>
      <x:c r="H175" s="28" t="n">
        <x:v>1</x:v>
      </x:c>
      <x:c r="I175" s="28" t="n">
        <x:f>IF(H175=0,0,IF(ISNUMBER(D175),D175*H175,"n.a."))</x:f>
        <x:v>100</x:v>
      </x:c>
      <x:c r="J175" s="28" t="n">
        <x:f>IF(ISNUMBER(G175),0,1)</x:f>
        <x:v>0</x:v>
      </x:c>
      <x:c r="K175" s="11" t="str">
        <x:v>'choko bread'!C8:D8</x:v>
      </x:c>
      <x:c r="L175" s="11" t="str">
        <x:v>25 kg source pack suggests powder; confirm identity.</x:v>
      </x:c>
    </x:row>
    <x:row r="176" ht="28" customHeight="1">
      <x:c r="A176" s="10" t="str">
        <x:v>choko bread</x:v>
      </x:c>
      <x:c r="B176" s="12" t="str">
        <x:v>egg</x:v>
      </x:c>
      <x:c r="C176" s="12" t="n">
        <x:v>200</x:v>
      </x:c>
      <x:c r="D176" s="14" t="n">
        <x:v>200</x:v>
      </x:c>
      <x:c r="E176" s="25" t="str">
        <x:v>P13</x:v>
      </x:c>
      <x:c r="F176" s="23" t="n">
        <x:f>Prices!E16</x:f>
        <x:v>1.3333333333333333</x:v>
      </x:c>
      <x:c r="G176" s="27" t="n">
        <x:f>IF(AND(ISNUMBER(D176),ISNUMBER(F176)),D176*F176,"n.a.")</x:f>
        <x:v>266.66666666666663</x:v>
      </x:c>
      <x:c r="H176" s="29" t="n">
        <x:v>1</x:v>
      </x:c>
      <x:c r="I176" s="29" t="n">
        <x:f>IF(H176=0,0,IF(ISNUMBER(D176),D176*H176,"n.a."))</x:f>
        <x:v>200</x:v>
      </x:c>
      <x:c r="J176" s="29" t="n">
        <x:f>IF(ISNUMBER(G176),0,1)</x:f>
        <x:v>0</x:v>
      </x:c>
      <x:c r="K176" s="12" t="str">
        <x:v>'choko bread'!C9:D9</x:v>
      </x:c>
      <x:c r="L176" s="12" t="str"/>
    </x:row>
    <x:row r="177" ht="28" customHeight="1">
      <x:c r="A177" s="2" t="str">
        <x:v>choko bread</x:v>
      </x:c>
      <x:c r="B177" s="11" t="str">
        <x:v>salt</x:v>
      </x:c>
      <x:c r="C177" s="11" t="n">
        <x:v>45</x:v>
      </x:c>
      <x:c r="D177" s="13" t="n">
        <x:v>45</x:v>
      </x:c>
      <x:c r="E177" s="24" t="str">
        <x:v>P6</x:v>
      </x:c>
      <x:c r="F177" s="22" t="n">
        <x:f>Prices!E9</x:f>
        <x:v>0.20555555555555555</x:v>
      </x:c>
      <x:c r="G177" s="26" t="n">
        <x:f>IF(AND(ISNUMBER(D177),ISNUMBER(F177)),D177*F177,"n.a.")</x:f>
        <x:v>9.25</x:v>
      </x:c>
      <x:c r="H177" s="28" t="n">
        <x:v>1</x:v>
      </x:c>
      <x:c r="I177" s="28" t="n">
        <x:f>IF(H177=0,0,IF(ISNUMBER(D177),D177*H177,"n.a."))</x:f>
        <x:v>45</x:v>
      </x:c>
      <x:c r="J177" s="28" t="n">
        <x:f>IF(ISNUMBER(G177),0,1)</x:f>
        <x:v>0</x:v>
      </x:c>
      <x:c r="K177" s="11" t="str">
        <x:v>'choko bread'!C10:D10</x:v>
      </x:c>
      <x:c r="L177" s="11" t="str"/>
    </x:row>
    <x:row r="178" ht="28" customHeight="1">
      <x:c r="A178" s="10" t="str">
        <x:v>choko bread</x:v>
      </x:c>
      <x:c r="B178" s="12" t="str">
        <x:v>improver</x:v>
      </x:c>
      <x:c r="C178" s="12" t="n">
        <x:v>20</x:v>
      </x:c>
      <x:c r="D178" s="14" t="n">
        <x:v>20</x:v>
      </x:c>
      <x:c r="E178" s="25" t="str">
        <x:v>P12</x:v>
      </x:c>
      <x:c r="F178" s="23" t="n">
        <x:f>Prices!E15</x:f>
        <x:v>2.8</x:v>
      </x:c>
      <x:c r="G178" s="27" t="n">
        <x:f>IF(AND(ISNUMBER(D178),ISNUMBER(F178)),D178*F178,"n.a.")</x:f>
        <x:v>56</x:v>
      </x:c>
      <x:c r="H178" s="29" t="n">
        <x:v>1</x:v>
      </x:c>
      <x:c r="I178" s="29" t="n">
        <x:f>IF(H178=0,0,IF(ISNUMBER(D178),D178*H178,"n.a."))</x:f>
        <x:v>20</x:v>
      </x:c>
      <x:c r="J178" s="29" t="n">
        <x:f>IF(ISNUMBER(G178),0,1)</x:f>
        <x:v>0</x:v>
      </x:c>
      <x:c r="K178" s="12" t="str">
        <x:v>'choko bread'!C11:D11</x:v>
      </x:c>
      <x:c r="L178" s="12" t="str"/>
    </x:row>
    <x:row r="179" ht="28" customHeight="1">
      <x:c r="A179" s="2" t="str">
        <x:v>choko bread</x:v>
      </x:c>
      <x:c r="B179" s="11" t="str">
        <x:v>yeast</x:v>
      </x:c>
      <x:c r="C179" s="11" t="n">
        <x:v>14</x:v>
      </x:c>
      <x:c r="D179" s="13" t="n">
        <x:v>14</x:v>
      </x:c>
      <x:c r="E179" s="24" t="str">
        <x:v>P9</x:v>
      </x:c>
      <x:c r="F179" s="22" t="n">
        <x:f>Prices!E12</x:f>
        <x:v>2.8</x:v>
      </x:c>
      <x:c r="G179" s="26" t="n">
        <x:f>IF(AND(ISNUMBER(D179),ISNUMBER(F179)),D179*F179,"n.a.")</x:f>
        <x:v>39.199999999999996</x:v>
      </x:c>
      <x:c r="H179" s="28" t="n">
        <x:v>1</x:v>
      </x:c>
      <x:c r="I179" s="28" t="n">
        <x:f>IF(H179=0,0,IF(ISNUMBER(D179),D179*H179,"n.a."))</x:f>
        <x:v>14</x:v>
      </x:c>
      <x:c r="J179" s="28" t="n">
        <x:f>IF(ISNUMBER(G179),0,1)</x:f>
        <x:v>0</x:v>
      </x:c>
      <x:c r="K179" s="11" t="str">
        <x:v>'choko bread'!C12:D12</x:v>
      </x:c>
      <x:c r="L179" s="11" t="str"/>
    </x:row>
    <x:row r="180" ht="28" customHeight="1">
      <x:c r="A180" s="10" t="str">
        <x:v>choko bread</x:v>
      </x:c>
      <x:c r="B180" s="12" t="str">
        <x:v>water</x:v>
      </x:c>
      <x:c r="C180" s="12" t="n">
        <x:v>2000</x:v>
      </x:c>
      <x:c r="D180" s="14" t="n">
        <x:v>2000</x:v>
      </x:c>
      <x:c r="E180" s="25" t="str">
        <x:v>P16</x:v>
      </x:c>
      <x:c r="F180" s="23" t="n">
        <x:f>Prices!E19</x:f>
        <x:v>0.0001</x:v>
      </x:c>
      <x:c r="G180" s="27" t="n">
        <x:f>IF(AND(ISNUMBER(D180),ISNUMBER(F180)),D180*F180,"n.a.")</x:f>
        <x:v>0.2</x:v>
      </x:c>
      <x:c r="H180" s="29" t="n">
        <x:v>1</x:v>
      </x:c>
      <x:c r="I180" s="29" t="n">
        <x:f>IF(H180=0,0,IF(ISNUMBER(D180),D180*H180,"n.a."))</x:f>
        <x:v>2000</x:v>
      </x:c>
      <x:c r="J180" s="29" t="n">
        <x:f>IF(ISNUMBER(G180),0,1)</x:f>
        <x:v>0</x:v>
      </x:c>
      <x:c r="K180" s="12" t="str">
        <x:v>'choko bread'!C13:D13</x:v>
      </x:c>
      <x:c r="L180" s="12" t="str"/>
    </x:row>
    <x:row r="181" ht="28" customHeight="1">
      <x:c r="A181" s="2" t="str">
        <x:v>choko bread</x:v>
      </x:c>
      <x:c r="B181" s="11" t="str">
        <x:v>Nutmeg</x:v>
      </x:c>
      <x:c r="C181" s="11" t="n">
        <x:v>5</x:v>
      </x:c>
      <x:c r="D181" s="13" t="n">
        <x:v>5</x:v>
      </x:c>
      <x:c r="E181" s="24" t="str">
        <x:v>P14</x:v>
      </x:c>
      <x:c r="F181" s="22" t="n">
        <x:f>Prices!E17</x:f>
        <x:v>9</x:v>
      </x:c>
      <x:c r="G181" s="26" t="n">
        <x:f>IF(AND(ISNUMBER(D181),ISNUMBER(F181)),D181*F181,"n.a.")</x:f>
        <x:v>45</x:v>
      </x:c>
      <x:c r="H181" s="28" t="n">
        <x:v>1</x:v>
      </x:c>
      <x:c r="I181" s="28" t="n">
        <x:f>IF(H181=0,0,IF(ISNUMBER(D181),D181*H181,"n.a."))</x:f>
        <x:v>5</x:v>
      </x:c>
      <x:c r="J181" s="28" t="n">
        <x:f>IF(ISNUMBER(G181),0,1)</x:f>
        <x:v>0</x:v>
      </x:c>
      <x:c r="K181" s="11" t="str">
        <x:v>'choko bread'!C14:D14</x:v>
      </x:c>
      <x:c r="L181" s="11" t="str"/>
    </x:row>
    <x:row r="182" ht="28" customHeight="1">
      <x:c r="A182" s="10" t="str">
        <x:v>choko bread</x:v>
      </x:c>
      <x:c r="B182" s="12" t="str">
        <x:v>choclate</x:v>
      </x:c>
      <x:c r="C182" s="12" t="n">
        <x:v>500</x:v>
      </x:c>
      <x:c r="D182" s="14" t="n">
        <x:v>500</x:v>
      </x:c>
      <x:c r="E182" s="25" t="str">
        <x:v>P21</x:v>
      </x:c>
      <x:c r="F182" s="23" t="n">
        <x:f>Prices!E24</x:f>
        <x:v>1.7894736842105263</x:v>
      </x:c>
      <x:c r="G182" s="27" t="n">
        <x:f>IF(AND(ISNUMBER(D182),ISNUMBER(F182)),D182*F182,"n.a.")</x:f>
        <x:v>894.7368421052631</x:v>
      </x:c>
      <x:c r="H182" s="29" t="n">
        <x:v>1</x:v>
      </x:c>
      <x:c r="I182" s="29" t="n">
        <x:f>IF(H182=0,0,IF(ISNUMBER(D182),D182*H182,"n.a."))</x:f>
        <x:v>500</x:v>
      </x:c>
      <x:c r="J182" s="29" t="n">
        <x:f>IF(ISNUMBER(G182),0,1)</x:f>
        <x:v>0</x:v>
      </x:c>
      <x:c r="K182" s="12" t="str">
        <x:v>'choko bread'!C15:D15</x:v>
      </x:c>
      <x:c r="L182" s="12" t="str"/>
    </x:row>
    <x:row r="183" ht="28" customHeight="1">
      <x:c r="A183" s="2" t="str">
        <x:v>YUMMY BREAD</x:v>
      </x:c>
      <x:c r="B183" s="11" t="str">
        <x:v>flour</x:v>
      </x:c>
      <x:c r="C183" s="11" t="n">
        <x:v>15000</x:v>
      </x:c>
      <x:c r="D183" s="13" t="n">
        <x:v>15000</x:v>
      </x:c>
      <x:c r="E183" s="24" t="str">
        <x:v>P36</x:v>
      </x:c>
      <x:c r="F183" s="22" t="n">
        <x:f>Prices!E34</x:f>
        <x:v>0.4</x:v>
      </x:c>
      <x:c r="G183" s="26" t="n">
        <x:f>IF(AND(ISNUMBER(D183),ISNUMBER(F183)),D183*F183,"n.a.")</x:f>
        <x:v>6000</x:v>
      </x:c>
      <x:c r="H183" s="28" t="n">
        <x:v>1</x:v>
      </x:c>
      <x:c r="I183" s="28" t="n">
        <x:f>IF(H183=0,0,IF(ISNUMBER(D183),D183*H183,"n.a."))</x:f>
        <x:v>15000</x:v>
      </x:c>
      <x:c r="J183" s="28" t="n">
        <x:f>IF(ISNUMBER(G183),0,1)</x:f>
        <x:v>0</x:v>
      </x:c>
      <x:c r="K183" s="11" t="str">
        <x:v>'YUMMY BREAD'!C5:D5</x:v>
      </x:c>
      <x:c r="L183" s="11" t="str"/>
    </x:row>
    <x:row r="184" ht="28" customHeight="1">
      <x:c r="A184" s="10" t="str">
        <x:v>YUMMY BREAD</x:v>
      </x:c>
      <x:c r="B184" s="12" t="str">
        <x:v>Butter</x:v>
      </x:c>
      <x:c r="C184" s="12" t="n">
        <x:v>1500</x:v>
      </x:c>
      <x:c r="D184" s="14" t="n">
        <x:v>1500</x:v>
      </x:c>
      <x:c r="E184" s="25" t="str">
        <x:v>P7</x:v>
      </x:c>
      <x:c r="F184" s="23" t="n">
        <x:f>Prices!E10</x:f>
        <x:v>1.263157894736842</x:v>
      </x:c>
      <x:c r="G184" s="27" t="n">
        <x:f>IF(AND(ISNUMBER(D184),ISNUMBER(F184)),D184*F184,"n.a.")</x:f>
        <x:v>1894.7368421052631</x:v>
      </x:c>
      <x:c r="H184" s="29" t="n">
        <x:v>1</x:v>
      </x:c>
      <x:c r="I184" s="29" t="n">
        <x:f>IF(H184=0,0,IF(ISNUMBER(D184),D184*H184,"n.a."))</x:f>
        <x:v>1500</x:v>
      </x:c>
      <x:c r="J184" s="29" t="n">
        <x:f>IF(ISNUMBER(G184),0,1)</x:f>
        <x:v>0</x:v>
      </x:c>
      <x:c r="K184" s="12" t="str">
        <x:v>'YUMMY BREAD'!C6:D6</x:v>
      </x:c>
      <x:c r="L184" s="12" t="str"/>
    </x:row>
    <x:row r="185" ht="28" customHeight="1">
      <x:c r="A185" s="2" t="str">
        <x:v>YUMMY BREAD</x:v>
      </x:c>
      <x:c r="B185" s="11" t="str">
        <x:v>sugar</x:v>
      </x:c>
      <x:c r="C185" s="11" t="n">
        <x:v>1500</x:v>
      </x:c>
      <x:c r="D185" s="13" t="n">
        <x:v>1500</x:v>
      </x:c>
      <x:c r="E185" s="24" t="str">
        <x:v>P5</x:v>
      </x:c>
      <x:c r="F185" s="22" t="n">
        <x:f>Prices!E8</x:f>
        <x:v>0.64</x:v>
      </x:c>
      <x:c r="G185" s="26" t="n">
        <x:f>IF(AND(ISNUMBER(D185),ISNUMBER(F185)),D185*F185,"n.a.")</x:f>
        <x:v>960</x:v>
      </x:c>
      <x:c r="H185" s="28" t="n">
        <x:v>1</x:v>
      </x:c>
      <x:c r="I185" s="28" t="n">
        <x:f>IF(H185=0,0,IF(ISNUMBER(D185),D185*H185,"n.a."))</x:f>
        <x:v>1500</x:v>
      </x:c>
      <x:c r="J185" s="28" t="n">
        <x:f>IF(ISNUMBER(G185),0,1)</x:f>
        <x:v>0</x:v>
      </x:c>
      <x:c r="K185" s="11" t="str">
        <x:v>'YUMMY BREAD'!C7:D7</x:v>
      </x:c>
      <x:c r="L185" s="11" t="str"/>
    </x:row>
    <x:row r="186" ht="28" customHeight="1">
      <x:c r="A186" s="10" t="str">
        <x:v>YUMMY BREAD</x:v>
      </x:c>
      <x:c r="B186" s="12" t="str">
        <x:v>Milk</x:v>
      </x:c>
      <x:c r="C186" s="12" t="n">
        <x:v>1000</x:v>
      </x:c>
      <x:c r="D186" s="14" t="n">
        <x:v>1000</x:v>
      </x:c>
      <x:c r="E186" s="25" t="str">
        <x:v>P15</x:v>
      </x:c>
      <x:c r="F186" s="23" t="n">
        <x:f>Prices!E18</x:f>
        <x:v>1.17</x:v>
      </x:c>
      <x:c r="G186" s="27" t="n">
        <x:f>IF(AND(ISNUMBER(D186),ISNUMBER(F186)),D186*F186,"n.a.")</x:f>
        <x:v>1170</x:v>
      </x:c>
      <x:c r="H186" s="29" t="n">
        <x:v>1</x:v>
      </x:c>
      <x:c r="I186" s="29" t="n">
        <x:f>IF(H186=0,0,IF(ISNUMBER(D186),D186*H186,"n.a."))</x:f>
        <x:v>1000</x:v>
      </x:c>
      <x:c r="J186" s="29" t="n">
        <x:f>IF(ISNUMBER(G186),0,1)</x:f>
        <x:v>0</x:v>
      </x:c>
      <x:c r="K186" s="12" t="str">
        <x:v>'YUMMY BREAD'!C8:D8</x:v>
      </x:c>
      <x:c r="L186" s="12" t="str"/>
    </x:row>
    <x:row r="187" ht="28" customHeight="1">
      <x:c r="A187" s="2" t="str">
        <x:v>YUMMY BREAD</x:v>
      </x:c>
      <x:c r="B187" s="11" t="str">
        <x:v>egg</x:v>
      </x:c>
      <x:c r="C187" s="11" t="n">
        <x:v>750</x:v>
      </x:c>
      <x:c r="D187" s="13" t="n">
        <x:v>750</x:v>
      </x:c>
      <x:c r="E187" s="24" t="str">
        <x:v>P13</x:v>
      </x:c>
      <x:c r="F187" s="22" t="n">
        <x:f>Prices!E16</x:f>
        <x:v>1.3333333333333333</x:v>
      </x:c>
      <x:c r="G187" s="26" t="n">
        <x:f>IF(AND(ISNUMBER(D187),ISNUMBER(F187)),D187*F187,"n.a.")</x:f>
        <x:v>1000</x:v>
      </x:c>
      <x:c r="H187" s="28" t="n">
        <x:v>1</x:v>
      </x:c>
      <x:c r="I187" s="28" t="n">
        <x:f>IF(H187=0,0,IF(ISNUMBER(D187),D187*H187,"n.a."))</x:f>
        <x:v>750</x:v>
      </x:c>
      <x:c r="J187" s="28" t="n">
        <x:f>IF(ISNUMBER(G187),0,1)</x:f>
        <x:v>0</x:v>
      </x:c>
      <x:c r="K187" s="11" t="str">
        <x:v>'YUMMY BREAD'!C9:D9</x:v>
      </x:c>
      <x:c r="L187" s="11" t="str"/>
    </x:row>
    <x:row r="188" ht="28" customHeight="1">
      <x:c r="A188" s="10" t="str">
        <x:v>YUMMY BREAD</x:v>
      </x:c>
      <x:c r="B188" s="12" t="str">
        <x:v>salt</x:v>
      </x:c>
      <x:c r="C188" s="12" t="n">
        <x:v>120</x:v>
      </x:c>
      <x:c r="D188" s="14" t="n">
        <x:v>120</x:v>
      </x:c>
      <x:c r="E188" s="25" t="str">
        <x:v>P6</x:v>
      </x:c>
      <x:c r="F188" s="23" t="n">
        <x:f>Prices!E9</x:f>
        <x:v>0.20555555555555555</x:v>
      </x:c>
      <x:c r="G188" s="27" t="n">
        <x:f>IF(AND(ISNUMBER(D188),ISNUMBER(F188)),D188*F188,"n.a.")</x:f>
        <x:v>24.666666666666664</x:v>
      </x:c>
      <x:c r="H188" s="29" t="n">
        <x:v>1</x:v>
      </x:c>
      <x:c r="I188" s="29" t="n">
        <x:f>IF(H188=0,0,IF(ISNUMBER(D188),D188*H188,"n.a."))</x:f>
        <x:v>120</x:v>
      </x:c>
      <x:c r="J188" s="29" t="n">
        <x:f>IF(ISNUMBER(G188),0,1)</x:f>
        <x:v>0</x:v>
      </x:c>
      <x:c r="K188" s="12" t="str">
        <x:v>'YUMMY BREAD'!C10:D10</x:v>
      </x:c>
      <x:c r="L188" s="12" t="str"/>
    </x:row>
    <x:row r="189" ht="28" customHeight="1">
      <x:c r="A189" s="2" t="str">
        <x:v>YUMMY BREAD</x:v>
      </x:c>
      <x:c r="B189" s="11" t="str">
        <x:v>improver</x:v>
      </x:c>
      <x:c r="C189" s="11" t="n">
        <x:v>120</x:v>
      </x:c>
      <x:c r="D189" s="13" t="n">
        <x:v>120</x:v>
      </x:c>
      <x:c r="E189" s="24" t="str">
        <x:v>P12</x:v>
      </x:c>
      <x:c r="F189" s="22" t="n">
        <x:f>Prices!E15</x:f>
        <x:v>2.8</x:v>
      </x:c>
      <x:c r="G189" s="26" t="n">
        <x:f>IF(AND(ISNUMBER(D189),ISNUMBER(F189)),D189*F189,"n.a.")</x:f>
        <x:v>336</x:v>
      </x:c>
      <x:c r="H189" s="28" t="n">
        <x:v>1</x:v>
      </x:c>
      <x:c r="I189" s="28" t="n">
        <x:f>IF(H189=0,0,IF(ISNUMBER(D189),D189*H189,"n.a."))</x:f>
        <x:v>120</x:v>
      </x:c>
      <x:c r="J189" s="28" t="n">
        <x:f>IF(ISNUMBER(G189),0,1)</x:f>
        <x:v>0</x:v>
      </x:c>
      <x:c r="K189" s="11" t="str">
        <x:v>'YUMMY BREAD'!C11:D11</x:v>
      </x:c>
      <x:c r="L189" s="11" t="str"/>
    </x:row>
    <x:row r="190" ht="28" customHeight="1">
      <x:c r="A190" s="10" t="str">
        <x:v>YUMMY BREAD</x:v>
      </x:c>
      <x:c r="B190" s="12" t="str">
        <x:v>yeast</x:v>
      </x:c>
      <x:c r="C190" s="12" t="n">
        <x:v>160</x:v>
      </x:c>
      <x:c r="D190" s="14" t="n">
        <x:v>160</x:v>
      </x:c>
      <x:c r="E190" s="25" t="str">
        <x:v>P9</x:v>
      </x:c>
      <x:c r="F190" s="23" t="n">
        <x:f>Prices!E12</x:f>
        <x:v>2.8</x:v>
      </x:c>
      <x:c r="G190" s="27" t="n">
        <x:f>IF(AND(ISNUMBER(D190),ISNUMBER(F190)),D190*F190,"n.a.")</x:f>
        <x:v>448</x:v>
      </x:c>
      <x:c r="H190" s="29" t="n">
        <x:v>1</x:v>
      </x:c>
      <x:c r="I190" s="29" t="n">
        <x:f>IF(H190=0,0,IF(ISNUMBER(D190),D190*H190,"n.a."))</x:f>
        <x:v>160</x:v>
      </x:c>
      <x:c r="J190" s="29" t="n">
        <x:f>IF(ISNUMBER(G190),0,1)</x:f>
        <x:v>0</x:v>
      </x:c>
      <x:c r="K190" s="12" t="str">
        <x:v>'YUMMY BREAD'!C12:D12</x:v>
      </x:c>
      <x:c r="L190" s="12" t="str"/>
    </x:row>
    <x:row r="191" ht="28" customHeight="1">
      <x:c r="A191" s="2" t="str">
        <x:v>YUMMY BREAD</x:v>
      </x:c>
      <x:c r="B191" s="11" t="str">
        <x:v>water</x:v>
      </x:c>
      <x:c r="C191" s="11" t="n">
        <x:v>4500</x:v>
      </x:c>
      <x:c r="D191" s="13" t="n">
        <x:v>4500</x:v>
      </x:c>
      <x:c r="E191" s="24" t="str">
        <x:v>P16</x:v>
      </x:c>
      <x:c r="F191" s="22" t="n">
        <x:f>Prices!E19</x:f>
        <x:v>0.0001</x:v>
      </x:c>
      <x:c r="G191" s="26" t="n">
        <x:f>IF(AND(ISNUMBER(D191),ISNUMBER(F191)),D191*F191,"n.a.")</x:f>
        <x:v>0.45</x:v>
      </x:c>
      <x:c r="H191" s="28" t="n">
        <x:v>1</x:v>
      </x:c>
      <x:c r="I191" s="28" t="n">
        <x:f>IF(H191=0,0,IF(ISNUMBER(D191),D191*H191,"n.a."))</x:f>
        <x:v>4500</x:v>
      </x:c>
      <x:c r="J191" s="28" t="n">
        <x:f>IF(ISNUMBER(G191),0,1)</x:f>
        <x:v>0</x:v>
      </x:c>
      <x:c r="K191" s="11" t="str">
        <x:v>'YUMMY BREAD'!C13:D13</x:v>
      </x:c>
      <x:c r="L191" s="11" t="str"/>
    </x:row>
    <x:row r="192" ht="28" customHeight="1">
      <x:c r="A192" s="10" t="str">
        <x:v>YUMMY BREAD</x:v>
      </x:c>
      <x:c r="B192" s="12" t="str">
        <x:v>EDC</x:v>
      </x:c>
      <x:c r="C192" s="12" t="n">
        <x:v>100</x:v>
      </x:c>
      <x:c r="D192" s="14" t="n">
        <x:v>100</x:v>
      </x:c>
      <x:c r="E192" s="25" t="str">
        <x:v>P19</x:v>
      </x:c>
      <x:c r="F192" s="23" t="n">
        <x:f>Prices!E22</x:f>
        <x:v>3</x:v>
      </x:c>
      <x:c r="G192" s="27" t="n">
        <x:f>IF(AND(ISNUMBER(D192),ISNUMBER(F192)),D192*F192,"n.a.")</x:f>
        <x:v>300</x:v>
      </x:c>
      <x:c r="H192" s="29" t="n">
        <x:v>1</x:v>
      </x:c>
      <x:c r="I192" s="29" t="n">
        <x:f>IF(H192=0,0,IF(ISNUMBER(D192),D192*H192,"n.a."))</x:f>
        <x:v>100</x:v>
      </x:c>
      <x:c r="J192" s="29" t="n">
        <x:f>IF(ISNUMBER(G192),0,1)</x:f>
        <x:v>0</x:v>
      </x:c>
      <x:c r="K192" s="12" t="str">
        <x:v>'YUMMY BREAD'!C14:D14</x:v>
      </x:c>
      <x:c r="L192" s="12" t="str"/>
    </x:row>
    <x:row r="193" ht="28" customHeight="1">
      <x:c r="A193" s="2" t="str">
        <x:v>Kouatchoua gato</x:v>
      </x:c>
      <x:c r="B193" s="11" t="str">
        <x:v>flour</x:v>
      </x:c>
      <x:c r="C193" s="11" t="n">
        <x:v>27000</x:v>
      </x:c>
      <x:c r="D193" s="13" t="n">
        <x:v>27000</x:v>
      </x:c>
      <x:c r="E193" s="24" t="str">
        <x:v>P4</x:v>
      </x:c>
      <x:c r="F193" s="22" t="n">
        <x:f>Prices!E7</x:f>
        <x:v>0.42</x:v>
      </x:c>
      <x:c r="G193" s="26" t="n">
        <x:f>IF(AND(ISNUMBER(D193),ISNUMBER(F193)),D193*F193,"n.a.")</x:f>
        <x:v>11340</x:v>
      </x:c>
      <x:c r="H193" s="28" t="n">
        <x:v>1</x:v>
      </x:c>
      <x:c r="I193" s="28" t="n">
        <x:f>IF(H193=0,0,IF(ISNUMBER(D193),D193*H193,"n.a."))</x:f>
        <x:v>27000</x:v>
      </x:c>
      <x:c r="J193" s="28" t="n">
        <x:f>IF(ISNUMBER(G193),0,1)</x:f>
        <x:v>0</x:v>
      </x:c>
      <x:c r="K193" s="11" t="str">
        <x:v>'Kouatchoua gato'!C5:D5</x:v>
      </x:c>
      <x:c r="L193" s="11" t="str"/>
    </x:row>
    <x:row r="194" ht="28" customHeight="1">
      <x:c r="A194" s="10" t="str">
        <x:v>Kouatchoua gato</x:v>
      </x:c>
      <x:c r="B194" s="12" t="str">
        <x:v>Butter</x:v>
      </x:c>
      <x:c r="C194" s="12" t="n">
        <x:v>1300</x:v>
      </x:c>
      <x:c r="D194" s="14" t="n">
        <x:v>1300</x:v>
      </x:c>
      <x:c r="E194" s="25" t="str">
        <x:v>P7</x:v>
      </x:c>
      <x:c r="F194" s="23" t="n">
        <x:f>Prices!E10</x:f>
        <x:v>1.263157894736842</x:v>
      </x:c>
      <x:c r="G194" s="27" t="n">
        <x:f>IF(AND(ISNUMBER(D194),ISNUMBER(F194)),D194*F194,"n.a.")</x:f>
        <x:v>1642.1052631578946</x:v>
      </x:c>
      <x:c r="H194" s="29" t="n">
        <x:v>1</x:v>
      </x:c>
      <x:c r="I194" s="29" t="n">
        <x:f>IF(H194=0,0,IF(ISNUMBER(D194),D194*H194,"n.a."))</x:f>
        <x:v>1300</x:v>
      </x:c>
      <x:c r="J194" s="29" t="n">
        <x:f>IF(ISNUMBER(G194),0,1)</x:f>
        <x:v>0</x:v>
      </x:c>
      <x:c r="K194" s="12" t="str">
        <x:v>'Kouatchoua gato'!C6:D6</x:v>
      </x:c>
      <x:c r="L194" s="12" t="str"/>
    </x:row>
    <x:row r="195" ht="28" customHeight="1">
      <x:c r="A195" s="2" t="str">
        <x:v>Kouatchoua gato</x:v>
      </x:c>
      <x:c r="B195" s="11" t="str">
        <x:v>sugar</x:v>
      </x:c>
      <x:c r="C195" s="11" t="n">
        <x:v>1700</x:v>
      </x:c>
      <x:c r="D195" s="13" t="n">
        <x:v>1700</x:v>
      </x:c>
      <x:c r="E195" s="24" t="str">
        <x:v>P5</x:v>
      </x:c>
      <x:c r="F195" s="22" t="n">
        <x:f>Prices!E8</x:f>
        <x:v>0.64</x:v>
      </x:c>
      <x:c r="G195" s="26" t="n">
        <x:f>IF(AND(ISNUMBER(D195),ISNUMBER(F195)),D195*F195,"n.a.")</x:f>
        <x:v>1088</x:v>
      </x:c>
      <x:c r="H195" s="28" t="n">
        <x:v>1</x:v>
      </x:c>
      <x:c r="I195" s="28" t="n">
        <x:f>IF(H195=0,0,IF(ISNUMBER(D195),D195*H195,"n.a."))</x:f>
        <x:v>1700</x:v>
      </x:c>
      <x:c r="J195" s="28" t="n">
        <x:f>IF(ISNUMBER(G195),0,1)</x:f>
        <x:v>0</x:v>
      </x:c>
      <x:c r="K195" s="11" t="str">
        <x:v>'Kouatchoua gato'!C7:D7</x:v>
      </x:c>
      <x:c r="L195" s="11" t="str"/>
    </x:row>
    <x:row r="196" ht="28" customHeight="1">
      <x:c r="A196" s="10" t="str">
        <x:v>Kouatchoua gato</x:v>
      </x:c>
      <x:c r="B196" s="12" t="str">
        <x:v>Conc Milk</x:v>
      </x:c>
      <x:c r="C196" s="12" t="n">
        <x:v>1000</x:v>
      </x:c>
      <x:c r="D196" s="14" t="n">
        <x:v>1000</x:v>
      </x:c>
      <x:c r="E196" s="25" t="str">
        <x:v>P15</x:v>
      </x:c>
      <x:c r="F196" s="23" t="n">
        <x:f>Prices!E18</x:f>
        <x:v>1.17</x:v>
      </x:c>
      <x:c r="G196" s="27" t="n">
        <x:f>IF(AND(ISNUMBER(D196),ISNUMBER(F196)),D196*F196,"n.a.")</x:f>
        <x:v>1170</x:v>
      </x:c>
      <x:c r="H196" s="29" t="n">
        <x:v>1</x:v>
      </x:c>
      <x:c r="I196" s="29" t="n">
        <x:f>IF(H196=0,0,IF(ISNUMBER(D196),D196*H196,"n.a."))</x:f>
        <x:v>1000</x:v>
      </x:c>
      <x:c r="J196" s="29" t="n">
        <x:f>IF(ISNUMBER(G196),0,1)</x:f>
        <x:v>0</x:v>
      </x:c>
      <x:c r="K196" s="12" t="str">
        <x:v>'Kouatchoua gato'!C8:D8</x:v>
      </x:c>
      <x:c r="L196" s="12" t="str">
        <x:v>Generic milk price used provisionally for condensed milk; confirm identity.</x:v>
      </x:c>
    </x:row>
    <x:row r="197" ht="28" customHeight="1">
      <x:c r="A197" s="2" t="str">
        <x:v>Kouatchoua gato</x:v>
      </x:c>
      <x:c r="B197" s="11" t="str">
        <x:v>egg</x:v>
      </x:c>
      <x:c r="C197" s="11" t="n">
        <x:v>1000</x:v>
      </x:c>
      <x:c r="D197" s="13" t="n">
        <x:v>1000</x:v>
      </x:c>
      <x:c r="E197" s="24" t="str">
        <x:v>P13</x:v>
      </x:c>
      <x:c r="F197" s="22" t="n">
        <x:f>Prices!E16</x:f>
        <x:v>1.3333333333333333</x:v>
      </x:c>
      <x:c r="G197" s="26" t="n">
        <x:f>IF(AND(ISNUMBER(D197),ISNUMBER(F197)),D197*F197,"n.a.")</x:f>
        <x:v>1333.3333333333333</x:v>
      </x:c>
      <x:c r="H197" s="28" t="n">
        <x:v>1</x:v>
      </x:c>
      <x:c r="I197" s="28" t="n">
        <x:f>IF(H197=0,0,IF(ISNUMBER(D197),D197*H197,"n.a."))</x:f>
        <x:v>1000</x:v>
      </x:c>
      <x:c r="J197" s="28" t="n">
        <x:f>IF(ISNUMBER(G197),0,1)</x:f>
        <x:v>0</x:v>
      </x:c>
      <x:c r="K197" s="11" t="str">
        <x:v>'Kouatchoua gato'!C9:D9</x:v>
      </x:c>
      <x:c r="L197" s="11" t="str"/>
    </x:row>
    <x:row r="198" ht="28" customHeight="1">
      <x:c r="A198" s="10" t="str">
        <x:v>Kouatchoua gato</x:v>
      </x:c>
      <x:c r="B198" s="12" t="str">
        <x:v>salt</x:v>
      </x:c>
      <x:c r="C198" s="12" t="n">
        <x:v>290</x:v>
      </x:c>
      <x:c r="D198" s="14" t="n">
        <x:v>290</x:v>
      </x:c>
      <x:c r="E198" s="25" t="str">
        <x:v>P6</x:v>
      </x:c>
      <x:c r="F198" s="23" t="n">
        <x:f>Prices!E9</x:f>
        <x:v>0.20555555555555555</x:v>
      </x:c>
      <x:c r="G198" s="27" t="n">
        <x:f>IF(AND(ISNUMBER(D198),ISNUMBER(F198)),D198*F198,"n.a.")</x:f>
        <x:v>59.61111111111111</x:v>
      </x:c>
      <x:c r="H198" s="29" t="n">
        <x:v>1</x:v>
      </x:c>
      <x:c r="I198" s="29" t="n">
        <x:f>IF(H198=0,0,IF(ISNUMBER(D198),D198*H198,"n.a."))</x:f>
        <x:v>290</x:v>
      </x:c>
      <x:c r="J198" s="29" t="n">
        <x:f>IF(ISNUMBER(G198),0,1)</x:f>
        <x:v>0</x:v>
      </x:c>
      <x:c r="K198" s="12" t="str">
        <x:v>'Kouatchoua gato'!C10:D10</x:v>
      </x:c>
      <x:c r="L198" s="12" t="str"/>
    </x:row>
    <x:row r="199" ht="28" customHeight="1">
      <x:c r="A199" s="2" t="str">
        <x:v>Kouatchoua gato</x:v>
      </x:c>
      <x:c r="B199" s="11" t="str">
        <x:v>improver</x:v>
      </x:c>
      <x:c r="C199" s="11" t="n">
        <x:v>140</x:v>
      </x:c>
      <x:c r="D199" s="13" t="n">
        <x:v>140</x:v>
      </x:c>
      <x:c r="E199" s="24" t="str">
        <x:v>P12</x:v>
      </x:c>
      <x:c r="F199" s="22" t="n">
        <x:f>Prices!E15</x:f>
        <x:v>2.8</x:v>
      </x:c>
      <x:c r="G199" s="26" t="n">
        <x:f>IF(AND(ISNUMBER(D199),ISNUMBER(F199)),D199*F199,"n.a.")</x:f>
        <x:v>392</x:v>
      </x:c>
      <x:c r="H199" s="28" t="n">
        <x:v>1</x:v>
      </x:c>
      <x:c r="I199" s="28" t="n">
        <x:f>IF(H199=0,0,IF(ISNUMBER(D199),D199*H199,"n.a."))</x:f>
        <x:v>140</x:v>
      </x:c>
      <x:c r="J199" s="28" t="n">
        <x:f>IF(ISNUMBER(G199),0,1)</x:f>
        <x:v>0</x:v>
      </x:c>
      <x:c r="K199" s="11" t="str">
        <x:v>'Kouatchoua gato'!C11:D11</x:v>
      </x:c>
      <x:c r="L199" s="11" t="str"/>
    </x:row>
    <x:row r="200" ht="28" customHeight="1">
      <x:c r="A200" s="10" t="str">
        <x:v>Kouatchoua gato</x:v>
      </x:c>
      <x:c r="B200" s="12" t="str">
        <x:v>yeast</x:v>
      </x:c>
      <x:c r="C200" s="12" t="n">
        <x:v>130</x:v>
      </x:c>
      <x:c r="D200" s="14" t="n">
        <x:v>130</x:v>
      </x:c>
      <x:c r="E200" s="25" t="str">
        <x:v>P9</x:v>
      </x:c>
      <x:c r="F200" s="23" t="n">
        <x:f>Prices!E12</x:f>
        <x:v>2.8</x:v>
      </x:c>
      <x:c r="G200" s="27" t="n">
        <x:f>IF(AND(ISNUMBER(D200),ISNUMBER(F200)),D200*F200,"n.a.")</x:f>
        <x:v>364</x:v>
      </x:c>
      <x:c r="H200" s="29" t="n">
        <x:v>1</x:v>
      </x:c>
      <x:c r="I200" s="29" t="n">
        <x:f>IF(H200=0,0,IF(ISNUMBER(D200),D200*H200,"n.a."))</x:f>
        <x:v>130</x:v>
      </x:c>
      <x:c r="J200" s="29" t="n">
        <x:f>IF(ISNUMBER(G200),0,1)</x:f>
        <x:v>0</x:v>
      </x:c>
      <x:c r="K200" s="12" t="str">
        <x:v>'Kouatchoua gato'!C12:D12</x:v>
      </x:c>
      <x:c r="L200" s="12" t="str"/>
    </x:row>
    <x:row r="201" ht="28" customHeight="1">
      <x:c r="A201" s="2" t="str">
        <x:v>Kouatchoua gato</x:v>
      </x:c>
      <x:c r="B201" s="11" t="str">
        <x:v>water</x:v>
      </x:c>
      <x:c r="C201" s="11" t="n">
        <x:v>10000</x:v>
      </x:c>
      <x:c r="D201" s="13" t="n">
        <x:v>10000</x:v>
      </x:c>
      <x:c r="E201" s="24" t="str">
        <x:v>P16</x:v>
      </x:c>
      <x:c r="F201" s="22" t="n">
        <x:f>Prices!E19</x:f>
        <x:v>0.0001</x:v>
      </x:c>
      <x:c r="G201" s="26" t="n">
        <x:f>IF(AND(ISNUMBER(D201),ISNUMBER(F201)),D201*F201,"n.a.")</x:f>
        <x:v>1</x:v>
      </x:c>
      <x:c r="H201" s="28" t="n">
        <x:v>1</x:v>
      </x:c>
      <x:c r="I201" s="28" t="n">
        <x:f>IF(H201=0,0,IF(ISNUMBER(D201),D201*H201,"n.a."))</x:f>
        <x:v>10000</x:v>
      </x:c>
      <x:c r="J201" s="28" t="n">
        <x:f>IF(ISNUMBER(G201),0,1)</x:f>
        <x:v>0</x:v>
      </x:c>
      <x:c r="K201" s="11" t="str">
        <x:v>'Kouatchoua gato'!C13:D13</x:v>
      </x:c>
      <x:c r="L201" s="11" t="str"/>
    </x:row>
    <x:row r="202" ht="28" customHeight="1">
      <x:c r="A202" s="10" t="str">
        <x:v>Kouatchoua gato</x:v>
      </x:c>
      <x:c r="B202" s="12" t="str">
        <x:v>baking powder</x:v>
      </x:c>
      <x:c r="C202" s="12" t="n">
        <x:v>150</x:v>
      </x:c>
      <x:c r="D202" s="14" t="n">
        <x:v>150</x:v>
      </x:c>
      <x:c r="E202" s="25" t="str">
        <x:v>P10</x:v>
      </x:c>
      <x:c r="F202" s="23" t="n">
        <x:f>Prices!E13</x:f>
        <x:v>2.6</x:v>
      </x:c>
      <x:c r="G202" s="27" t="n">
        <x:f>IF(AND(ISNUMBER(D202),ISNUMBER(F202)),D202*F202,"n.a.")</x:f>
        <x:v>390</x:v>
      </x:c>
      <x:c r="H202" s="29" t="n">
        <x:v>1</x:v>
      </x:c>
      <x:c r="I202" s="29" t="n">
        <x:f>IF(H202=0,0,IF(ISNUMBER(D202),D202*H202,"n.a."))</x:f>
        <x:v>150</x:v>
      </x:c>
      <x:c r="J202" s="29" t="n">
        <x:f>IF(ISNUMBER(G202),0,1)</x:f>
        <x:v>0</x:v>
      </x:c>
      <x:c r="K202" s="12" t="str">
        <x:v>'Kouatchoua gato'!C14:D14</x:v>
      </x:c>
      <x:c r="L202" s="12" t="str"/>
    </x:row>
    <x:row r="203" ht="28" customHeight="1">
      <x:c r="A203" s="2" t="str">
        <x:v>Kouatchoua gato</x:v>
      </x:c>
      <x:c r="B203" s="11" t="str">
        <x:v>frying oil</x:v>
      </x:c>
      <x:c r="C203" s="11" t="n">
        <x:v>8000</x:v>
      </x:c>
      <x:c r="D203" s="13" t="n">
        <x:v>8000</x:v>
      </x:c>
      <x:c r="E203" s="24" t="str">
        <x:v>P8</x:v>
      </x:c>
      <x:c r="F203" s="22" t="n">
        <x:f>Prices!E11</x:f>
        <x:v>1.22</x:v>
      </x:c>
      <x:c r="G203" s="26" t="n">
        <x:f>IF(AND(ISNUMBER(D203),ISNUMBER(F203)),D203*F203,"n.a.")</x:f>
        <x:v>9760</x:v>
      </x:c>
      <x:c r="H203" s="28" t="n">
        <x:v>0</x:v>
      </x:c>
      <x:c r="I203" s="28" t="n">
        <x:f>IF(H203=0,0,IF(ISNUMBER(D203),D203*H203,"n.a."))</x:f>
        <x:v>0</x:v>
      </x:c>
      <x:c r="J203" s="28" t="n">
        <x:f>IF(ISNUMBER(G203),0,1)</x:f>
        <x:v>0</x:v>
      </x:c>
      <x:c r="K203" s="11" t="str">
        <x:v>'Kouatchoua gato'!C15:D15</x:v>
      </x:c>
      <x:c r="L203" s="11" t="str">
        <x:v>Frying oil excluded from dough yield; stated charge is not measured net consumption.</x:v>
      </x:c>
    </x:row>
    <x:row r="204" ht="28" customHeight="1">
      <x:c r="A204" s="10" t="str">
        <x:v>Cake Prof</x:v>
      </x:c>
      <x:c r="B204" s="12" t="str">
        <x:v>flour</x:v>
      </x:c>
      <x:c r="C204" s="12" t="n">
        <x:v>3500</x:v>
      </x:c>
      <x:c r="D204" s="14" t="n">
        <x:v>3500</x:v>
      </x:c>
      <x:c r="E204" s="25" t="str">
        <x:v>P4</x:v>
      </x:c>
      <x:c r="F204" s="23" t="n">
        <x:f>Prices!E7</x:f>
        <x:v>0.42</x:v>
      </x:c>
      <x:c r="G204" s="27" t="n">
        <x:f>IF(AND(ISNUMBER(D204),ISNUMBER(F204)),D204*F204,"n.a.")</x:f>
        <x:v>1470</x:v>
      </x:c>
      <x:c r="H204" s="29" t="n">
        <x:v>1</x:v>
      </x:c>
      <x:c r="I204" s="29" t="n">
        <x:f>IF(H204=0,0,IF(ISNUMBER(D204),D204*H204,"n.a."))</x:f>
        <x:v>3500</x:v>
      </x:c>
      <x:c r="J204" s="29" t="n">
        <x:f>IF(ISNUMBER(G204),0,1)</x:f>
        <x:v>0</x:v>
      </x:c>
      <x:c r="K204" s="12" t="str">
        <x:v>'Cake Prof'!C5:D5</x:v>
      </x:c>
      <x:c r="L204" s="12" t="str"/>
    </x:row>
    <x:row r="205" ht="28" customHeight="1">
      <x:c r="A205" s="2" t="str">
        <x:v>Cake Prof</x:v>
      </x:c>
      <x:c r="B205" s="11" t="str">
        <x:v>baking powder</x:v>
      </x:c>
      <x:c r="C205" s="11" t="n">
        <x:v>60</x:v>
      </x:c>
      <x:c r="D205" s="13" t="n">
        <x:v>60</x:v>
      </x:c>
      <x:c r="E205" s="24" t="str">
        <x:v>P10</x:v>
      </x:c>
      <x:c r="F205" s="22" t="n">
        <x:f>Prices!E13</x:f>
        <x:v>2.6</x:v>
      </x:c>
      <x:c r="G205" s="26" t="n">
        <x:f>IF(AND(ISNUMBER(D205),ISNUMBER(F205)),D205*F205,"n.a.")</x:f>
        <x:v>156</x:v>
      </x:c>
      <x:c r="H205" s="28" t="n">
        <x:v>1</x:v>
      </x:c>
      <x:c r="I205" s="28" t="n">
        <x:f>IF(H205=0,0,IF(ISNUMBER(D205),D205*H205,"n.a."))</x:f>
        <x:v>60</x:v>
      </x:c>
      <x:c r="J205" s="28" t="n">
        <x:f>IF(ISNUMBER(G205),0,1)</x:f>
        <x:v>0</x:v>
      </x:c>
      <x:c r="K205" s="11" t="str">
        <x:v>'Cake Prof'!C6:D6</x:v>
      </x:c>
      <x:c r="L205" s="11" t="str"/>
    </x:row>
    <x:row r="206" ht="28" customHeight="1">
      <x:c r="A206" s="10" t="str">
        <x:v>Cake Prof</x:v>
      </x:c>
      <x:c r="B206" s="12" t="str">
        <x:v>Egg</x:v>
      </x:c>
      <x:c r="C206" s="12" t="n">
        <x:v>2000</x:v>
      </x:c>
      <x:c r="D206" s="14" t="n">
        <x:v>2000</x:v>
      </x:c>
      <x:c r="E206" s="25" t="str">
        <x:v>P11</x:v>
      </x:c>
      <x:c r="F206" s="23" t="n">
        <x:f>Prices!E14</x:f>
        <x:v>1.3888888888888888</x:v>
      </x:c>
      <x:c r="G206" s="27" t="n">
        <x:f>IF(AND(ISNUMBER(D206),ISNUMBER(F206)),D206*F206,"n.a.")</x:f>
        <x:v>2777.777777777778</x:v>
      </x:c>
      <x:c r="H206" s="29" t="n">
        <x:v>1</x:v>
      </x:c>
      <x:c r="I206" s="29" t="n">
        <x:f>IF(H206=0,0,IF(ISNUMBER(D206),D206*H206,"n.a."))</x:f>
        <x:v>2000</x:v>
      </x:c>
      <x:c r="J206" s="29" t="n">
        <x:f>IF(ISNUMBER(G206),0,1)</x:f>
        <x:v>0</x:v>
      </x:c>
      <x:c r="K206" s="12" t="str">
        <x:v>'Cake Prof'!C7:D7</x:v>
      </x:c>
      <x:c r="L206" s="12" t="str"/>
    </x:row>
    <x:row r="207" ht="28" customHeight="1">
      <x:c r="A207" s="2" t="str">
        <x:v>Cake Prof</x:v>
      </x:c>
      <x:c r="B207" s="11" t="str">
        <x:v>water</x:v>
      </x:c>
      <x:c r="C207" s="11" t="n">
        <x:v>500</x:v>
      </x:c>
      <x:c r="D207" s="13" t="n">
        <x:v>500</x:v>
      </x:c>
      <x:c r="E207" s="24" t="str">
        <x:v>P16</x:v>
      </x:c>
      <x:c r="F207" s="22" t="n">
        <x:f>Prices!E19</x:f>
        <x:v>0.0001</x:v>
      </x:c>
      <x:c r="G207" s="26" t="n">
        <x:f>IF(AND(ISNUMBER(D207),ISNUMBER(F207)),D207*F207,"n.a.")</x:f>
        <x:v>0.05</x:v>
      </x:c>
      <x:c r="H207" s="28" t="n">
        <x:v>1</x:v>
      </x:c>
      <x:c r="I207" s="28" t="n">
        <x:f>IF(H207=0,0,IF(ISNUMBER(D207),D207*H207,"n.a."))</x:f>
        <x:v>500</x:v>
      </x:c>
      <x:c r="J207" s="28" t="n">
        <x:f>IF(ISNUMBER(G207),0,1)</x:f>
        <x:v>0</x:v>
      </x:c>
      <x:c r="K207" s="11" t="str">
        <x:v>'Cake Prof'!C8:D8</x:v>
      </x:c>
      <x:c r="L207" s="11" t="str"/>
    </x:row>
    <x:row r="208" ht="28" customHeight="1">
      <x:c r="A208" s="10" t="str">
        <x:v>Cake Prof</x:v>
      </x:c>
      <x:c r="B208" s="12" t="str">
        <x:v>Butter</x:v>
      </x:c>
      <x:c r="C208" s="12" t="n">
        <x:v>1700</x:v>
      </x:c>
      <x:c r="D208" s="14" t="n">
        <x:v>1700</x:v>
      </x:c>
      <x:c r="E208" s="25" t="str">
        <x:v>P7</x:v>
      </x:c>
      <x:c r="F208" s="23" t="n">
        <x:f>Prices!E10</x:f>
        <x:v>1.263157894736842</x:v>
      </x:c>
      <x:c r="G208" s="27" t="n">
        <x:f>IF(AND(ISNUMBER(D208),ISNUMBER(F208)),D208*F208,"n.a.")</x:f>
        <x:v>2147.3684210526317</x:v>
      </x:c>
      <x:c r="H208" s="29" t="n">
        <x:v>1</x:v>
      </x:c>
      <x:c r="I208" s="29" t="n">
        <x:f>IF(H208=0,0,IF(ISNUMBER(D208),D208*H208,"n.a."))</x:f>
        <x:v>1700</x:v>
      </x:c>
      <x:c r="J208" s="29" t="n">
        <x:f>IF(ISNUMBER(G208),0,1)</x:f>
        <x:v>0</x:v>
      </x:c>
      <x:c r="K208" s="12" t="str">
        <x:v>'Cake Prof'!C9:D9</x:v>
      </x:c>
      <x:c r="L208" s="12" t="str"/>
    </x:row>
    <x:row r="209" ht="28" customHeight="1">
      <x:c r="A209" s="2" t="str">
        <x:v>Cake Prof</x:v>
      </x:c>
      <x:c r="B209" s="11" t="str">
        <x:v>sugar</x:v>
      </x:c>
      <x:c r="C209" s="11" t="n">
        <x:v>1500</x:v>
      </x:c>
      <x:c r="D209" s="13" t="n">
        <x:v>1500</x:v>
      </x:c>
      <x:c r="E209" s="24" t="str">
        <x:v>P5</x:v>
      </x:c>
      <x:c r="F209" s="22" t="n">
        <x:f>Prices!E8</x:f>
        <x:v>0.64</x:v>
      </x:c>
      <x:c r="G209" s="26" t="n">
        <x:f>IF(AND(ISNUMBER(D209),ISNUMBER(F209)),D209*F209,"n.a.")</x:f>
        <x:v>960</x:v>
      </x:c>
      <x:c r="H209" s="28" t="n">
        <x:v>1</x:v>
      </x:c>
      <x:c r="I209" s="28" t="n">
        <x:f>IF(H209=0,0,IF(ISNUMBER(D209),D209*H209,"n.a."))</x:f>
        <x:v>1500</x:v>
      </x:c>
      <x:c r="J209" s="28" t="n">
        <x:f>IF(ISNUMBER(G209),0,1)</x:f>
        <x:v>0</x:v>
      </x:c>
      <x:c r="K209" s="11" t="str">
        <x:v>'Cake Prof'!C10:D10</x:v>
      </x:c>
      <x:c r="L209" s="11" t="str"/>
    </x:row>
    <x:row r="210" ht="28" customHeight="1">
      <x:c r="A210" s="10" t="str">
        <x:v>Best Chinchin</x:v>
      </x:c>
      <x:c r="B210" s="12" t="str">
        <x:v>flour</x:v>
      </x:c>
      <x:c r="C210" s="12" t="n">
        <x:v>25000</x:v>
      </x:c>
      <x:c r="D210" s="14" t="n">
        <x:v>25000</x:v>
      </x:c>
      <x:c r="E210" s="25" t="str">
        <x:v>P4</x:v>
      </x:c>
      <x:c r="F210" s="23" t="n">
        <x:f>Prices!E7</x:f>
        <x:v>0.42</x:v>
      </x:c>
      <x:c r="G210" s="27" t="n">
        <x:f>IF(AND(ISNUMBER(D210),ISNUMBER(F210)),D210*F210,"n.a.")</x:f>
        <x:v>10500</x:v>
      </x:c>
      <x:c r="H210" s="29" t="n">
        <x:v>1</x:v>
      </x:c>
      <x:c r="I210" s="29" t="n">
        <x:f>IF(H210=0,0,IF(ISNUMBER(D210),D210*H210,"n.a."))</x:f>
        <x:v>25000</x:v>
      </x:c>
      <x:c r="J210" s="29" t="n">
        <x:f>IF(ISNUMBER(G210),0,1)</x:f>
        <x:v>0</x:v>
      </x:c>
      <x:c r="K210" s="12" t="str">
        <x:v>'Best Chinchin'!C5:D5</x:v>
      </x:c>
      <x:c r="L210" s="12" t="str"/>
    </x:row>
    <x:row r="211" ht="28" customHeight="1">
      <x:c r="A211" s="2" t="str">
        <x:v>Best Chinchin</x:v>
      </x:c>
      <x:c r="B211" s="11" t="str">
        <x:v>baking powder</x:v>
      </x:c>
      <x:c r="C211" s="11" t="n">
        <x:v>500</x:v>
      </x:c>
      <x:c r="D211" s="13" t="n">
        <x:v>500</x:v>
      </x:c>
      <x:c r="E211" s="24" t="str">
        <x:v>P10</x:v>
      </x:c>
      <x:c r="F211" s="22" t="n">
        <x:f>Prices!E13</x:f>
        <x:v>2.6</x:v>
      </x:c>
      <x:c r="G211" s="26" t="n">
        <x:f>IF(AND(ISNUMBER(D211),ISNUMBER(F211)),D211*F211,"n.a.")</x:f>
        <x:v>1300</x:v>
      </x:c>
      <x:c r="H211" s="28" t="n">
        <x:v>1</x:v>
      </x:c>
      <x:c r="I211" s="28" t="n">
        <x:f>IF(H211=0,0,IF(ISNUMBER(D211),D211*H211,"n.a."))</x:f>
        <x:v>500</x:v>
      </x:c>
      <x:c r="J211" s="28" t="n">
        <x:f>IF(ISNUMBER(G211),0,1)</x:f>
        <x:v>0</x:v>
      </x:c>
      <x:c r="K211" s="11" t="str">
        <x:v>'Best Chinchin'!C6:D6</x:v>
      </x:c>
      <x:c r="L211" s="11" t="str"/>
    </x:row>
    <x:row r="212" ht="28" customHeight="1">
      <x:c r="A212" s="10" t="str">
        <x:v>Best Chinchin</x:v>
      </x:c>
      <x:c r="B212" s="12" t="str">
        <x:v>nut meg</x:v>
      </x:c>
      <x:c r="C212" s="12" t="n">
        <x:v>50</x:v>
      </x:c>
      <x:c r="D212" s="14" t="n">
        <x:v>50</x:v>
      </x:c>
      <x:c r="E212" s="25" t="str">
        <x:v>P14</x:v>
      </x:c>
      <x:c r="F212" s="23" t="n">
        <x:f>Prices!E17</x:f>
        <x:v>9</x:v>
      </x:c>
      <x:c r="G212" s="27" t="n">
        <x:f>IF(AND(ISNUMBER(D212),ISNUMBER(F212)),D212*F212,"n.a.")</x:f>
        <x:v>450</x:v>
      </x:c>
      <x:c r="H212" s="29" t="n">
        <x:v>1</x:v>
      </x:c>
      <x:c r="I212" s="29" t="n">
        <x:f>IF(H212=0,0,IF(ISNUMBER(D212),D212*H212,"n.a."))</x:f>
        <x:v>50</x:v>
      </x:c>
      <x:c r="J212" s="29" t="n">
        <x:f>IF(ISNUMBER(G212),0,1)</x:f>
        <x:v>0</x:v>
      </x:c>
      <x:c r="K212" s="12" t="str">
        <x:v>'Best Chinchin'!C7:D7</x:v>
      </x:c>
      <x:c r="L212" s="12" t="str"/>
    </x:row>
    <x:row r="213" ht="28" customHeight="1">
      <x:c r="A213" s="2" t="str">
        <x:v>Best Chinchin</x:v>
      </x:c>
      <x:c r="B213" s="11" t="str">
        <x:v>sugar</x:v>
      </x:c>
      <x:c r="C213" s="11" t="n">
        <x:v>4500</x:v>
      </x:c>
      <x:c r="D213" s="13" t="n">
        <x:v>4500</x:v>
      </x:c>
      <x:c r="E213" s="24" t="str">
        <x:v>P5</x:v>
      </x:c>
      <x:c r="F213" s="22" t="n">
        <x:f>Prices!E8</x:f>
        <x:v>0.64</x:v>
      </x:c>
      <x:c r="G213" s="26" t="n">
        <x:f>IF(AND(ISNUMBER(D213),ISNUMBER(F213)),D213*F213,"n.a.")</x:f>
        <x:v>2880</x:v>
      </x:c>
      <x:c r="H213" s="28" t="n">
        <x:v>1</x:v>
      </x:c>
      <x:c r="I213" s="28" t="n">
        <x:f>IF(H213=0,0,IF(ISNUMBER(D213),D213*H213,"n.a."))</x:f>
        <x:v>4500</x:v>
      </x:c>
      <x:c r="J213" s="28" t="n">
        <x:f>IF(ISNUMBER(G213),0,1)</x:f>
        <x:v>0</x:v>
      </x:c>
      <x:c r="K213" s="11" t="str">
        <x:v>'Best Chinchin'!C8:D8</x:v>
      </x:c>
      <x:c r="L213" s="11" t="str"/>
    </x:row>
    <x:row r="214" ht="28" customHeight="1">
      <x:c r="A214" s="10" t="str">
        <x:v>Best Chinchin</x:v>
      </x:c>
      <x:c r="B214" s="12" t="str">
        <x:v>Butter</x:v>
      </x:c>
      <x:c r="C214" s="12" t="n">
        <x:v>4000</x:v>
      </x:c>
      <x:c r="D214" s="14" t="n">
        <x:v>4000</x:v>
      </x:c>
      <x:c r="E214" s="25" t="str">
        <x:v>P7</x:v>
      </x:c>
      <x:c r="F214" s="23" t="n">
        <x:f>Prices!E10</x:f>
        <x:v>1.263157894736842</x:v>
      </x:c>
      <x:c r="G214" s="27" t="n">
        <x:f>IF(AND(ISNUMBER(D214),ISNUMBER(F214)),D214*F214,"n.a.")</x:f>
        <x:v>5052.631578947368</x:v>
      </x:c>
      <x:c r="H214" s="29" t="n">
        <x:v>1</x:v>
      </x:c>
      <x:c r="I214" s="29" t="n">
        <x:f>IF(H214=0,0,IF(ISNUMBER(D214),D214*H214,"n.a."))</x:f>
        <x:v>4000</x:v>
      </x:c>
      <x:c r="J214" s="29" t="n">
        <x:f>IF(ISNUMBER(G214),0,1)</x:f>
        <x:v>0</x:v>
      </x:c>
      <x:c r="K214" s="12" t="str">
        <x:v>'Best Chinchin'!C9:D9</x:v>
      </x:c>
      <x:c r="L214" s="12" t="str"/>
    </x:row>
    <x:row r="215" ht="28" customHeight="1">
      <x:c r="A215" s="2" t="str">
        <x:v>Best Chinchin</x:v>
      </x:c>
      <x:c r="B215" s="11" t="str">
        <x:v>egg</x:v>
      </x:c>
      <x:c r="C215" s="11" t="n">
        <x:v>10500</x:v>
      </x:c>
      <x:c r="D215" s="13" t="n">
        <x:v>10500</x:v>
      </x:c>
      <x:c r="E215" s="24" t="str">
        <x:v>P11</x:v>
      </x:c>
      <x:c r="F215" s="22" t="n">
        <x:f>Prices!E14</x:f>
        <x:v>1.3888888888888888</x:v>
      </x:c>
      <x:c r="G215" s="26" t="n">
        <x:f>IF(AND(ISNUMBER(D215),ISNUMBER(F215)),D215*F215,"n.a.")</x:f>
        <x:v>14583.333333333332</x:v>
      </x:c>
      <x:c r="H215" s="28" t="n">
        <x:v>1</x:v>
      </x:c>
      <x:c r="I215" s="28" t="n">
        <x:f>IF(H215=0,0,IF(ISNUMBER(D215),D215*H215,"n.a."))</x:f>
        <x:v>10500</x:v>
      </x:c>
      <x:c r="J215" s="28" t="n">
        <x:f>IF(ISNUMBER(G215),0,1)</x:f>
        <x:v>0</x:v>
      </x:c>
      <x:c r="K215" s="11" t="str">
        <x:v>'Best Chinchin'!C10:D10</x:v>
      </x:c>
      <x:c r="L215" s="11" t="str"/>
    </x:row>
    <x:row r="216" ht="28" customHeight="1">
      <x:c r="A216" s="10" t="str">
        <x:v>Best Chinchin</x:v>
      </x:c>
      <x:c r="B216" s="12" t="str">
        <x:v>salt</x:v>
      </x:c>
      <x:c r="C216" s="12" t="n">
        <x:v>250</x:v>
      </x:c>
      <x:c r="D216" s="14" t="n">
        <x:v>250</x:v>
      </x:c>
      <x:c r="E216" s="25" t="str">
        <x:v>P6</x:v>
      </x:c>
      <x:c r="F216" s="23" t="n">
        <x:f>Prices!E9</x:f>
        <x:v>0.20555555555555555</x:v>
      </x:c>
      <x:c r="G216" s="27" t="n">
        <x:f>IF(AND(ISNUMBER(D216),ISNUMBER(F216)),D216*F216,"n.a.")</x:f>
        <x:v>51.388888888888886</x:v>
      </x:c>
      <x:c r="H216" s="29" t="n">
        <x:v>1</x:v>
      </x:c>
      <x:c r="I216" s="29" t="n">
        <x:f>IF(H216=0,0,IF(ISNUMBER(D216),D216*H216,"n.a."))</x:f>
        <x:v>250</x:v>
      </x:c>
      <x:c r="J216" s="29" t="n">
        <x:f>IF(ISNUMBER(G216),0,1)</x:f>
        <x:v>0</x:v>
      </x:c>
      <x:c r="K216" s="12" t="str">
        <x:v>'Best Chinchin'!C11:D11</x:v>
      </x:c>
      <x:c r="L216" s="12" t="str"/>
    </x:row>
    <x:row r="217" ht="28" customHeight="1">
      <x:c r="A217" s="2" t="str">
        <x:v>Best Chinchin</x:v>
      </x:c>
      <x:c r="B217" s="11" t="str">
        <x:v>Improver</x:v>
      </x:c>
      <x:c r="C217" s="11" t="n">
        <x:v>200</x:v>
      </x:c>
      <x:c r="D217" s="13" t="n">
        <x:v>200</x:v>
      </x:c>
      <x:c r="E217" s="24" t="str">
        <x:v>P12</x:v>
      </x:c>
      <x:c r="F217" s="22" t="n">
        <x:f>Prices!E15</x:f>
        <x:v>2.8</x:v>
      </x:c>
      <x:c r="G217" s="26" t="n">
        <x:f>IF(AND(ISNUMBER(D217),ISNUMBER(F217)),D217*F217,"n.a.")</x:f>
        <x:v>560</x:v>
      </x:c>
      <x:c r="H217" s="28" t="n">
        <x:v>1</x:v>
      </x:c>
      <x:c r="I217" s="28" t="n">
        <x:f>IF(H217=0,0,IF(ISNUMBER(D217),D217*H217,"n.a."))</x:f>
        <x:v>200</x:v>
      </x:c>
      <x:c r="J217" s="28" t="n">
        <x:f>IF(ISNUMBER(G217),0,1)</x:f>
        <x:v>0</x:v>
      </x:c>
      <x:c r="K217" s="11" t="str">
        <x:v>'Best Chinchin'!C12:D12</x:v>
      </x:c>
      <x:c r="L217" s="11" t="str"/>
    </x:row>
    <x:row r="218" ht="28" customHeight="1">
      <x:c r="A218" s="10" t="str">
        <x:v>Best Chinchin</x:v>
      </x:c>
      <x:c r="B218" s="12" t="str">
        <x:v>oil</x:v>
      </x:c>
      <x:c r="C218" s="12" t="n">
        <x:v>400</x:v>
      </x:c>
      <x:c r="D218" s="14" t="n">
        <x:v>400</x:v>
      </x:c>
      <x:c r="E218" s="25" t="str">
        <x:v>P8</x:v>
      </x:c>
      <x:c r="F218" s="23" t="n">
        <x:f>Prices!E11</x:f>
        <x:v>1.22</x:v>
      </x:c>
      <x:c r="G218" s="27" t="n">
        <x:f>IF(AND(ISNUMBER(D218),ISNUMBER(F218)),D218*F218,"n.a.")</x:f>
        <x:v>488</x:v>
      </x:c>
      <x:c r="H218" s="29" t="n">
        <x:v>1</x:v>
      </x:c>
      <x:c r="I218" s="29" t="n">
        <x:f>IF(H218=0,0,IF(ISNUMBER(D218),D218*H218,"n.a."))</x:f>
        <x:v>400</x:v>
      </x:c>
      <x:c r="J218" s="29" t="n">
        <x:f>IF(ISNUMBER(G218),0,1)</x:f>
        <x:v>0</x:v>
      </x:c>
      <x:c r="K218" s="12" t="str">
        <x:v>'Best Chinchin'!C13:D13</x:v>
      </x:c>
      <x:c r="L218" s="12" t="str"/>
    </x:row>
    <x:row r="219" ht="28" customHeight="1">
      <x:c r="A219" s="2" t="str">
        <x:v>Best Chinchin</x:v>
      </x:c>
      <x:c r="B219" s="11" t="str">
        <x:v>oil</x:v>
      </x:c>
      <x:c r="C219" s="11" t="n">
        <x:v>15000</x:v>
      </x:c>
      <x:c r="D219" s="13" t="n">
        <x:v>15000</x:v>
      </x:c>
      <x:c r="E219" s="24" t="str">
        <x:v>P8</x:v>
      </x:c>
      <x:c r="F219" s="22" t="n">
        <x:f>Prices!E11</x:f>
        <x:v>1.22</x:v>
      </x:c>
      <x:c r="G219" s="26" t="n">
        <x:f>IF(AND(ISNUMBER(D219),ISNUMBER(F219)),D219*F219,"n.a.")</x:f>
        <x:v>18300</x:v>
      </x:c>
      <x:c r="H219" s="28" t="n">
        <x:v>0</x:v>
      </x:c>
      <x:c r="I219" s="28" t="n">
        <x:f>IF(H219=0,0,IF(ISNUMBER(D219),D219*H219,"n.a."))</x:f>
        <x:v>0</x:v>
      </x:c>
      <x:c r="J219" s="28" t="n">
        <x:f>IF(ISNUMBER(G219),0,1)</x:f>
        <x:v>0</x:v>
      </x:c>
      <x:c r="K219" s="11" t="str">
        <x:v>'Best Chinchin'!C14:D14</x:v>
      </x:c>
      <x:c r="L219" s="11" t="str">
        <x:v>Frying oil excluded from dough yield; stated charge is not measured net consumption.</x:v>
      </x:c>
    </x:row>
    <x:row r="220" ht="28" customHeight="1">
      <x:c r="A220" s="10" t="str">
        <x:v>Sugar Balls</x:v>
      </x:c>
      <x:c r="B220" s="12" t="str">
        <x:v>flour</x:v>
      </x:c>
      <x:c r="C220" s="12" t="n">
        <x:v>10000</x:v>
      </x:c>
      <x:c r="D220" s="14" t="n">
        <x:v>10000</x:v>
      </x:c>
      <x:c r="E220" s="25" t="str">
        <x:v>P4</x:v>
      </x:c>
      <x:c r="F220" s="23" t="n">
        <x:f>Prices!E7</x:f>
        <x:v>0.42</x:v>
      </x:c>
      <x:c r="G220" s="27" t="n">
        <x:f>IF(AND(ISNUMBER(D220),ISNUMBER(F220)),D220*F220,"n.a.")</x:f>
        <x:v>4200</x:v>
      </x:c>
      <x:c r="H220" s="29" t="n">
        <x:v>1</x:v>
      </x:c>
      <x:c r="I220" s="29" t="n">
        <x:f>IF(H220=0,0,IF(ISNUMBER(D220),D220*H220,"n.a."))</x:f>
        <x:v>10000</x:v>
      </x:c>
      <x:c r="J220" s="29" t="n">
        <x:f>IF(ISNUMBER(G220),0,1)</x:f>
        <x:v>0</x:v>
      </x:c>
      <x:c r="K220" s="12" t="str">
        <x:v>'Sugar Balls'!C5:D5</x:v>
      </x:c>
      <x:c r="L220" s="12" t="str"/>
    </x:row>
    <x:row r="221" ht="28" customHeight="1">
      <x:c r="A221" s="2" t="str">
        <x:v>Sugar Balls</x:v>
      </x:c>
      <x:c r="B221" s="11" t="str">
        <x:v>baking powder</x:v>
      </x:c>
      <x:c r="C221" s="11" t="n">
        <x:v>110</x:v>
      </x:c>
      <x:c r="D221" s="13" t="n">
        <x:v>110</x:v>
      </x:c>
      <x:c r="E221" s="24" t="str">
        <x:v>P10</x:v>
      </x:c>
      <x:c r="F221" s="22" t="n">
        <x:f>Prices!E13</x:f>
        <x:v>2.6</x:v>
      </x:c>
      <x:c r="G221" s="26" t="n">
        <x:f>IF(AND(ISNUMBER(D221),ISNUMBER(F221)),D221*F221,"n.a.")</x:f>
        <x:v>286</x:v>
      </x:c>
      <x:c r="H221" s="28" t="n">
        <x:v>1</x:v>
      </x:c>
      <x:c r="I221" s="28" t="n">
        <x:f>IF(H221=0,0,IF(ISNUMBER(D221),D221*H221,"n.a."))</x:f>
        <x:v>110</x:v>
      </x:c>
      <x:c r="J221" s="28" t="n">
        <x:f>IF(ISNUMBER(G221),0,1)</x:f>
        <x:v>0</x:v>
      </x:c>
      <x:c r="K221" s="11" t="str">
        <x:v>'Sugar Balls'!C6:D6</x:v>
      </x:c>
      <x:c r="L221" s="11" t="str"/>
    </x:row>
    <x:row r="222" ht="28" customHeight="1">
      <x:c r="A222" s="10" t="str">
        <x:v>Sugar Balls</x:v>
      </x:c>
      <x:c r="B222" s="12" t="str">
        <x:v>sugar</x:v>
      </x:c>
      <x:c r="C222" s="12" t="n">
        <x:v>1000</x:v>
      </x:c>
      <x:c r="D222" s="14" t="n">
        <x:v>1000</x:v>
      </x:c>
      <x:c r="E222" s="25" t="str">
        <x:v>P5</x:v>
      </x:c>
      <x:c r="F222" s="23" t="n">
        <x:f>Prices!E8</x:f>
        <x:v>0.64</x:v>
      </x:c>
      <x:c r="G222" s="27" t="n">
        <x:f>IF(AND(ISNUMBER(D222),ISNUMBER(F222)),D222*F222,"n.a.")</x:f>
        <x:v>640</x:v>
      </x:c>
      <x:c r="H222" s="29" t="n">
        <x:v>1</x:v>
      </x:c>
      <x:c r="I222" s="29" t="n">
        <x:f>IF(H222=0,0,IF(ISNUMBER(D222),D222*H222,"n.a."))</x:f>
        <x:v>1000</x:v>
      </x:c>
      <x:c r="J222" s="29" t="n">
        <x:f>IF(ISNUMBER(G222),0,1)</x:f>
        <x:v>0</x:v>
      </x:c>
      <x:c r="K222" s="12" t="str">
        <x:v>'Sugar Balls'!C7:D7</x:v>
      </x:c>
      <x:c r="L222" s="12" t="str"/>
    </x:row>
    <x:row r="223" ht="28" customHeight="1">
      <x:c r="A223" s="2" t="str">
        <x:v>Sugar Balls</x:v>
      </x:c>
      <x:c r="B223" s="11" t="str">
        <x:v>Butter</x:v>
      </x:c>
      <x:c r="C223" s="11" t="n">
        <x:v>1000</x:v>
      </x:c>
      <x:c r="D223" s="13" t="n">
        <x:v>1000</x:v>
      </x:c>
      <x:c r="E223" s="24" t="str">
        <x:v>P7</x:v>
      </x:c>
      <x:c r="F223" s="22" t="n">
        <x:f>Prices!E10</x:f>
        <x:v>1.263157894736842</x:v>
      </x:c>
      <x:c r="G223" s="26" t="n">
        <x:f>IF(AND(ISNUMBER(D223),ISNUMBER(F223)),D223*F223,"n.a.")</x:f>
        <x:v>1263.157894736842</x:v>
      </x:c>
      <x:c r="H223" s="28" t="n">
        <x:v>1</x:v>
      </x:c>
      <x:c r="I223" s="28" t="n">
        <x:f>IF(H223=0,0,IF(ISNUMBER(D223),D223*H223,"n.a."))</x:f>
        <x:v>1000</x:v>
      </x:c>
      <x:c r="J223" s="28" t="n">
        <x:f>IF(ISNUMBER(G223),0,1)</x:f>
        <x:v>0</x:v>
      </x:c>
      <x:c r="K223" s="11" t="str">
        <x:v>'Sugar Balls'!C8:D8</x:v>
      </x:c>
      <x:c r="L223" s="11" t="str"/>
    </x:row>
    <x:row r="224" ht="28" customHeight="1">
      <x:c r="A224" s="10" t="str">
        <x:v>Sugar Balls</x:v>
      </x:c>
      <x:c r="B224" s="12" t="str">
        <x:v>salt</x:v>
      </x:c>
      <x:c r="C224" s="12" t="n">
        <x:v>120</x:v>
      </x:c>
      <x:c r="D224" s="14" t="n">
        <x:v>120</x:v>
      </x:c>
      <x:c r="E224" s="25" t="str">
        <x:v>P6</x:v>
      </x:c>
      <x:c r="F224" s="23" t="n">
        <x:f>Prices!E9</x:f>
        <x:v>0.20555555555555555</x:v>
      </x:c>
      <x:c r="G224" s="27" t="n">
        <x:f>IF(AND(ISNUMBER(D224),ISNUMBER(F224)),D224*F224,"n.a.")</x:f>
        <x:v>24.666666666666664</x:v>
      </x:c>
      <x:c r="H224" s="29" t="n">
        <x:v>1</x:v>
      </x:c>
      <x:c r="I224" s="29" t="n">
        <x:f>IF(H224=0,0,IF(ISNUMBER(D224),D224*H224,"n.a."))</x:f>
        <x:v>120</x:v>
      </x:c>
      <x:c r="J224" s="29" t="n">
        <x:f>IF(ISNUMBER(G224),0,1)</x:f>
        <x:v>0</x:v>
      </x:c>
      <x:c r="K224" s="12" t="str">
        <x:v>'Sugar Balls'!C9:D9</x:v>
      </x:c>
      <x:c r="L224" s="12" t="str"/>
    </x:row>
    <x:row r="225" ht="28" customHeight="1">
      <x:c r="A225" s="2" t="str">
        <x:v>Sugar Balls</x:v>
      </x:c>
      <x:c r="B225" s="11" t="str">
        <x:v>Cold Water</x:v>
      </x:c>
      <x:c r="C225" s="11" t="n">
        <x:v>4500</x:v>
      </x:c>
      <x:c r="D225" s="13" t="n">
        <x:v>4500</x:v>
      </x:c>
      <x:c r="E225" s="24" t="str">
        <x:v>P16</x:v>
      </x:c>
      <x:c r="F225" s="22" t="n">
        <x:f>Prices!E19</x:f>
        <x:v>0.0001</x:v>
      </x:c>
      <x:c r="G225" s="26" t="n">
        <x:f>IF(AND(ISNUMBER(D225),ISNUMBER(F225)),D225*F225,"n.a.")</x:f>
        <x:v>0.45</x:v>
      </x:c>
      <x:c r="H225" s="28" t="n">
        <x:v>1</x:v>
      </x:c>
      <x:c r="I225" s="28" t="n">
        <x:f>IF(H225=0,0,IF(ISNUMBER(D225),D225*H225,"n.a."))</x:f>
        <x:v>4500</x:v>
      </x:c>
      <x:c r="J225" s="28" t="n">
        <x:f>IF(ISNUMBER(G225),0,1)</x:f>
        <x:v>0</x:v>
      </x:c>
      <x:c r="K225" s="11" t="str">
        <x:v>'Sugar Balls'!C10:D10</x:v>
      </x:c>
      <x:c r="L225" s="11" t="str"/>
    </x:row>
    <x:row r="226" ht="28" customHeight="1">
      <x:c r="A226" s="10" t="str">
        <x:v>Sugar Balls</x:v>
      </x:c>
      <x:c r="B226" s="12" t="str">
        <x:v>Improver</x:v>
      </x:c>
      <x:c r="C226" s="12" t="n">
        <x:v>120</x:v>
      </x:c>
      <x:c r="D226" s="14" t="n">
        <x:v>120</x:v>
      </x:c>
      <x:c r="E226" s="25" t="str">
        <x:v>P12</x:v>
      </x:c>
      <x:c r="F226" s="23" t="n">
        <x:f>Prices!E15</x:f>
        <x:v>2.8</x:v>
      </x:c>
      <x:c r="G226" s="27" t="n">
        <x:f>IF(AND(ISNUMBER(D226),ISNUMBER(F226)),D226*F226,"n.a.")</x:f>
        <x:v>336</x:v>
      </x:c>
      <x:c r="H226" s="29" t="n">
        <x:v>1</x:v>
      </x:c>
      <x:c r="I226" s="29" t="n">
        <x:f>IF(H226=0,0,IF(ISNUMBER(D226),D226*H226,"n.a."))</x:f>
        <x:v>120</x:v>
      </x:c>
      <x:c r="J226" s="29" t="n">
        <x:f>IF(ISNUMBER(G226),0,1)</x:f>
        <x:v>0</x:v>
      </x:c>
      <x:c r="K226" s="12" t="str">
        <x:v>'Sugar Balls'!C11:D11</x:v>
      </x:c>
      <x:c r="L226" s="12" t="str"/>
    </x:row>
    <x:row r="227" ht="28" customHeight="1">
      <x:c r="A227" s="2" t="str">
        <x:v>Sugar Balls</x:v>
      </x:c>
      <x:c r="B227" s="11" t="str">
        <x:v>yeast</x:v>
      </x:c>
      <x:c r="C227" s="11" t="n">
        <x:v>160</x:v>
      </x:c>
      <x:c r="D227" s="13" t="n">
        <x:v>160</x:v>
      </x:c>
      <x:c r="E227" s="24" t="str">
        <x:v>P9</x:v>
      </x:c>
      <x:c r="F227" s="22" t="n">
        <x:f>Prices!E12</x:f>
        <x:v>2.8</x:v>
      </x:c>
      <x:c r="G227" s="26" t="n">
        <x:f>IF(AND(ISNUMBER(D227),ISNUMBER(F227)),D227*F227,"n.a.")</x:f>
        <x:v>448</x:v>
      </x:c>
      <x:c r="H227" s="28" t="n">
        <x:v>1</x:v>
      </x:c>
      <x:c r="I227" s="28" t="n">
        <x:f>IF(H227=0,0,IF(ISNUMBER(D227),D227*H227,"n.a."))</x:f>
        <x:v>160</x:v>
      </x:c>
      <x:c r="J227" s="28" t="n">
        <x:f>IF(ISNUMBER(G227),0,1)</x:f>
        <x:v>0</x:v>
      </x:c>
      <x:c r="K227" s="11" t="str">
        <x:v>'Sugar Balls'!C12:D12</x:v>
      </x:c>
      <x:c r="L227" s="11" t="str"/>
    </x:row>
    <x:row r="228" ht="28" customHeight="1">
      <x:c r="A228" s="10" t="str">
        <x:v>Sugar Balls</x:v>
      </x:c>
      <x:c r="B228" s="12" t="str">
        <x:v>Frying oil consumed/discarded</x:v>
      </x:c>
      <x:c r="C228" s="12"/>
      <x:c r="D228" s="15"/>
      <x:c r="E228" s="25" t="str">
        <x:v>P8</x:v>
      </x:c>
      <x:c r="F228" s="23" t="n">
        <x:f>Prices!E11</x:f>
        <x:v>1.22</x:v>
      </x:c>
      <x:c r="G228" s="27" t="str">
        <x:f>IF(AND(ISNUMBER(D228),ISNUMBER(F228)),D228*F228,"n.a.")</x:f>
        <x:v>n.a.</x:v>
      </x:c>
      <x:c r="H228" s="29" t="n">
        <x:v>0</x:v>
      </x:c>
      <x:c r="I228" s="29" t="n">
        <x:f>IF(H228=0,0,IF(ISNUMBER(D228),D228*H228,"n.a."))</x:f>
        <x:v>0</x:v>
      </x:c>
      <x:c r="J228" s="29" t="n">
        <x:f>IF(ISNUMBER(G228),0,1)</x:f>
        <x:v>1</x:v>
      </x:c>
      <x:c r="K228" s="12" t="str">
        <x:v>'Sugar Balls'!ingredient list (absent)</x:v>
      </x:c>
      <x:c r="L228" s="12" t="str">
        <x:v>Measure net oil cost allocated to this batch; source has no line.</x:v>
      </x:c>
    </x:row>
    <x:row r="229" ht="28" customHeight="1">
      <x:c r="A229" s="2" t="str">
        <x:v>Beignet soufle</x:v>
      </x:c>
      <x:c r="B229" s="11" t="str">
        <x:v>flour</x:v>
      </x:c>
      <x:c r="C229" s="11" t="n">
        <x:v>6000</x:v>
      </x:c>
      <x:c r="D229" s="13" t="n">
        <x:v>6000</x:v>
      </x:c>
      <x:c r="E229" s="24" t="str">
        <x:v>P4</x:v>
      </x:c>
      <x:c r="F229" s="22" t="n">
        <x:f>Prices!E7</x:f>
        <x:v>0.42</x:v>
      </x:c>
      <x:c r="G229" s="26" t="n">
        <x:f>IF(AND(ISNUMBER(D229),ISNUMBER(F229)),D229*F229,"n.a.")</x:f>
        <x:v>2520</x:v>
      </x:c>
      <x:c r="H229" s="28" t="n">
        <x:v>1</x:v>
      </x:c>
      <x:c r="I229" s="28" t="n">
        <x:f>IF(H229=0,0,IF(ISNUMBER(D229),D229*H229,"n.a."))</x:f>
        <x:v>6000</x:v>
      </x:c>
      <x:c r="J229" s="28" t="n">
        <x:f>IF(ISNUMBER(G229),0,1)</x:f>
        <x:v>0</x:v>
      </x:c>
      <x:c r="K229" s="11" t="str">
        <x:v>'Beignet soufle'!C5:F5</x:v>
      </x:c>
      <x:c r="L229" s="11" t="str"/>
    </x:row>
    <x:row r="230" ht="28" customHeight="1">
      <x:c r="A230" s="10" t="str">
        <x:v>Beignet soufle</x:v>
      </x:c>
      <x:c r="B230" s="12" t="str">
        <x:v>Butter</x:v>
      </x:c>
      <x:c r="C230" s="12" t="n">
        <x:v>1000</x:v>
      </x:c>
      <x:c r="D230" s="14" t="n">
        <x:v>1000</x:v>
      </x:c>
      <x:c r="E230" s="25" t="str">
        <x:v>P7</x:v>
      </x:c>
      <x:c r="F230" s="23" t="n">
        <x:f>Prices!E10</x:f>
        <x:v>1.263157894736842</x:v>
      </x:c>
      <x:c r="G230" s="27" t="n">
        <x:f>IF(AND(ISNUMBER(D230),ISNUMBER(F230)),D230*F230,"n.a.")</x:f>
        <x:v>1263.157894736842</x:v>
      </x:c>
      <x:c r="H230" s="29" t="n">
        <x:v>1</x:v>
      </x:c>
      <x:c r="I230" s="29" t="n">
        <x:f>IF(H230=0,0,IF(ISNUMBER(D230),D230*H230,"n.a."))</x:f>
        <x:v>1000</x:v>
      </x:c>
      <x:c r="J230" s="29" t="n">
        <x:f>IF(ISNUMBER(G230),0,1)</x:f>
        <x:v>0</x:v>
      </x:c>
      <x:c r="K230" s="12" t="str">
        <x:v>'Beignet soufle'!C6:F6</x:v>
      </x:c>
      <x:c r="L230" s="12" t="str"/>
    </x:row>
    <x:row r="231" ht="28" customHeight="1">
      <x:c r="A231" s="2" t="str">
        <x:v>Beignet soufle</x:v>
      </x:c>
      <x:c r="B231" s="11" t="str">
        <x:v>sugar</x:v>
      </x:c>
      <x:c r="C231" s="11" t="n">
        <x:v>1200</x:v>
      </x:c>
      <x:c r="D231" s="13" t="n">
        <x:v>1200</x:v>
      </x:c>
      <x:c r="E231" s="24" t="str">
        <x:v>P5</x:v>
      </x:c>
      <x:c r="F231" s="22" t="n">
        <x:f>Prices!E8</x:f>
        <x:v>0.64</x:v>
      </x:c>
      <x:c r="G231" s="26" t="n">
        <x:f>IF(AND(ISNUMBER(D231),ISNUMBER(F231)),D231*F231,"n.a.")</x:f>
        <x:v>768</x:v>
      </x:c>
      <x:c r="H231" s="28" t="n">
        <x:v>1</x:v>
      </x:c>
      <x:c r="I231" s="28" t="n">
        <x:f>IF(H231=0,0,IF(ISNUMBER(D231),D231*H231,"n.a."))</x:f>
        <x:v>1200</x:v>
      </x:c>
      <x:c r="J231" s="28" t="n">
        <x:f>IF(ISNUMBER(G231),0,1)</x:f>
        <x:v>0</x:v>
      </x:c>
      <x:c r="K231" s="11" t="str">
        <x:v>'Beignet soufle'!C7:F7</x:v>
      </x:c>
      <x:c r="L231" s="11" t="str"/>
    </x:row>
    <x:row r="232" ht="28" customHeight="1">
      <x:c r="A232" s="10" t="str">
        <x:v>Beignet soufle</x:v>
      </x:c>
      <x:c r="B232" s="12" t="str">
        <x:v>Milk</x:v>
      </x:c>
      <x:c r="C232" s="12" t="n">
        <x:v>500</x:v>
      </x:c>
      <x:c r="D232" s="14" t="n">
        <x:v>500</x:v>
      </x:c>
      <x:c r="E232" s="25" t="str">
        <x:v>P15</x:v>
      </x:c>
      <x:c r="F232" s="23" t="n">
        <x:f>Prices!E18</x:f>
        <x:v>1.17</x:v>
      </x:c>
      <x:c r="G232" s="27" t="n">
        <x:f>IF(AND(ISNUMBER(D232),ISNUMBER(F232)),D232*F232,"n.a.")</x:f>
        <x:v>585</x:v>
      </x:c>
      <x:c r="H232" s="29" t="n">
        <x:v>1</x:v>
      </x:c>
      <x:c r="I232" s="29" t="n">
        <x:f>IF(H232=0,0,IF(ISNUMBER(D232),D232*H232,"n.a."))</x:f>
        <x:v>500</x:v>
      </x:c>
      <x:c r="J232" s="29" t="n">
        <x:f>IF(ISNUMBER(G232),0,1)</x:f>
        <x:v>0</x:v>
      </x:c>
      <x:c r="K232" s="12" t="str">
        <x:v>'Beignet soufle'!C8:F8</x:v>
      </x:c>
      <x:c r="L232" s="12" t="str"/>
    </x:row>
    <x:row r="233" ht="28" customHeight="1">
      <x:c r="A233" s="2" t="str">
        <x:v>Beignet soufle</x:v>
      </x:c>
      <x:c r="B233" s="11" t="str">
        <x:v>egg</x:v>
      </x:c>
      <x:c r="C233" s="11" t="n">
        <x:v>1500</x:v>
      </x:c>
      <x:c r="D233" s="13" t="n">
        <x:v>1500</x:v>
      </x:c>
      <x:c r="E233" s="24" t="str">
        <x:v>P13</x:v>
      </x:c>
      <x:c r="F233" s="22" t="n">
        <x:f>Prices!E16</x:f>
        <x:v>1.3333333333333333</x:v>
      </x:c>
      <x:c r="G233" s="26" t="n">
        <x:f>IF(AND(ISNUMBER(D233),ISNUMBER(F233)),D233*F233,"n.a.")</x:f>
        <x:v>2000</x:v>
      </x:c>
      <x:c r="H233" s="28" t="n">
        <x:v>1</x:v>
      </x:c>
      <x:c r="I233" s="28" t="n">
        <x:f>IF(H233=0,0,IF(ISNUMBER(D233),D233*H233,"n.a."))</x:f>
        <x:v>1500</x:v>
      </x:c>
      <x:c r="J233" s="28" t="n">
        <x:f>IF(ISNUMBER(G233),0,1)</x:f>
        <x:v>0</x:v>
      </x:c>
      <x:c r="K233" s="11" t="str">
        <x:v>'Beignet soufle'!C9:F9</x:v>
      </x:c>
      <x:c r="L233" s="11" t="str"/>
    </x:row>
    <x:row r="234" ht="28" customHeight="1">
      <x:c r="A234" s="10" t="str">
        <x:v>Beignet soufle</x:v>
      </x:c>
      <x:c r="B234" s="12" t="str">
        <x:v>Baking powder</x:v>
      </x:c>
      <x:c r="C234" s="12" t="n">
        <x:v>60</x:v>
      </x:c>
      <x:c r="D234" s="14" t="n">
        <x:v>60</x:v>
      </x:c>
      <x:c r="E234" s="25" t="str">
        <x:v>P10</x:v>
      </x:c>
      <x:c r="F234" s="23" t="n">
        <x:f>Prices!E13</x:f>
        <x:v>2.6</x:v>
      </x:c>
      <x:c r="G234" s="27" t="n">
        <x:f>IF(AND(ISNUMBER(D234),ISNUMBER(F234)),D234*F234,"n.a.")</x:f>
        <x:v>156</x:v>
      </x:c>
      <x:c r="H234" s="29" t="n">
        <x:v>1</x:v>
      </x:c>
      <x:c r="I234" s="29" t="n">
        <x:f>IF(H234=0,0,IF(ISNUMBER(D234),D234*H234,"n.a."))</x:f>
        <x:v>60</x:v>
      </x:c>
      <x:c r="J234" s="29" t="n">
        <x:f>IF(ISNUMBER(G234),0,1)</x:f>
        <x:v>0</x:v>
      </x:c>
      <x:c r="K234" s="12" t="str">
        <x:v>'Beignet soufle'!C10:F10</x:v>
      </x:c>
      <x:c r="L234" s="12" t="str"/>
    </x:row>
    <x:row r="235" ht="28" customHeight="1">
      <x:c r="A235" s="2" t="str">
        <x:v>Beignet soufle</x:v>
      </x:c>
      <x:c r="B235" s="11" t="str">
        <x:v>salt</x:v>
      </x:c>
      <x:c r="C235" s="11" t="n">
        <x:v>60</x:v>
      </x:c>
      <x:c r="D235" s="13" t="n">
        <x:v>60</x:v>
      </x:c>
      <x:c r="E235" s="24" t="str">
        <x:v>P6</x:v>
      </x:c>
      <x:c r="F235" s="22" t="n">
        <x:f>Prices!E9</x:f>
        <x:v>0.20555555555555555</x:v>
      </x:c>
      <x:c r="G235" s="26" t="n">
        <x:f>IF(AND(ISNUMBER(D235),ISNUMBER(F235)),D235*F235,"n.a.")</x:f>
        <x:v>12.333333333333332</x:v>
      </x:c>
      <x:c r="H235" s="28" t="n">
        <x:v>1</x:v>
      </x:c>
      <x:c r="I235" s="28" t="n">
        <x:f>IF(H235=0,0,IF(ISNUMBER(D235),D235*H235,"n.a."))</x:f>
        <x:v>60</x:v>
      </x:c>
      <x:c r="J235" s="28" t="n">
        <x:f>IF(ISNUMBER(G235),0,1)</x:f>
        <x:v>0</x:v>
      </x:c>
      <x:c r="K235" s="11" t="str">
        <x:v>'Beignet soufle'!C11:F11</x:v>
      </x:c>
      <x:c r="L235" s="11" t="str"/>
    </x:row>
    <x:row r="236" ht="28" customHeight="1">
      <x:c r="A236" s="10" t="str">
        <x:v>Beignet soufle</x:v>
      </x:c>
      <x:c r="B236" s="12" t="str">
        <x:v>water</x:v>
      </x:c>
      <x:c r="C236" s="12" t="n">
        <x:v>2000</x:v>
      </x:c>
      <x:c r="D236" s="14" t="n">
        <x:v>2000</x:v>
      </x:c>
      <x:c r="E236" s="25" t="str">
        <x:v>P16</x:v>
      </x:c>
      <x:c r="F236" s="23" t="n">
        <x:f>Prices!E19</x:f>
        <x:v>0.0001</x:v>
      </x:c>
      <x:c r="G236" s="27" t="n">
        <x:f>IF(AND(ISNUMBER(D236),ISNUMBER(F236)),D236*F236,"n.a.")</x:f>
        <x:v>0.2</x:v>
      </x:c>
      <x:c r="H236" s="29" t="n">
        <x:v>1</x:v>
      </x:c>
      <x:c r="I236" s="29" t="n">
        <x:f>IF(H236=0,0,IF(ISNUMBER(D236),D236*H236,"n.a."))</x:f>
        <x:v>2000</x:v>
      </x:c>
      <x:c r="J236" s="29" t="n">
        <x:f>IF(ISNUMBER(G236),0,1)</x:f>
        <x:v>0</x:v>
      </x:c>
      <x:c r="K236" s="12" t="str">
        <x:v>'Beignet soufle'!C12:F12</x:v>
      </x:c>
      <x:c r="L236" s="12" t="str"/>
    </x:row>
    <x:row r="237" ht="28" customHeight="1">
      <x:c r="A237" s="2" t="str">
        <x:v>Beignet soufle</x:v>
      </x:c>
      <x:c r="B237" s="11" t="str">
        <x:v>improver</x:v>
      </x:c>
      <x:c r="C237" s="11" t="n">
        <x:v>50</x:v>
      </x:c>
      <x:c r="D237" s="13" t="n">
        <x:v>50</x:v>
      </x:c>
      <x:c r="E237" s="24" t="str">
        <x:v>P12</x:v>
      </x:c>
      <x:c r="F237" s="22" t="n">
        <x:f>Prices!E15</x:f>
        <x:v>2.8</x:v>
      </x:c>
      <x:c r="G237" s="26" t="n">
        <x:f>IF(AND(ISNUMBER(D237),ISNUMBER(F237)),D237*F237,"n.a.")</x:f>
        <x:v>140</x:v>
      </x:c>
      <x:c r="H237" s="28" t="n">
        <x:v>1</x:v>
      </x:c>
      <x:c r="I237" s="28" t="n">
        <x:f>IF(H237=0,0,IF(ISNUMBER(D237),D237*H237,"n.a."))</x:f>
        <x:v>50</x:v>
      </x:c>
      <x:c r="J237" s="28" t="n">
        <x:f>IF(ISNUMBER(G237),0,1)</x:f>
        <x:v>0</x:v>
      </x:c>
      <x:c r="K237" s="11" t="str">
        <x:v>'Beignet soufle'!C13:F13</x:v>
      </x:c>
      <x:c r="L237" s="11" t="str"/>
    </x:row>
    <x:row r="238" ht="28" customHeight="1">
      <x:c r="A238" s="10" t="str">
        <x:v>Beignet soufle</x:v>
      </x:c>
      <x:c r="B238" s="12" t="str">
        <x:v>EDC</x:v>
      </x:c>
      <x:c r="C238" s="12" t="n">
        <x:v>10</x:v>
      </x:c>
      <x:c r="D238" s="14" t="n">
        <x:v>10</x:v>
      </x:c>
      <x:c r="E238" s="25" t="str">
        <x:v>P19</x:v>
      </x:c>
      <x:c r="F238" s="23" t="n">
        <x:f>Prices!E22</x:f>
        <x:v>3</x:v>
      </x:c>
      <x:c r="G238" s="27" t="n">
        <x:f>IF(AND(ISNUMBER(D238),ISNUMBER(F238)),D238*F238,"n.a.")</x:f>
        <x:v>30</x:v>
      </x:c>
      <x:c r="H238" s="29" t="n">
        <x:v>1</x:v>
      </x:c>
      <x:c r="I238" s="29" t="n">
        <x:f>IF(H238=0,0,IF(ISNUMBER(D238),D238*H238,"n.a."))</x:f>
        <x:v>10</x:v>
      </x:c>
      <x:c r="J238" s="29" t="n">
        <x:f>IF(ISNUMBER(G238),0,1)</x:f>
        <x:v>0</x:v>
      </x:c>
      <x:c r="K238" s="12" t="str">
        <x:v>'Beignet soufle'!C14:F14</x:v>
      </x:c>
      <x:c r="L238" s="12" t="str"/>
    </x:row>
    <x:row r="239" ht="28" customHeight="1">
      <x:c r="A239" s="2" t="str">
        <x:v>Beignet soufle</x:v>
      </x:c>
      <x:c r="B239" s="11" t="str">
        <x:v>Frying oil consumed/discarded</x:v>
      </x:c>
      <x:c r="C239" s="11"/>
      <x:c r="D239" s="15"/>
      <x:c r="E239" s="24" t="str">
        <x:v>P8</x:v>
      </x:c>
      <x:c r="F239" s="22" t="n">
        <x:f>Prices!E11</x:f>
        <x:v>1.22</x:v>
      </x:c>
      <x:c r="G239" s="26" t="str">
        <x:f>IF(AND(ISNUMBER(D239),ISNUMBER(F239)),D239*F239,"n.a.")</x:f>
        <x:v>n.a.</x:v>
      </x:c>
      <x:c r="H239" s="28" t="n">
        <x:v>0</x:v>
      </x:c>
      <x:c r="I239" s="28" t="n">
        <x:f>IF(H239=0,0,IF(ISNUMBER(D239),D239*H239,"n.a."))</x:f>
        <x:v>0</x:v>
      </x:c>
      <x:c r="J239" s="28" t="n">
        <x:f>IF(ISNUMBER(G239),0,1)</x:f>
        <x:v>1</x:v>
      </x:c>
      <x:c r="K239" s="11" t="str">
        <x:v>'Beignet soufle'!ingredient list (absent)</x:v>
      </x:c>
      <x:c r="L239" s="11" t="str">
        <x:v>Measure net oil cost allocated to this batch; source has no line.</x:v>
      </x:c>
    </x:row>
    <x:row r="240" ht="28" customHeight="1">
      <x:c r="A240" s="10" t="str">
        <x:v>Zebree</x:v>
      </x:c>
      <x:c r="B240" s="12" t="str">
        <x:v>flour</x:v>
      </x:c>
      <x:c r="C240" s="12" t="n">
        <x:v>10000</x:v>
      </x:c>
      <x:c r="D240" s="14" t="n">
        <x:v>10000</x:v>
      </x:c>
      <x:c r="E240" s="25" t="str">
        <x:v>P4</x:v>
      </x:c>
      <x:c r="F240" s="23" t="n">
        <x:f>Prices!E7</x:f>
        <x:v>0.42</x:v>
      </x:c>
      <x:c r="G240" s="27" t="n">
        <x:f>IF(AND(ISNUMBER(D240),ISNUMBER(F240)),D240*F240,"n.a.")</x:f>
        <x:v>4200</x:v>
      </x:c>
      <x:c r="H240" s="29" t="n">
        <x:v>1</x:v>
      </x:c>
      <x:c r="I240" s="29" t="n">
        <x:f>IF(H240=0,0,IF(ISNUMBER(D240),D240*H240,"n.a."))</x:f>
        <x:v>10000</x:v>
      </x:c>
      <x:c r="J240" s="29" t="n">
        <x:f>IF(ISNUMBER(G240),0,1)</x:f>
        <x:v>0</x:v>
      </x:c>
      <x:c r="K240" s="12" t="str">
        <x:v>'Zebree'!C5:D5</x:v>
      </x:c>
      <x:c r="L240" s="12" t="str"/>
    </x:row>
    <x:row r="241" ht="28" customHeight="1">
      <x:c r="A241" s="2" t="str">
        <x:v>Zebree</x:v>
      </x:c>
      <x:c r="B241" s="11" t="str">
        <x:v>Butter</x:v>
      </x:c>
      <x:c r="C241" s="11" t="n">
        <x:v>1000</x:v>
      </x:c>
      <x:c r="D241" s="13" t="n">
        <x:v>1000</x:v>
      </x:c>
      <x:c r="E241" s="24" t="str">
        <x:v>P7</x:v>
      </x:c>
      <x:c r="F241" s="22" t="n">
        <x:f>Prices!E10</x:f>
        <x:v>1.263157894736842</x:v>
      </x:c>
      <x:c r="G241" s="26" t="n">
        <x:f>IF(AND(ISNUMBER(D241),ISNUMBER(F241)),D241*F241,"n.a.")</x:f>
        <x:v>1263.157894736842</x:v>
      </x:c>
      <x:c r="H241" s="28" t="n">
        <x:v>1</x:v>
      </x:c>
      <x:c r="I241" s="28" t="n">
        <x:f>IF(H241=0,0,IF(ISNUMBER(D241),D241*H241,"n.a."))</x:f>
        <x:v>1000</x:v>
      </x:c>
      <x:c r="J241" s="28" t="n">
        <x:f>IF(ISNUMBER(G241),0,1)</x:f>
        <x:v>0</x:v>
      </x:c>
      <x:c r="K241" s="11" t="str">
        <x:v>'Zebree'!C6:D6</x:v>
      </x:c>
      <x:c r="L241" s="11" t="str"/>
    </x:row>
    <x:row r="242" ht="28" customHeight="1">
      <x:c r="A242" s="10" t="str">
        <x:v>Zebree</x:v>
      </x:c>
      <x:c r="B242" s="12" t="str">
        <x:v>sugar</x:v>
      </x:c>
      <x:c r="C242" s="12" t="n">
        <x:v>1000</x:v>
      </x:c>
      <x:c r="D242" s="14" t="n">
        <x:v>1000</x:v>
      </x:c>
      <x:c r="E242" s="25" t="str">
        <x:v>P5</x:v>
      </x:c>
      <x:c r="F242" s="23" t="n">
        <x:f>Prices!E8</x:f>
        <x:v>0.64</x:v>
      </x:c>
      <x:c r="G242" s="27" t="n">
        <x:f>IF(AND(ISNUMBER(D242),ISNUMBER(F242)),D242*F242,"n.a.")</x:f>
        <x:v>640</x:v>
      </x:c>
      <x:c r="H242" s="29" t="n">
        <x:v>1</x:v>
      </x:c>
      <x:c r="I242" s="29" t="n">
        <x:f>IF(H242=0,0,IF(ISNUMBER(D242),D242*H242,"n.a."))</x:f>
        <x:v>1000</x:v>
      </x:c>
      <x:c r="J242" s="29" t="n">
        <x:f>IF(ISNUMBER(G242),0,1)</x:f>
        <x:v>0</x:v>
      </x:c>
      <x:c r="K242" s="12" t="str">
        <x:v>'Zebree'!C7:D7</x:v>
      </x:c>
      <x:c r="L242" s="12" t="str"/>
    </x:row>
    <x:row r="243" ht="28" customHeight="1">
      <x:c r="A243" s="2" t="str">
        <x:v>Zebree</x:v>
      </x:c>
      <x:c r="B243" s="11" t="str">
        <x:v>Milk</x:v>
      </x:c>
      <x:c r="C243" s="11" t="n">
        <x:v>800</x:v>
      </x:c>
      <x:c r="D243" s="13" t="n">
        <x:v>800</x:v>
      </x:c>
      <x:c r="E243" s="24" t="str">
        <x:v>P15</x:v>
      </x:c>
      <x:c r="F243" s="22" t="n">
        <x:f>Prices!E18</x:f>
        <x:v>1.17</x:v>
      </x:c>
      <x:c r="G243" s="26" t="n">
        <x:f>IF(AND(ISNUMBER(D243),ISNUMBER(F243)),D243*F243,"n.a.")</x:f>
        <x:v>936</x:v>
      </x:c>
      <x:c r="H243" s="28" t="n">
        <x:v>1</x:v>
      </x:c>
      <x:c r="I243" s="28" t="n">
        <x:f>IF(H243=0,0,IF(ISNUMBER(D243),D243*H243,"n.a."))</x:f>
        <x:v>800</x:v>
      </x:c>
      <x:c r="J243" s="28" t="n">
        <x:f>IF(ISNUMBER(G243),0,1)</x:f>
        <x:v>0</x:v>
      </x:c>
      <x:c r="K243" s="11" t="str">
        <x:v>'Zebree'!C8:D8</x:v>
      </x:c>
      <x:c r="L243" s="11" t="str"/>
    </x:row>
    <x:row r="244" ht="28" customHeight="1">
      <x:c r="A244" s="10" t="str">
        <x:v>Zebree</x:v>
      </x:c>
      <x:c r="B244" s="12" t="str">
        <x:v>egg</x:v>
      </x:c>
      <x:c r="C244" s="12" t="n">
        <x:v>750</x:v>
      </x:c>
      <x:c r="D244" s="14" t="n">
        <x:v>750</x:v>
      </x:c>
      <x:c r="E244" s="25" t="str">
        <x:v>P13</x:v>
      </x:c>
      <x:c r="F244" s="23" t="n">
        <x:f>Prices!E16</x:f>
        <x:v>1.3333333333333333</x:v>
      </x:c>
      <x:c r="G244" s="27" t="n">
        <x:f>IF(AND(ISNUMBER(D244),ISNUMBER(F244)),D244*F244,"n.a.")</x:f>
        <x:v>1000</x:v>
      </x:c>
      <x:c r="H244" s="29" t="n">
        <x:v>1</x:v>
      </x:c>
      <x:c r="I244" s="29" t="n">
        <x:f>IF(H244=0,0,IF(ISNUMBER(D244),D244*H244,"n.a."))</x:f>
        <x:v>750</x:v>
      </x:c>
      <x:c r="J244" s="29" t="n">
        <x:f>IF(ISNUMBER(G244),0,1)</x:f>
        <x:v>0</x:v>
      </x:c>
      <x:c r="K244" s="12" t="str">
        <x:v>'Zebree'!C9:D9</x:v>
      </x:c>
      <x:c r="L244" s="12" t="str"/>
    </x:row>
    <x:row r="245" ht="28" customHeight="1">
      <x:c r="A245" s="2" t="str">
        <x:v>Zebree</x:v>
      </x:c>
      <x:c r="B245" s="11" t="str">
        <x:v>salt</x:v>
      </x:c>
      <x:c r="C245" s="11" t="n">
        <x:v>110</x:v>
      </x:c>
      <x:c r="D245" s="13" t="n">
        <x:v>110</x:v>
      </x:c>
      <x:c r="E245" s="24" t="str">
        <x:v>P6</x:v>
      </x:c>
      <x:c r="F245" s="22" t="n">
        <x:f>Prices!E9</x:f>
        <x:v>0.20555555555555555</x:v>
      </x:c>
      <x:c r="G245" s="26" t="n">
        <x:f>IF(AND(ISNUMBER(D245),ISNUMBER(F245)),D245*F245,"n.a.")</x:f>
        <x:v>22.61111111111111</x:v>
      </x:c>
      <x:c r="H245" s="28" t="n">
        <x:v>1</x:v>
      </x:c>
      <x:c r="I245" s="28" t="n">
        <x:f>IF(H245=0,0,IF(ISNUMBER(D245),D245*H245,"n.a."))</x:f>
        <x:v>110</x:v>
      </x:c>
      <x:c r="J245" s="28" t="n">
        <x:f>IF(ISNUMBER(G245),0,1)</x:f>
        <x:v>0</x:v>
      </x:c>
      <x:c r="K245" s="11" t="str">
        <x:v>'Zebree'!C10:D10</x:v>
      </x:c>
      <x:c r="L245" s="11" t="str"/>
    </x:row>
    <x:row r="246" ht="28" customHeight="1">
      <x:c r="A246" s="10" t="str">
        <x:v>Zebree</x:v>
      </x:c>
      <x:c r="B246" s="12" t="str">
        <x:v>improver</x:v>
      </x:c>
      <x:c r="C246" s="12" t="n">
        <x:v>100</x:v>
      </x:c>
      <x:c r="D246" s="14" t="n">
        <x:v>100</x:v>
      </x:c>
      <x:c r="E246" s="25" t="str">
        <x:v>P12</x:v>
      </x:c>
      <x:c r="F246" s="23" t="n">
        <x:f>Prices!E15</x:f>
        <x:v>2.8</x:v>
      </x:c>
      <x:c r="G246" s="27" t="n">
        <x:f>IF(AND(ISNUMBER(D246),ISNUMBER(F246)),D246*F246,"n.a.")</x:f>
        <x:v>280</x:v>
      </x:c>
      <x:c r="H246" s="29" t="n">
        <x:v>1</x:v>
      </x:c>
      <x:c r="I246" s="29" t="n">
        <x:f>IF(H246=0,0,IF(ISNUMBER(D246),D246*H246,"n.a."))</x:f>
        <x:v>100</x:v>
      </x:c>
      <x:c r="J246" s="29" t="n">
        <x:f>IF(ISNUMBER(G246),0,1)</x:f>
        <x:v>0</x:v>
      </x:c>
      <x:c r="K246" s="12" t="str">
        <x:v>'Zebree'!C11:D11</x:v>
      </x:c>
      <x:c r="L246" s="12" t="str"/>
    </x:row>
    <x:row r="247" ht="28" customHeight="1">
      <x:c r="A247" s="2" t="str">
        <x:v>Zebree</x:v>
      </x:c>
      <x:c r="B247" s="11" t="str">
        <x:v>yeast</x:v>
      </x:c>
      <x:c r="C247" s="11" t="n">
        <x:v>85</x:v>
      </x:c>
      <x:c r="D247" s="13" t="n">
        <x:v>85</x:v>
      </x:c>
      <x:c r="E247" s="24" t="str">
        <x:v>P9</x:v>
      </x:c>
      <x:c r="F247" s="22" t="n">
        <x:f>Prices!E12</x:f>
        <x:v>2.8</x:v>
      </x:c>
      <x:c r="G247" s="26" t="n">
        <x:f>IF(AND(ISNUMBER(D247),ISNUMBER(F247)),D247*F247,"n.a.")</x:f>
        <x:v>237.99999999999997</x:v>
      </x:c>
      <x:c r="H247" s="28" t="n">
        <x:v>1</x:v>
      </x:c>
      <x:c r="I247" s="28" t="n">
        <x:f>IF(H247=0,0,IF(ISNUMBER(D247),D247*H247,"n.a."))</x:f>
        <x:v>85</x:v>
      </x:c>
      <x:c r="J247" s="28" t="n">
        <x:f>IF(ISNUMBER(G247),0,1)</x:f>
        <x:v>0</x:v>
      </x:c>
      <x:c r="K247" s="11" t="str">
        <x:v>'Zebree'!C12:D12</x:v>
      </x:c>
      <x:c r="L247" s="11" t="str"/>
    </x:row>
    <x:row r="248" ht="28" customHeight="1">
      <x:c r="A248" s="10" t="str">
        <x:v>Zebree</x:v>
      </x:c>
      <x:c r="B248" s="12" t="str">
        <x:v>water</x:v>
      </x:c>
      <x:c r="C248" s="12" t="n">
        <x:v>3500</x:v>
      </x:c>
      <x:c r="D248" s="14" t="n">
        <x:v>3500</x:v>
      </x:c>
      <x:c r="E248" s="25" t="str">
        <x:v>P16</x:v>
      </x:c>
      <x:c r="F248" s="23" t="n">
        <x:f>Prices!E19</x:f>
        <x:v>0.0001</x:v>
      </x:c>
      <x:c r="G248" s="27" t="n">
        <x:f>IF(AND(ISNUMBER(D248),ISNUMBER(F248)),D248*F248,"n.a.")</x:f>
        <x:v>0.35000000000000003</x:v>
      </x:c>
      <x:c r="H248" s="29" t="n">
        <x:v>1</x:v>
      </x:c>
      <x:c r="I248" s="29" t="n">
        <x:f>IF(H248=0,0,IF(ISNUMBER(D248),D248*H248,"n.a."))</x:f>
        <x:v>3500</x:v>
      </x:c>
      <x:c r="J248" s="29" t="n">
        <x:f>IF(ISNUMBER(G248),0,1)</x:f>
        <x:v>0</x:v>
      </x:c>
      <x:c r="K248" s="12" t="str">
        <x:v>'Zebree'!C13:D13</x:v>
      </x:c>
      <x:c r="L248" s="12" t="str"/>
    </x:row>
    <x:row r="249" ht="28" customHeight="1">
      <x:c r="A249" s="2" t="str">
        <x:v>Zebree</x:v>
      </x:c>
      <x:c r="B249" s="11" t="str">
        <x:v>baking powder</x:v>
      </x:c>
      <x:c r="C249" s="11" t="n">
        <x:v>85</x:v>
      </x:c>
      <x:c r="D249" s="13" t="n">
        <x:v>85</x:v>
      </x:c>
      <x:c r="E249" s="24" t="str">
        <x:v>P10</x:v>
      </x:c>
      <x:c r="F249" s="22" t="n">
        <x:f>Prices!E13</x:f>
        <x:v>2.6</x:v>
      </x:c>
      <x:c r="G249" s="26" t="n">
        <x:f>IF(AND(ISNUMBER(D249),ISNUMBER(F249)),D249*F249,"n.a.")</x:f>
        <x:v>221</x:v>
      </x:c>
      <x:c r="H249" s="28" t="n">
        <x:v>1</x:v>
      </x:c>
      <x:c r="I249" s="28" t="n">
        <x:f>IF(H249=0,0,IF(ISNUMBER(D249),D249*H249,"n.a."))</x:f>
        <x:v>85</x:v>
      </x:c>
      <x:c r="J249" s="28" t="n">
        <x:f>IF(ISNUMBER(G249),0,1)</x:f>
        <x:v>0</x:v>
      </x:c>
      <x:c r="K249" s="11" t="str">
        <x:v>'Zebree'!C14:D14</x:v>
      </x:c>
      <x:c r="L249" s="11" t="str"/>
    </x:row>
    <x:row r="250" ht="28" customHeight="1">
      <x:c r="A250" s="10" t="str">
        <x:v>Zebree</x:v>
      </x:c>
      <x:c r="B250" s="12" t="str">
        <x:v>EDC</x:v>
      </x:c>
      <x:c r="C250" s="12" t="n">
        <x:v>75</x:v>
      </x:c>
      <x:c r="D250" s="14" t="n">
        <x:v>75</x:v>
      </x:c>
      <x:c r="E250" s="25" t="str">
        <x:v>P19</x:v>
      </x:c>
      <x:c r="F250" s="23" t="n">
        <x:f>Prices!E22</x:f>
        <x:v>3</x:v>
      </x:c>
      <x:c r="G250" s="27" t="n">
        <x:f>IF(AND(ISNUMBER(D250),ISNUMBER(F250)),D250*F250,"n.a.")</x:f>
        <x:v>225</x:v>
      </x:c>
      <x:c r="H250" s="29" t="n">
        <x:v>1</x:v>
      </x:c>
      <x:c r="I250" s="29" t="n">
        <x:f>IF(H250=0,0,IF(ISNUMBER(D250),D250*H250,"n.a."))</x:f>
        <x:v>75</x:v>
      </x:c>
      <x:c r="J250" s="29" t="n">
        <x:f>IF(ISNUMBER(G250),0,1)</x:f>
        <x:v>0</x:v>
      </x:c>
      <x:c r="K250" s="12" t="str">
        <x:v>'Zebree'!C15:D15</x:v>
      </x:c>
      <x:c r="L250" s="12" t="str"/>
    </x:row>
    <x:row r="251" ht="28" customHeight="1">
      <x:c r="A251" s="2" t="str">
        <x:v>Zebree</x:v>
      </x:c>
      <x:c r="B251" s="11" t="str">
        <x:v>Chocolate</x:v>
      </x:c>
      <x:c r="C251" s="11" t="n">
        <x:v>2000</x:v>
      </x:c>
      <x:c r="D251" s="13" t="n">
        <x:v>2000</x:v>
      </x:c>
      <x:c r="E251" s="24" t="str">
        <x:v>P21</x:v>
      </x:c>
      <x:c r="F251" s="22" t="n">
        <x:f>Prices!E24</x:f>
        <x:v>1.7894736842105263</x:v>
      </x:c>
      <x:c r="G251" s="26" t="n">
        <x:f>IF(AND(ISNUMBER(D251),ISNUMBER(F251)),D251*F251,"n.a.")</x:f>
        <x:v>3578.9473684210525</x:v>
      </x:c>
      <x:c r="H251" s="28" t="n">
        <x:v>1</x:v>
      </x:c>
      <x:c r="I251" s="28" t="n">
        <x:f>IF(H251=0,0,IF(ISNUMBER(D251),D251*H251,"n.a."))</x:f>
        <x:v>2000</x:v>
      </x:c>
      <x:c r="J251" s="28" t="n">
        <x:f>IF(ISNUMBER(G251),0,1)</x:f>
        <x:v>0</x:v>
      </x:c>
      <x:c r="K251" s="11" t="str">
        <x:v>'Zebree'!C16:D16</x:v>
      </x:c>
      <x:c r="L251" s="11" t="str"/>
    </x:row>
    <x:row r="252" ht="28" customHeight="1">
      <x:c r="A252" s="10" t="str">
        <x:v>Danisa biscuits</x:v>
      </x:c>
      <x:c r="B252" s="12" t="str">
        <x:v>flour</x:v>
      </x:c>
      <x:c r="C252" s="12" t="n">
        <x:v>18000</x:v>
      </x:c>
      <x:c r="D252" s="14" t="n">
        <x:v>18000</x:v>
      </x:c>
      <x:c r="E252" s="25" t="str">
        <x:v>P4</x:v>
      </x:c>
      <x:c r="F252" s="23" t="n">
        <x:f>Prices!E7</x:f>
        <x:v>0.42</x:v>
      </x:c>
      <x:c r="G252" s="27" t="n">
        <x:f>IF(AND(ISNUMBER(D252),ISNUMBER(F252)),D252*F252,"n.a.")</x:f>
        <x:v>7560</x:v>
      </x:c>
      <x:c r="H252" s="29" t="n">
        <x:v>1</x:v>
      </x:c>
      <x:c r="I252" s="29" t="n">
        <x:f>IF(H252=0,0,IF(ISNUMBER(D252),D252*H252,"n.a."))</x:f>
        <x:v>18000</x:v>
      </x:c>
      <x:c r="J252" s="29" t="n">
        <x:f>IF(ISNUMBER(G252),0,1)</x:f>
        <x:v>0</x:v>
      </x:c>
      <x:c r="K252" s="12" t="str">
        <x:v>'Danisa biscuits'!C5:D5</x:v>
      </x:c>
      <x:c r="L252" s="12" t="str"/>
    </x:row>
    <x:row r="253" ht="28" customHeight="1">
      <x:c r="A253" s="2" t="str">
        <x:v>Danisa biscuits</x:v>
      </x:c>
      <x:c r="B253" s="11" t="str">
        <x:v>Butter</x:v>
      </x:c>
      <x:c r="C253" s="11" t="n">
        <x:v>9000</x:v>
      </x:c>
      <x:c r="D253" s="13" t="n">
        <x:v>9000</x:v>
      </x:c>
      <x:c r="E253" s="24" t="str">
        <x:v>P7</x:v>
      </x:c>
      <x:c r="F253" s="22" t="n">
        <x:f>Prices!E10</x:f>
        <x:v>1.263157894736842</x:v>
      </x:c>
      <x:c r="G253" s="26" t="n">
        <x:f>IF(AND(ISNUMBER(D253),ISNUMBER(F253)),D253*F253,"n.a.")</x:f>
        <x:v>11368.421052631578</x:v>
      </x:c>
      <x:c r="H253" s="28" t="n">
        <x:v>1</x:v>
      </x:c>
      <x:c r="I253" s="28" t="n">
        <x:f>IF(H253=0,0,IF(ISNUMBER(D253),D253*H253,"n.a."))</x:f>
        <x:v>9000</x:v>
      </x:c>
      <x:c r="J253" s="28" t="n">
        <x:f>IF(ISNUMBER(G253),0,1)</x:f>
        <x:v>0</x:v>
      </x:c>
      <x:c r="K253" s="11" t="str">
        <x:v>'Danisa biscuits'!C6:D6</x:v>
      </x:c>
      <x:c r="L253" s="11" t="str"/>
    </x:row>
    <x:row r="254" ht="28" customHeight="1">
      <x:c r="A254" s="10" t="str">
        <x:v>Danisa biscuits</x:v>
      </x:c>
      <x:c r="B254" s="12" t="str">
        <x:v>sugar</x:v>
      </x:c>
      <x:c r="C254" s="12" t="n">
        <x:v>5000</x:v>
      </x:c>
      <x:c r="D254" s="14" t="n">
        <x:v>5000</x:v>
      </x:c>
      <x:c r="E254" s="25" t="str">
        <x:v>P5</x:v>
      </x:c>
      <x:c r="F254" s="23" t="n">
        <x:f>Prices!E8</x:f>
        <x:v>0.64</x:v>
      </x:c>
      <x:c r="G254" s="27" t="n">
        <x:f>IF(AND(ISNUMBER(D254),ISNUMBER(F254)),D254*F254,"n.a.")</x:f>
        <x:v>3200</x:v>
      </x:c>
      <x:c r="H254" s="29" t="n">
        <x:v>1</x:v>
      </x:c>
      <x:c r="I254" s="29" t="n">
        <x:f>IF(H254=0,0,IF(ISNUMBER(D254),D254*H254,"n.a."))</x:f>
        <x:v>5000</x:v>
      </x:c>
      <x:c r="J254" s="29" t="n">
        <x:f>IF(ISNUMBER(G254),0,1)</x:f>
        <x:v>0</x:v>
      </x:c>
      <x:c r="K254" s="12" t="str">
        <x:v>'Danisa biscuits'!C7:D7</x:v>
      </x:c>
      <x:c r="L254" s="12" t="str"/>
    </x:row>
    <x:row r="255" ht="28" customHeight="1">
      <x:c r="A255" s="2" t="str">
        <x:v>Danisa biscuits</x:v>
      </x:c>
      <x:c r="B255" s="11" t="str">
        <x:v>Powdered Milk</x:v>
      </x:c>
      <x:c r="C255" s="11" t="n">
        <x:v>900</x:v>
      </x:c>
      <x:c r="D255" s="13" t="n">
        <x:v>900</x:v>
      </x:c>
      <x:c r="E255" s="24" t="str">
        <x:v>P17</x:v>
      </x:c>
      <x:c r="F255" s="22" t="n">
        <x:f>Prices!E20</x:f>
        <x:v>3.2</x:v>
      </x:c>
      <x:c r="G255" s="26" t="n">
        <x:f>IF(AND(ISNUMBER(D255),ISNUMBER(F255)),D255*F255,"n.a.")</x:f>
        <x:v>2880</x:v>
      </x:c>
      <x:c r="H255" s="28" t="n">
        <x:v>1</x:v>
      </x:c>
      <x:c r="I255" s="28" t="n">
        <x:f>IF(H255=0,0,IF(ISNUMBER(D255),D255*H255,"n.a."))</x:f>
        <x:v>900</x:v>
      </x:c>
      <x:c r="J255" s="28" t="n">
        <x:f>IF(ISNUMBER(G255),0,1)</x:f>
        <x:v>0</x:v>
      </x:c>
      <x:c r="K255" s="11" t="str">
        <x:v>'Danisa biscuits'!C8:D8</x:v>
      </x:c>
      <x:c r="L255" s="11" t="str"/>
    </x:row>
    <x:row r="256" ht="28" customHeight="1">
      <x:c r="A256" s="10" t="str">
        <x:v>Danisa biscuits</x:v>
      </x:c>
      <x:c r="B256" s="12" t="str">
        <x:v>egg</x:v>
      </x:c>
      <x:c r="C256" s="12" t="n">
        <x:v>2500</x:v>
      </x:c>
      <x:c r="D256" s="14" t="n">
        <x:v>2500</x:v>
      </x:c>
      <x:c r="E256" s="25" t="str">
        <x:v>P13</x:v>
      </x:c>
      <x:c r="F256" s="23" t="n">
        <x:f>Prices!E16</x:f>
        <x:v>1.3333333333333333</x:v>
      </x:c>
      <x:c r="G256" s="27" t="n">
        <x:f>IF(AND(ISNUMBER(D256),ISNUMBER(F256)),D256*F256,"n.a.")</x:f>
        <x:v>3333.333333333333</x:v>
      </x:c>
      <x:c r="H256" s="29" t="n">
        <x:v>1</x:v>
      </x:c>
      <x:c r="I256" s="29" t="n">
        <x:f>IF(H256=0,0,IF(ISNUMBER(D256),D256*H256,"n.a."))</x:f>
        <x:v>2500</x:v>
      </x:c>
      <x:c r="J256" s="29" t="n">
        <x:f>IF(ISNUMBER(G256),0,1)</x:f>
        <x:v>0</x:v>
      </x:c>
      <x:c r="K256" s="12" t="str">
        <x:v>'Danisa biscuits'!C9:D9</x:v>
      </x:c>
      <x:c r="L256" s="12" t="str"/>
    </x:row>
    <x:row r="257" ht="28" customHeight="1">
      <x:c r="A257" s="2" t="str">
        <x:v>Danisa biscuits</x:v>
      </x:c>
      <x:c r="B257" s="11" t="str">
        <x:v>salt</x:v>
      </x:c>
      <x:c r="C257" s="11" t="n">
        <x:v>100</x:v>
      </x:c>
      <x:c r="D257" s="13" t="n">
        <x:v>100</x:v>
      </x:c>
      <x:c r="E257" s="24" t="str">
        <x:v>P6</x:v>
      </x:c>
      <x:c r="F257" s="22" t="n">
        <x:f>Prices!E9</x:f>
        <x:v>0.20555555555555555</x:v>
      </x:c>
      <x:c r="G257" s="26" t="n">
        <x:f>IF(AND(ISNUMBER(D257),ISNUMBER(F257)),D257*F257,"n.a.")</x:f>
        <x:v>20.555555555555554</x:v>
      </x:c>
      <x:c r="H257" s="28" t="n">
        <x:v>1</x:v>
      </x:c>
      <x:c r="I257" s="28" t="n">
        <x:f>IF(H257=0,0,IF(ISNUMBER(D257),D257*H257,"n.a."))</x:f>
        <x:v>100</x:v>
      </x:c>
      <x:c r="J257" s="28" t="n">
        <x:f>IF(ISNUMBER(G257),0,1)</x:f>
        <x:v>0</x:v>
      </x:c>
      <x:c r="K257" s="11" t="str">
        <x:v>'Danisa biscuits'!C10:D10</x:v>
      </x:c>
      <x:c r="L257" s="11" t="str"/>
    </x:row>
    <x:row r="258" ht="28" customHeight="1">
      <x:c r="A258" s="10" t="str">
        <x:v>Danisa biscuits</x:v>
      </x:c>
      <x:c r="B258" s="12" t="str">
        <x:v>improver</x:v>
      </x:c>
      <x:c r="C258" s="12" t="n">
        <x:v>40</x:v>
      </x:c>
      <x:c r="D258" s="14" t="n">
        <x:v>40</x:v>
      </x:c>
      <x:c r="E258" s="25" t="str">
        <x:v>P12</x:v>
      </x:c>
      <x:c r="F258" s="23" t="n">
        <x:f>Prices!E15</x:f>
        <x:v>2.8</x:v>
      </x:c>
      <x:c r="G258" s="27" t="n">
        <x:f>IF(AND(ISNUMBER(D258),ISNUMBER(F258)),D258*F258,"n.a.")</x:f>
        <x:v>112</x:v>
      </x:c>
      <x:c r="H258" s="29" t="n">
        <x:v>1</x:v>
      </x:c>
      <x:c r="I258" s="29" t="n">
        <x:f>IF(H258=0,0,IF(ISNUMBER(D258),D258*H258,"n.a."))</x:f>
        <x:v>40</x:v>
      </x:c>
      <x:c r="J258" s="29" t="n">
        <x:f>IF(ISNUMBER(G258),0,1)</x:f>
        <x:v>0</x:v>
      </x:c>
      <x:c r="K258" s="12" t="str">
        <x:v>'Danisa biscuits'!C11:D11</x:v>
      </x:c>
      <x:c r="L258" s="12" t="str"/>
    </x:row>
    <x:row r="259" ht="28" customHeight="1">
      <x:c r="A259" s="2" t="str">
        <x:v>Danisa biscuits</x:v>
      </x:c>
      <x:c r="B259" s="11" t="str">
        <x:v>EDC</x:v>
      </x:c>
      <x:c r="C259" s="11" t="n">
        <x:v>50</x:v>
      </x:c>
      <x:c r="D259" s="13" t="n">
        <x:v>50</x:v>
      </x:c>
      <x:c r="E259" s="24" t="str">
        <x:v>P19</x:v>
      </x:c>
      <x:c r="F259" s="22" t="n">
        <x:f>Prices!E22</x:f>
        <x:v>3</x:v>
      </x:c>
      <x:c r="G259" s="26" t="n">
        <x:f>IF(AND(ISNUMBER(D259),ISNUMBER(F259)),D259*F259,"n.a.")</x:f>
        <x:v>150</x:v>
      </x:c>
      <x:c r="H259" s="28" t="n">
        <x:v>1</x:v>
      </x:c>
      <x:c r="I259" s="28" t="n">
        <x:f>IF(H259=0,0,IF(ISNUMBER(D259),D259*H259,"n.a."))</x:f>
        <x:v>50</x:v>
      </x:c>
      <x:c r="J259" s="28" t="n">
        <x:f>IF(ISNUMBER(G259),0,1)</x:f>
        <x:v>0</x:v>
      </x:c>
      <x:c r="K259" s="11" t="str">
        <x:v>'Danisa biscuits'!C12:D12</x:v>
      </x:c>
      <x:c r="L259" s="11" t="str"/>
    </x:row>
    <x:row r="260" ht="28" customHeight="1">
      <x:c r="A260" s="10" t="str">
        <x:v>Delice</x:v>
      </x:c>
      <x:c r="B260" s="12" t="str">
        <x:v>flour</x:v>
      </x:c>
      <x:c r="C260" s="12" t="n">
        <x:v>3000</x:v>
      </x:c>
      <x:c r="D260" s="14" t="n">
        <x:v>3000</x:v>
      </x:c>
      <x:c r="E260" s="25" t="str">
        <x:v>P4</x:v>
      </x:c>
      <x:c r="F260" s="23" t="n">
        <x:f>Prices!E7</x:f>
        <x:v>0.42</x:v>
      </x:c>
      <x:c r="G260" s="27" t="n">
        <x:f>IF(AND(ISNUMBER(D260),ISNUMBER(F260)),D260*F260,"n.a.")</x:f>
        <x:v>1260</x:v>
      </x:c>
      <x:c r="H260" s="29" t="n">
        <x:v>1</x:v>
      </x:c>
      <x:c r="I260" s="29" t="n">
        <x:f>IF(H260=0,0,IF(ISNUMBER(D260),D260*H260,"n.a."))</x:f>
        <x:v>3000</x:v>
      </x:c>
      <x:c r="J260" s="29" t="n">
        <x:f>IF(ISNUMBER(G260),0,1)</x:f>
        <x:v>0</x:v>
      </x:c>
      <x:c r="K260" s="12" t="str">
        <x:v>'Delice'!C5:D5</x:v>
      </x:c>
      <x:c r="L260" s="12" t="str"/>
    </x:row>
    <x:row r="261" ht="28" customHeight="1">
      <x:c r="A261" s="2" t="str">
        <x:v>Delice</x:v>
      </x:c>
      <x:c r="B261" s="11" t="str">
        <x:v>Butter</x:v>
      </x:c>
      <x:c r="C261" s="11" t="n">
        <x:v>500</x:v>
      </x:c>
      <x:c r="D261" s="13" t="n">
        <x:v>500</x:v>
      </x:c>
      <x:c r="E261" s="24" t="str">
        <x:v>P7</x:v>
      </x:c>
      <x:c r="F261" s="22" t="n">
        <x:f>Prices!E10</x:f>
        <x:v>1.263157894736842</x:v>
      </x:c>
      <x:c r="G261" s="26" t="n">
        <x:f>IF(AND(ISNUMBER(D261),ISNUMBER(F261)),D261*F261,"n.a.")</x:f>
        <x:v>631.578947368421</x:v>
      </x:c>
      <x:c r="H261" s="28" t="n">
        <x:v>1</x:v>
      </x:c>
      <x:c r="I261" s="28" t="n">
        <x:f>IF(H261=0,0,IF(ISNUMBER(D261),D261*H261,"n.a."))</x:f>
        <x:v>500</x:v>
      </x:c>
      <x:c r="J261" s="28" t="n">
        <x:f>IF(ISNUMBER(G261),0,1)</x:f>
        <x:v>0</x:v>
      </x:c>
      <x:c r="K261" s="11" t="str">
        <x:v>'Delice'!C6:D6</x:v>
      </x:c>
      <x:c r="L261" s="11" t="str"/>
    </x:row>
    <x:row r="262" ht="28" customHeight="1">
      <x:c r="A262" s="10" t="str">
        <x:v>Delice</x:v>
      </x:c>
      <x:c r="B262" s="12" t="str">
        <x:v>sugar</x:v>
      </x:c>
      <x:c r="C262" s="12" t="n">
        <x:v>300</x:v>
      </x:c>
      <x:c r="D262" s="14" t="n">
        <x:v>300</x:v>
      </x:c>
      <x:c r="E262" s="25" t="str">
        <x:v>P5</x:v>
      </x:c>
      <x:c r="F262" s="23" t="n">
        <x:f>Prices!E8</x:f>
        <x:v>0.64</x:v>
      </x:c>
      <x:c r="G262" s="27" t="n">
        <x:f>IF(AND(ISNUMBER(D262),ISNUMBER(F262)),D262*F262,"n.a.")</x:f>
        <x:v>192</x:v>
      </x:c>
      <x:c r="H262" s="29" t="n">
        <x:v>1</x:v>
      </x:c>
      <x:c r="I262" s="29" t="n">
        <x:f>IF(H262=0,0,IF(ISNUMBER(D262),D262*H262,"n.a."))</x:f>
        <x:v>300</x:v>
      </x:c>
      <x:c r="J262" s="29" t="n">
        <x:f>IF(ISNUMBER(G262),0,1)</x:f>
        <x:v>0</x:v>
      </x:c>
      <x:c r="K262" s="12" t="str">
        <x:v>'Delice'!C7:D7</x:v>
      </x:c>
      <x:c r="L262" s="12" t="str"/>
    </x:row>
    <x:row r="263" ht="28" customHeight="1">
      <x:c r="A263" s="2" t="str">
        <x:v>Delice</x:v>
      </x:c>
      <x:c r="B263" s="11" t="str">
        <x:v>Milk</x:v>
      </x:c>
      <x:c r="C263" s="11" t="n">
        <x:v>250</x:v>
      </x:c>
      <x:c r="D263" s="13" t="n">
        <x:v>250</x:v>
      </x:c>
      <x:c r="E263" s="24" t="str">
        <x:v>P15</x:v>
      </x:c>
      <x:c r="F263" s="22" t="n">
        <x:f>Prices!E18</x:f>
        <x:v>1.17</x:v>
      </x:c>
      <x:c r="G263" s="26" t="n">
        <x:f>IF(AND(ISNUMBER(D263),ISNUMBER(F263)),D263*F263,"n.a.")</x:f>
        <x:v>292.5</x:v>
      </x:c>
      <x:c r="H263" s="28" t="n">
        <x:v>1</x:v>
      </x:c>
      <x:c r="I263" s="28" t="n">
        <x:f>IF(H263=0,0,IF(ISNUMBER(D263),D263*H263,"n.a."))</x:f>
        <x:v>250</x:v>
      </x:c>
      <x:c r="J263" s="28" t="n">
        <x:f>IF(ISNUMBER(G263),0,1)</x:f>
        <x:v>0</x:v>
      </x:c>
      <x:c r="K263" s="11" t="str">
        <x:v>'Delice'!C8:D8</x:v>
      </x:c>
      <x:c r="L263" s="11" t="str"/>
    </x:row>
    <x:row r="264" ht="28" customHeight="1">
      <x:c r="A264" s="10" t="str">
        <x:v>Delice</x:v>
      </x:c>
      <x:c r="B264" s="12" t="str">
        <x:v>egg</x:v>
      </x:c>
      <x:c r="C264" s="12" t="n">
        <x:v>250</x:v>
      </x:c>
      <x:c r="D264" s="14" t="n">
        <x:v>250</x:v>
      </x:c>
      <x:c r="E264" s="25" t="str">
        <x:v>P13</x:v>
      </x:c>
      <x:c r="F264" s="23" t="n">
        <x:f>Prices!E16</x:f>
        <x:v>1.3333333333333333</x:v>
      </x:c>
      <x:c r="G264" s="27" t="n">
        <x:f>IF(AND(ISNUMBER(D264),ISNUMBER(F264)),D264*F264,"n.a.")</x:f>
        <x:v>333.3333333333333</x:v>
      </x:c>
      <x:c r="H264" s="29" t="n">
        <x:v>1</x:v>
      </x:c>
      <x:c r="I264" s="29" t="n">
        <x:f>IF(H264=0,0,IF(ISNUMBER(D264),D264*H264,"n.a."))</x:f>
        <x:v>250</x:v>
      </x:c>
      <x:c r="J264" s="29" t="n">
        <x:f>IF(ISNUMBER(G264),0,1)</x:f>
        <x:v>0</x:v>
      </x:c>
      <x:c r="K264" s="12" t="str">
        <x:v>'Delice'!C9:D9</x:v>
      </x:c>
      <x:c r="L264" s="12" t="str"/>
    </x:row>
    <x:row r="265" ht="28" customHeight="1">
      <x:c r="A265" s="2" t="str">
        <x:v>Delice</x:v>
      </x:c>
      <x:c r="B265" s="11" t="str">
        <x:v>salt</x:v>
      </x:c>
      <x:c r="C265" s="11" t="n">
        <x:v>35</x:v>
      </x:c>
      <x:c r="D265" s="13" t="n">
        <x:v>35</x:v>
      </x:c>
      <x:c r="E265" s="24" t="str">
        <x:v>P6</x:v>
      </x:c>
      <x:c r="F265" s="22" t="n">
        <x:f>Prices!E9</x:f>
        <x:v>0.20555555555555555</x:v>
      </x:c>
      <x:c r="G265" s="26" t="n">
        <x:f>IF(AND(ISNUMBER(D265),ISNUMBER(F265)),D265*F265,"n.a.")</x:f>
        <x:v>7.194444444444444</x:v>
      </x:c>
      <x:c r="H265" s="28" t="n">
        <x:v>1</x:v>
      </x:c>
      <x:c r="I265" s="28" t="n">
        <x:f>IF(H265=0,0,IF(ISNUMBER(D265),D265*H265,"n.a."))</x:f>
        <x:v>35</x:v>
      </x:c>
      <x:c r="J265" s="28" t="n">
        <x:f>IF(ISNUMBER(G265),0,1)</x:f>
        <x:v>0</x:v>
      </x:c>
      <x:c r="K265" s="11" t="str">
        <x:v>'Delice'!C10:D10</x:v>
      </x:c>
      <x:c r="L265" s="11" t="str"/>
    </x:row>
    <x:row r="266" ht="28" customHeight="1">
      <x:c r="A266" s="10" t="str">
        <x:v>Delice</x:v>
      </x:c>
      <x:c r="B266" s="12" t="str">
        <x:v>improver</x:v>
      </x:c>
      <x:c r="C266" s="12" t="n">
        <x:v>40</x:v>
      </x:c>
      <x:c r="D266" s="14" t="n">
        <x:v>40</x:v>
      </x:c>
      <x:c r="E266" s="25" t="str">
        <x:v>P12</x:v>
      </x:c>
      <x:c r="F266" s="23" t="n">
        <x:f>Prices!E15</x:f>
        <x:v>2.8</x:v>
      </x:c>
      <x:c r="G266" s="27" t="n">
        <x:f>IF(AND(ISNUMBER(D266),ISNUMBER(F266)),D266*F266,"n.a.")</x:f>
        <x:v>112</x:v>
      </x:c>
      <x:c r="H266" s="29" t="n">
        <x:v>1</x:v>
      </x:c>
      <x:c r="I266" s="29" t="n">
        <x:f>IF(H266=0,0,IF(ISNUMBER(D266),D266*H266,"n.a."))</x:f>
        <x:v>40</x:v>
      </x:c>
      <x:c r="J266" s="29" t="n">
        <x:f>IF(ISNUMBER(G266),0,1)</x:f>
        <x:v>0</x:v>
      </x:c>
      <x:c r="K266" s="12" t="str">
        <x:v>'Delice'!C11:D11</x:v>
      </x:c>
      <x:c r="L266" s="12" t="str"/>
    </x:row>
    <x:row r="267" ht="28" customHeight="1">
      <x:c r="A267" s="2" t="str">
        <x:v>Delice</x:v>
      </x:c>
      <x:c r="B267" s="11" t="str">
        <x:v>yeast</x:v>
      </x:c>
      <x:c r="C267" s="11" t="n">
        <x:v>30</x:v>
      </x:c>
      <x:c r="D267" s="13" t="n">
        <x:v>30</x:v>
      </x:c>
      <x:c r="E267" s="24" t="str">
        <x:v>P9</x:v>
      </x:c>
      <x:c r="F267" s="22" t="n">
        <x:f>Prices!E12</x:f>
        <x:v>2.8</x:v>
      </x:c>
      <x:c r="G267" s="26" t="n">
        <x:f>IF(AND(ISNUMBER(D267),ISNUMBER(F267)),D267*F267,"n.a.")</x:f>
        <x:v>84</x:v>
      </x:c>
      <x:c r="H267" s="28" t="n">
        <x:v>1</x:v>
      </x:c>
      <x:c r="I267" s="28" t="n">
        <x:f>IF(H267=0,0,IF(ISNUMBER(D267),D267*H267,"n.a."))</x:f>
        <x:v>30</x:v>
      </x:c>
      <x:c r="J267" s="28" t="n">
        <x:f>IF(ISNUMBER(G267),0,1)</x:f>
        <x:v>0</x:v>
      </x:c>
      <x:c r="K267" s="11" t="str">
        <x:v>'Delice'!C12:D12</x:v>
      </x:c>
      <x:c r="L267" s="11" t="str"/>
    </x:row>
    <x:row r="268" ht="28" customHeight="1">
      <x:c r="A268" s="10" t="str">
        <x:v>Delice</x:v>
      </x:c>
      <x:c r="B268" s="12" t="str">
        <x:v>water</x:v>
      </x:c>
      <x:c r="C268" s="12" t="n">
        <x:v>1200</x:v>
      </x:c>
      <x:c r="D268" s="14" t="n">
        <x:v>1200</x:v>
      </x:c>
      <x:c r="E268" s="25" t="str">
        <x:v>P16</x:v>
      </x:c>
      <x:c r="F268" s="23" t="n">
        <x:f>Prices!E19</x:f>
        <x:v>0.0001</x:v>
      </x:c>
      <x:c r="G268" s="27" t="n">
        <x:f>IF(AND(ISNUMBER(D268),ISNUMBER(F268)),D268*F268,"n.a.")</x:f>
        <x:v>0.12000000000000001</x:v>
      </x:c>
      <x:c r="H268" s="29" t="n">
        <x:v>1</x:v>
      </x:c>
      <x:c r="I268" s="29" t="n">
        <x:f>IF(H268=0,0,IF(ISNUMBER(D268),D268*H268,"n.a."))</x:f>
        <x:v>1200</x:v>
      </x:c>
      <x:c r="J268" s="29" t="n">
        <x:f>IF(ISNUMBER(G268),0,1)</x:f>
        <x:v>0</x:v>
      </x:c>
      <x:c r="K268" s="12" t="str">
        <x:v>'Delice'!C13:D13</x:v>
      </x:c>
      <x:c r="L268" s="12" t="str"/>
    </x:row>
    <x:row r="269" ht="28" customHeight="1">
      <x:c r="A269" s="2" t="str">
        <x:v>Delice</x:v>
      </x:c>
      <x:c r="B269" s="11" t="str">
        <x:v>baking powder</x:v>
      </x:c>
      <x:c r="C269" s="11" t="n">
        <x:v>30</x:v>
      </x:c>
      <x:c r="D269" s="13" t="n">
        <x:v>30</x:v>
      </x:c>
      <x:c r="E269" s="24" t="str">
        <x:v>P10</x:v>
      </x:c>
      <x:c r="F269" s="22" t="n">
        <x:f>Prices!E13</x:f>
        <x:v>2.6</x:v>
      </x:c>
      <x:c r="G269" s="26" t="n">
        <x:f>IF(AND(ISNUMBER(D269),ISNUMBER(F269)),D269*F269,"n.a.")</x:f>
        <x:v>78</x:v>
      </x:c>
      <x:c r="H269" s="28" t="n">
        <x:v>1</x:v>
      </x:c>
      <x:c r="I269" s="28" t="n">
        <x:f>IF(H269=0,0,IF(ISNUMBER(D269),D269*H269,"n.a."))</x:f>
        <x:v>30</x:v>
      </x:c>
      <x:c r="J269" s="28" t="n">
        <x:f>IF(ISNUMBER(G269),0,1)</x:f>
        <x:v>0</x:v>
      </x:c>
      <x:c r="K269" s="11" t="str">
        <x:v>'Delice'!C14:D14</x:v>
      </x:c>
      <x:c r="L269" s="11" t="str"/>
    </x:row>
    <x:row r="270" ht="28" customHeight="1">
      <x:c r="A270" s="10" t="str">
        <x:v>Delice</x:v>
      </x:c>
      <x:c r="B270" s="12" t="str">
        <x:v>Chocolate</x:v>
      </x:c>
      <x:c r="C270" s="12" t="n">
        <x:v>700</x:v>
      </x:c>
      <x:c r="D270" s="14" t="n">
        <x:v>700</x:v>
      </x:c>
      <x:c r="E270" s="25" t="str">
        <x:v>P21</x:v>
      </x:c>
      <x:c r="F270" s="23" t="n">
        <x:f>Prices!E24</x:f>
        <x:v>1.7894736842105263</x:v>
      </x:c>
      <x:c r="G270" s="27" t="n">
        <x:f>IF(AND(ISNUMBER(D270),ISNUMBER(F270)),D270*F270,"n.a.")</x:f>
        <x:v>1252.6315789473683</x:v>
      </x:c>
      <x:c r="H270" s="29" t="n">
        <x:v>1</x:v>
      </x:c>
      <x:c r="I270" s="29" t="n">
        <x:f>IF(H270=0,0,IF(ISNUMBER(D270),D270*H270,"n.a."))</x:f>
        <x:v>700</x:v>
      </x:c>
      <x:c r="J270" s="29" t="n">
        <x:f>IF(ISNUMBER(G270),0,1)</x:f>
        <x:v>0</x:v>
      </x:c>
      <x:c r="K270" s="12" t="str">
        <x:v>'Delice'!C15:D15</x:v>
      </x:c>
      <x:c r="L270" s="12" t="str"/>
    </x:row>
    <x:row r="271" ht="28" customHeight="1">
      <x:c r="A271" s="2" t="str">
        <x:v>Delice</x:v>
      </x:c>
      <x:c r="B271" s="11" t="str">
        <x:v>honey</x:v>
      </x:c>
      <x:c r="C271" s="11" t="n">
        <x:v>400</x:v>
      </x:c>
      <x:c r="D271" s="13" t="n">
        <x:v>400</x:v>
      </x:c>
      <x:c r="E271" s="24" t="str">
        <x:v>P29</x:v>
      </x:c>
      <x:c r="F271" s="22" t="n">
        <x:f>Prices!E31</x:f>
        <x:v>1.25</x:v>
      </x:c>
      <x:c r="G271" s="26" t="n">
        <x:f>IF(AND(ISNUMBER(D271),ISNUMBER(F271)),D271*F271,"n.a.")</x:f>
        <x:v>500</x:v>
      </x:c>
      <x:c r="H271" s="28" t="n">
        <x:v>1</x:v>
      </x:c>
      <x:c r="I271" s="28" t="n">
        <x:f>IF(H271=0,0,IF(ISNUMBER(D271),D271*H271,"n.a."))</x:f>
        <x:v>400</x:v>
      </x:c>
      <x:c r="J271" s="28" t="n">
        <x:f>IF(ISNUMBER(G271),0,1)</x:f>
        <x:v>0</x:v>
      </x:c>
      <x:c r="K271" s="11" t="str">
        <x:v>'Delice'!C16:D16</x:v>
      </x:c>
      <x:c r="L271" s="11" t="str"/>
    </x:row>
    <x:row r="272" ht="28" customHeight="1">
      <x:c r="A272" s="10" t="str">
        <x:v>Delice</x:v>
      </x:c>
      <x:c r="B272" s="12" t="str">
        <x:v>EDC</x:v>
      </x:c>
      <x:c r="C272" s="12" t="n">
        <x:v>50</x:v>
      </x:c>
      <x:c r="D272" s="14" t="n">
        <x:v>50</x:v>
      </x:c>
      <x:c r="E272" s="25" t="str">
        <x:v>P19</x:v>
      </x:c>
      <x:c r="F272" s="23" t="n">
        <x:f>Prices!E22</x:f>
        <x:v>3</x:v>
      </x:c>
      <x:c r="G272" s="27" t="n">
        <x:f>IF(AND(ISNUMBER(D272),ISNUMBER(F272)),D272*F272,"n.a.")</x:f>
        <x:v>150</x:v>
      </x:c>
      <x:c r="H272" s="29" t="n">
        <x:v>1</x:v>
      </x:c>
      <x:c r="I272" s="29" t="n">
        <x:f>IF(H272=0,0,IF(ISNUMBER(D272),D272*H272,"n.a."))</x:f>
        <x:v>50</x:v>
      </x:c>
      <x:c r="J272" s="29" t="n">
        <x:f>IF(ISNUMBER(G272),0,1)</x:f>
        <x:v>0</x:v>
      </x:c>
      <x:c r="K272" s="12" t="str">
        <x:v>'Delice'!C17:D17</x:v>
      </x:c>
      <x:c r="L272" s="12" t="str"/>
    </x:row>
    <x:row r="273" ht="28" customHeight="1">
      <x:c r="A273" s="2" t="str">
        <x:v>Okinawa</x:v>
      </x:c>
      <x:c r="B273" s="11" t="str">
        <x:v>flour</x:v>
      </x:c>
      <x:c r="C273" s="11" t="n">
        <x:v>5500</x:v>
      </x:c>
      <x:c r="D273" s="13" t="n">
        <x:v>5500</x:v>
      </x:c>
      <x:c r="E273" s="24" t="str">
        <x:v>P4</x:v>
      </x:c>
      <x:c r="F273" s="22" t="n">
        <x:f>Prices!E7</x:f>
        <x:v>0.42</x:v>
      </x:c>
      <x:c r="G273" s="26" t="n">
        <x:f>IF(AND(ISNUMBER(D273),ISNUMBER(F273)),D273*F273,"n.a.")</x:f>
        <x:v>2310</x:v>
      </x:c>
      <x:c r="H273" s="28" t="n">
        <x:v>1</x:v>
      </x:c>
      <x:c r="I273" s="28" t="n">
        <x:f>IF(H273=0,0,IF(ISNUMBER(D273),D273*H273,"n.a."))</x:f>
        <x:v>5500</x:v>
      </x:c>
      <x:c r="J273" s="28" t="n">
        <x:f>IF(ISNUMBER(G273),0,1)</x:f>
        <x:v>0</x:v>
      </x:c>
      <x:c r="K273" s="11" t="str">
        <x:v>'Okinawa'!C5:D5</x:v>
      </x:c>
      <x:c r="L273" s="11" t="str"/>
    </x:row>
    <x:row r="274" ht="28" customHeight="1">
      <x:c r="A274" s="10" t="str">
        <x:v>Okinawa</x:v>
      </x:c>
      <x:c r="B274" s="12" t="str">
        <x:v>baking powder</x:v>
      </x:c>
      <x:c r="C274" s="12" t="n">
        <x:v>100</x:v>
      </x:c>
      <x:c r="D274" s="14" t="n">
        <x:v>100</x:v>
      </x:c>
      <x:c r="E274" s="25" t="str">
        <x:v>P10</x:v>
      </x:c>
      <x:c r="F274" s="23" t="n">
        <x:f>Prices!E13</x:f>
        <x:v>2.6</x:v>
      </x:c>
      <x:c r="G274" s="27" t="n">
        <x:f>IF(AND(ISNUMBER(D274),ISNUMBER(F274)),D274*F274,"n.a.")</x:f>
        <x:v>260</x:v>
      </x:c>
      <x:c r="H274" s="29" t="n">
        <x:v>1</x:v>
      </x:c>
      <x:c r="I274" s="29" t="n">
        <x:f>IF(H274=0,0,IF(ISNUMBER(D274),D274*H274,"n.a."))</x:f>
        <x:v>100</x:v>
      </x:c>
      <x:c r="J274" s="29" t="n">
        <x:f>IF(ISNUMBER(G274),0,1)</x:f>
        <x:v>0</x:v>
      </x:c>
      <x:c r="K274" s="12" t="str">
        <x:v>'Okinawa'!C6:D6</x:v>
      </x:c>
      <x:c r="L274" s="12" t="str"/>
    </x:row>
    <x:row r="275" ht="28" customHeight="1">
      <x:c r="A275" s="2" t="str">
        <x:v>Okinawa</x:v>
      </x:c>
      <x:c r="B275" s="11" t="str">
        <x:v>sugar</x:v>
      </x:c>
      <x:c r="C275" s="11" t="n">
        <x:v>500</x:v>
      </x:c>
      <x:c r="D275" s="13" t="n">
        <x:v>500</x:v>
      </x:c>
      <x:c r="E275" s="24" t="str">
        <x:v>P5</x:v>
      </x:c>
      <x:c r="F275" s="22" t="n">
        <x:f>Prices!E8</x:f>
        <x:v>0.64</x:v>
      </x:c>
      <x:c r="G275" s="26" t="n">
        <x:f>IF(AND(ISNUMBER(D275),ISNUMBER(F275)),D275*F275,"n.a.")</x:f>
        <x:v>320</x:v>
      </x:c>
      <x:c r="H275" s="28" t="n">
        <x:v>1</x:v>
      </x:c>
      <x:c r="I275" s="28" t="n">
        <x:f>IF(H275=0,0,IF(ISNUMBER(D275),D275*H275,"n.a."))</x:f>
        <x:v>500</x:v>
      </x:c>
      <x:c r="J275" s="28" t="n">
        <x:f>IF(ISNUMBER(G275),0,1)</x:f>
        <x:v>0</x:v>
      </x:c>
      <x:c r="K275" s="11" t="str">
        <x:v>'Okinawa'!C7:D7</x:v>
      </x:c>
      <x:c r="L275" s="11" t="str"/>
    </x:row>
    <x:row r="276" ht="28" customHeight="1">
      <x:c r="A276" s="10" t="str">
        <x:v>Okinawa</x:v>
      </x:c>
      <x:c r="B276" s="12" t="str">
        <x:v>egg</x:v>
      </x:c>
      <x:c r="C276" s="12" t="n">
        <x:v>200</x:v>
      </x:c>
      <x:c r="D276" s="14" t="n">
        <x:v>200</x:v>
      </x:c>
      <x:c r="E276" s="25" t="str">
        <x:v>P13</x:v>
      </x:c>
      <x:c r="F276" s="23" t="n">
        <x:f>Prices!E16</x:f>
        <x:v>1.3333333333333333</x:v>
      </x:c>
      <x:c r="G276" s="27" t="n">
        <x:f>IF(AND(ISNUMBER(D276),ISNUMBER(F276)),D276*F276,"n.a.")</x:f>
        <x:v>266.66666666666663</x:v>
      </x:c>
      <x:c r="H276" s="29" t="n">
        <x:v>1</x:v>
      </x:c>
      <x:c r="I276" s="29" t="n">
        <x:f>IF(H276=0,0,IF(ISNUMBER(D276),D276*H276,"n.a."))</x:f>
        <x:v>200</x:v>
      </x:c>
      <x:c r="J276" s="29" t="n">
        <x:f>IF(ISNUMBER(G276),0,1)</x:f>
        <x:v>0</x:v>
      </x:c>
      <x:c r="K276" s="12" t="str">
        <x:v>'Okinawa'!C8:D8</x:v>
      </x:c>
      <x:c r="L276" s="12" t="str"/>
    </x:row>
    <x:row r="277" ht="28" customHeight="1">
      <x:c r="A277" s="2" t="str">
        <x:v>Okinawa</x:v>
      </x:c>
      <x:c r="B277" s="11" t="str">
        <x:v>salt</x:v>
      </x:c>
      <x:c r="C277" s="11" t="n">
        <x:v>50</x:v>
      </x:c>
      <x:c r="D277" s="13" t="n">
        <x:v>50</x:v>
      </x:c>
      <x:c r="E277" s="24" t="str">
        <x:v>P6</x:v>
      </x:c>
      <x:c r="F277" s="22" t="n">
        <x:f>Prices!E9</x:f>
        <x:v>0.20555555555555555</x:v>
      </x:c>
      <x:c r="G277" s="26" t="n">
        <x:f>IF(AND(ISNUMBER(D277),ISNUMBER(F277)),D277*F277,"n.a.")</x:f>
        <x:v>10.277777777777777</x:v>
      </x:c>
      <x:c r="H277" s="28" t="n">
        <x:v>1</x:v>
      </x:c>
      <x:c r="I277" s="28" t="n">
        <x:f>IF(H277=0,0,IF(ISNUMBER(D277),D277*H277,"n.a."))</x:f>
        <x:v>50</x:v>
      </x:c>
      <x:c r="J277" s="28" t="n">
        <x:f>IF(ISNUMBER(G277),0,1)</x:f>
        <x:v>0</x:v>
      </x:c>
      <x:c r="K277" s="11" t="str">
        <x:v>'Okinawa'!C9:D9</x:v>
      </x:c>
      <x:c r="L277" s="11" t="str"/>
    </x:row>
    <x:row r="278" ht="28" customHeight="1">
      <x:c r="A278" s="10" t="str">
        <x:v>Okinawa</x:v>
      </x:c>
      <x:c r="B278" s="12" t="str">
        <x:v>oil</x:v>
      </x:c>
      <x:c r="C278" s="12" t="n">
        <x:v>50</x:v>
      </x:c>
      <x:c r="D278" s="14" t="n">
        <x:v>50</x:v>
      </x:c>
      <x:c r="E278" s="25" t="str">
        <x:v>P8</x:v>
      </x:c>
      <x:c r="F278" s="23" t="n">
        <x:f>Prices!E11</x:f>
        <x:v>1.22</x:v>
      </x:c>
      <x:c r="G278" s="27" t="n">
        <x:f>IF(AND(ISNUMBER(D278),ISNUMBER(F278)),D278*F278,"n.a.")</x:f>
        <x:v>61</x:v>
      </x:c>
      <x:c r="H278" s="29" t="n">
        <x:v>1</x:v>
      </x:c>
      <x:c r="I278" s="29" t="n">
        <x:f>IF(H278=0,0,IF(ISNUMBER(D278),D278*H278,"n.a."))</x:f>
        <x:v>50</x:v>
      </x:c>
      <x:c r="J278" s="29" t="n">
        <x:f>IF(ISNUMBER(G278),0,1)</x:f>
        <x:v>0</x:v>
      </x:c>
      <x:c r="K278" s="12" t="str">
        <x:v>'Okinawa'!C10:D10</x:v>
      </x:c>
      <x:c r="L278" s="12" t="str"/>
    </x:row>
    <x:row r="279" ht="28" customHeight="1">
      <x:c r="A279" s="2" t="str">
        <x:v>Okinawa</x:v>
      </x:c>
      <x:c r="B279" s="11" t="str">
        <x:v> frying oil</x:v>
      </x:c>
      <x:c r="C279" s="11" t="n">
        <x:v>1000</x:v>
      </x:c>
      <x:c r="D279" s="13" t="n">
        <x:v>1000</x:v>
      </x:c>
      <x:c r="E279" s="24" t="str">
        <x:v>P8</x:v>
      </x:c>
      <x:c r="F279" s="22" t="n">
        <x:f>Prices!E11</x:f>
        <x:v>1.22</x:v>
      </x:c>
      <x:c r="G279" s="26" t="n">
        <x:f>IF(AND(ISNUMBER(D279),ISNUMBER(F279)),D279*F279,"n.a.")</x:f>
        <x:v>1220</x:v>
      </x:c>
      <x:c r="H279" s="28" t="n">
        <x:v>0</x:v>
      </x:c>
      <x:c r="I279" s="28" t="n">
        <x:f>IF(H279=0,0,IF(ISNUMBER(D279),D279*H279,"n.a."))</x:f>
        <x:v>0</x:v>
      </x:c>
      <x:c r="J279" s="28" t="n">
        <x:f>IF(ISNUMBER(G279),0,1)</x:f>
        <x:v>0</x:v>
      </x:c>
      <x:c r="K279" s="11" t="str">
        <x:v>'Okinawa'!C11:D11</x:v>
      </x:c>
      <x:c r="L279" s="11" t="str">
        <x:v>Frying oil excluded from dough yield; stated charge is not measured net consumption.</x:v>
      </x:c>
    </x:row>
    <x:row r="280" ht="28" customHeight="1">
      <x:c r="A280" s="10" t="str">
        <x:v>CAKE NOW</x:v>
      </x:c>
      <x:c r="B280" s="12" t="str">
        <x:v>flour</x:v>
      </x:c>
      <x:c r="C280" s="12" t="n">
        <x:v>3000</x:v>
      </x:c>
      <x:c r="D280" s="14" t="n">
        <x:v>3000</x:v>
      </x:c>
      <x:c r="E280" s="25" t="str">
        <x:v>P4</x:v>
      </x:c>
      <x:c r="F280" s="23" t="n">
        <x:f>Prices!E7</x:f>
        <x:v>0.42</x:v>
      </x:c>
      <x:c r="G280" s="27" t="n">
        <x:f>IF(AND(ISNUMBER(D280),ISNUMBER(F280)),D280*F280,"n.a.")</x:f>
        <x:v>1260</x:v>
      </x:c>
      <x:c r="H280" s="29" t="n">
        <x:v>1</x:v>
      </x:c>
      <x:c r="I280" s="29" t="n">
        <x:f>IF(H280=0,0,IF(ISNUMBER(D280),D280*H280,"n.a."))</x:f>
        <x:v>3000</x:v>
      </x:c>
      <x:c r="J280" s="29" t="n">
        <x:f>IF(ISNUMBER(G280),0,1)</x:f>
        <x:v>0</x:v>
      </x:c>
      <x:c r="K280" s="12" t="str">
        <x:v>'CAKE NOW'!C5:D5</x:v>
      </x:c>
      <x:c r="L280" s="12" t="str"/>
    </x:row>
    <x:row r="281" ht="28" customHeight="1">
      <x:c r="A281" s="2" t="str">
        <x:v>CAKE NOW</x:v>
      </x:c>
      <x:c r="B281" s="11" t="str">
        <x:v>baking powder</x:v>
      </x:c>
      <x:c r="C281" s="11" t="n">
        <x:v>100</x:v>
      </x:c>
      <x:c r="D281" s="13" t="n">
        <x:v>100</x:v>
      </x:c>
      <x:c r="E281" s="24" t="str">
        <x:v>P10</x:v>
      </x:c>
      <x:c r="F281" s="22" t="n">
        <x:f>Prices!E13</x:f>
        <x:v>2.6</x:v>
      </x:c>
      <x:c r="G281" s="26" t="n">
        <x:f>IF(AND(ISNUMBER(D281),ISNUMBER(F281)),D281*F281,"n.a.")</x:f>
        <x:v>260</x:v>
      </x:c>
      <x:c r="H281" s="28" t="n">
        <x:v>1</x:v>
      </x:c>
      <x:c r="I281" s="28" t="n">
        <x:f>IF(H281=0,0,IF(ISNUMBER(D281),D281*H281,"n.a."))</x:f>
        <x:v>100</x:v>
      </x:c>
      <x:c r="J281" s="28" t="n">
        <x:f>IF(ISNUMBER(G281),0,1)</x:f>
        <x:v>0</x:v>
      </x:c>
      <x:c r="K281" s="11" t="str">
        <x:v>'CAKE NOW'!C6:D6</x:v>
      </x:c>
      <x:c r="L281" s="11" t="str"/>
    </x:row>
    <x:row r="282" ht="28" customHeight="1">
      <x:c r="A282" s="10" t="str">
        <x:v>CAKE NOW</x:v>
      </x:c>
      <x:c r="B282" s="12" t="str">
        <x:v>Egg</x:v>
      </x:c>
      <x:c r="C282" s="12" t="n">
        <x:v>1500</x:v>
      </x:c>
      <x:c r="D282" s="14" t="n">
        <x:v>1500</x:v>
      </x:c>
      <x:c r="E282" s="25" t="str">
        <x:v>P11</x:v>
      </x:c>
      <x:c r="F282" s="23" t="n">
        <x:f>Prices!E14</x:f>
        <x:v>1.3888888888888888</x:v>
      </x:c>
      <x:c r="G282" s="27" t="n">
        <x:f>IF(AND(ISNUMBER(D282),ISNUMBER(F282)),D282*F282,"n.a.")</x:f>
        <x:v>2083.3333333333335</x:v>
      </x:c>
      <x:c r="H282" s="29" t="n">
        <x:v>1</x:v>
      </x:c>
      <x:c r="I282" s="29" t="n">
        <x:f>IF(H282=0,0,IF(ISNUMBER(D282),D282*H282,"n.a."))</x:f>
        <x:v>1500</x:v>
      </x:c>
      <x:c r="J282" s="29" t="n">
        <x:f>IF(ISNUMBER(G282),0,1)</x:f>
        <x:v>0</x:v>
      </x:c>
      <x:c r="K282" s="12" t="str">
        <x:v>'CAKE NOW'!C7:D7</x:v>
      </x:c>
      <x:c r="L282" s="12" t="str"/>
    </x:row>
    <x:row r="283" ht="28" customHeight="1">
      <x:c r="A283" s="2" t="str">
        <x:v>CAKE NOW</x:v>
      </x:c>
      <x:c r="B283" s="11" t="str">
        <x:v>water</x:v>
      </x:c>
      <x:c r="C283" s="11"/>
      <x:c r="D283" s="13" t="n">
        <x:v>0</x:v>
      </x:c>
      <x:c r="E283" s="24" t="str">
        <x:v>P16</x:v>
      </x:c>
      <x:c r="F283" s="22" t="n">
        <x:f>Prices!E19</x:f>
        <x:v>0.0001</x:v>
      </x:c>
      <x:c r="G283" s="26" t="n">
        <x:f>IF(AND(ISNUMBER(D283),ISNUMBER(F283)),D283*F283,"n.a.")</x:f>
        <x:v>0</x:v>
      </x:c>
      <x:c r="H283" s="28" t="n">
        <x:v>1</x:v>
      </x:c>
      <x:c r="I283" s="28" t="n">
        <x:f>IF(H283=0,0,IF(ISNUMBER(D283),D283*H283,"n.a."))</x:f>
        <x:v>0</x:v>
      </x:c>
      <x:c r="J283" s="28" t="n">
        <x:f>IF(ISNUMBER(G283),0,1)</x:f>
        <x:v>0</x:v>
      </x:c>
      <x:c r="K283" s="11" t="str">
        <x:v>'CAKE NOW'!C8:D8</x:v>
      </x:c>
      <x:c r="L283" s="11" t="str"/>
    </x:row>
    <x:row r="284" ht="28" customHeight="1">
      <x:c r="A284" s="10" t="str">
        <x:v>CAKE NOW</x:v>
      </x:c>
      <x:c r="B284" s="12" t="str">
        <x:v>Butter</x:v>
      </x:c>
      <x:c r="C284" s="12" t="n">
        <x:v>1500</x:v>
      </x:c>
      <x:c r="D284" s="14" t="n">
        <x:v>1500</x:v>
      </x:c>
      <x:c r="E284" s="25" t="str">
        <x:v>P7</x:v>
      </x:c>
      <x:c r="F284" s="23" t="n">
        <x:f>Prices!E10</x:f>
        <x:v>1.263157894736842</x:v>
      </x:c>
      <x:c r="G284" s="27" t="n">
        <x:f>IF(AND(ISNUMBER(D284),ISNUMBER(F284)),D284*F284,"n.a.")</x:f>
        <x:v>1894.7368421052631</x:v>
      </x:c>
      <x:c r="H284" s="29" t="n">
        <x:v>1</x:v>
      </x:c>
      <x:c r="I284" s="29" t="n">
        <x:f>IF(H284=0,0,IF(ISNUMBER(D284),D284*H284,"n.a."))</x:f>
        <x:v>1500</x:v>
      </x:c>
      <x:c r="J284" s="29" t="n">
        <x:f>IF(ISNUMBER(G284),0,1)</x:f>
        <x:v>0</x:v>
      </x:c>
      <x:c r="K284" s="12" t="str">
        <x:v>'CAKE NOW'!C9:D9</x:v>
      </x:c>
      <x:c r="L284" s="12" t="str"/>
    </x:row>
    <x:row r="285" ht="28" customHeight="1">
      <x:c r="A285" s="2" t="str">
        <x:v>CAKE NOW</x:v>
      </x:c>
      <x:c r="B285" s="11" t="str">
        <x:v>sugar</x:v>
      </x:c>
      <x:c r="C285" s="11" t="n">
        <x:v>1000</x:v>
      </x:c>
      <x:c r="D285" s="13" t="n">
        <x:v>1000</x:v>
      </x:c>
      <x:c r="E285" s="24" t="str">
        <x:v>P5</x:v>
      </x:c>
      <x:c r="F285" s="22" t="n">
        <x:f>Prices!E8</x:f>
        <x:v>0.64</x:v>
      </x:c>
      <x:c r="G285" s="26" t="n">
        <x:f>IF(AND(ISNUMBER(D285),ISNUMBER(F285)),D285*F285,"n.a.")</x:f>
        <x:v>640</x:v>
      </x:c>
      <x:c r="H285" s="28" t="n">
        <x:v>1</x:v>
      </x:c>
      <x:c r="I285" s="28" t="n">
        <x:f>IF(H285=0,0,IF(ISNUMBER(D285),D285*H285,"n.a."))</x:f>
        <x:v>1000</x:v>
      </x:c>
      <x:c r="J285" s="28" t="n">
        <x:f>IF(ISNUMBER(G285),0,1)</x:f>
        <x:v>0</x:v>
      </x:c>
      <x:c r="K285" s="11" t="str">
        <x:v>'CAKE NOW'!C10:D10</x:v>
      </x:c>
      <x:c r="L285" s="11" t="str"/>
    </x:row>
    <x:row r="286" ht="28" customHeight="1">
      <x:c r="A286" s="10" t="str">
        <x:v>Short bread</x:v>
      </x:c>
      <x:c r="B286" s="12" t="str">
        <x:v>flour</x:v>
      </x:c>
      <x:c r="C286" s="12" t="n">
        <x:v>2000</x:v>
      </x:c>
      <x:c r="D286" s="14" t="n">
        <x:v>2000</x:v>
      </x:c>
      <x:c r="E286" s="25" t="str">
        <x:v>P4</x:v>
      </x:c>
      <x:c r="F286" s="23" t="n">
        <x:f>Prices!E7</x:f>
        <x:v>0.42</x:v>
      </x:c>
      <x:c r="G286" s="27" t="n">
        <x:f>IF(AND(ISNUMBER(D286),ISNUMBER(F286)),D286*F286,"n.a.")</x:f>
        <x:v>840</x:v>
      </x:c>
      <x:c r="H286" s="29" t="n">
        <x:v>1</x:v>
      </x:c>
      <x:c r="I286" s="29" t="n">
        <x:f>IF(H286=0,0,IF(ISNUMBER(D286),D286*H286,"n.a."))</x:f>
        <x:v>2000</x:v>
      </x:c>
      <x:c r="J286" s="29" t="n">
        <x:f>IF(ISNUMBER(G286),0,1)</x:f>
        <x:v>0</x:v>
      </x:c>
      <x:c r="K286" s="12" t="str">
        <x:v>'Short bread'!C5:D5</x:v>
      </x:c>
      <x:c r="L286" s="12" t="str"/>
    </x:row>
    <x:row r="287" ht="28" customHeight="1">
      <x:c r="A287" s="2" t="str">
        <x:v>Short bread</x:v>
      </x:c>
      <x:c r="B287" s="11" t="str">
        <x:v>Butter</x:v>
      </x:c>
      <x:c r="C287" s="11" t="n">
        <x:v>1000</x:v>
      </x:c>
      <x:c r="D287" s="13" t="n">
        <x:v>1000</x:v>
      </x:c>
      <x:c r="E287" s="24" t="str">
        <x:v>P7</x:v>
      </x:c>
      <x:c r="F287" s="22" t="n">
        <x:f>Prices!E10</x:f>
        <x:v>1.263157894736842</x:v>
      </x:c>
      <x:c r="G287" s="26" t="n">
        <x:f>IF(AND(ISNUMBER(D287),ISNUMBER(F287)),D287*F287,"n.a.")</x:f>
        <x:v>1263.157894736842</x:v>
      </x:c>
      <x:c r="H287" s="28" t="n">
        <x:v>1</x:v>
      </x:c>
      <x:c r="I287" s="28" t="n">
        <x:f>IF(H287=0,0,IF(ISNUMBER(D287),D287*H287,"n.a."))</x:f>
        <x:v>1000</x:v>
      </x:c>
      <x:c r="J287" s="28" t="n">
        <x:f>IF(ISNUMBER(G287),0,1)</x:f>
        <x:v>0</x:v>
      </x:c>
      <x:c r="K287" s="11" t="str">
        <x:v>'Short bread'!C6:D6</x:v>
      </x:c>
      <x:c r="L287" s="11" t="str"/>
    </x:row>
    <x:row r="288" ht="28" customHeight="1">
      <x:c r="A288" s="10" t="str">
        <x:v>Short bread</x:v>
      </x:c>
      <x:c r="B288" s="12" t="str">
        <x:v>icing sugar</x:v>
      </x:c>
      <x:c r="C288" s="12" t="n">
        <x:v>100</x:v>
      </x:c>
      <x:c r="D288" s="14" t="n">
        <x:v>100</x:v>
      </x:c>
      <x:c r="E288" s="25" t="str">
        <x:v>P30</x:v>
      </x:c>
      <x:c r="F288" s="23" t="n">
        <x:f>Prices!E32</x:f>
        <x:v>2.2</x:v>
      </x:c>
      <x:c r="G288" s="27" t="n">
        <x:f>IF(AND(ISNUMBER(D288),ISNUMBER(F288)),D288*F288,"n.a.")</x:f>
        <x:v>220.00000000000003</x:v>
      </x:c>
      <x:c r="H288" s="29" t="n">
        <x:v>1</x:v>
      </x:c>
      <x:c r="I288" s="29" t="n">
        <x:f>IF(H288=0,0,IF(ISNUMBER(D288),D288*H288,"n.a."))</x:f>
        <x:v>100</x:v>
      </x:c>
      <x:c r="J288" s="29" t="n">
        <x:f>IF(ISNUMBER(G288),0,1)</x:f>
        <x:v>0</x:v>
      </x:c>
      <x:c r="K288" s="12" t="str">
        <x:v>'Short bread'!C7:D7</x:v>
      </x:c>
      <x:c r="L288" s="12" t="str"/>
    </x:row>
    <x:row r="289" ht="28" customHeight="1">
      <x:c r="A289" s="2" t="str">
        <x:v>Short bread</x:v>
      </x:c>
      <x:c r="B289" s="11" t="str">
        <x:v>egg</x:v>
      </x:c>
      <x:c r="C289" s="11" t="n">
        <x:v>100</x:v>
      </x:c>
      <x:c r="D289" s="13" t="n">
        <x:v>100</x:v>
      </x:c>
      <x:c r="E289" s="24" t="str">
        <x:v>P11</x:v>
      </x:c>
      <x:c r="F289" s="22" t="n">
        <x:f>Prices!E14</x:f>
        <x:v>1.3888888888888888</x:v>
      </x:c>
      <x:c r="G289" s="26" t="n">
        <x:f>IF(AND(ISNUMBER(D289),ISNUMBER(F289)),D289*F289,"n.a.")</x:f>
        <x:v>138.88888888888889</x:v>
      </x:c>
      <x:c r="H289" s="28" t="n">
        <x:v>1</x:v>
      </x:c>
      <x:c r="I289" s="28" t="n">
        <x:f>IF(H289=0,0,IF(ISNUMBER(D289),D289*H289,"n.a."))</x:f>
        <x:v>100</x:v>
      </x:c>
      <x:c r="J289" s="28" t="n">
        <x:f>IF(ISNUMBER(G289),0,1)</x:f>
        <x:v>0</x:v>
      </x:c>
      <x:c r="K289" s="11" t="str">
        <x:v>'Short bread'!C8:D8</x:v>
      </x:c>
      <x:c r="L289" s="11" t="str"/>
    </x:row>
    <x:row r="290" ht="28" customHeight="1">
      <x:c r="A290" s="10" t="str">
        <x:v>Short bread</x:v>
      </x:c>
      <x:c r="B290" s="12" t="str">
        <x:v>milk</x:v>
      </x:c>
      <x:c r="C290" s="12" t="n">
        <x:v>200</x:v>
      </x:c>
      <x:c r="D290" s="14" t="n">
        <x:v>200</x:v>
      </x:c>
      <x:c r="E290" s="25" t="str">
        <x:v>P15</x:v>
      </x:c>
      <x:c r="F290" s="23" t="n">
        <x:f>Prices!E18</x:f>
        <x:v>1.17</x:v>
      </x:c>
      <x:c r="G290" s="27" t="n">
        <x:f>IF(AND(ISNUMBER(D290),ISNUMBER(F290)),D290*F290,"n.a.")</x:f>
        <x:v>234</x:v>
      </x:c>
      <x:c r="H290" s="29" t="n">
        <x:v>1</x:v>
      </x:c>
      <x:c r="I290" s="29" t="n">
        <x:f>IF(H290=0,0,IF(ISNUMBER(D290),D290*H290,"n.a."))</x:f>
        <x:v>200</x:v>
      </x:c>
      <x:c r="J290" s="29" t="n">
        <x:f>IF(ISNUMBER(G290),0,1)</x:f>
        <x:v>0</x:v>
      </x:c>
      <x:c r="K290" s="12" t="str">
        <x:v>'Short bread'!C9:D9</x:v>
      </x:c>
      <x:c r="L290" s="12" t="str"/>
    </x:row>
    <x:row r="291" ht="28" customHeight="1">
      <x:c r="A291" s="2" t="str">
        <x:v>Short bread</x:v>
      </x:c>
      <x:c r="B291" s="11" t="str">
        <x:v>sugar</x:v>
      </x:c>
      <x:c r="C291" s="11" t="n">
        <x:v>400</x:v>
      </x:c>
      <x:c r="D291" s="13" t="n">
        <x:v>400</x:v>
      </x:c>
      <x:c r="E291" s="24" t="str">
        <x:v>P5</x:v>
      </x:c>
      <x:c r="F291" s="22" t="n">
        <x:f>Prices!E8</x:f>
        <x:v>0.64</x:v>
      </x:c>
      <x:c r="G291" s="26" t="n">
        <x:f>IF(AND(ISNUMBER(D291),ISNUMBER(F291)),D291*F291,"n.a.")</x:f>
        <x:v>256</x:v>
      </x:c>
      <x:c r="H291" s="28" t="n">
        <x:v>1</x:v>
      </x:c>
      <x:c r="I291" s="28" t="n">
        <x:f>IF(H291=0,0,IF(ISNUMBER(D291),D291*H291,"n.a."))</x:f>
        <x:v>400</x:v>
      </x:c>
      <x:c r="J291" s="28" t="n">
        <x:f>IF(ISNUMBER(G291),0,1)</x:f>
        <x:v>0</x:v>
      </x:c>
      <x:c r="K291" s="11" t="str">
        <x:v>'Short bread'!C10:D10</x:v>
      </x:c>
      <x:c r="L291" s="11" t="str"/>
    </x:row>
    <x:row r="292" ht="28" customHeight="1">
      <x:c r="A292" s="10" t="str">
        <x:v>Short bread</x:v>
      </x:c>
      <x:c r="B292" s="12" t="str">
        <x:v>salt</x:v>
      </x:c>
      <x:c r="C292" s="12" t="n">
        <x:v>150</x:v>
      </x:c>
      <x:c r="D292" s="14" t="n">
        <x:v>150</x:v>
      </x:c>
      <x:c r="E292" s="25" t="str">
        <x:v>P6</x:v>
      </x:c>
      <x:c r="F292" s="23" t="n">
        <x:f>Prices!E9</x:f>
        <x:v>0.20555555555555555</x:v>
      </x:c>
      <x:c r="G292" s="27" t="n">
        <x:f>IF(AND(ISNUMBER(D292),ISNUMBER(F292)),D292*F292,"n.a.")</x:f>
        <x:v>30.833333333333332</x:v>
      </x:c>
      <x:c r="H292" s="29" t="n">
        <x:v>1</x:v>
      </x:c>
      <x:c r="I292" s="29" t="n">
        <x:f>IF(H292=0,0,IF(ISNUMBER(D292),D292*H292,"n.a."))</x:f>
        <x:v>150</x:v>
      </x:c>
      <x:c r="J292" s="29" t="n">
        <x:f>IF(ISNUMBER(G292),0,1)</x:f>
        <x:v>0</x:v>
      </x:c>
      <x:c r="K292" s="12" t="str">
        <x:v>'Short bread'!C11:D11</x:v>
      </x:c>
      <x:c r="L292" s="12" t="str"/>
    </x:row>
    <x:row r="293" ht="28" customHeight="1">
      <x:c r="A293" s="2" t="str">
        <x:v>Melto</x:v>
      </x:c>
      <x:c r="B293" s="11" t="str">
        <x:v>flour</x:v>
      </x:c>
      <x:c r="C293" s="11" t="n">
        <x:v>4500</x:v>
      </x:c>
      <x:c r="D293" s="13" t="n">
        <x:v>4500</x:v>
      </x:c>
      <x:c r="E293" s="24" t="str">
        <x:v>P4</x:v>
      </x:c>
      <x:c r="F293" s="22" t="n">
        <x:f>Prices!E7</x:f>
        <x:v>0.42</x:v>
      </x:c>
      <x:c r="G293" s="26" t="n">
        <x:f>IF(AND(ISNUMBER(D293),ISNUMBER(F293)),D293*F293,"n.a.")</x:f>
        <x:v>1890</x:v>
      </x:c>
      <x:c r="H293" s="28" t="n">
        <x:v>1</x:v>
      </x:c>
      <x:c r="I293" s="28" t="n">
        <x:f>IF(H293=0,0,IF(ISNUMBER(D293),D293*H293,"n.a."))</x:f>
        <x:v>4500</x:v>
      </x:c>
      <x:c r="J293" s="28" t="n">
        <x:f>IF(ISNUMBER(G293),0,1)</x:f>
        <x:v>0</x:v>
      </x:c>
      <x:c r="K293" s="11" t="str">
        <x:v>'Melto'!C5:D5</x:v>
      </x:c>
      <x:c r="L293" s="11" t="str"/>
    </x:row>
    <x:row r="294" ht="28" customHeight="1">
      <x:c r="A294" s="10" t="str">
        <x:v>Melto</x:v>
      </x:c>
      <x:c r="B294" s="12" t="str">
        <x:v>Butter</x:v>
      </x:c>
      <x:c r="C294" s="12" t="n">
        <x:v>2000</x:v>
      </x:c>
      <x:c r="D294" s="14" t="n">
        <x:v>2000</x:v>
      </x:c>
      <x:c r="E294" s="25" t="str">
        <x:v>P7</x:v>
      </x:c>
      <x:c r="F294" s="23" t="n">
        <x:f>Prices!E10</x:f>
        <x:v>1.263157894736842</x:v>
      </x:c>
      <x:c r="G294" s="27" t="n">
        <x:f>IF(AND(ISNUMBER(D294),ISNUMBER(F294)),D294*F294,"n.a.")</x:f>
        <x:v>2526.315789473684</x:v>
      </x:c>
      <x:c r="H294" s="29" t="n">
        <x:v>1</x:v>
      </x:c>
      <x:c r="I294" s="29" t="n">
        <x:f>IF(H294=0,0,IF(ISNUMBER(D294),D294*H294,"n.a."))</x:f>
        <x:v>2000</x:v>
      </x:c>
      <x:c r="J294" s="29" t="n">
        <x:f>IF(ISNUMBER(G294),0,1)</x:f>
        <x:v>0</x:v>
      </x:c>
      <x:c r="K294" s="12" t="str">
        <x:v>'Melto'!C6:D6</x:v>
      </x:c>
      <x:c r="L294" s="12" t="str"/>
    </x:row>
    <x:row r="295" ht="28" customHeight="1">
      <x:c r="A295" s="2" t="str">
        <x:v>Melto</x:v>
      </x:c>
      <x:c r="B295" s="11" t="str">
        <x:v>icing sugar</x:v>
      </x:c>
      <x:c r="C295" s="11" t="n">
        <x:v>400</x:v>
      </x:c>
      <x:c r="D295" s="13" t="n">
        <x:v>400</x:v>
      </x:c>
      <x:c r="E295" s="24" t="str">
        <x:v>P30</x:v>
      </x:c>
      <x:c r="F295" s="22" t="n">
        <x:f>Prices!E32</x:f>
        <x:v>2.2</x:v>
      </x:c>
      <x:c r="G295" s="26" t="n">
        <x:f>IF(AND(ISNUMBER(D295),ISNUMBER(F295)),D295*F295,"n.a.")</x:f>
        <x:v>880.0000000000001</x:v>
      </x:c>
      <x:c r="H295" s="28" t="n">
        <x:v>1</x:v>
      </x:c>
      <x:c r="I295" s="28" t="n">
        <x:f>IF(H295=0,0,IF(ISNUMBER(D295),D295*H295,"n.a."))</x:f>
        <x:v>400</x:v>
      </x:c>
      <x:c r="J295" s="28" t="n">
        <x:f>IF(ISNUMBER(G295),0,1)</x:f>
        <x:v>0</x:v>
      </x:c>
      <x:c r="K295" s="11" t="str">
        <x:v>'Melto'!C7:D7</x:v>
      </x:c>
      <x:c r="L295" s="11" t="str"/>
    </x:row>
    <x:row r="296" ht="28" customHeight="1">
      <x:c r="A296" s="10" t="str">
        <x:v>Melto</x:v>
      </x:c>
      <x:c r="B296" s="12" t="str">
        <x:v>egg</x:v>
      </x:c>
      <x:c r="C296" s="12" t="n">
        <x:v>150</x:v>
      </x:c>
      <x:c r="D296" s="14" t="n">
        <x:v>150</x:v>
      </x:c>
      <x:c r="E296" s="25" t="str">
        <x:v>P11</x:v>
      </x:c>
      <x:c r="F296" s="23" t="n">
        <x:f>Prices!E14</x:f>
        <x:v>1.3888888888888888</x:v>
      </x:c>
      <x:c r="G296" s="27" t="n">
        <x:f>IF(AND(ISNUMBER(D296),ISNUMBER(F296)),D296*F296,"n.a.")</x:f>
        <x:v>208.33333333333331</x:v>
      </x:c>
      <x:c r="H296" s="29" t="n">
        <x:v>1</x:v>
      </x:c>
      <x:c r="I296" s="29" t="n">
        <x:f>IF(H296=0,0,IF(ISNUMBER(D296),D296*H296,"n.a."))</x:f>
        <x:v>150</x:v>
      </x:c>
      <x:c r="J296" s="29" t="n">
        <x:f>IF(ISNUMBER(G296),0,1)</x:f>
        <x:v>0</x:v>
      </x:c>
      <x:c r="K296" s="12" t="str">
        <x:v>'Melto'!C8:D8</x:v>
      </x:c>
      <x:c r="L296" s="12" t="str"/>
    </x:row>
    <x:row r="297" ht="28" customHeight="1">
      <x:c r="A297" s="2" t="str">
        <x:v>Melto</x:v>
      </x:c>
      <x:c r="B297" s="11" t="str">
        <x:v>sugar</x:v>
      </x:c>
      <x:c r="C297" s="11" t="n">
        <x:v>400</x:v>
      </x:c>
      <x:c r="D297" s="13" t="n">
        <x:v>400</x:v>
      </x:c>
      <x:c r="E297" s="24" t="str">
        <x:v>P5</x:v>
      </x:c>
      <x:c r="F297" s="22" t="n">
        <x:f>Prices!E8</x:f>
        <x:v>0.64</x:v>
      </x:c>
      <x:c r="G297" s="26" t="n">
        <x:f>IF(AND(ISNUMBER(D297),ISNUMBER(F297)),D297*F297,"n.a.")</x:f>
        <x:v>256</x:v>
      </x:c>
      <x:c r="H297" s="28" t="n">
        <x:v>1</x:v>
      </x:c>
      <x:c r="I297" s="28" t="n">
        <x:f>IF(H297=0,0,IF(ISNUMBER(D297),D297*H297,"n.a."))</x:f>
        <x:v>400</x:v>
      </x:c>
      <x:c r="J297" s="28" t="n">
        <x:f>IF(ISNUMBER(G297),0,1)</x:f>
        <x:v>0</x:v>
      </x:c>
      <x:c r="K297" s="11" t="str">
        <x:v>'Melto'!C9:D9</x:v>
      </x:c>
      <x:c r="L297" s="11" t="str"/>
    </x:row>
    <x:row r="298" ht="28" customHeight="1">
      <x:c r="A298" s="10" t="str">
        <x:v>Melto</x:v>
      </x:c>
      <x:c r="B298" s="12" t="str">
        <x:v>salt</x:v>
      </x:c>
      <x:c r="C298" s="12" t="n">
        <x:v>40</x:v>
      </x:c>
      <x:c r="D298" s="14" t="n">
        <x:v>40</x:v>
      </x:c>
      <x:c r="E298" s="25" t="str">
        <x:v>P6</x:v>
      </x:c>
      <x:c r="F298" s="23" t="n">
        <x:f>Prices!E9</x:f>
        <x:v>0.20555555555555555</x:v>
      </x:c>
      <x:c r="G298" s="27" t="n">
        <x:f>IF(AND(ISNUMBER(D298),ISNUMBER(F298)),D298*F298,"n.a.")</x:f>
        <x:v>8.222222222222221</x:v>
      </x:c>
      <x:c r="H298" s="29" t="n">
        <x:v>1</x:v>
      </x:c>
      <x:c r="I298" s="29" t="n">
        <x:f>IF(H298=0,0,IF(ISNUMBER(D298),D298*H298,"n.a."))</x:f>
        <x:v>40</x:v>
      </x:c>
      <x:c r="J298" s="29" t="n">
        <x:f>IF(ISNUMBER(G298),0,1)</x:f>
        <x:v>0</x:v>
      </x:c>
      <x:c r="K298" s="12" t="str">
        <x:v>'Melto'!C10:D10</x:v>
      </x:c>
      <x:c r="L298" s="12" t="str"/>
    </x:row>
    <x:row r="299" ht="28" customHeight="1">
      <x:c r="A299" s="2" t="str">
        <x:v>Kumba bread</x:v>
      </x:c>
      <x:c r="B299" s="11" t="str">
        <x:v>flour</x:v>
      </x:c>
      <x:c r="C299" s="11" t="n">
        <x:v>25000</x:v>
      </x:c>
      <x:c r="D299" s="13" t="n">
        <x:v>25000</x:v>
      </x:c>
      <x:c r="E299" s="24" t="str">
        <x:v>P4</x:v>
      </x:c>
      <x:c r="F299" s="22" t="n">
        <x:f>Prices!E7</x:f>
        <x:v>0.42</x:v>
      </x:c>
      <x:c r="G299" s="26" t="n">
        <x:f>IF(AND(ISNUMBER(D299),ISNUMBER(F299)),D299*F299,"n.a.")</x:f>
        <x:v>10500</x:v>
      </x:c>
      <x:c r="H299" s="28" t="n">
        <x:v>1</x:v>
      </x:c>
      <x:c r="I299" s="28" t="n">
        <x:f>IF(H299=0,0,IF(ISNUMBER(D299),D299*H299,"n.a."))</x:f>
        <x:v>25000</x:v>
      </x:c>
      <x:c r="J299" s="28" t="n">
        <x:f>IF(ISNUMBER(G299),0,1)</x:f>
        <x:v>0</x:v>
      </x:c>
      <x:c r="K299" s="11" t="str">
        <x:v>'Kumba bread'!C5:D5</x:v>
      </x:c>
      <x:c r="L299" s="11" t="str"/>
    </x:row>
    <x:row r="300" ht="28" customHeight="1">
      <x:c r="A300" s="10" t="str">
        <x:v>Kumba bread</x:v>
      </x:c>
      <x:c r="B300" s="12" t="str">
        <x:v>Butter</x:v>
      </x:c>
      <x:c r="C300" s="12" t="n">
        <x:v>1250</x:v>
      </x:c>
      <x:c r="D300" s="14" t="n">
        <x:v>1250</x:v>
      </x:c>
      <x:c r="E300" s="25" t="str">
        <x:v>P7</x:v>
      </x:c>
      <x:c r="F300" s="23" t="n">
        <x:f>Prices!E10</x:f>
        <x:v>1.263157894736842</x:v>
      </x:c>
      <x:c r="G300" s="27" t="n">
        <x:f>IF(AND(ISNUMBER(D300),ISNUMBER(F300)),D300*F300,"n.a.")</x:f>
        <x:v>1578.9473684210525</x:v>
      </x:c>
      <x:c r="H300" s="29" t="n">
        <x:v>1</x:v>
      </x:c>
      <x:c r="I300" s="29" t="n">
        <x:f>IF(H300=0,0,IF(ISNUMBER(D300),D300*H300,"n.a."))</x:f>
        <x:v>1250</x:v>
      </x:c>
      <x:c r="J300" s="29" t="n">
        <x:f>IF(ISNUMBER(G300),0,1)</x:f>
        <x:v>0</x:v>
      </x:c>
      <x:c r="K300" s="12" t="str">
        <x:v>'Kumba bread'!C6:D6</x:v>
      </x:c>
      <x:c r="L300" s="12" t="str"/>
    </x:row>
    <x:row r="301" ht="28" customHeight="1">
      <x:c r="A301" s="2" t="str">
        <x:v>Kumba bread</x:v>
      </x:c>
      <x:c r="B301" s="11" t="str">
        <x:v>sugar</x:v>
      </x:c>
      <x:c r="C301" s="11" t="n">
        <x:v>2750</x:v>
      </x:c>
      <x:c r="D301" s="13" t="n">
        <x:v>2750</x:v>
      </x:c>
      <x:c r="E301" s="24" t="str">
        <x:v>P5</x:v>
      </x:c>
      <x:c r="F301" s="22" t="n">
        <x:f>Prices!E8</x:f>
        <x:v>0.64</x:v>
      </x:c>
      <x:c r="G301" s="26" t="n">
        <x:f>IF(AND(ISNUMBER(D301),ISNUMBER(F301)),D301*F301,"n.a.")</x:f>
        <x:v>1760</x:v>
      </x:c>
      <x:c r="H301" s="28" t="n">
        <x:v>1</x:v>
      </x:c>
      <x:c r="I301" s="28" t="n">
        <x:f>IF(H301=0,0,IF(ISNUMBER(D301),D301*H301,"n.a."))</x:f>
        <x:v>2750</x:v>
      </x:c>
      <x:c r="J301" s="28" t="n">
        <x:f>IF(ISNUMBER(G301),0,1)</x:f>
        <x:v>0</x:v>
      </x:c>
      <x:c r="K301" s="11" t="str">
        <x:v>'Kumba bread'!C7:D7</x:v>
      </x:c>
      <x:c r="L301" s="11" t="str"/>
    </x:row>
    <x:row r="302" ht="28" customHeight="1">
      <x:c r="A302" s="10" t="str">
        <x:v>Kumba bread</x:v>
      </x:c>
      <x:c r="B302" s="12" t="str">
        <x:v>pwd Milk</x:v>
      </x:c>
      <x:c r="C302" s="12" t="n">
        <x:v>500</x:v>
      </x:c>
      <x:c r="D302" s="14" t="n">
        <x:v>500</x:v>
      </x:c>
      <x:c r="E302" s="25" t="str">
        <x:v>P17</x:v>
      </x:c>
      <x:c r="F302" s="23" t="n">
        <x:f>Prices!E20</x:f>
        <x:v>3.2</x:v>
      </x:c>
      <x:c r="G302" s="27" t="n">
        <x:f>IF(AND(ISNUMBER(D302),ISNUMBER(F302)),D302*F302,"n.a.")</x:f>
        <x:v>1600</x:v>
      </x:c>
      <x:c r="H302" s="29" t="n">
        <x:v>1</x:v>
      </x:c>
      <x:c r="I302" s="29" t="n">
        <x:f>IF(H302=0,0,IF(ISNUMBER(D302),D302*H302,"n.a."))</x:f>
        <x:v>500</x:v>
      </x:c>
      <x:c r="J302" s="29" t="n">
        <x:f>IF(ISNUMBER(G302),0,1)</x:f>
        <x:v>0</x:v>
      </x:c>
      <x:c r="K302" s="12" t="str">
        <x:v>'Kumba bread'!C8:D8</x:v>
      </x:c>
      <x:c r="L302" s="12" t="str"/>
    </x:row>
    <x:row r="303" ht="28" customHeight="1">
      <x:c r="A303" s="2" t="str">
        <x:v>Kumba bread</x:v>
      </x:c>
      <x:c r="B303" s="11" t="str">
        <x:v>salt</x:v>
      </x:c>
      <x:c r="C303" s="11" t="n">
        <x:v>250</x:v>
      </x:c>
      <x:c r="D303" s="13" t="n">
        <x:v>250</x:v>
      </x:c>
      <x:c r="E303" s="24" t="str">
        <x:v>P6</x:v>
      </x:c>
      <x:c r="F303" s="22" t="n">
        <x:f>Prices!E9</x:f>
        <x:v>0.20555555555555555</x:v>
      </x:c>
      <x:c r="G303" s="26" t="n">
        <x:f>IF(AND(ISNUMBER(D303),ISNUMBER(F303)),D303*F303,"n.a.")</x:f>
        <x:v>51.388888888888886</x:v>
      </x:c>
      <x:c r="H303" s="28" t="n">
        <x:v>1</x:v>
      </x:c>
      <x:c r="I303" s="28" t="n">
        <x:f>IF(H303=0,0,IF(ISNUMBER(D303),D303*H303,"n.a."))</x:f>
        <x:v>250</x:v>
      </x:c>
      <x:c r="J303" s="28" t="n">
        <x:f>IF(ISNUMBER(G303),0,1)</x:f>
        <x:v>0</x:v>
      </x:c>
      <x:c r="K303" s="11" t="str">
        <x:v>'Kumba bread'!C9:D9</x:v>
      </x:c>
      <x:c r="L303" s="11" t="str"/>
    </x:row>
    <x:row r="304" ht="28" customHeight="1">
      <x:c r="A304" s="10" t="str">
        <x:v>Kumba bread</x:v>
      </x:c>
      <x:c r="B304" s="12" t="str">
        <x:v>improver</x:v>
      </x:c>
      <x:c r="C304" s="12" t="n">
        <x:v>100</x:v>
      </x:c>
      <x:c r="D304" s="14" t="n">
        <x:v>100</x:v>
      </x:c>
      <x:c r="E304" s="25" t="str">
        <x:v>P12</x:v>
      </x:c>
      <x:c r="F304" s="23" t="n">
        <x:f>Prices!E15</x:f>
        <x:v>2.8</x:v>
      </x:c>
      <x:c r="G304" s="27" t="n">
        <x:f>IF(AND(ISNUMBER(D304),ISNUMBER(F304)),D304*F304,"n.a.")</x:f>
        <x:v>280</x:v>
      </x:c>
      <x:c r="H304" s="29" t="n">
        <x:v>1</x:v>
      </x:c>
      <x:c r="I304" s="29" t="n">
        <x:f>IF(H304=0,0,IF(ISNUMBER(D304),D304*H304,"n.a."))</x:f>
        <x:v>100</x:v>
      </x:c>
      <x:c r="J304" s="29" t="n">
        <x:f>IF(ISNUMBER(G304),0,1)</x:f>
        <x:v>0</x:v>
      </x:c>
      <x:c r="K304" s="12" t="str">
        <x:v>'Kumba bread'!C10:D10</x:v>
      </x:c>
      <x:c r="L304" s="12" t="str"/>
    </x:row>
    <x:row r="305" ht="28" customHeight="1">
      <x:c r="A305" s="2" t="str">
        <x:v>Kumba bread</x:v>
      </x:c>
      <x:c r="B305" s="11" t="str">
        <x:v>yeast</x:v>
      </x:c>
      <x:c r="C305" s="11" t="n">
        <x:v>225</x:v>
      </x:c>
      <x:c r="D305" s="13" t="n">
        <x:v>225</x:v>
      </x:c>
      <x:c r="E305" s="24" t="str">
        <x:v>P9</x:v>
      </x:c>
      <x:c r="F305" s="22" t="n">
        <x:f>Prices!E12</x:f>
        <x:v>2.8</x:v>
      </x:c>
      <x:c r="G305" s="26" t="n">
        <x:f>IF(AND(ISNUMBER(D305),ISNUMBER(F305)),D305*F305,"n.a.")</x:f>
        <x:v>630</x:v>
      </x:c>
      <x:c r="H305" s="28" t="n">
        <x:v>1</x:v>
      </x:c>
      <x:c r="I305" s="28" t="n">
        <x:f>IF(H305=0,0,IF(ISNUMBER(D305),D305*H305,"n.a."))</x:f>
        <x:v>225</x:v>
      </x:c>
      <x:c r="J305" s="28" t="n">
        <x:f>IF(ISNUMBER(G305),0,1)</x:f>
        <x:v>0</x:v>
      </x:c>
      <x:c r="K305" s="11" t="str">
        <x:v>'Kumba bread'!C11:D11</x:v>
      </x:c>
      <x:c r="L305" s="11" t="str"/>
    </x:row>
    <x:row r="306" ht="28" customHeight="1">
      <x:c r="A306" s="10" t="str">
        <x:v>Kumba bread</x:v>
      </x:c>
      <x:c r="B306" s="12" t="str">
        <x:v>water</x:v>
      </x:c>
      <x:c r="C306" s="12" t="n">
        <x:v>13500</x:v>
      </x:c>
      <x:c r="D306" s="14" t="n">
        <x:v>13500</x:v>
      </x:c>
      <x:c r="E306" s="25" t="str">
        <x:v>P16</x:v>
      </x:c>
      <x:c r="F306" s="23" t="n">
        <x:f>Prices!E19</x:f>
        <x:v>0.0001</x:v>
      </x:c>
      <x:c r="G306" s="27" t="n">
        <x:f>IF(AND(ISNUMBER(D306),ISNUMBER(F306)),D306*F306,"n.a.")</x:f>
        <x:v>1.35</x:v>
      </x:c>
      <x:c r="H306" s="29" t="n">
        <x:v>1</x:v>
      </x:c>
      <x:c r="I306" s="29" t="n">
        <x:f>IF(H306=0,0,IF(ISNUMBER(D306),D306*H306,"n.a."))</x:f>
        <x:v>13500</x:v>
      </x:c>
      <x:c r="J306" s="29" t="n">
        <x:f>IF(ISNUMBER(G306),0,1)</x:f>
        <x:v>0</x:v>
      </x:c>
      <x:c r="K306" s="12" t="str">
        <x:v>'Kumba bread'!C12:D12</x:v>
      </x:c>
      <x:c r="L306" s="12" t="str"/>
    </x:row>
    <x:row r="307" ht="28" customHeight="1">
      <x:c r="A307" s="2" t="str">
        <x:v>Hamburger buns</x:v>
      </x:c>
      <x:c r="B307" s="11" t="str">
        <x:v>flour</x:v>
      </x:c>
      <x:c r="C307" s="11" t="n">
        <x:v>10000</x:v>
      </x:c>
      <x:c r="D307" s="13" t="n">
        <x:v>10000</x:v>
      </x:c>
      <x:c r="E307" s="24" t="str">
        <x:v>P4</x:v>
      </x:c>
      <x:c r="F307" s="22" t="n">
        <x:f>Prices!E7</x:f>
        <x:v>0.42</x:v>
      </x:c>
      <x:c r="G307" s="26" t="n">
        <x:f>IF(AND(ISNUMBER(D307),ISNUMBER(F307)),D307*F307,"n.a.")</x:f>
        <x:v>4200</x:v>
      </x:c>
      <x:c r="H307" s="28" t="n">
        <x:v>1</x:v>
      </x:c>
      <x:c r="I307" s="28" t="n">
        <x:f>IF(H307=0,0,IF(ISNUMBER(D307),D307*H307,"n.a."))</x:f>
        <x:v>10000</x:v>
      </x:c>
      <x:c r="J307" s="28" t="n">
        <x:f>IF(ISNUMBER(G307),0,1)</x:f>
        <x:v>0</x:v>
      </x:c>
      <x:c r="K307" s="11" t="str">
        <x:v>'Hamburger buns'!C5:D5</x:v>
      </x:c>
      <x:c r="L307" s="11" t="str"/>
    </x:row>
    <x:row r="308" ht="28" customHeight="1">
      <x:c r="A308" s="10" t="str">
        <x:v>Hamburger buns</x:v>
      </x:c>
      <x:c r="B308" s="12" t="str">
        <x:v>sugar</x:v>
      </x:c>
      <x:c r="C308" s="12" t="n">
        <x:v>700</x:v>
      </x:c>
      <x:c r="D308" s="14" t="n">
        <x:v>700</x:v>
      </x:c>
      <x:c r="E308" s="25" t="str">
        <x:v>P5</x:v>
      </x:c>
      <x:c r="F308" s="23" t="n">
        <x:f>Prices!E8</x:f>
        <x:v>0.64</x:v>
      </x:c>
      <x:c r="G308" s="27" t="n">
        <x:f>IF(AND(ISNUMBER(D308),ISNUMBER(F308)),D308*F308,"n.a.")</x:f>
        <x:v>448</x:v>
      </x:c>
      <x:c r="H308" s="29" t="n">
        <x:v>1</x:v>
      </x:c>
      <x:c r="I308" s="29" t="n">
        <x:f>IF(H308=0,0,IF(ISNUMBER(D308),D308*H308,"n.a."))</x:f>
        <x:v>700</x:v>
      </x:c>
      <x:c r="J308" s="29" t="n">
        <x:f>IF(ISNUMBER(G308),0,1)</x:f>
        <x:v>0</x:v>
      </x:c>
      <x:c r="K308" s="12" t="str">
        <x:v>'Hamburger buns'!C6:D6</x:v>
      </x:c>
      <x:c r="L308" s="12" t="str"/>
    </x:row>
    <x:row r="309" ht="28" customHeight="1">
      <x:c r="A309" s="2" t="str">
        <x:v>Hamburger buns</x:v>
      </x:c>
      <x:c r="B309" s="11" t="str">
        <x:v>Milk</x:v>
      </x:c>
      <x:c r="C309" s="11" t="n">
        <x:v>400</x:v>
      </x:c>
      <x:c r="D309" s="13" t="n">
        <x:v>400</x:v>
      </x:c>
      <x:c r="E309" s="24" t="str">
        <x:v>P15</x:v>
      </x:c>
      <x:c r="F309" s="22" t="n">
        <x:f>Prices!E18</x:f>
        <x:v>1.17</x:v>
      </x:c>
      <x:c r="G309" s="26" t="n">
        <x:f>IF(AND(ISNUMBER(D309),ISNUMBER(F309)),D309*F309,"n.a.")</x:f>
        <x:v>468</x:v>
      </x:c>
      <x:c r="H309" s="28" t="n">
        <x:v>1</x:v>
      </x:c>
      <x:c r="I309" s="28" t="n">
        <x:f>IF(H309=0,0,IF(ISNUMBER(D309),D309*H309,"n.a."))</x:f>
        <x:v>400</x:v>
      </x:c>
      <x:c r="J309" s="28" t="n">
        <x:f>IF(ISNUMBER(G309),0,1)</x:f>
        <x:v>0</x:v>
      </x:c>
      <x:c r="K309" s="11" t="str">
        <x:v>'Hamburger buns'!C7:D7</x:v>
      </x:c>
      <x:c r="L309" s="11" t="str"/>
    </x:row>
    <x:row r="310" ht="28" customHeight="1">
      <x:c r="A310" s="10" t="str">
        <x:v>Hamburger buns</x:v>
      </x:c>
      <x:c r="B310" s="12" t="str">
        <x:v>salt</x:v>
      </x:c>
      <x:c r="C310" s="12" t="n">
        <x:v>110</x:v>
      </x:c>
      <x:c r="D310" s="14" t="n">
        <x:v>110</x:v>
      </x:c>
      <x:c r="E310" s="25" t="str">
        <x:v>P6</x:v>
      </x:c>
      <x:c r="F310" s="23" t="n">
        <x:f>Prices!E9</x:f>
        <x:v>0.20555555555555555</x:v>
      </x:c>
      <x:c r="G310" s="27" t="n">
        <x:f>IF(AND(ISNUMBER(D310),ISNUMBER(F310)),D310*F310,"n.a.")</x:f>
        <x:v>22.61111111111111</x:v>
      </x:c>
      <x:c r="H310" s="29" t="n">
        <x:v>1</x:v>
      </x:c>
      <x:c r="I310" s="29" t="n">
        <x:f>IF(H310=0,0,IF(ISNUMBER(D310),D310*H310,"n.a."))</x:f>
        <x:v>110</x:v>
      </x:c>
      <x:c r="J310" s="29" t="n">
        <x:f>IF(ISNUMBER(G310),0,1)</x:f>
        <x:v>0</x:v>
      </x:c>
      <x:c r="K310" s="12" t="str">
        <x:v>'Hamburger buns'!C8:D8</x:v>
      </x:c>
      <x:c r="L310" s="12" t="str"/>
    </x:row>
    <x:row r="311" ht="28" customHeight="1">
      <x:c r="A311" s="2" t="str">
        <x:v>Hamburger buns</x:v>
      </x:c>
      <x:c r="B311" s="11" t="str">
        <x:v>improver</x:v>
      </x:c>
      <x:c r="C311" s="11" t="n">
        <x:v>100</x:v>
      </x:c>
      <x:c r="D311" s="13" t="n">
        <x:v>100</x:v>
      </x:c>
      <x:c r="E311" s="24" t="str">
        <x:v>P12</x:v>
      </x:c>
      <x:c r="F311" s="22" t="n">
        <x:f>Prices!E15</x:f>
        <x:v>2.8</x:v>
      </x:c>
      <x:c r="G311" s="26" t="n">
        <x:f>IF(AND(ISNUMBER(D311),ISNUMBER(F311)),D311*F311,"n.a.")</x:f>
        <x:v>280</x:v>
      </x:c>
      <x:c r="H311" s="28" t="n">
        <x:v>1</x:v>
      </x:c>
      <x:c r="I311" s="28" t="n">
        <x:f>IF(H311=0,0,IF(ISNUMBER(D311),D311*H311,"n.a."))</x:f>
        <x:v>100</x:v>
      </x:c>
      <x:c r="J311" s="28" t="n">
        <x:f>IF(ISNUMBER(G311),0,1)</x:f>
        <x:v>0</x:v>
      </x:c>
      <x:c r="K311" s="11" t="str">
        <x:v>'Hamburger buns'!C9:D9</x:v>
      </x:c>
      <x:c r="L311" s="11" t="str"/>
    </x:row>
    <x:row r="312" ht="28" customHeight="1">
      <x:c r="A312" s="10" t="str">
        <x:v>Hamburger buns</x:v>
      </x:c>
      <x:c r="B312" s="12" t="str">
        <x:v>yeast</x:v>
      </x:c>
      <x:c r="C312" s="12" t="n">
        <x:v>150</x:v>
      </x:c>
      <x:c r="D312" s="14" t="n">
        <x:v>150</x:v>
      </x:c>
      <x:c r="E312" s="25" t="str">
        <x:v>P9</x:v>
      </x:c>
      <x:c r="F312" s="23" t="n">
        <x:f>Prices!E12</x:f>
        <x:v>2.8</x:v>
      </x:c>
      <x:c r="G312" s="27" t="n">
        <x:f>IF(AND(ISNUMBER(D312),ISNUMBER(F312)),D312*F312,"n.a.")</x:f>
        <x:v>420</x:v>
      </x:c>
      <x:c r="H312" s="29" t="n">
        <x:v>1</x:v>
      </x:c>
      <x:c r="I312" s="29" t="n">
        <x:f>IF(H312=0,0,IF(ISNUMBER(D312),D312*H312,"n.a."))</x:f>
        <x:v>150</x:v>
      </x:c>
      <x:c r="J312" s="29" t="n">
        <x:f>IF(ISNUMBER(G312),0,1)</x:f>
        <x:v>0</x:v>
      </x:c>
      <x:c r="K312" s="12" t="str">
        <x:v>'Hamburger buns'!C10:D10</x:v>
      </x:c>
      <x:c r="L312" s="12" t="str"/>
    </x:row>
    <x:row r="313" ht="28" customHeight="1">
      <x:c r="A313" s="2" t="str">
        <x:v>Hamburger buns</x:v>
      </x:c>
      <x:c r="B313" s="11" t="str">
        <x:v>water</x:v>
      </x:c>
      <x:c r="C313" s="11" t="n">
        <x:v>6000</x:v>
      </x:c>
      <x:c r="D313" s="13" t="n">
        <x:v>6000</x:v>
      </x:c>
      <x:c r="E313" s="24" t="str">
        <x:v>P16</x:v>
      </x:c>
      <x:c r="F313" s="22" t="n">
        <x:f>Prices!E19</x:f>
        <x:v>0.0001</x:v>
      </x:c>
      <x:c r="G313" s="26" t="n">
        <x:f>IF(AND(ISNUMBER(D313),ISNUMBER(F313)),D313*F313,"n.a.")</x:f>
        <x:v>0.6</x:v>
      </x:c>
      <x:c r="H313" s="28" t="n">
        <x:v>1</x:v>
      </x:c>
      <x:c r="I313" s="28" t="n">
        <x:f>IF(H313=0,0,IF(ISNUMBER(D313),D313*H313,"n.a."))</x:f>
        <x:v>6000</x:v>
      </x:c>
      <x:c r="J313" s="28" t="n">
        <x:f>IF(ISNUMBER(G313),0,1)</x:f>
        <x:v>0</x:v>
      </x:c>
      <x:c r="K313" s="11" t="str">
        <x:v>'Hamburger buns'!C11:D11</x:v>
      </x:c>
      <x:c r="L313" s="11" t="str"/>
    </x:row>
    <x:row r="314" ht="28" customHeight="1">
      <x:c r="A314" s="10" t="str">
        <x:v>Hamburger buns</x:v>
      </x:c>
      <x:c r="B314" s="12" t="str">
        <x:v>EDC</x:v>
      </x:c>
      <x:c r="C314" s="12" t="n">
        <x:v>20</x:v>
      </x:c>
      <x:c r="D314" s="14" t="n">
        <x:v>20</x:v>
      </x:c>
      <x:c r="E314" s="25" t="str">
        <x:v>P19</x:v>
      </x:c>
      <x:c r="F314" s="23" t="n">
        <x:f>Prices!E22</x:f>
        <x:v>3</x:v>
      </x:c>
      <x:c r="G314" s="27" t="n">
        <x:f>IF(AND(ISNUMBER(D314),ISNUMBER(F314)),D314*F314,"n.a.")</x:f>
        <x:v>60</x:v>
      </x:c>
      <x:c r="H314" s="29" t="n">
        <x:v>1</x:v>
      </x:c>
      <x:c r="I314" s="29" t="n">
        <x:f>IF(H314=0,0,IF(ISNUMBER(D314),D314*H314,"n.a."))</x:f>
        <x:v>20</x:v>
      </x:c>
      <x:c r="J314" s="29" t="n">
        <x:f>IF(ISNUMBER(G314),0,1)</x:f>
        <x:v>0</x:v>
      </x:c>
      <x:c r="K314" s="12" t="str">
        <x:v>'Hamburger buns'!C12:D12</x:v>
      </x:c>
      <x:c r="L314" s="12" t="str"/>
    </x:row>
    <x:row r="315" ht="28" customHeight="1">
      <x:c r="A315" s="2" t="str">
        <x:v>Taste it</x:v>
      </x:c>
      <x:c r="B315" s="11" t="str">
        <x:v>flour</x:v>
      </x:c>
      <x:c r="C315" s="11" t="n">
        <x:v>10000</x:v>
      </x:c>
      <x:c r="D315" s="13" t="n">
        <x:v>10000</x:v>
      </x:c>
      <x:c r="E315" s="24" t="str">
        <x:v>P4</x:v>
      </x:c>
      <x:c r="F315" s="22" t="n">
        <x:f>Prices!E7</x:f>
        <x:v>0.42</x:v>
      </x:c>
      <x:c r="G315" s="26" t="n">
        <x:f>IF(AND(ISNUMBER(D315),ISNUMBER(F315)),D315*F315,"n.a.")</x:f>
        <x:v>4200</x:v>
      </x:c>
      <x:c r="H315" s="28" t="n">
        <x:v>1</x:v>
      </x:c>
      <x:c r="I315" s="28" t="n">
        <x:f>IF(H315=0,0,IF(ISNUMBER(D315),D315*H315,"n.a."))</x:f>
        <x:v>10000</x:v>
      </x:c>
      <x:c r="J315" s="28" t="n">
        <x:f>IF(ISNUMBER(G315),0,1)</x:f>
        <x:v>0</x:v>
      </x:c>
      <x:c r="K315" s="11" t="str">
        <x:v>'Taste it'!C5:D5</x:v>
      </x:c>
      <x:c r="L315" s="11" t="str"/>
    </x:row>
    <x:row r="316" ht="28" customHeight="1">
      <x:c r="A316" s="10" t="str">
        <x:v>Taste it</x:v>
      </x:c>
      <x:c r="B316" s="12" t="str">
        <x:v>Butter</x:v>
      </x:c>
      <x:c r="C316" s="12" t="n">
        <x:v>1000</x:v>
      </x:c>
      <x:c r="D316" s="14" t="n">
        <x:v>1000</x:v>
      </x:c>
      <x:c r="E316" s="25" t="str">
        <x:v>P7</x:v>
      </x:c>
      <x:c r="F316" s="23" t="n">
        <x:f>Prices!E10</x:f>
        <x:v>1.263157894736842</x:v>
      </x:c>
      <x:c r="G316" s="27" t="n">
        <x:f>IF(AND(ISNUMBER(D316),ISNUMBER(F316)),D316*F316,"n.a.")</x:f>
        <x:v>1263.157894736842</x:v>
      </x:c>
      <x:c r="H316" s="29" t="n">
        <x:v>1</x:v>
      </x:c>
      <x:c r="I316" s="29" t="n">
        <x:f>IF(H316=0,0,IF(ISNUMBER(D316),D316*H316,"n.a."))</x:f>
        <x:v>1000</x:v>
      </x:c>
      <x:c r="J316" s="29" t="n">
        <x:f>IF(ISNUMBER(G316),0,1)</x:f>
        <x:v>0</x:v>
      </x:c>
      <x:c r="K316" s="12" t="str">
        <x:v>'Taste it'!C6:D6</x:v>
      </x:c>
      <x:c r="L316" s="12" t="str"/>
    </x:row>
    <x:row r="317" ht="28" customHeight="1">
      <x:c r="A317" s="2" t="str">
        <x:v>Taste it</x:v>
      </x:c>
      <x:c r="B317" s="11" t="str">
        <x:v>sugar</x:v>
      </x:c>
      <x:c r="C317" s="11" t="n">
        <x:v>1000</x:v>
      </x:c>
      <x:c r="D317" s="13" t="n">
        <x:v>1000</x:v>
      </x:c>
      <x:c r="E317" s="24" t="str">
        <x:v>P5</x:v>
      </x:c>
      <x:c r="F317" s="22" t="n">
        <x:f>Prices!E8</x:f>
        <x:v>0.64</x:v>
      </x:c>
      <x:c r="G317" s="26" t="n">
        <x:f>IF(AND(ISNUMBER(D317),ISNUMBER(F317)),D317*F317,"n.a.")</x:f>
        <x:v>640</x:v>
      </x:c>
      <x:c r="H317" s="28" t="n">
        <x:v>1</x:v>
      </x:c>
      <x:c r="I317" s="28" t="n">
        <x:f>IF(H317=0,0,IF(ISNUMBER(D317),D317*H317,"n.a."))</x:f>
        <x:v>1000</x:v>
      </x:c>
      <x:c r="J317" s="28" t="n">
        <x:f>IF(ISNUMBER(G317),0,1)</x:f>
        <x:v>0</x:v>
      </x:c>
      <x:c r="K317" s="11" t="str">
        <x:v>'Taste it'!C7:D7</x:v>
      </x:c>
      <x:c r="L317" s="11" t="str"/>
    </x:row>
    <x:row r="318" ht="28" customHeight="1">
      <x:c r="A318" s="10" t="str">
        <x:v>Taste it</x:v>
      </x:c>
      <x:c r="B318" s="12" t="str">
        <x:v>Milk</x:v>
      </x:c>
      <x:c r="C318" s="12" t="n">
        <x:v>800</x:v>
      </x:c>
      <x:c r="D318" s="14" t="n">
        <x:v>800</x:v>
      </x:c>
      <x:c r="E318" s="25" t="str">
        <x:v>P15</x:v>
      </x:c>
      <x:c r="F318" s="23" t="n">
        <x:f>Prices!E18</x:f>
        <x:v>1.17</x:v>
      </x:c>
      <x:c r="G318" s="27" t="n">
        <x:f>IF(AND(ISNUMBER(D318),ISNUMBER(F318)),D318*F318,"n.a.")</x:f>
        <x:v>936</x:v>
      </x:c>
      <x:c r="H318" s="29" t="n">
        <x:v>1</x:v>
      </x:c>
      <x:c r="I318" s="29" t="n">
        <x:f>IF(H318=0,0,IF(ISNUMBER(D318),D318*H318,"n.a."))</x:f>
        <x:v>800</x:v>
      </x:c>
      <x:c r="J318" s="29" t="n">
        <x:f>IF(ISNUMBER(G318),0,1)</x:f>
        <x:v>0</x:v>
      </x:c>
      <x:c r="K318" s="12" t="str">
        <x:v>'Taste it'!C8:D8</x:v>
      </x:c>
      <x:c r="L318" s="12" t="str"/>
    </x:row>
    <x:row r="319" ht="28" customHeight="1">
      <x:c r="A319" s="2" t="str">
        <x:v>Taste it</x:v>
      </x:c>
      <x:c r="B319" s="11" t="str">
        <x:v>egg</x:v>
      </x:c>
      <x:c r="C319" s="11" t="n">
        <x:v>800</x:v>
      </x:c>
      <x:c r="D319" s="13" t="n">
        <x:v>800</x:v>
      </x:c>
      <x:c r="E319" s="24" t="str">
        <x:v>P13</x:v>
      </x:c>
      <x:c r="F319" s="22" t="n">
        <x:f>Prices!E16</x:f>
        <x:v>1.3333333333333333</x:v>
      </x:c>
      <x:c r="G319" s="26" t="n">
        <x:f>IF(AND(ISNUMBER(D319),ISNUMBER(F319)),D319*F319,"n.a.")</x:f>
        <x:v>1066.6666666666665</x:v>
      </x:c>
      <x:c r="H319" s="28" t="n">
        <x:v>1</x:v>
      </x:c>
      <x:c r="I319" s="28" t="n">
        <x:f>IF(H319=0,0,IF(ISNUMBER(D319),D319*H319,"n.a."))</x:f>
        <x:v>800</x:v>
      </x:c>
      <x:c r="J319" s="28" t="n">
        <x:f>IF(ISNUMBER(G319),0,1)</x:f>
        <x:v>0</x:v>
      </x:c>
      <x:c r="K319" s="11" t="str">
        <x:v>'Taste it'!C9:D9</x:v>
      </x:c>
      <x:c r="L319" s="11" t="str"/>
    </x:row>
    <x:row r="320" ht="28" customHeight="1">
      <x:c r="A320" s="10" t="str">
        <x:v>Taste it</x:v>
      </x:c>
      <x:c r="B320" s="12" t="str">
        <x:v>salt</x:v>
      </x:c>
      <x:c r="C320" s="12" t="n">
        <x:v>110</x:v>
      </x:c>
      <x:c r="D320" s="14" t="n">
        <x:v>110</x:v>
      </x:c>
      <x:c r="E320" s="25" t="str">
        <x:v>P6</x:v>
      </x:c>
      <x:c r="F320" s="23" t="n">
        <x:f>Prices!E9</x:f>
        <x:v>0.20555555555555555</x:v>
      </x:c>
      <x:c r="G320" s="27" t="n">
        <x:f>IF(AND(ISNUMBER(D320),ISNUMBER(F320)),D320*F320,"n.a.")</x:f>
        <x:v>22.61111111111111</x:v>
      </x:c>
      <x:c r="H320" s="29" t="n">
        <x:v>1</x:v>
      </x:c>
      <x:c r="I320" s="29" t="n">
        <x:f>IF(H320=0,0,IF(ISNUMBER(D320),D320*H320,"n.a."))</x:f>
        <x:v>110</x:v>
      </x:c>
      <x:c r="J320" s="29" t="n">
        <x:f>IF(ISNUMBER(G320),0,1)</x:f>
        <x:v>0</x:v>
      </x:c>
      <x:c r="K320" s="12" t="str">
        <x:v>'Taste it'!C10:D10</x:v>
      </x:c>
      <x:c r="L320" s="12" t="str"/>
    </x:row>
    <x:row r="321" ht="28" customHeight="1">
      <x:c r="A321" s="2" t="str">
        <x:v>Taste it</x:v>
      </x:c>
      <x:c r="B321" s="11" t="str">
        <x:v>improver</x:v>
      </x:c>
      <x:c r="C321" s="11" t="n">
        <x:v>100</x:v>
      </x:c>
      <x:c r="D321" s="13" t="n">
        <x:v>100</x:v>
      </x:c>
      <x:c r="E321" s="24" t="str">
        <x:v>P12</x:v>
      </x:c>
      <x:c r="F321" s="22" t="n">
        <x:f>Prices!E15</x:f>
        <x:v>2.8</x:v>
      </x:c>
      <x:c r="G321" s="26" t="n">
        <x:f>IF(AND(ISNUMBER(D321),ISNUMBER(F321)),D321*F321,"n.a.")</x:f>
        <x:v>280</x:v>
      </x:c>
      <x:c r="H321" s="28" t="n">
        <x:v>1</x:v>
      </x:c>
      <x:c r="I321" s="28" t="n">
        <x:f>IF(H321=0,0,IF(ISNUMBER(D321),D321*H321,"n.a."))</x:f>
        <x:v>100</x:v>
      </x:c>
      <x:c r="J321" s="28" t="n">
        <x:f>IF(ISNUMBER(G321),0,1)</x:f>
        <x:v>0</x:v>
      </x:c>
      <x:c r="K321" s="11" t="str">
        <x:v>'Taste it'!C11:D11</x:v>
      </x:c>
      <x:c r="L321" s="11" t="str"/>
    </x:row>
    <x:row r="322" ht="28" customHeight="1">
      <x:c r="A322" s="10" t="str">
        <x:v>Taste it</x:v>
      </x:c>
      <x:c r="B322" s="12" t="str">
        <x:v>yeast</x:v>
      </x:c>
      <x:c r="C322" s="12" t="n">
        <x:v>80</x:v>
      </x:c>
      <x:c r="D322" s="14" t="n">
        <x:v>80</x:v>
      </x:c>
      <x:c r="E322" s="25" t="str">
        <x:v>P9</x:v>
      </x:c>
      <x:c r="F322" s="23" t="n">
        <x:f>Prices!E12</x:f>
        <x:v>2.8</x:v>
      </x:c>
      <x:c r="G322" s="27" t="n">
        <x:f>IF(AND(ISNUMBER(D322),ISNUMBER(F322)),D322*F322,"n.a.")</x:f>
        <x:v>224</x:v>
      </x:c>
      <x:c r="H322" s="29" t="n">
        <x:v>1</x:v>
      </x:c>
      <x:c r="I322" s="29" t="n">
        <x:f>IF(H322=0,0,IF(ISNUMBER(D322),D322*H322,"n.a."))</x:f>
        <x:v>80</x:v>
      </x:c>
      <x:c r="J322" s="29" t="n">
        <x:f>IF(ISNUMBER(G322),0,1)</x:f>
        <x:v>0</x:v>
      </x:c>
      <x:c r="K322" s="12" t="str">
        <x:v>'Taste it'!C12:D12</x:v>
      </x:c>
      <x:c r="L322" s="12" t="str"/>
    </x:row>
    <x:row r="323" ht="28" customHeight="1">
      <x:c r="A323" s="2" t="str">
        <x:v>Taste it</x:v>
      </x:c>
      <x:c r="B323" s="11" t="str">
        <x:v>water</x:v>
      </x:c>
      <x:c r="C323" s="11" t="n">
        <x:v>2000</x:v>
      </x:c>
      <x:c r="D323" s="13" t="n">
        <x:v>2000</x:v>
      </x:c>
      <x:c r="E323" s="24" t="str">
        <x:v>P16</x:v>
      </x:c>
      <x:c r="F323" s="22" t="n">
        <x:f>Prices!E19</x:f>
        <x:v>0.0001</x:v>
      </x:c>
      <x:c r="G323" s="26" t="n">
        <x:f>IF(AND(ISNUMBER(D323),ISNUMBER(F323)),D323*F323,"n.a.")</x:f>
        <x:v>0.2</x:v>
      </x:c>
      <x:c r="H323" s="28" t="n">
        <x:v>1</x:v>
      </x:c>
      <x:c r="I323" s="28" t="n">
        <x:f>IF(H323=0,0,IF(ISNUMBER(D323),D323*H323,"n.a."))</x:f>
        <x:v>2000</x:v>
      </x:c>
      <x:c r="J323" s="28" t="n">
        <x:f>IF(ISNUMBER(G323),0,1)</x:f>
        <x:v>0</x:v>
      </x:c>
      <x:c r="K323" s="11" t="str">
        <x:v>'Taste it'!C13:D13</x:v>
      </x:c>
      <x:c r="L323" s="11" t="str"/>
    </x:row>
    <x:row r="324" ht="28" customHeight="1">
      <x:c r="A324" s="10" t="str">
        <x:v>Taste it</x:v>
      </x:c>
      <x:c r="B324" s="12" t="str">
        <x:v>baking powder</x:v>
      </x:c>
      <x:c r="C324" s="12" t="n">
        <x:v>80</x:v>
      </x:c>
      <x:c r="D324" s="14" t="n">
        <x:v>80</x:v>
      </x:c>
      <x:c r="E324" s="25" t="str">
        <x:v>P10</x:v>
      </x:c>
      <x:c r="F324" s="23" t="n">
        <x:f>Prices!E13</x:f>
        <x:v>2.6</x:v>
      </x:c>
      <x:c r="G324" s="27" t="n">
        <x:f>IF(AND(ISNUMBER(D324),ISNUMBER(F324)),D324*F324,"n.a.")</x:f>
        <x:v>208</x:v>
      </x:c>
      <x:c r="H324" s="29" t="n">
        <x:v>1</x:v>
      </x:c>
      <x:c r="I324" s="29" t="n">
        <x:f>IF(H324=0,0,IF(ISNUMBER(D324),D324*H324,"n.a."))</x:f>
        <x:v>80</x:v>
      </x:c>
      <x:c r="J324" s="29" t="n">
        <x:f>IF(ISNUMBER(G324),0,1)</x:f>
        <x:v>0</x:v>
      </x:c>
      <x:c r="K324" s="12" t="str">
        <x:v>'Taste it'!C14:D14</x:v>
      </x:c>
      <x:c r="L324" s="12" t="str"/>
    </x:row>
    <x:row r="325" ht="28" customHeight="1">
      <x:c r="A325" s="2" t="str">
        <x:v>Taste it</x:v>
      </x:c>
      <x:c r="B325" s="11" t="str">
        <x:v>EDC</x:v>
      </x:c>
      <x:c r="C325" s="11" t="n">
        <x:v>75</x:v>
      </x:c>
      <x:c r="D325" s="13" t="n">
        <x:v>75</x:v>
      </x:c>
      <x:c r="E325" s="24" t="str">
        <x:v>P19</x:v>
      </x:c>
      <x:c r="F325" s="22" t="n">
        <x:f>Prices!E22</x:f>
        <x:v>3</x:v>
      </x:c>
      <x:c r="G325" s="26" t="n">
        <x:f>IF(AND(ISNUMBER(D325),ISNUMBER(F325)),D325*F325,"n.a.")</x:f>
        <x:v>225</x:v>
      </x:c>
      <x:c r="H325" s="28" t="n">
        <x:v>1</x:v>
      </x:c>
      <x:c r="I325" s="28" t="n">
        <x:f>IF(H325=0,0,IF(ISNUMBER(D325),D325*H325,"n.a."))</x:f>
        <x:v>75</x:v>
      </x:c>
      <x:c r="J325" s="28" t="n">
        <x:f>IF(ISNUMBER(G325),0,1)</x:f>
        <x:v>0</x:v>
      </x:c>
      <x:c r="K325" s="11" t="str">
        <x:v>'Taste it'!C15:D15</x:v>
      </x:c>
      <x:c r="L325" s="11" t="str"/>
    </x:row>
    <x:row r="326" ht="28" customHeight="1">
      <x:c r="A326" s="10" t="str">
        <x:v>Samosa</x:v>
      </x:c>
      <x:c r="B326" s="12" t="str">
        <x:v>flour</x:v>
      </x:c>
      <x:c r="C326" s="12" t="n">
        <x:v>1500</x:v>
      </x:c>
      <x:c r="D326" s="14" t="n">
        <x:v>1500</x:v>
      </x:c>
      <x:c r="E326" s="25" t="str">
        <x:v>P4</x:v>
      </x:c>
      <x:c r="F326" s="23" t="n">
        <x:f>Prices!E7</x:f>
        <x:v>0.42</x:v>
      </x:c>
      <x:c r="G326" s="27" t="n">
        <x:f>IF(AND(ISNUMBER(D326),ISNUMBER(F326)),D326*F326,"n.a.")</x:f>
        <x:v>630</x:v>
      </x:c>
      <x:c r="H326" s="29" t="n">
        <x:v>1</x:v>
      </x:c>
      <x:c r="I326" s="29" t="n">
        <x:f>IF(H326=0,0,IF(ISNUMBER(D326),D326*H326,"n.a."))</x:f>
        <x:v>1500</x:v>
      </x:c>
      <x:c r="J326" s="29" t="n">
        <x:f>IF(ISNUMBER(G326),0,1)</x:f>
        <x:v>0</x:v>
      </x:c>
      <x:c r="K326" s="12" t="str">
        <x:v>'Samosa'!C5:D5</x:v>
      </x:c>
      <x:c r="L326" s="12" t="str"/>
    </x:row>
    <x:row r="327" ht="28" customHeight="1">
      <x:c r="A327" s="2" t="str">
        <x:v>Samosa</x:v>
      </x:c>
      <x:c r="B327" s="11" t="str">
        <x:v>meat</x:v>
      </x:c>
      <x:c r="C327" s="11" t="n">
        <x:v>1500</x:v>
      </x:c>
      <x:c r="D327" s="13" t="n">
        <x:v>1500</x:v>
      </x:c>
      <x:c r="E327" s="24" t="str">
        <x:v>P37</x:v>
      </x:c>
      <x:c r="F327" s="22" t="n">
        <x:f>Prices!E35</x:f>
        <x:v>2.5</x:v>
      </x:c>
      <x:c r="G327" s="26" t="n">
        <x:f>IF(AND(ISNUMBER(D327),ISNUMBER(F327)),D327*F327,"n.a.")</x:f>
        <x:v>3750</x:v>
      </x:c>
      <x:c r="H327" s="28" t="n">
        <x:v>1</x:v>
      </x:c>
      <x:c r="I327" s="28" t="n">
        <x:f>IF(H327=0,0,IF(ISNUMBER(D327),D327*H327,"n.a."))</x:f>
        <x:v>1500</x:v>
      </x:c>
      <x:c r="J327" s="28" t="n">
        <x:f>IF(ISNUMBER(G327),0,1)</x:f>
        <x:v>0</x:v>
      </x:c>
      <x:c r="K327" s="11" t="str">
        <x:v>'Samosa'!C6:D6</x:v>
      </x:c>
      <x:c r="L327" s="11" t="str"/>
    </x:row>
    <x:row r="328" ht="28" customHeight="1">
      <x:c r="A328" s="10" t="str">
        <x:v>Samosa</x:v>
      </x:c>
      <x:c r="B328" s="12" t="str">
        <x:v>onion</x:v>
      </x:c>
      <x:c r="C328" s="12" t="n">
        <x:v>1000</x:v>
      </x:c>
      <x:c r="D328" s="14" t="n">
        <x:v>1000</x:v>
      </x:c>
      <x:c r="E328" s="25" t="str">
        <x:v>P38</x:v>
      </x:c>
      <x:c r="F328" s="23" t="n">
        <x:f>Prices!E36</x:f>
        <x:v>2</x:v>
      </x:c>
      <x:c r="G328" s="27" t="n">
        <x:f>IF(AND(ISNUMBER(D328),ISNUMBER(F328)),D328*F328,"n.a.")</x:f>
        <x:v>2000</x:v>
      </x:c>
      <x:c r="H328" s="29" t="n">
        <x:v>1</x:v>
      </x:c>
      <x:c r="I328" s="29" t="n">
        <x:f>IF(H328=0,0,IF(ISNUMBER(D328),D328*H328,"n.a."))</x:f>
        <x:v>1000</x:v>
      </x:c>
      <x:c r="J328" s="29" t="n">
        <x:f>IF(ISNUMBER(G328),0,1)</x:f>
        <x:v>0</x:v>
      </x:c>
      <x:c r="K328" s="12" t="str">
        <x:v>'Samosa'!C7:D7</x:v>
      </x:c>
      <x:c r="L328" s="12" t="str"/>
    </x:row>
    <x:row r="329" ht="28" customHeight="1">
      <x:c r="A329" s="2" t="str">
        <x:v>Samosa</x:v>
      </x:c>
      <x:c r="B329" s="11" t="str">
        <x:v>salt</x:v>
      </x:c>
      <x:c r="C329" s="11" t="n">
        <x:v>110</x:v>
      </x:c>
      <x:c r="D329" s="13" t="n">
        <x:v>110</x:v>
      </x:c>
      <x:c r="E329" s="24" t="str">
        <x:v>P6</x:v>
      </x:c>
      <x:c r="F329" s="22" t="n">
        <x:f>Prices!E9</x:f>
        <x:v>0.20555555555555555</x:v>
      </x:c>
      <x:c r="G329" s="26" t="n">
        <x:f>IF(AND(ISNUMBER(D329),ISNUMBER(F329)),D329*F329,"n.a.")</x:f>
        <x:v>22.61111111111111</x:v>
      </x:c>
      <x:c r="H329" s="28" t="n">
        <x:v>1</x:v>
      </x:c>
      <x:c r="I329" s="28" t="n">
        <x:f>IF(H329=0,0,IF(ISNUMBER(D329),D329*H329,"n.a."))</x:f>
        <x:v>110</x:v>
      </x:c>
      <x:c r="J329" s="28" t="n">
        <x:f>IF(ISNUMBER(G329),0,1)</x:f>
        <x:v>0</x:v>
      </x:c>
      <x:c r="K329" s="11" t="str">
        <x:v>'Samosa'!C8:D8</x:v>
      </x:c>
      <x:c r="L329" s="11" t="str"/>
    </x:row>
    <x:row r="330" ht="28" customHeight="1">
      <x:c r="A330" s="10" t="str">
        <x:v>Samosa</x:v>
      </x:c>
      <x:c r="B330" s="12" t="str">
        <x:v>water</x:v>
      </x:c>
      <x:c r="C330" s="12" t="n">
        <x:v>1100</x:v>
      </x:c>
      <x:c r="D330" s="14" t="n">
        <x:v>1100</x:v>
      </x:c>
      <x:c r="E330" s="25" t="str">
        <x:v>P16</x:v>
      </x:c>
      <x:c r="F330" s="23" t="n">
        <x:f>Prices!E19</x:f>
        <x:v>0.0001</x:v>
      </x:c>
      <x:c r="G330" s="27" t="n">
        <x:f>IF(AND(ISNUMBER(D330),ISNUMBER(F330)),D330*F330,"n.a.")</x:f>
        <x:v>0.11</x:v>
      </x:c>
      <x:c r="H330" s="29" t="n">
        <x:v>1</x:v>
      </x:c>
      <x:c r="I330" s="29" t="n">
        <x:f>IF(H330=0,0,IF(ISNUMBER(D330),D330*H330,"n.a."))</x:f>
        <x:v>1100</x:v>
      </x:c>
      <x:c r="J330" s="29" t="n">
        <x:f>IF(ISNUMBER(G330),0,1)</x:f>
        <x:v>0</x:v>
      </x:c>
      <x:c r="K330" s="12" t="str">
        <x:v>'Samosa'!C9:D9</x:v>
      </x:c>
      <x:c r="L330" s="12" t="str"/>
    </x:row>
    <x:row r="331" ht="28" customHeight="1">
      <x:c r="A331" s="2" t="str">
        <x:v>Samosa</x:v>
      </x:c>
      <x:c r="B331" s="11" t="str">
        <x:v>Frying oil consumed/discarded</x:v>
      </x:c>
      <x:c r="C331" s="11"/>
      <x:c r="D331" s="15"/>
      <x:c r="E331" s="24" t="str">
        <x:v>P8</x:v>
      </x:c>
      <x:c r="F331" s="22" t="n">
        <x:f>Prices!E11</x:f>
        <x:v>1.22</x:v>
      </x:c>
      <x:c r="G331" s="26" t="str">
        <x:f>IF(AND(ISNUMBER(D331),ISNUMBER(F331)),D331*F331,"n.a.")</x:f>
        <x:v>n.a.</x:v>
      </x:c>
      <x:c r="H331" s="28" t="n">
        <x:v>0</x:v>
      </x:c>
      <x:c r="I331" s="28" t="n">
        <x:f>IF(H331=0,0,IF(ISNUMBER(D331),D331*H331,"n.a."))</x:f>
        <x:v>0</x:v>
      </x:c>
      <x:c r="J331" s="28" t="n">
        <x:f>IF(ISNUMBER(G331),0,1)</x:f>
        <x:v>1</x:v>
      </x:c>
      <x:c r="K331" s="11" t="str">
        <x:v>'Samosa'!ingredient list (absent)</x:v>
      </x:c>
      <x:c r="L331" s="11" t="str">
        <x:v>Measure net oil cost allocated to this batch; source has no line.</x:v>
      </x:c>
    </x:row>
    <x:row r="332" ht="28" customHeight="1">
      <x:c r="A332" s="10" t="str">
        <x:v>Ice Cream</x:v>
      </x:c>
      <x:c r="B332" s="12" t="str">
        <x:v>Stabilizer</x:v>
      </x:c>
      <x:c r="C332" s="12" t="n">
        <x:v>200</x:v>
      </x:c>
      <x:c r="D332" s="14" t="n">
        <x:v>200</x:v>
      </x:c>
      <x:c r="E332" s="25" t="str">
        <x:v>P32</x:v>
      </x:c>
      <x:c r="F332" s="23" t="n">
        <x:f>Prices!E33</x:f>
        <x:v>12.8</x:v>
      </x:c>
      <x:c r="G332" s="27" t="n">
        <x:f>IF(AND(ISNUMBER(D332),ISNUMBER(F332)),D332*F332,"n.a.")</x:f>
        <x:v>2560</x:v>
      </x:c>
      <x:c r="H332" s="29" t="n">
        <x:v>1</x:v>
      </x:c>
      <x:c r="I332" s="29" t="n">
        <x:f>IF(H332=0,0,IF(ISNUMBER(D332),D332*H332,"n.a."))</x:f>
        <x:v>200</x:v>
      </x:c>
      <x:c r="J332" s="29" t="n">
        <x:f>IF(ISNUMBER(G332),0,1)</x:f>
        <x:v>0</x:v>
      </x:c>
      <x:c r="K332" s="12" t="str">
        <x:v>'Ice Cream'!C5:D5</x:v>
      </x:c>
      <x:c r="L332" s="12" t="str"/>
    </x:row>
    <x:row r="333" ht="28" customHeight="1">
      <x:c r="A333" s="2" t="str">
        <x:v>Ice Cream</x:v>
      </x:c>
      <x:c r="B333" s="11" t="str">
        <x:v>Powdered Milk</x:v>
      </x:c>
      <x:c r="C333" s="11" t="n">
        <x:v>1100</x:v>
      </x:c>
      <x:c r="D333" s="13" t="n">
        <x:v>1100</x:v>
      </x:c>
      <x:c r="E333" s="24" t="str">
        <x:v>P17</x:v>
      </x:c>
      <x:c r="F333" s="22" t="n">
        <x:f>Prices!E20</x:f>
        <x:v>3.2</x:v>
      </x:c>
      <x:c r="G333" s="26" t="n">
        <x:f>IF(AND(ISNUMBER(D333),ISNUMBER(F333)),D333*F333,"n.a.")</x:f>
        <x:v>3520</x:v>
      </x:c>
      <x:c r="H333" s="28" t="n">
        <x:v>1</x:v>
      </x:c>
      <x:c r="I333" s="28" t="n">
        <x:f>IF(H333=0,0,IF(ISNUMBER(D333),D333*H333,"n.a."))</x:f>
        <x:v>1100</x:v>
      </x:c>
      <x:c r="J333" s="28" t="n">
        <x:f>IF(ISNUMBER(G333),0,1)</x:f>
        <x:v>0</x:v>
      </x:c>
      <x:c r="K333" s="11" t="str">
        <x:v>'Ice Cream'!C6:D6</x:v>
      </x:c>
      <x:c r="L333" s="11" t="str"/>
    </x:row>
    <x:row r="334" ht="28" customHeight="1">
      <x:c r="A334" s="10" t="str">
        <x:v>Ice Cream</x:v>
      </x:c>
      <x:c r="B334" s="12" t="str">
        <x:v>Sugar</x:v>
      </x:c>
      <x:c r="C334" s="12" t="n">
        <x:v>2000</x:v>
      </x:c>
      <x:c r="D334" s="14" t="n">
        <x:v>2000</x:v>
      </x:c>
      <x:c r="E334" s="25" t="str">
        <x:v>P5</x:v>
      </x:c>
      <x:c r="F334" s="23" t="n">
        <x:f>Prices!E8</x:f>
        <x:v>0.64</x:v>
      </x:c>
      <x:c r="G334" s="27" t="n">
        <x:f>IF(AND(ISNUMBER(D334),ISNUMBER(F334)),D334*F334,"n.a.")</x:f>
        <x:v>1280</x:v>
      </x:c>
      <x:c r="H334" s="29" t="n">
        <x:v>1</x:v>
      </x:c>
      <x:c r="I334" s="29" t="n">
        <x:f>IF(H334=0,0,IF(ISNUMBER(D334),D334*H334,"n.a."))</x:f>
        <x:v>2000</x:v>
      </x:c>
      <x:c r="J334" s="29" t="n">
        <x:f>IF(ISNUMBER(G334),0,1)</x:f>
        <x:v>0</x:v>
      </x:c>
      <x:c r="K334" s="12" t="str">
        <x:v>'Ice Cream'!C7:D7</x:v>
      </x:c>
      <x:c r="L334" s="12" t="str"/>
    </x:row>
    <x:row r="335" ht="28" customHeight="1">
      <x:c r="A335" s="2" t="str">
        <x:v>Ice Cream</x:v>
      </x:c>
      <x:c r="B335" s="11" t="str">
        <x:v>Water</x:v>
      </x:c>
      <x:c r="C335" s="11" t="n">
        <x:v>12000</x:v>
      </x:c>
      <x:c r="D335" s="13" t="n">
        <x:v>12000</x:v>
      </x:c>
      <x:c r="E335" s="24" t="str">
        <x:v>P16</x:v>
      </x:c>
      <x:c r="F335" s="22" t="n">
        <x:f>Prices!E19</x:f>
        <x:v>0.0001</x:v>
      </x:c>
      <x:c r="G335" s="26" t="n">
        <x:f>IF(AND(ISNUMBER(D335),ISNUMBER(F335)),D335*F335,"n.a.")</x:f>
        <x:v>1.2</x:v>
      </x:c>
      <x:c r="H335" s="28" t="n">
        <x:v>1</x:v>
      </x:c>
      <x:c r="I335" s="28" t="n">
        <x:f>IF(H335=0,0,IF(ISNUMBER(D335),D335*H335,"n.a."))</x:f>
        <x:v>12000</x:v>
      </x:c>
      <x:c r="J335" s="28" t="n">
        <x:f>IF(ISNUMBER(G335),0,1)</x:f>
        <x:v>0</x:v>
      </x:c>
      <x:c r="K335" s="11" t="str">
        <x:v>'Ice Cream'!C8:D8</x:v>
      </x:c>
      <x:c r="L335" s="11" t="str"/>
    </x:row>
    <x:row r="336" ht="28" customHeight="1">
      <x:c r="A336" s="10" t="str">
        <x:v>Ice Cream</x:v>
      </x:c>
      <x:c r="B336" s="12" t="str">
        <x:v>others</x:v>
      </x:c>
      <x:c r="C336" s="12" t="n">
        <x:v>200</x:v>
      </x:c>
      <x:c r="D336" s="14" t="n">
        <x:v>200</x:v>
      </x:c>
      <x:c r="E336" s="25" t="str">
        <x:v>P_others</x:v>
      </x:c>
      <x:c r="F336" s="23" t="n">
        <x:f>Prices!E38</x:f>
        <x:v>10</x:v>
      </x:c>
      <x:c r="G336" s="27" t="n">
        <x:f>IF(AND(ISNUMBER(D336),ISNUMBER(F336)),D336*F336,"n.a.")</x:f>
        <x:v>2000</x:v>
      </x:c>
      <x:c r="H336" s="29" t="n">
        <x:v>1</x:v>
      </x:c>
      <x:c r="I336" s="29" t="n">
        <x:f>IF(H336=0,0,IF(ISNUMBER(D336),D336*H336,"n.a."))</x:f>
        <x:v>200</x:v>
      </x:c>
      <x:c r="J336" s="29" t="n">
        <x:f>IF(ISNUMBER(G336),0,1)</x:f>
        <x:v>0</x:v>
      </x:c>
      <x:c r="K336" s="12" t="str">
        <x:v>'Ice Cream'!C9:D9</x:v>
      </x:c>
      <x:c r="L336" s="12" t="str">
        <x:v>Recipe price retained; item identity unknown.</x:v>
      </x:c>
    </x:row>
    <x:row r="337" ht="28" customHeight="1">
      <x:c r="A337" s="2" t="str">
        <x:v>Melto1</x:v>
      </x:c>
      <x:c r="B337" s="11" t="str">
        <x:v>flour</x:v>
      </x:c>
      <x:c r="C337" s="11" t="n">
        <x:v>4500</x:v>
      </x:c>
      <x:c r="D337" s="13" t="n">
        <x:v>4500</x:v>
      </x:c>
      <x:c r="E337" s="24" t="str">
        <x:v>P4</x:v>
      </x:c>
      <x:c r="F337" s="22" t="n">
        <x:f>Prices!E7</x:f>
        <x:v>0.42</x:v>
      </x:c>
      <x:c r="G337" s="26" t="n">
        <x:f>IF(AND(ISNUMBER(D337),ISNUMBER(F337)),D337*F337,"n.a.")</x:f>
        <x:v>1890</x:v>
      </x:c>
      <x:c r="H337" s="28" t="n">
        <x:v>1</x:v>
      </x:c>
      <x:c r="I337" s="28" t="n">
        <x:f>IF(H337=0,0,IF(ISNUMBER(D337),D337*H337,"n.a."))</x:f>
        <x:v>4500</x:v>
      </x:c>
      <x:c r="J337" s="28" t="n">
        <x:f>IF(ISNUMBER(G337),0,1)</x:f>
        <x:v>0</x:v>
      </x:c>
      <x:c r="K337" s="11" t="str">
        <x:v>'Melto1'!C5:D5</x:v>
      </x:c>
      <x:c r="L337" s="11" t="str"/>
    </x:row>
    <x:row r="338" ht="28" customHeight="1">
      <x:c r="A338" s="10" t="str">
        <x:v>Melto1</x:v>
      </x:c>
      <x:c r="B338" s="12" t="str">
        <x:v>Butter</x:v>
      </x:c>
      <x:c r="C338" s="12" t="n">
        <x:v>2000</x:v>
      </x:c>
      <x:c r="D338" s="14" t="n">
        <x:v>2000</x:v>
      </x:c>
      <x:c r="E338" s="25" t="str">
        <x:v>P7</x:v>
      </x:c>
      <x:c r="F338" s="23" t="n">
        <x:f>Prices!E10</x:f>
        <x:v>1.263157894736842</x:v>
      </x:c>
      <x:c r="G338" s="27" t="n">
        <x:f>IF(AND(ISNUMBER(D338),ISNUMBER(F338)),D338*F338,"n.a.")</x:f>
        <x:v>2526.315789473684</x:v>
      </x:c>
      <x:c r="H338" s="29" t="n">
        <x:v>1</x:v>
      </x:c>
      <x:c r="I338" s="29" t="n">
        <x:f>IF(H338=0,0,IF(ISNUMBER(D338),D338*H338,"n.a."))</x:f>
        <x:v>2000</x:v>
      </x:c>
      <x:c r="J338" s="29" t="n">
        <x:f>IF(ISNUMBER(G338),0,1)</x:f>
        <x:v>0</x:v>
      </x:c>
      <x:c r="K338" s="12" t="str">
        <x:v>'Melto1'!C6:D6</x:v>
      </x:c>
      <x:c r="L338" s="12" t="str"/>
    </x:row>
    <x:row r="339" ht="28" customHeight="1">
      <x:c r="A339" s="2" t="str">
        <x:v>Melto1</x:v>
      </x:c>
      <x:c r="B339" s="11" t="str">
        <x:v>icing sugar</x:v>
      </x:c>
      <x:c r="C339" s="11" t="n">
        <x:v>300</x:v>
      </x:c>
      <x:c r="D339" s="13" t="n">
        <x:v>300</x:v>
      </x:c>
      <x:c r="E339" s="24" t="str">
        <x:v>P30</x:v>
      </x:c>
      <x:c r="F339" s="22" t="n">
        <x:f>Prices!E32</x:f>
        <x:v>2.2</x:v>
      </x:c>
      <x:c r="G339" s="26" t="n">
        <x:f>IF(AND(ISNUMBER(D339),ISNUMBER(F339)),D339*F339,"n.a.")</x:f>
        <x:v>660</x:v>
      </x:c>
      <x:c r="H339" s="28" t="n">
        <x:v>1</x:v>
      </x:c>
      <x:c r="I339" s="28" t="n">
        <x:f>IF(H339=0,0,IF(ISNUMBER(D339),D339*H339,"n.a."))</x:f>
        <x:v>300</x:v>
      </x:c>
      <x:c r="J339" s="28" t="n">
        <x:f>IF(ISNUMBER(G339),0,1)</x:f>
        <x:v>0</x:v>
      </x:c>
      <x:c r="K339" s="11" t="str">
        <x:v>'Melto1'!C7:D7</x:v>
      </x:c>
      <x:c r="L339" s="11" t="str"/>
    </x:row>
    <x:row r="340" ht="28" customHeight="1">
      <x:c r="A340" s="10" t="str">
        <x:v>Melto1</x:v>
      </x:c>
      <x:c r="B340" s="12" t="str">
        <x:v>egg</x:v>
      </x:c>
      <x:c r="C340" s="12" t="n">
        <x:v>200</x:v>
      </x:c>
      <x:c r="D340" s="14" t="n">
        <x:v>200</x:v>
      </x:c>
      <x:c r="E340" s="25" t="str">
        <x:v>P11</x:v>
      </x:c>
      <x:c r="F340" s="23" t="n">
        <x:f>Prices!E14</x:f>
        <x:v>1.3888888888888888</x:v>
      </x:c>
      <x:c r="G340" s="27" t="n">
        <x:f>IF(AND(ISNUMBER(D340),ISNUMBER(F340)),D340*F340,"n.a.")</x:f>
        <x:v>277.77777777777777</x:v>
      </x:c>
      <x:c r="H340" s="29" t="n">
        <x:v>1</x:v>
      </x:c>
      <x:c r="I340" s="29" t="n">
        <x:f>IF(H340=0,0,IF(ISNUMBER(D340),D340*H340,"n.a."))</x:f>
        <x:v>200</x:v>
      </x:c>
      <x:c r="J340" s="29" t="n">
        <x:f>IF(ISNUMBER(G340),0,1)</x:f>
        <x:v>0</x:v>
      </x:c>
      <x:c r="K340" s="12" t="str">
        <x:v>'Melto1'!C8:D8</x:v>
      </x:c>
      <x:c r="L340" s="12" t="str"/>
    </x:row>
    <x:row r="341" ht="28" customHeight="1">
      <x:c r="A341" s="2" t="str">
        <x:v>Melto1</x:v>
      </x:c>
      <x:c r="B341" s="11" t="str">
        <x:v>sugar</x:v>
      </x:c>
      <x:c r="C341" s="11" t="n">
        <x:v>500</x:v>
      </x:c>
      <x:c r="D341" s="13" t="n">
        <x:v>500</x:v>
      </x:c>
      <x:c r="E341" s="24" t="str">
        <x:v>P5</x:v>
      </x:c>
      <x:c r="F341" s="22" t="n">
        <x:f>Prices!E8</x:f>
        <x:v>0.64</x:v>
      </x:c>
      <x:c r="G341" s="26" t="n">
        <x:f>IF(AND(ISNUMBER(D341),ISNUMBER(F341)),D341*F341,"n.a.")</x:f>
        <x:v>320</x:v>
      </x:c>
      <x:c r="H341" s="28" t="n">
        <x:v>1</x:v>
      </x:c>
      <x:c r="I341" s="28" t="n">
        <x:f>IF(H341=0,0,IF(ISNUMBER(D341),D341*H341,"n.a."))</x:f>
        <x:v>500</x:v>
      </x:c>
      <x:c r="J341" s="28" t="n">
        <x:f>IF(ISNUMBER(G341),0,1)</x:f>
        <x:v>0</x:v>
      </x:c>
      <x:c r="K341" s="11" t="str">
        <x:v>'Melto1'!C9:D9</x:v>
      </x:c>
      <x:c r="L341" s="11" t="str"/>
    </x:row>
    <x:row r="342" ht="28" customHeight="1">
      <x:c r="A342" s="10" t="str">
        <x:v>Melto1</x:v>
      </x:c>
      <x:c r="B342" s="12" t="str">
        <x:v>salt</x:v>
      </x:c>
      <x:c r="C342" s="12" t="n">
        <x:v>40</x:v>
      </x:c>
      <x:c r="D342" s="14" t="n">
        <x:v>40</x:v>
      </x:c>
      <x:c r="E342" s="25" t="str">
        <x:v>P6</x:v>
      </x:c>
      <x:c r="F342" s="23" t="n">
        <x:f>Prices!E9</x:f>
        <x:v>0.20555555555555555</x:v>
      </x:c>
      <x:c r="G342" s="27" t="n">
        <x:f>IF(AND(ISNUMBER(D342),ISNUMBER(F342)),D342*F342,"n.a.")</x:f>
        <x:v>8.222222222222221</x:v>
      </x:c>
      <x:c r="H342" s="29" t="n">
        <x:v>1</x:v>
      </x:c>
      <x:c r="I342" s="29" t="n">
        <x:f>IF(H342=0,0,IF(ISNUMBER(D342),D342*H342,"n.a."))</x:f>
        <x:v>40</x:v>
      </x:c>
      <x:c r="J342" s="29" t="n">
        <x:f>IF(ISNUMBER(G342),0,1)</x:f>
        <x:v>0</x:v>
      </x:c>
      <x:c r="K342" s="12" t="str">
        <x:v>'Melto1'!C10:D10</x:v>
      </x:c>
      <x:c r="L342" s="12" t="str"/>
    </x:row>
    <x:row r="343" ht="28" customHeight="1">
      <x:c r="A343" s="2" t="str">
        <x:v>Croissant</x:v>
      </x:c>
      <x:c r="B343" s="11" t="str">
        <x:v>flour</x:v>
      </x:c>
      <x:c r="C343" s="11" t="n">
        <x:v>3100</x:v>
      </x:c>
      <x:c r="D343" s="13" t="n">
        <x:v>3100</x:v>
      </x:c>
      <x:c r="E343" s="24" t="str">
        <x:v>P4</x:v>
      </x:c>
      <x:c r="F343" s="22" t="n">
        <x:f>Prices!E7</x:f>
        <x:v>0.42</x:v>
      </x:c>
      <x:c r="G343" s="26" t="n">
        <x:f>IF(AND(ISNUMBER(D343),ISNUMBER(F343)),D343*F343,"n.a.")</x:f>
        <x:v>1302</x:v>
      </x:c>
      <x:c r="H343" s="28" t="n">
        <x:v>1</x:v>
      </x:c>
      <x:c r="I343" s="28" t="n">
        <x:f>IF(H343=0,0,IF(ISNUMBER(D343),D343*H343,"n.a."))</x:f>
        <x:v>3100</x:v>
      </x:c>
      <x:c r="J343" s="28" t="n">
        <x:f>IF(ISNUMBER(G343),0,1)</x:f>
        <x:v>0</x:v>
      </x:c>
      <x:c r="K343" s="11" t="str">
        <x:v>'Croissant'!C5:D5</x:v>
      </x:c>
      <x:c r="L343" s="11" t="str"/>
    </x:row>
    <x:row r="344" ht="28" customHeight="1">
      <x:c r="A344" s="10" t="str">
        <x:v>Croissant</x:v>
      </x:c>
      <x:c r="B344" s="12" t="str">
        <x:v>Butter</x:v>
      </x:c>
      <x:c r="C344" s="12" t="n">
        <x:v>1000</x:v>
      </x:c>
      <x:c r="D344" s="14" t="n">
        <x:v>1000</x:v>
      </x:c>
      <x:c r="E344" s="25" t="str">
        <x:v>P7</x:v>
      </x:c>
      <x:c r="F344" s="23" t="n">
        <x:f>Prices!E10</x:f>
        <x:v>1.263157894736842</x:v>
      </x:c>
      <x:c r="G344" s="27" t="n">
        <x:f>IF(AND(ISNUMBER(D344),ISNUMBER(F344)),D344*F344,"n.a.")</x:f>
        <x:v>1263.157894736842</x:v>
      </x:c>
      <x:c r="H344" s="29" t="n">
        <x:v>1</x:v>
      </x:c>
      <x:c r="I344" s="29" t="n">
        <x:f>IF(H344=0,0,IF(ISNUMBER(D344),D344*H344,"n.a."))</x:f>
        <x:v>1000</x:v>
      </x:c>
      <x:c r="J344" s="29" t="n">
        <x:f>IF(ISNUMBER(G344),0,1)</x:f>
        <x:v>0</x:v>
      </x:c>
      <x:c r="K344" s="12" t="str">
        <x:v>'Croissant'!C6:D6</x:v>
      </x:c>
      <x:c r="L344" s="12" t="str"/>
    </x:row>
    <x:row r="345" ht="28" customHeight="1">
      <x:c r="A345" s="2" t="str">
        <x:v>Croissant</x:v>
      </x:c>
      <x:c r="B345" s="11" t="str">
        <x:v>sugar</x:v>
      </x:c>
      <x:c r="C345" s="11" t="n">
        <x:v>300</x:v>
      </x:c>
      <x:c r="D345" s="13" t="n">
        <x:v>300</x:v>
      </x:c>
      <x:c r="E345" s="24" t="str">
        <x:v>P5</x:v>
      </x:c>
      <x:c r="F345" s="22" t="n">
        <x:f>Prices!E8</x:f>
        <x:v>0.64</x:v>
      </x:c>
      <x:c r="G345" s="26" t="n">
        <x:f>IF(AND(ISNUMBER(D345),ISNUMBER(F345)),D345*F345,"n.a.")</x:f>
        <x:v>192</x:v>
      </x:c>
      <x:c r="H345" s="28" t="n">
        <x:v>1</x:v>
      </x:c>
      <x:c r="I345" s="28" t="n">
        <x:f>IF(H345=0,0,IF(ISNUMBER(D345),D345*H345,"n.a."))</x:f>
        <x:v>300</x:v>
      </x:c>
      <x:c r="J345" s="28" t="n">
        <x:f>IF(ISNUMBER(G345),0,1)</x:f>
        <x:v>0</x:v>
      </x:c>
      <x:c r="K345" s="11" t="str">
        <x:v>'Croissant'!C7:D7</x:v>
      </x:c>
      <x:c r="L345" s="11" t="str"/>
    </x:row>
    <x:row r="346" ht="28" customHeight="1">
      <x:c r="A346" s="10" t="str">
        <x:v>Croissant</x:v>
      </x:c>
      <x:c r="B346" s="12" t="str">
        <x:v>salt</x:v>
      </x:c>
      <x:c r="C346" s="12" t="n">
        <x:v>30</x:v>
      </x:c>
      <x:c r="D346" s="14" t="n">
        <x:v>30</x:v>
      </x:c>
      <x:c r="E346" s="25" t="str">
        <x:v>P6</x:v>
      </x:c>
      <x:c r="F346" s="23" t="n">
        <x:f>Prices!E9</x:f>
        <x:v>0.20555555555555555</x:v>
      </x:c>
      <x:c r="G346" s="27" t="n">
        <x:f>IF(AND(ISNUMBER(D346),ISNUMBER(F346)),D346*F346,"n.a.")</x:f>
        <x:v>6.166666666666666</x:v>
      </x:c>
      <x:c r="H346" s="29" t="n">
        <x:v>1</x:v>
      </x:c>
      <x:c r="I346" s="29" t="n">
        <x:f>IF(H346=0,0,IF(ISNUMBER(D346),D346*H346,"n.a."))</x:f>
        <x:v>30</x:v>
      </x:c>
      <x:c r="J346" s="29" t="n">
        <x:f>IF(ISNUMBER(G346),0,1)</x:f>
        <x:v>0</x:v>
      </x:c>
      <x:c r="K346" s="12" t="str">
        <x:v>'Croissant'!C8:D8</x:v>
      </x:c>
      <x:c r="L346" s="12" t="str"/>
    </x:row>
    <x:row r="347" ht="28" customHeight="1">
      <x:c r="A347" s="2" t="str">
        <x:v>Croissant</x:v>
      </x:c>
      <x:c r="B347" s="11" t="str">
        <x:v>egg</x:v>
      </x:c>
      <x:c r="C347" s="11" t="n">
        <x:v>100</x:v>
      </x:c>
      <x:c r="D347" s="13" t="n">
        <x:v>100</x:v>
      </x:c>
      <x:c r="E347" s="24" t="str">
        <x:v>P11</x:v>
      </x:c>
      <x:c r="F347" s="22" t="n">
        <x:f>Prices!E14</x:f>
        <x:v>1.3888888888888888</x:v>
      </x:c>
      <x:c r="G347" s="26" t="n">
        <x:f>IF(AND(ISNUMBER(D347),ISNUMBER(F347)),D347*F347,"n.a.")</x:f>
        <x:v>138.88888888888889</x:v>
      </x:c>
      <x:c r="H347" s="28" t="n">
        <x:v>1</x:v>
      </x:c>
      <x:c r="I347" s="28" t="n">
        <x:f>IF(H347=0,0,IF(ISNUMBER(D347),D347*H347,"n.a."))</x:f>
        <x:v>100</x:v>
      </x:c>
      <x:c r="J347" s="28" t="n">
        <x:f>IF(ISNUMBER(G347),0,1)</x:f>
        <x:v>0</x:v>
      </x:c>
      <x:c r="K347" s="11" t="str">
        <x:v>'Croissant'!C9:D9</x:v>
      </x:c>
      <x:c r="L347" s="11" t="str"/>
    </x:row>
    <x:row r="348" ht="28" customHeight="1">
      <x:c r="A348" s="10" t="str">
        <x:v>Croissant</x:v>
      </x:c>
      <x:c r="B348" s="12" t="str">
        <x:v>improver</x:v>
      </x:c>
      <x:c r="C348" s="12" t="n">
        <x:v>30</x:v>
      </x:c>
      <x:c r="D348" s="14" t="n">
        <x:v>30</x:v>
      </x:c>
      <x:c r="E348" s="25" t="str">
        <x:v>P12</x:v>
      </x:c>
      <x:c r="F348" s="23" t="n">
        <x:f>Prices!E15</x:f>
        <x:v>2.8</x:v>
      </x:c>
      <x:c r="G348" s="27" t="n">
        <x:f>IF(AND(ISNUMBER(D348),ISNUMBER(F348)),D348*F348,"n.a.")</x:f>
        <x:v>84</x:v>
      </x:c>
      <x:c r="H348" s="29" t="n">
        <x:v>1</x:v>
      </x:c>
      <x:c r="I348" s="29" t="n">
        <x:f>IF(H348=0,0,IF(ISNUMBER(D348),D348*H348,"n.a."))</x:f>
        <x:v>30</x:v>
      </x:c>
      <x:c r="J348" s="29" t="n">
        <x:f>IF(ISNUMBER(G348),0,1)</x:f>
        <x:v>0</x:v>
      </x:c>
      <x:c r="K348" s="12" t="str">
        <x:v>'Croissant'!C10:D10</x:v>
      </x:c>
      <x:c r="L348" s="12" t="str"/>
    </x:row>
    <x:row r="349" ht="28" customHeight="1">
      <x:c r="A349" s="2" t="str">
        <x:v>Croissant</x:v>
      </x:c>
      <x:c r="B349" s="11" t="str">
        <x:v>yeast</x:v>
      </x:c>
      <x:c r="C349" s="11" t="n">
        <x:v>30</x:v>
      </x:c>
      <x:c r="D349" s="13" t="n">
        <x:v>30</x:v>
      </x:c>
      <x:c r="E349" s="24" t="str">
        <x:v>P9</x:v>
      </x:c>
      <x:c r="F349" s="22" t="n">
        <x:f>Prices!E12</x:f>
        <x:v>2.8</x:v>
      </x:c>
      <x:c r="G349" s="26" t="n">
        <x:f>IF(AND(ISNUMBER(D349),ISNUMBER(F349)),D349*F349,"n.a.")</x:f>
        <x:v>84</x:v>
      </x:c>
      <x:c r="H349" s="28" t="n">
        <x:v>1</x:v>
      </x:c>
      <x:c r="I349" s="28" t="n">
        <x:f>IF(H349=0,0,IF(ISNUMBER(D349),D349*H349,"n.a."))</x:f>
        <x:v>30</x:v>
      </x:c>
      <x:c r="J349" s="28" t="n">
        <x:f>IF(ISNUMBER(G349),0,1)</x:f>
        <x:v>0</x:v>
      </x:c>
      <x:c r="K349" s="11" t="str">
        <x:v>'Croissant'!C11:D11</x:v>
      </x:c>
      <x:c r="L349" s="11" t="str"/>
    </x:row>
    <x:row r="350" ht="28" customHeight="1">
      <x:c r="A350" s="10" t="str">
        <x:v>Croissant</x:v>
      </x:c>
      <x:c r="B350" s="12" t="str">
        <x:v>water</x:v>
      </x:c>
      <x:c r="C350" s="12" t="n">
        <x:v>2000</x:v>
      </x:c>
      <x:c r="D350" s="14" t="n">
        <x:v>2000</x:v>
      </x:c>
      <x:c r="E350" s="25" t="str">
        <x:v>P16</x:v>
      </x:c>
      <x:c r="F350" s="23" t="n">
        <x:f>Prices!E19</x:f>
        <x:v>0.0001</x:v>
      </x:c>
      <x:c r="G350" s="27" t="n">
        <x:f>IF(AND(ISNUMBER(D350),ISNUMBER(F350)),D350*F350,"n.a.")</x:f>
        <x:v>0.2</x:v>
      </x:c>
      <x:c r="H350" s="29" t="n">
        <x:v>1</x:v>
      </x:c>
      <x:c r="I350" s="29" t="n">
        <x:f>IF(H350=0,0,IF(ISNUMBER(D350),D350*H350,"n.a."))</x:f>
        <x:v>2000</x:v>
      </x:c>
      <x:c r="J350" s="29" t="n">
        <x:f>IF(ISNUMBER(G350),0,1)</x:f>
        <x:v>0</x:v>
      </x:c>
      <x:c r="K350" s="12" t="str">
        <x:v>'Croissant'!C12:D12</x:v>
      </x:c>
      <x:c r="L350" s="12" t="str"/>
    </x:row>
    <x:row r="351" ht="28" customHeight="1">
      <x:c r="A351" s="2" t="str">
        <x:v>Universal bread</x:v>
      </x:c>
      <x:c r="B351" s="11" t="str">
        <x:v>flour</x:v>
      </x:c>
      <x:c r="C351" s="11" t="n">
        <x:v>26000</x:v>
      </x:c>
      <x:c r="D351" s="13" t="n">
        <x:v>26000</x:v>
      </x:c>
      <x:c r="E351" s="24" t="str">
        <x:v>P4</x:v>
      </x:c>
      <x:c r="F351" s="22" t="n">
        <x:f>Prices!E7</x:f>
        <x:v>0.42</x:v>
      </x:c>
      <x:c r="G351" s="26" t="n">
        <x:f>IF(AND(ISNUMBER(D351),ISNUMBER(F351)),D351*F351,"n.a.")</x:f>
        <x:v>10920</x:v>
      </x:c>
      <x:c r="H351" s="28" t="n">
        <x:v>1</x:v>
      </x:c>
      <x:c r="I351" s="28" t="n">
        <x:f>IF(H351=0,0,IF(ISNUMBER(D351),D351*H351,"n.a."))</x:f>
        <x:v>26000</x:v>
      </x:c>
      <x:c r="J351" s="28" t="n">
        <x:f>IF(ISNUMBER(G351),0,1)</x:f>
        <x:v>0</x:v>
      </x:c>
      <x:c r="K351" s="11" t="str">
        <x:v>'Universal bread'!C5:D5</x:v>
      </x:c>
      <x:c r="L351" s="11" t="str"/>
    </x:row>
    <x:row r="352" ht="28" customHeight="1">
      <x:c r="A352" s="10" t="str">
        <x:v>Universal bread</x:v>
      </x:c>
      <x:c r="B352" s="12" t="str">
        <x:v>Butter</x:v>
      </x:c>
      <x:c r="C352" s="12" t="n">
        <x:v>1400</x:v>
      </x:c>
      <x:c r="D352" s="14" t="n">
        <x:v>1400</x:v>
      </x:c>
      <x:c r="E352" s="25" t="str">
        <x:v>P7</x:v>
      </x:c>
      <x:c r="F352" s="23" t="n">
        <x:f>Prices!E10</x:f>
        <x:v>1.263157894736842</x:v>
      </x:c>
      <x:c r="G352" s="27" t="n">
        <x:f>IF(AND(ISNUMBER(D352),ISNUMBER(F352)),D352*F352,"n.a.")</x:f>
        <x:v>1768.421052631579</x:v>
      </x:c>
      <x:c r="H352" s="29" t="n">
        <x:v>1</x:v>
      </x:c>
      <x:c r="I352" s="29" t="n">
        <x:f>IF(H352=0,0,IF(ISNUMBER(D352),D352*H352,"n.a."))</x:f>
        <x:v>1400</x:v>
      </x:c>
      <x:c r="J352" s="29" t="n">
        <x:f>IF(ISNUMBER(G352),0,1)</x:f>
        <x:v>0</x:v>
      </x:c>
      <x:c r="K352" s="12" t="str">
        <x:v>'Universal bread'!C6:D6</x:v>
      </x:c>
      <x:c r="L352" s="12" t="str"/>
    </x:row>
    <x:row r="353" ht="28" customHeight="1">
      <x:c r="A353" s="2" t="str">
        <x:v>Universal bread</x:v>
      </x:c>
      <x:c r="B353" s="11" t="str">
        <x:v>sugar</x:v>
      </x:c>
      <x:c r="C353" s="11" t="n">
        <x:v>1700</x:v>
      </x:c>
      <x:c r="D353" s="13" t="n">
        <x:v>1700</x:v>
      </x:c>
      <x:c r="E353" s="24" t="str">
        <x:v>P5</x:v>
      </x:c>
      <x:c r="F353" s="22" t="n">
        <x:f>Prices!E8</x:f>
        <x:v>0.64</x:v>
      </x:c>
      <x:c r="G353" s="26" t="n">
        <x:f>IF(AND(ISNUMBER(D353),ISNUMBER(F353)),D353*F353,"n.a.")</x:f>
        <x:v>1088</x:v>
      </x:c>
      <x:c r="H353" s="28" t="n">
        <x:v>1</x:v>
      </x:c>
      <x:c r="I353" s="28" t="n">
        <x:f>IF(H353=0,0,IF(ISNUMBER(D353),D353*H353,"n.a."))</x:f>
        <x:v>1700</x:v>
      </x:c>
      <x:c r="J353" s="28" t="n">
        <x:f>IF(ISNUMBER(G353),0,1)</x:f>
        <x:v>0</x:v>
      </x:c>
      <x:c r="K353" s="11" t="str">
        <x:v>'Universal bread'!C7:D7</x:v>
      </x:c>
      <x:c r="L353" s="11" t="str"/>
    </x:row>
    <x:row r="354" ht="28" customHeight="1">
      <x:c r="A354" s="10" t="str">
        <x:v>Universal bread</x:v>
      </x:c>
      <x:c r="B354" s="12" t="str">
        <x:v>Conc Milk</x:v>
      </x:c>
      <x:c r="C354" s="12" t="n">
        <x:v>800</x:v>
      </x:c>
      <x:c r="D354" s="14" t="n">
        <x:v>800</x:v>
      </x:c>
      <x:c r="E354" s="25" t="str">
        <x:v>P15</x:v>
      </x:c>
      <x:c r="F354" s="23" t="n">
        <x:f>Prices!E18</x:f>
        <x:v>1.17</x:v>
      </x:c>
      <x:c r="G354" s="27" t="n">
        <x:f>IF(AND(ISNUMBER(D354),ISNUMBER(F354)),D354*F354,"n.a.")</x:f>
        <x:v>936</x:v>
      </x:c>
      <x:c r="H354" s="29" t="n">
        <x:v>1</x:v>
      </x:c>
      <x:c r="I354" s="29" t="n">
        <x:f>IF(H354=0,0,IF(ISNUMBER(D354),D354*H354,"n.a."))</x:f>
        <x:v>800</x:v>
      </x:c>
      <x:c r="J354" s="29" t="n">
        <x:f>IF(ISNUMBER(G354),0,1)</x:f>
        <x:v>0</x:v>
      </x:c>
      <x:c r="K354" s="12" t="str">
        <x:v>'Universal bread'!C8:D8</x:v>
      </x:c>
      <x:c r="L354" s="12" t="str">
        <x:v>Generic milk price used provisionally for condensed milk; confirm identity.</x:v>
      </x:c>
    </x:row>
    <x:row r="355" ht="28" customHeight="1">
      <x:c r="A355" s="2" t="str">
        <x:v>Universal bread</x:v>
      </x:c>
      <x:c r="B355" s="11" t="str">
        <x:v>egg</x:v>
      </x:c>
      <x:c r="C355" s="11" t="n">
        <x:v>500</x:v>
      </x:c>
      <x:c r="D355" s="13" t="n">
        <x:v>500</x:v>
      </x:c>
      <x:c r="E355" s="24" t="str">
        <x:v>P13</x:v>
      </x:c>
      <x:c r="F355" s="22" t="n">
        <x:f>Prices!E16</x:f>
        <x:v>1.3333333333333333</x:v>
      </x:c>
      <x:c r="G355" s="26" t="n">
        <x:f>IF(AND(ISNUMBER(D355),ISNUMBER(F355)),D355*F355,"n.a.")</x:f>
        <x:v>666.6666666666666</x:v>
      </x:c>
      <x:c r="H355" s="28" t="n">
        <x:v>1</x:v>
      </x:c>
      <x:c r="I355" s="28" t="n">
        <x:f>IF(H355=0,0,IF(ISNUMBER(D355),D355*H355,"n.a."))</x:f>
        <x:v>500</x:v>
      </x:c>
      <x:c r="J355" s="28" t="n">
        <x:f>IF(ISNUMBER(G355),0,1)</x:f>
        <x:v>0</x:v>
      </x:c>
      <x:c r="K355" s="11" t="str">
        <x:v>'Universal bread'!C9:D9</x:v>
      </x:c>
      <x:c r="L355" s="11" t="str"/>
    </x:row>
    <x:row r="356" ht="28" customHeight="1">
      <x:c r="A356" s="10" t="str">
        <x:v>Universal bread</x:v>
      </x:c>
      <x:c r="B356" s="12" t="str">
        <x:v>salt</x:v>
      </x:c>
      <x:c r="C356" s="12" t="n">
        <x:v>290</x:v>
      </x:c>
      <x:c r="D356" s="14" t="n">
        <x:v>290</x:v>
      </x:c>
      <x:c r="E356" s="25" t="str">
        <x:v>P6</x:v>
      </x:c>
      <x:c r="F356" s="23" t="n">
        <x:f>Prices!E9</x:f>
        <x:v>0.20555555555555555</x:v>
      </x:c>
      <x:c r="G356" s="27" t="n">
        <x:f>IF(AND(ISNUMBER(D356),ISNUMBER(F356)),D356*F356,"n.a.")</x:f>
        <x:v>59.61111111111111</x:v>
      </x:c>
      <x:c r="H356" s="29" t="n">
        <x:v>1</x:v>
      </x:c>
      <x:c r="I356" s="29" t="n">
        <x:f>IF(H356=0,0,IF(ISNUMBER(D356),D356*H356,"n.a."))</x:f>
        <x:v>290</x:v>
      </x:c>
      <x:c r="J356" s="29" t="n">
        <x:f>IF(ISNUMBER(G356),0,1)</x:f>
        <x:v>0</x:v>
      </x:c>
      <x:c r="K356" s="12" t="str">
        <x:v>'Universal bread'!C10:D10</x:v>
      </x:c>
      <x:c r="L356" s="12" t="str"/>
    </x:row>
    <x:row r="357" ht="28" customHeight="1">
      <x:c r="A357" s="2" t="str">
        <x:v>Universal bread</x:v>
      </x:c>
      <x:c r="B357" s="11" t="str">
        <x:v>improver</x:v>
      </x:c>
      <x:c r="C357" s="11" t="n">
        <x:v>130</x:v>
      </x:c>
      <x:c r="D357" s="13" t="n">
        <x:v>130</x:v>
      </x:c>
      <x:c r="E357" s="24" t="str">
        <x:v>P12</x:v>
      </x:c>
      <x:c r="F357" s="22" t="n">
        <x:f>Prices!E15</x:f>
        <x:v>2.8</x:v>
      </x:c>
      <x:c r="G357" s="26" t="n">
        <x:f>IF(AND(ISNUMBER(D357),ISNUMBER(F357)),D357*F357,"n.a.")</x:f>
        <x:v>364</x:v>
      </x:c>
      <x:c r="H357" s="28" t="n">
        <x:v>1</x:v>
      </x:c>
      <x:c r="I357" s="28" t="n">
        <x:f>IF(H357=0,0,IF(ISNUMBER(D357),D357*H357,"n.a."))</x:f>
        <x:v>130</x:v>
      </x:c>
      <x:c r="J357" s="28" t="n">
        <x:f>IF(ISNUMBER(G357),0,1)</x:f>
        <x:v>0</x:v>
      </x:c>
      <x:c r="K357" s="11" t="str">
        <x:v>'Universal bread'!C11:D11</x:v>
      </x:c>
      <x:c r="L357" s="11" t="str"/>
    </x:row>
    <x:row r="358" ht="28" customHeight="1">
      <x:c r="A358" s="10" t="str">
        <x:v>Universal bread</x:v>
      </x:c>
      <x:c r="B358" s="12" t="str">
        <x:v>yeast</x:v>
      </x:c>
      <x:c r="C358" s="12" t="n">
        <x:v>170</x:v>
      </x:c>
      <x:c r="D358" s="14" t="n">
        <x:v>170</x:v>
      </x:c>
      <x:c r="E358" s="25" t="str">
        <x:v>P9</x:v>
      </x:c>
      <x:c r="F358" s="23" t="n">
        <x:f>Prices!E12</x:f>
        <x:v>2.8</x:v>
      </x:c>
      <x:c r="G358" s="27" t="n">
        <x:f>IF(AND(ISNUMBER(D358),ISNUMBER(F358)),D358*F358,"n.a.")</x:f>
        <x:v>475.99999999999994</x:v>
      </x:c>
      <x:c r="H358" s="29" t="n">
        <x:v>1</x:v>
      </x:c>
      <x:c r="I358" s="29" t="n">
        <x:f>IF(H358=0,0,IF(ISNUMBER(D358),D358*H358,"n.a."))</x:f>
        <x:v>170</x:v>
      </x:c>
      <x:c r="J358" s="29" t="n">
        <x:f>IF(ISNUMBER(G358),0,1)</x:f>
        <x:v>0</x:v>
      </x:c>
      <x:c r="K358" s="12" t="str">
        <x:v>'Universal bread'!C12:D12</x:v>
      </x:c>
      <x:c r="L358" s="12" t="str"/>
    </x:row>
    <x:row r="359" ht="28" customHeight="1">
      <x:c r="A359" s="2" t="str">
        <x:v>Universal bread</x:v>
      </x:c>
      <x:c r="B359" s="11" t="str">
        <x:v>water</x:v>
      </x:c>
      <x:c r="C359" s="11" t="n">
        <x:v>10000</x:v>
      </x:c>
      <x:c r="D359" s="13" t="n">
        <x:v>10000</x:v>
      </x:c>
      <x:c r="E359" s="24" t="str">
        <x:v>P16</x:v>
      </x:c>
      <x:c r="F359" s="22" t="n">
        <x:f>Prices!E19</x:f>
        <x:v>0.0001</x:v>
      </x:c>
      <x:c r="G359" s="26" t="n">
        <x:f>IF(AND(ISNUMBER(D359),ISNUMBER(F359)),D359*F359,"n.a.")</x:f>
        <x:v>1</x:v>
      </x:c>
      <x:c r="H359" s="28" t="n">
        <x:v>1</x:v>
      </x:c>
      <x:c r="I359" s="28" t="n">
        <x:f>IF(H359=0,0,IF(ISNUMBER(D359),D359*H359,"n.a."))</x:f>
        <x:v>10000</x:v>
      </x:c>
      <x:c r="J359" s="28" t="n">
        <x:f>IF(ISNUMBER(G359),0,1)</x:f>
        <x:v>0</x:v>
      </x:c>
      <x:c r="K359" s="11" t="str">
        <x:v>'Universal bread'!C13:D13</x:v>
      </x:c>
      <x:c r="L359" s="11" t="str"/>
    </x:row>
    <x:row r="360" ht="28" customHeight="1">
      <x:c r="A360" s="10" t="str">
        <x:v>Universal bread</x:v>
      </x:c>
      <x:c r="B360" s="12" t="str">
        <x:v>baking powder</x:v>
      </x:c>
      <x:c r="C360" s="12" t="n">
        <x:v>180</x:v>
      </x:c>
      <x:c r="D360" s="14" t="n">
        <x:v>180</x:v>
      </x:c>
      <x:c r="E360" s="25" t="str">
        <x:v>P10</x:v>
      </x:c>
      <x:c r="F360" s="23" t="n">
        <x:f>Prices!E13</x:f>
        <x:v>2.6</x:v>
      </x:c>
      <x:c r="G360" s="27" t="n">
        <x:f>IF(AND(ISNUMBER(D360),ISNUMBER(F360)),D360*F360,"n.a.")</x:f>
        <x:v>468</x:v>
      </x:c>
      <x:c r="H360" s="29" t="n">
        <x:v>1</x:v>
      </x:c>
      <x:c r="I360" s="29" t="n">
        <x:f>IF(H360=0,0,IF(ISNUMBER(D360),D360*H360,"n.a."))</x:f>
        <x:v>180</x:v>
      </x:c>
      <x:c r="J360" s="29" t="n">
        <x:f>IF(ISNUMBER(G360),0,1)</x:f>
        <x:v>0</x:v>
      </x:c>
      <x:c r="K360" s="12" t="str">
        <x:v>'Universal bread'!C14:D14</x:v>
      </x:c>
      <x:c r="L360" s="12" t="str"/>
    </x:row>
    <x:row r="361" ht="28" customHeight="1">
      <x:c r="A361" s="2" t="str">
        <x:v>Universal bread</x:v>
      </x:c>
      <x:c r="B361" s="11" t="str">
        <x:v>frying oil</x:v>
      </x:c>
      <x:c r="C361" s="11" t="n">
        <x:v>9000</x:v>
      </x:c>
      <x:c r="D361" s="13" t="n">
        <x:v>9000</x:v>
      </x:c>
      <x:c r="E361" s="24" t="str">
        <x:v>P8</x:v>
      </x:c>
      <x:c r="F361" s="22" t="n">
        <x:f>Prices!E11</x:f>
        <x:v>1.22</x:v>
      </x:c>
      <x:c r="G361" s="26" t="n">
        <x:f>IF(AND(ISNUMBER(D361),ISNUMBER(F361)),D361*F361,"n.a.")</x:f>
        <x:v>10980</x:v>
      </x:c>
      <x:c r="H361" s="28" t="n">
        <x:v>0</x:v>
      </x:c>
      <x:c r="I361" s="28" t="n">
        <x:f>IF(H361=0,0,IF(ISNUMBER(D361),D361*H361,"n.a."))</x:f>
        <x:v>0</x:v>
      </x:c>
      <x:c r="J361" s="28" t="n">
        <x:f>IF(ISNUMBER(G361),0,1)</x:f>
        <x:v>0</x:v>
      </x:c>
      <x:c r="K361" s="11" t="str">
        <x:v>'Universal bread'!C15:D15</x:v>
      </x:c>
      <x:c r="L361" s="11" t="str">
        <x:v>Frying oil excluded from dough yield; stated charge is not measured net consumption.</x:v>
      </x:c>
    </x:row>
    <x:row r="362" ht="28" customHeight="1">
      <x:c r="A362" s="10" t="str">
        <x:v>Sheet3</x:v>
      </x:c>
      <x:c r="B362" s="12" t="str">
        <x:v>flour</x:v>
      </x:c>
      <x:c r="C362" s="12" t="n">
        <x:v>10000</x:v>
      </x:c>
      <x:c r="D362" s="14" t="n">
        <x:v>10000</x:v>
      </x:c>
      <x:c r="E362" s="25" t="str">
        <x:v>P36</x:v>
      </x:c>
      <x:c r="F362" s="23" t="n">
        <x:f>Prices!E34</x:f>
        <x:v>0.4</x:v>
      </x:c>
      <x:c r="G362" s="27" t="n">
        <x:f>IF(AND(ISNUMBER(D362),ISNUMBER(F362)),D362*F362,"n.a.")</x:f>
        <x:v>4000</x:v>
      </x:c>
      <x:c r="H362" s="29" t="n">
        <x:v>1</x:v>
      </x:c>
      <x:c r="I362" s="29" t="n">
        <x:f>IF(H362=0,0,IF(ISNUMBER(D362),D362*H362,"n.a."))</x:f>
        <x:v>10000</x:v>
      </x:c>
      <x:c r="J362" s="29" t="n">
        <x:f>IF(ISNUMBER(G362),0,1)</x:f>
        <x:v>0</x:v>
      </x:c>
      <x:c r="K362" s="12" t="str">
        <x:v>'Sheet3'!C5:D5</x:v>
      </x:c>
      <x:c r="L362" s="12" t="str"/>
    </x:row>
    <x:row r="363" ht="28" customHeight="1">
      <x:c r="A363" s="2" t="str">
        <x:v>Sheet3</x:v>
      </x:c>
      <x:c r="B363" s="11" t="str">
        <x:v>Butter</x:v>
      </x:c>
      <x:c r="C363" s="11" t="n">
        <x:v>1000</x:v>
      </x:c>
      <x:c r="D363" s="13" t="n">
        <x:v>1000</x:v>
      </x:c>
      <x:c r="E363" s="24" t="str">
        <x:v>P7</x:v>
      </x:c>
      <x:c r="F363" s="22" t="n">
        <x:f>Prices!E10</x:f>
        <x:v>1.263157894736842</x:v>
      </x:c>
      <x:c r="G363" s="26" t="n">
        <x:f>IF(AND(ISNUMBER(D363),ISNUMBER(F363)),D363*F363,"n.a.")</x:f>
        <x:v>1263.157894736842</x:v>
      </x:c>
      <x:c r="H363" s="28" t="n">
        <x:v>1</x:v>
      </x:c>
      <x:c r="I363" s="28" t="n">
        <x:f>IF(H363=0,0,IF(ISNUMBER(D363),D363*H363,"n.a."))</x:f>
        <x:v>1000</x:v>
      </x:c>
      <x:c r="J363" s="28" t="n">
        <x:f>IF(ISNUMBER(G363),0,1)</x:f>
        <x:v>0</x:v>
      </x:c>
      <x:c r="K363" s="11" t="str">
        <x:v>'Sheet3'!C6:D6</x:v>
      </x:c>
      <x:c r="L363" s="11" t="str"/>
    </x:row>
    <x:row r="364" ht="28" customHeight="1">
      <x:c r="A364" s="10" t="str">
        <x:v>Sheet3</x:v>
      </x:c>
      <x:c r="B364" s="12" t="str">
        <x:v>sugar</x:v>
      </x:c>
      <x:c r="C364" s="12" t="n">
        <x:v>1000</x:v>
      </x:c>
      <x:c r="D364" s="14" t="n">
        <x:v>1000</x:v>
      </x:c>
      <x:c r="E364" s="25" t="str">
        <x:v>P5</x:v>
      </x:c>
      <x:c r="F364" s="23" t="n">
        <x:f>Prices!E8</x:f>
        <x:v>0.64</x:v>
      </x:c>
      <x:c r="G364" s="27" t="n">
        <x:f>IF(AND(ISNUMBER(D364),ISNUMBER(F364)),D364*F364,"n.a.")</x:f>
        <x:v>640</x:v>
      </x:c>
      <x:c r="H364" s="29" t="n">
        <x:v>1</x:v>
      </x:c>
      <x:c r="I364" s="29" t="n">
        <x:f>IF(H364=0,0,IF(ISNUMBER(D364),D364*H364,"n.a."))</x:f>
        <x:v>1000</x:v>
      </x:c>
      <x:c r="J364" s="29" t="n">
        <x:f>IF(ISNUMBER(G364),0,1)</x:f>
        <x:v>0</x:v>
      </x:c>
      <x:c r="K364" s="12" t="str">
        <x:v>'Sheet3'!C7:D7</x:v>
      </x:c>
      <x:c r="L364" s="12" t="str"/>
    </x:row>
    <x:row r="365" ht="28" customHeight="1">
      <x:c r="A365" s="2" t="str">
        <x:v>Sheet3</x:v>
      </x:c>
      <x:c r="B365" s="11" t="str">
        <x:v>Milk</x:v>
      </x:c>
      <x:c r="C365" s="11" t="n">
        <x:v>850</x:v>
      </x:c>
      <x:c r="D365" s="13" t="n">
        <x:v>850</x:v>
      </x:c>
      <x:c r="E365" s="24" t="str">
        <x:v>P15</x:v>
      </x:c>
      <x:c r="F365" s="22" t="n">
        <x:f>Prices!E18</x:f>
        <x:v>1.17</x:v>
      </x:c>
      <x:c r="G365" s="26" t="n">
        <x:f>IF(AND(ISNUMBER(D365),ISNUMBER(F365)),D365*F365,"n.a.")</x:f>
        <x:v>994.4999999999999</x:v>
      </x:c>
      <x:c r="H365" s="28" t="n">
        <x:v>1</x:v>
      </x:c>
      <x:c r="I365" s="28" t="n">
        <x:f>IF(H365=0,0,IF(ISNUMBER(D365),D365*H365,"n.a."))</x:f>
        <x:v>850</x:v>
      </x:c>
      <x:c r="J365" s="28" t="n">
        <x:f>IF(ISNUMBER(G365),0,1)</x:f>
        <x:v>0</x:v>
      </x:c>
      <x:c r="K365" s="11" t="str">
        <x:v>'Sheet3'!C8:D8</x:v>
      </x:c>
      <x:c r="L365" s="11" t="str"/>
    </x:row>
    <x:row r="366" ht="28" customHeight="1">
      <x:c r="A366" s="10" t="str">
        <x:v>Sheet3</x:v>
      </x:c>
      <x:c r="B366" s="12" t="str">
        <x:v>egg</x:v>
      </x:c>
      <x:c r="C366" s="12" t="n">
        <x:v>500</x:v>
      </x:c>
      <x:c r="D366" s="14" t="n">
        <x:v>500</x:v>
      </x:c>
      <x:c r="E366" s="25" t="str">
        <x:v>P13</x:v>
      </x:c>
      <x:c r="F366" s="23" t="n">
        <x:f>Prices!E16</x:f>
        <x:v>1.3333333333333333</x:v>
      </x:c>
      <x:c r="G366" s="27" t="n">
        <x:f>IF(AND(ISNUMBER(D366),ISNUMBER(F366)),D366*F366,"n.a.")</x:f>
        <x:v>666.6666666666666</x:v>
      </x:c>
      <x:c r="H366" s="29" t="n">
        <x:v>1</x:v>
      </x:c>
      <x:c r="I366" s="29" t="n">
        <x:f>IF(H366=0,0,IF(ISNUMBER(D366),D366*H366,"n.a."))</x:f>
        <x:v>500</x:v>
      </x:c>
      <x:c r="J366" s="29" t="n">
        <x:f>IF(ISNUMBER(G366),0,1)</x:f>
        <x:v>0</x:v>
      </x:c>
      <x:c r="K366" s="12" t="str">
        <x:v>'Sheet3'!C9:D9</x:v>
      </x:c>
      <x:c r="L366" s="12" t="str"/>
    </x:row>
    <x:row r="367" ht="28" customHeight="1">
      <x:c r="A367" s="2" t="str">
        <x:v>Sheet3</x:v>
      </x:c>
      <x:c r="B367" s="11" t="str">
        <x:v>salt</x:v>
      </x:c>
      <x:c r="C367" s="11" t="n">
        <x:v>120</x:v>
      </x:c>
      <x:c r="D367" s="13" t="n">
        <x:v>120</x:v>
      </x:c>
      <x:c r="E367" s="24" t="str">
        <x:v>P6</x:v>
      </x:c>
      <x:c r="F367" s="22" t="n">
        <x:f>Prices!E9</x:f>
        <x:v>0.20555555555555555</x:v>
      </x:c>
      <x:c r="G367" s="26" t="n">
        <x:f>IF(AND(ISNUMBER(D367),ISNUMBER(F367)),D367*F367,"n.a.")</x:f>
        <x:v>24.666666666666664</x:v>
      </x:c>
      <x:c r="H367" s="28" t="n">
        <x:v>1</x:v>
      </x:c>
      <x:c r="I367" s="28" t="n">
        <x:f>IF(H367=0,0,IF(ISNUMBER(D367),D367*H367,"n.a."))</x:f>
        <x:v>120</x:v>
      </x:c>
      <x:c r="J367" s="28" t="n">
        <x:f>IF(ISNUMBER(G367),0,1)</x:f>
        <x:v>0</x:v>
      </x:c>
      <x:c r="K367" s="11" t="str">
        <x:v>'Sheet3'!C10:D10</x:v>
      </x:c>
      <x:c r="L367" s="11" t="str"/>
    </x:row>
    <x:row r="368" ht="28" customHeight="1">
      <x:c r="A368" s="10" t="str">
        <x:v>Sheet3</x:v>
      </x:c>
      <x:c r="B368" s="12" t="str">
        <x:v>improver</x:v>
      </x:c>
      <x:c r="C368" s="12" t="n">
        <x:v>120</x:v>
      </x:c>
      <x:c r="D368" s="14" t="n">
        <x:v>120</x:v>
      </x:c>
      <x:c r="E368" s="25" t="str">
        <x:v>P12</x:v>
      </x:c>
      <x:c r="F368" s="23" t="n">
        <x:f>Prices!E15</x:f>
        <x:v>2.8</x:v>
      </x:c>
      <x:c r="G368" s="27" t="n">
        <x:f>IF(AND(ISNUMBER(D368),ISNUMBER(F368)),D368*F368,"n.a.")</x:f>
        <x:v>336</x:v>
      </x:c>
      <x:c r="H368" s="29" t="n">
        <x:v>1</x:v>
      </x:c>
      <x:c r="I368" s="29" t="n">
        <x:f>IF(H368=0,0,IF(ISNUMBER(D368),D368*H368,"n.a."))</x:f>
        <x:v>120</x:v>
      </x:c>
      <x:c r="J368" s="29" t="n">
        <x:f>IF(ISNUMBER(G368),0,1)</x:f>
        <x:v>0</x:v>
      </x:c>
      <x:c r="K368" s="12" t="str">
        <x:v>'Sheet3'!C11:D11</x:v>
      </x:c>
      <x:c r="L368" s="12" t="str"/>
    </x:row>
    <x:row r="369" ht="28" customHeight="1">
      <x:c r="A369" s="2" t="str">
        <x:v>Sheet3</x:v>
      </x:c>
      <x:c r="B369" s="11" t="str">
        <x:v>yeast</x:v>
      </x:c>
      <x:c r="C369" s="11" t="n">
        <x:v>160</x:v>
      </x:c>
      <x:c r="D369" s="13" t="n">
        <x:v>160</x:v>
      </x:c>
      <x:c r="E369" s="24" t="str">
        <x:v>P9</x:v>
      </x:c>
      <x:c r="F369" s="22" t="n">
        <x:f>Prices!E12</x:f>
        <x:v>2.8</x:v>
      </x:c>
      <x:c r="G369" s="26" t="n">
        <x:f>IF(AND(ISNUMBER(D369),ISNUMBER(F369)),D369*F369,"n.a.")</x:f>
        <x:v>448</x:v>
      </x:c>
      <x:c r="H369" s="28" t="n">
        <x:v>1</x:v>
      </x:c>
      <x:c r="I369" s="28" t="n">
        <x:f>IF(H369=0,0,IF(ISNUMBER(D369),D369*H369,"n.a."))</x:f>
        <x:v>160</x:v>
      </x:c>
      <x:c r="J369" s="28" t="n">
        <x:f>IF(ISNUMBER(G369),0,1)</x:f>
        <x:v>0</x:v>
      </x:c>
      <x:c r="K369" s="11" t="str">
        <x:v>'Sheet3'!C12:D12</x:v>
      </x:c>
      <x:c r="L369" s="11" t="str"/>
    </x:row>
    <x:row r="370" ht="28" customHeight="1">
      <x:c r="A370" s="10" t="str">
        <x:v>Sheet3</x:v>
      </x:c>
      <x:c r="B370" s="12" t="str">
        <x:v>water</x:v>
      </x:c>
      <x:c r="C370" s="12" t="n">
        <x:v>5000</x:v>
      </x:c>
      <x:c r="D370" s="14" t="n">
        <x:v>5000</x:v>
      </x:c>
      <x:c r="E370" s="25" t="str">
        <x:v>P16</x:v>
      </x:c>
      <x:c r="F370" s="23" t="n">
        <x:f>Prices!E19</x:f>
        <x:v>0.0001</x:v>
      </x:c>
      <x:c r="G370" s="27" t="n">
        <x:f>IF(AND(ISNUMBER(D370),ISNUMBER(F370)),D370*F370,"n.a.")</x:f>
        <x:v>0.5</x:v>
      </x:c>
      <x:c r="H370" s="29" t="n">
        <x:v>1</x:v>
      </x:c>
      <x:c r="I370" s="29" t="n">
        <x:f>IF(H370=0,0,IF(ISNUMBER(D370),D370*H370,"n.a."))</x:f>
        <x:v>5000</x:v>
      </x:c>
      <x:c r="J370" s="29" t="n">
        <x:f>IF(ISNUMBER(G370),0,1)</x:f>
        <x:v>0</x:v>
      </x:c>
      <x:c r="K370" s="12" t="str">
        <x:v>'Sheet3'!C13:D13</x:v>
      </x:c>
      <x:c r="L370" s="12" t="str"/>
    </x:row>
    <x:row r="371" ht="28" customHeight="1">
      <x:c r="A371" s="2" t="str">
        <x:v>Sheet3</x:v>
      </x:c>
      <x:c r="B371" s="11" t="str">
        <x:v>Oil</x:v>
      </x:c>
      <x:c r="C371" s="11" t="n">
        <x:v>400</x:v>
      </x:c>
      <x:c r="D371" s="13" t="n">
        <x:v>400</x:v>
      </x:c>
      <x:c r="E371" s="24" t="str">
        <x:v>P8</x:v>
      </x:c>
      <x:c r="F371" s="22" t="n">
        <x:f>Prices!E11</x:f>
        <x:v>1.22</x:v>
      </x:c>
      <x:c r="G371" s="26" t="n">
        <x:f>IF(AND(ISNUMBER(D371),ISNUMBER(F371)),D371*F371,"n.a.")</x:f>
        <x:v>488</x:v>
      </x:c>
      <x:c r="H371" s="28" t="n">
        <x:v>1</x:v>
      </x:c>
      <x:c r="I371" s="28" t="n">
        <x:f>IF(H371=0,0,IF(ISNUMBER(D371),D371*H371,"n.a."))</x:f>
        <x:v>400</x:v>
      </x:c>
      <x:c r="J371" s="28" t="n">
        <x:f>IF(ISNUMBER(G371),0,1)</x:f>
        <x:v>0</x:v>
      </x:c>
      <x:c r="K371" s="11" t="str">
        <x:v>'Sheet3'!C14:D14</x:v>
      </x:c>
      <x:c r="L371" s="11" t="str"/>
    </x:row>
    <x:row r="372" ht="28" customHeight="1">
      <x:c r="A372" s="10" t="str">
        <x:v>Sheet3</x:v>
      </x:c>
      <x:c r="B372" s="12" t="str">
        <x:v>EDC</x:v>
      </x:c>
      <x:c r="C372" s="12" t="n">
        <x:v>100</x:v>
      </x:c>
      <x:c r="D372" s="14" t="n">
        <x:v>100</x:v>
      </x:c>
      <x:c r="E372" s="25" t="str">
        <x:v>P19</x:v>
      </x:c>
      <x:c r="F372" s="23" t="n">
        <x:f>Prices!E22</x:f>
        <x:v>3</x:v>
      </x:c>
      <x:c r="G372" s="27" t="n">
        <x:f>IF(AND(ISNUMBER(D372),ISNUMBER(F372)),D372*F372,"n.a.")</x:f>
        <x:v>300</x:v>
      </x:c>
      <x:c r="H372" s="29" t="n">
        <x:v>1</x:v>
      </x:c>
      <x:c r="I372" s="29" t="n">
        <x:f>IF(H372=0,0,IF(ISNUMBER(D372),D372*H372,"n.a."))</x:f>
        <x:v>100</x:v>
      </x:c>
      <x:c r="J372" s="29" t="n">
        <x:f>IF(ISNUMBER(G372),0,1)</x:f>
        <x:v>0</x:v>
      </x:c>
      <x:c r="K372" s="12" t="str">
        <x:v>'Sheet3'!C15:D15</x:v>
      </x:c>
      <x:c r="L372" s="12" t="str"/>
    </x:row>
    <x:row r="373" ht="28" customHeight="1">
      <x:c r="A373" s="2" t="str">
        <x:v>Croissant new</x:v>
      </x:c>
      <x:c r="B373" s="11" t="str">
        <x:v>flour</x:v>
      </x:c>
      <x:c r="C373" s="11" t="n">
        <x:v>2500</x:v>
      </x:c>
      <x:c r="D373" s="13" t="n">
        <x:v>2500</x:v>
      </x:c>
      <x:c r="E373" s="24" t="str">
        <x:v>P4</x:v>
      </x:c>
      <x:c r="F373" s="22" t="n">
        <x:f>Prices!E7</x:f>
        <x:v>0.42</x:v>
      </x:c>
      <x:c r="G373" s="26" t="n">
        <x:f>IF(AND(ISNUMBER(D373),ISNUMBER(F373)),D373*F373,"n.a.")</x:f>
        <x:v>1050</x:v>
      </x:c>
      <x:c r="H373" s="28" t="n">
        <x:v>1</x:v>
      </x:c>
      <x:c r="I373" s="28" t="n">
        <x:f>IF(H373=0,0,IF(ISNUMBER(D373),D373*H373,"n.a."))</x:f>
        <x:v>2500</x:v>
      </x:c>
      <x:c r="J373" s="28" t="n">
        <x:f>IF(ISNUMBER(G373),0,1)</x:f>
        <x:v>0</x:v>
      </x:c>
      <x:c r="K373" s="11" t="str">
        <x:v>'Croissant new'!C5:F5</x:v>
      </x:c>
      <x:c r="L373" s="11" t="str"/>
    </x:row>
    <x:row r="374" ht="28" customHeight="1">
      <x:c r="A374" s="10" t="str">
        <x:v>Croissant new</x:v>
      </x:c>
      <x:c r="B374" s="12" t="str">
        <x:v>Butter</x:v>
      </x:c>
      <x:c r="C374" s="12" t="n">
        <x:v>450</x:v>
      </x:c>
      <x:c r="D374" s="14" t="n">
        <x:v>450</x:v>
      </x:c>
      <x:c r="E374" s="25" t="str">
        <x:v>P7</x:v>
      </x:c>
      <x:c r="F374" s="23" t="n">
        <x:f>Prices!E10</x:f>
        <x:v>1.263157894736842</x:v>
      </x:c>
      <x:c r="G374" s="27" t="n">
        <x:f>IF(AND(ISNUMBER(D374),ISNUMBER(F374)),D374*F374,"n.a.")</x:f>
        <x:v>568.421052631579</x:v>
      </x:c>
      <x:c r="H374" s="29" t="n">
        <x:v>1</x:v>
      </x:c>
      <x:c r="I374" s="29" t="n">
        <x:f>IF(H374=0,0,IF(ISNUMBER(D374),D374*H374,"n.a."))</x:f>
        <x:v>450</x:v>
      </x:c>
      <x:c r="J374" s="29" t="n">
        <x:f>IF(ISNUMBER(G374),0,1)</x:f>
        <x:v>0</x:v>
      </x:c>
      <x:c r="K374" s="12" t="str">
        <x:v>'Croissant new'!C6:F6</x:v>
      </x:c>
      <x:c r="L374" s="12" t="str"/>
    </x:row>
    <x:row r="375" ht="28" customHeight="1">
      <x:c r="A375" s="2" t="str">
        <x:v>Croissant new</x:v>
      </x:c>
      <x:c r="B375" s="11" t="str">
        <x:v>sugar</x:v>
      </x:c>
      <x:c r="C375" s="11" t="n">
        <x:v>600</x:v>
      </x:c>
      <x:c r="D375" s="13" t="n">
        <x:v>600</x:v>
      </x:c>
      <x:c r="E375" s="24" t="str">
        <x:v>P5</x:v>
      </x:c>
      <x:c r="F375" s="22" t="n">
        <x:f>Prices!E8</x:f>
        <x:v>0.64</x:v>
      </x:c>
      <x:c r="G375" s="26" t="n">
        <x:f>IF(AND(ISNUMBER(D375),ISNUMBER(F375)),D375*F375,"n.a.")</x:f>
        <x:v>384</x:v>
      </x:c>
      <x:c r="H375" s="28" t="n">
        <x:v>1</x:v>
      </x:c>
      <x:c r="I375" s="28" t="n">
        <x:f>IF(H375=0,0,IF(ISNUMBER(D375),D375*H375,"n.a."))</x:f>
        <x:v>600</x:v>
      </x:c>
      <x:c r="J375" s="28" t="n">
        <x:f>IF(ISNUMBER(G375),0,1)</x:f>
        <x:v>0</x:v>
      </x:c>
      <x:c r="K375" s="11" t="str">
        <x:v>'Croissant new'!C7:F7</x:v>
      </x:c>
      <x:c r="L375" s="11" t="str"/>
    </x:row>
    <x:row r="376" ht="28" customHeight="1">
      <x:c r="A376" s="10" t="str">
        <x:v>Croissant new</x:v>
      </x:c>
      <x:c r="B376" s="12" t="str">
        <x:v>Milk</x:v>
      </x:c>
      <x:c r="C376" s="12" t="n">
        <x:v>200</x:v>
      </x:c>
      <x:c r="D376" s="14" t="n">
        <x:v>200</x:v>
      </x:c>
      <x:c r="E376" s="25" t="str">
        <x:v>P15</x:v>
      </x:c>
      <x:c r="F376" s="23" t="n">
        <x:f>Prices!E18</x:f>
        <x:v>1.17</x:v>
      </x:c>
      <x:c r="G376" s="27" t="n">
        <x:f>IF(AND(ISNUMBER(D376),ISNUMBER(F376)),D376*F376,"n.a.")</x:f>
        <x:v>234</x:v>
      </x:c>
      <x:c r="H376" s="29" t="n">
        <x:v>1</x:v>
      </x:c>
      <x:c r="I376" s="29" t="n">
        <x:f>IF(H376=0,0,IF(ISNUMBER(D376),D376*H376,"n.a."))</x:f>
        <x:v>200</x:v>
      </x:c>
      <x:c r="J376" s="29" t="n">
        <x:f>IF(ISNUMBER(G376),0,1)</x:f>
        <x:v>0</x:v>
      </x:c>
      <x:c r="K376" s="12" t="str">
        <x:v>'Croissant new'!C8:F8</x:v>
      </x:c>
      <x:c r="L376" s="12" t="str"/>
    </x:row>
    <x:row r="377" ht="28" customHeight="1">
      <x:c r="A377" s="2" t="str">
        <x:v>Croissant new</x:v>
      </x:c>
      <x:c r="B377" s="11" t="str">
        <x:v>egg</x:v>
      </x:c>
      <x:c r="C377" s="11" t="n">
        <x:v>375</x:v>
      </x:c>
      <x:c r="D377" s="13" t="n">
        <x:v>375</x:v>
      </x:c>
      <x:c r="E377" s="24" t="str">
        <x:v>P13</x:v>
      </x:c>
      <x:c r="F377" s="22" t="n">
        <x:f>Prices!E16</x:f>
        <x:v>1.3333333333333333</x:v>
      </x:c>
      <x:c r="G377" s="26" t="n">
        <x:f>IF(AND(ISNUMBER(D377),ISNUMBER(F377)),D377*F377,"n.a.")</x:f>
        <x:v>500</x:v>
      </x:c>
      <x:c r="H377" s="28" t="n">
        <x:v>1</x:v>
      </x:c>
      <x:c r="I377" s="28" t="n">
        <x:f>IF(H377=0,0,IF(ISNUMBER(D377),D377*H377,"n.a."))</x:f>
        <x:v>375</x:v>
      </x:c>
      <x:c r="J377" s="28" t="n">
        <x:f>IF(ISNUMBER(G377),0,1)</x:f>
        <x:v>0</x:v>
      </x:c>
      <x:c r="K377" s="11" t="str">
        <x:v>'Croissant new'!C9:F9</x:v>
      </x:c>
      <x:c r="L377" s="11" t="str"/>
    </x:row>
    <x:row r="378" ht="28" customHeight="1">
      <x:c r="A378" s="10" t="str">
        <x:v>Croissant new</x:v>
      </x:c>
      <x:c r="B378" s="12" t="str">
        <x:v>salt</x:v>
      </x:c>
      <x:c r="C378" s="12" t="n">
        <x:v>25</x:v>
      </x:c>
      <x:c r="D378" s="14" t="n">
        <x:v>25</x:v>
      </x:c>
      <x:c r="E378" s="25" t="str">
        <x:v>P6</x:v>
      </x:c>
      <x:c r="F378" s="23" t="n">
        <x:f>Prices!E9</x:f>
        <x:v>0.20555555555555555</x:v>
      </x:c>
      <x:c r="G378" s="27" t="n">
        <x:f>IF(AND(ISNUMBER(D378),ISNUMBER(F378)),D378*F378,"n.a.")</x:f>
        <x:v>5.138888888888888</x:v>
      </x:c>
      <x:c r="H378" s="29" t="n">
        <x:v>1</x:v>
      </x:c>
      <x:c r="I378" s="29" t="n">
        <x:f>IF(H378=0,0,IF(ISNUMBER(D378),D378*H378,"n.a."))</x:f>
        <x:v>25</x:v>
      </x:c>
      <x:c r="J378" s="29" t="n">
        <x:f>IF(ISNUMBER(G378),0,1)</x:f>
        <x:v>0</x:v>
      </x:c>
      <x:c r="K378" s="12" t="str">
        <x:v>'Croissant new'!C10:F10</x:v>
      </x:c>
      <x:c r="L378" s="12" t="str"/>
    </x:row>
    <x:row r="379" ht="28" customHeight="1">
      <x:c r="A379" s="2" t="str">
        <x:v>Croissant new</x:v>
      </x:c>
      <x:c r="B379" s="11" t="str">
        <x:v>improver</x:v>
      </x:c>
      <x:c r="C379" s="11" t="n">
        <x:v>20</x:v>
      </x:c>
      <x:c r="D379" s="13" t="n">
        <x:v>20</x:v>
      </x:c>
      <x:c r="E379" s="24" t="str">
        <x:v>P12</x:v>
      </x:c>
      <x:c r="F379" s="22" t="n">
        <x:f>Prices!E15</x:f>
        <x:v>2.8</x:v>
      </x:c>
      <x:c r="G379" s="26" t="n">
        <x:f>IF(AND(ISNUMBER(D379),ISNUMBER(F379)),D379*F379,"n.a.")</x:f>
        <x:v>56</x:v>
      </x:c>
      <x:c r="H379" s="28" t="n">
        <x:v>1</x:v>
      </x:c>
      <x:c r="I379" s="28" t="n">
        <x:f>IF(H379=0,0,IF(ISNUMBER(D379),D379*H379,"n.a."))</x:f>
        <x:v>20</x:v>
      </x:c>
      <x:c r="J379" s="28" t="n">
        <x:f>IF(ISNUMBER(G379),0,1)</x:f>
        <x:v>0</x:v>
      </x:c>
      <x:c r="K379" s="11" t="str">
        <x:v>'Croissant new'!C11:F11</x:v>
      </x:c>
      <x:c r="L379" s="11" t="str"/>
    </x:row>
    <x:row r="380" ht="28" customHeight="1">
      <x:c r="A380" s="10" t="str">
        <x:v>Croissant new</x:v>
      </x:c>
      <x:c r="B380" s="12" t="str">
        <x:v>yeast</x:v>
      </x:c>
      <x:c r="C380" s="12" t="n">
        <x:v>30</x:v>
      </x:c>
      <x:c r="D380" s="14" t="n">
        <x:v>30</x:v>
      </x:c>
      <x:c r="E380" s="25" t="str">
        <x:v>P9</x:v>
      </x:c>
      <x:c r="F380" s="23" t="n">
        <x:f>Prices!E12</x:f>
        <x:v>2.8</x:v>
      </x:c>
      <x:c r="G380" s="27" t="n">
        <x:f>IF(AND(ISNUMBER(D380),ISNUMBER(F380)),D380*F380,"n.a.")</x:f>
        <x:v>84</x:v>
      </x:c>
      <x:c r="H380" s="29" t="n">
        <x:v>1</x:v>
      </x:c>
      <x:c r="I380" s="29" t="n">
        <x:f>IF(H380=0,0,IF(ISNUMBER(D380),D380*H380,"n.a."))</x:f>
        <x:v>30</x:v>
      </x:c>
      <x:c r="J380" s="29" t="n">
        <x:f>IF(ISNUMBER(G380),0,1)</x:f>
        <x:v>0</x:v>
      </x:c>
      <x:c r="K380" s="12" t="str">
        <x:v>'Croissant new'!C12:F12</x:v>
      </x:c>
      <x:c r="L380" s="12" t="str"/>
    </x:row>
    <x:row r="381" ht="28" customHeight="1">
      <x:c r="A381" s="2" t="str">
        <x:v>Croissant new</x:v>
      </x:c>
      <x:c r="B381" s="11" t="str">
        <x:v>water</x:v>
      </x:c>
      <x:c r="C381" s="11" t="n">
        <x:v>1000</x:v>
      </x:c>
      <x:c r="D381" s="13" t="n">
        <x:v>1000</x:v>
      </x:c>
      <x:c r="E381" s="24" t="str">
        <x:v>P16</x:v>
      </x:c>
      <x:c r="F381" s="22" t="n">
        <x:f>Prices!E19</x:f>
        <x:v>0.0001</x:v>
      </x:c>
      <x:c r="G381" s="26" t="n">
        <x:f>IF(AND(ISNUMBER(D381),ISNUMBER(F381)),D381*F381,"n.a.")</x:f>
        <x:v>0.1</x:v>
      </x:c>
      <x:c r="H381" s="28" t="n">
        <x:v>1</x:v>
      </x:c>
      <x:c r="I381" s="28" t="n">
        <x:f>IF(H381=0,0,IF(ISNUMBER(D381),D381*H381,"n.a."))</x:f>
        <x:v>1000</x:v>
      </x:c>
      <x:c r="J381" s="28" t="n">
        <x:f>IF(ISNUMBER(G381),0,1)</x:f>
        <x:v>0</x:v>
      </x:c>
      <x:c r="K381" s="11" t="str">
        <x:v>'Croissant new'!C13:F13</x:v>
      </x:c>
      <x:c r="L381" s="11" t="str"/>
    </x:row>
    <x:row r="382" ht="28" customHeight="1">
      <x:c r="A382" s="10" t="str">
        <x:v>Croissant new</x:v>
      </x:c>
      <x:c r="B382" s="12" t="str">
        <x:v>butter for layers</x:v>
      </x:c>
      <x:c r="C382" s="12" t="n">
        <x:v>600</x:v>
      </x:c>
      <x:c r="D382" s="14" t="n">
        <x:v>600</x:v>
      </x:c>
      <x:c r="E382" s="25" t="str">
        <x:v>P7</x:v>
      </x:c>
      <x:c r="F382" s="23" t="n">
        <x:f>Prices!E10</x:f>
        <x:v>1.263157894736842</x:v>
      </x:c>
      <x:c r="G382" s="27" t="n">
        <x:f>IF(AND(ISNUMBER(D382),ISNUMBER(F382)),D382*F382,"n.a.")</x:f>
        <x:v>757.8947368421052</x:v>
      </x:c>
      <x:c r="H382" s="29" t="n">
        <x:v>1</x:v>
      </x:c>
      <x:c r="I382" s="29" t="n">
        <x:f>IF(H382=0,0,IF(ISNUMBER(D382),D382*H382,"n.a."))</x:f>
        <x:v>600</x:v>
      </x:c>
      <x:c r="J382" s="29" t="n">
        <x:f>IF(ISNUMBER(G382),0,1)</x:f>
        <x:v>0</x:v>
      </x:c>
      <x:c r="K382" s="12" t="str">
        <x:v>'Croissant new'!C14:F14</x:v>
      </x:c>
      <x:c r="L382" s="12" t="str">
        <x:v>Master butter rate used provisionally; lamination fat specification unconfirmed.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8" hidden="0" customWidth="1"/>
    <x:col min="4" max="4" width="18" hidden="0" customWidth="1"/>
    <x:col min="5" max="5" width="16" hidden="0" customWidth="1"/>
    <x:col min="6" max="6" width="42" hidden="0" customWidth="1"/>
    <x:col min="7" max="7" width="8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Ingredient purchase prices</x:v>
      </x:c>
      <x:c r="B2" s="2"/>
      <x:c r="C2" s="2"/>
      <x:c r="D2" s="2"/>
      <x:c r="E2" s="2"/>
      <x:c r="F2" s="2"/>
      <x:c r="G2" s="2"/>
    </x:row>
    <x:row r="3">
      <x:c r="A3" s="5"/>
      <x:c r="B3" s="5"/>
      <x:c r="C3" s="5"/>
      <x:c r="D3" s="5"/>
      <x:c r="E3" s="5"/>
      <x:c r="F3" s="5"/>
      <x:c r="G3" s="5"/>
    </x:row>
    <x:row r="4">
      <x:c r="A4" s="4" t="str">
        <x:v>CFA (XAF assumed). Original pack values retained. Numeric blue cells are editable inputs. No supplier quote dates supplied.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43" customHeight="1">
      <x:c r="A6" s="9" t="str">
        <x:v>Price ID</x:v>
      </x:c>
      <x:c r="B6" s="9" t="str">
        <x:v>Ingredient / purchase basis</x:v>
      </x:c>
      <x:c r="C6" s="9" t="str">
        <x:v>Pack price CFA</x:v>
      </x:c>
      <x:c r="D6" s="9" t="str">
        <x:v>Pack weight g</x:v>
      </x:c>
      <x:c r="E6" s="9" t="str">
        <x:v>CFA / g</x:v>
      </x:c>
      <x:c r="F6" s="9" t="str">
        <x:v>Source cells</x:v>
      </x:c>
      <x:c r="G6" s="9" t="str">
        <x:v>Meaning / limitation</x:v>
      </x:c>
    </x:row>
    <x:row r="7" ht="28" customHeight="1">
      <x:c r="A7" s="2" t="str">
        <x:v>P4</x:v>
      </x:c>
      <x:c r="B7" s="11" t="str">
        <x:v>Flour</x:v>
      </x:c>
      <x:c r="C7" s="13" t="n">
        <x:v>21000</x:v>
      </x:c>
      <x:c r="D7" s="13" t="n">
        <x:v>50000</x:v>
      </x:c>
      <x:c r="E7" s="16" t="n">
        <x:f>IF(AND(ISNUMBER(C7),ISNUMBER(D7),D7&gt;0),C7/D7,"n.a.")</x:f>
        <x:v>0.42</x:v>
      </x:c>
      <x:c r="F7" s="18" t="str">
        <x:v>' COST rRAW MATERIAL'!B4:D4</x:v>
      </x:c>
      <x:c r="G7" s="11" t="str">
        <x:v>Workbook pack weight treated as grams; quotation date not supplied.</x:v>
      </x:c>
    </x:row>
    <x:row r="8" ht="28" customHeight="1">
      <x:c r="A8" s="10" t="str">
        <x:v>P5</x:v>
      </x:c>
      <x:c r="B8" s="12" t="str">
        <x:v>Sugar</x:v>
      </x:c>
      <x:c r="C8" s="14" t="n">
        <x:v>32000</x:v>
      </x:c>
      <x:c r="D8" s="14" t="n">
        <x:v>50000</x:v>
      </x:c>
      <x:c r="E8" s="17" t="n">
        <x:f>IF(AND(ISNUMBER(C8),ISNUMBER(D8),D8&gt;0),C8/D8,"n.a.")</x:f>
        <x:v>0.64</x:v>
      </x:c>
      <x:c r="F8" s="19" t="str">
        <x:v>' COST rRAW MATERIAL'!B5:D5</x:v>
      </x:c>
      <x:c r="G8" s="12" t="str">
        <x:v>Workbook pack weight treated as grams; quotation date not supplied.</x:v>
      </x:c>
    </x:row>
    <x:row r="9" ht="28" customHeight="1">
      <x:c r="A9" s="2" t="str">
        <x:v>P6</x:v>
      </x:c>
      <x:c r="B9" s="11" t="str">
        <x:v>salt</x:v>
      </x:c>
      <x:c r="C9" s="13" t="n">
        <x:v>3700</x:v>
      </x:c>
      <x:c r="D9" s="13" t="n">
        <x:v>18000</x:v>
      </x:c>
      <x:c r="E9" s="16" t="n">
        <x:f>IF(AND(ISNUMBER(C9),ISNUMBER(D9),D9&gt;0),C9/D9,"n.a.")</x:f>
        <x:v>0.20555555555555555</x:v>
      </x:c>
      <x:c r="F9" s="18" t="str">
        <x:v>' COST rRAW MATERIAL'!B6:D6</x:v>
      </x:c>
      <x:c r="G9" s="11" t="str">
        <x:v>Workbook pack weight treated as grams; quotation date not supplied.</x:v>
      </x:c>
    </x:row>
    <x:row r="10" ht="28" customHeight="1">
      <x:c r="A10" s="10" t="str">
        <x:v>P7</x:v>
      </x:c>
      <x:c r="B10" s="12" t="str">
        <x:v>butter</x:v>
      </x:c>
      <x:c r="C10" s="14" t="n">
        <x:v>12000</x:v>
      </x:c>
      <x:c r="D10" s="14" t="n">
        <x:v>9500</x:v>
      </x:c>
      <x:c r="E10" s="17" t="n">
        <x:f>IF(AND(ISNUMBER(C10),ISNUMBER(D10),D10&gt;0),C10/D10,"n.a.")</x:f>
        <x:v>1.263157894736842</x:v>
      </x:c>
      <x:c r="F10" s="19" t="str">
        <x:v>' COST rRAW MATERIAL'!B7:D7</x:v>
      </x:c>
      <x:c r="G10" s="12" t="str">
        <x:v>Workbook pack weight treated as grams; quotation date not supplied.</x:v>
      </x:c>
    </x:row>
    <x:row r="11" ht="28" customHeight="1">
      <x:c r="A11" s="2" t="str">
        <x:v>P8</x:v>
      </x:c>
      <x:c r="B11" s="11" t="str">
        <x:v>oil</x:v>
      </x:c>
      <x:c r="C11" s="13" t="n">
        <x:v>30500</x:v>
      </x:c>
      <x:c r="D11" s="13" t="n">
        <x:v>25000</x:v>
      </x:c>
      <x:c r="E11" s="16" t="n">
        <x:f>IF(AND(ISNUMBER(C11),ISNUMBER(D11),D11&gt;0),C11/D11,"n.a.")</x:f>
        <x:v>1.22</x:v>
      </x:c>
      <x:c r="F11" s="18" t="str">
        <x:v>' COST rRAW MATERIAL'!B8:D8</x:v>
      </x:c>
      <x:c r="G11" s="11" t="str">
        <x:v>Workbook pack weight treated as grams; quotation date not supplied.</x:v>
      </x:c>
    </x:row>
    <x:row r="12" ht="28" customHeight="1">
      <x:c r="A12" s="10" t="str">
        <x:v>P9</x:v>
      </x:c>
      <x:c r="B12" s="12" t="str">
        <x:v>yeast</x:v>
      </x:c>
      <x:c r="C12" s="14" t="n">
        <x:v>1400</x:v>
      </x:c>
      <x:c r="D12" s="14" t="n">
        <x:v>500</x:v>
      </x:c>
      <x:c r="E12" s="17" t="n">
        <x:f>IF(AND(ISNUMBER(C12),ISNUMBER(D12),D12&gt;0),C12/D12,"n.a.")</x:f>
        <x:v>2.8</x:v>
      </x:c>
      <x:c r="F12" s="19" t="str">
        <x:v>' COST rRAW MATERIAL'!B9:D9</x:v>
      </x:c>
      <x:c r="G12" s="12" t="str">
        <x:v>Workbook pack weight treated as grams; quotation date not supplied.</x:v>
      </x:c>
    </x:row>
    <x:row r="13" ht="28" customHeight="1">
      <x:c r="A13" s="2" t="str">
        <x:v>P10</x:v>
      </x:c>
      <x:c r="B13" s="11" t="str">
        <x:v>baking powder</x:v>
      </x:c>
      <x:c r="C13" s="13" t="n">
        <x:v>1300</x:v>
      </x:c>
      <x:c r="D13" s="13" t="n">
        <x:v>500</x:v>
      </x:c>
      <x:c r="E13" s="16" t="n">
        <x:f>IF(AND(ISNUMBER(C13),ISNUMBER(D13),D13&gt;0),C13/D13,"n.a.")</x:f>
        <x:v>2.6</x:v>
      </x:c>
      <x:c r="F13" s="18" t="str">
        <x:v>' COST rRAW MATERIAL'!B10:D10</x:v>
      </x:c>
      <x:c r="G13" s="11" t="str">
        <x:v>Workbook pack weight treated as grams; quotation date not supplied.</x:v>
      </x:c>
    </x:row>
    <x:row r="14" ht="28" customHeight="1">
      <x:c r="A14" s="10" t="str">
        <x:v>P11</x:v>
      </x:c>
      <x:c r="B14" s="12" t="str">
        <x:v>egg carton</x:v>
      </x:c>
      <x:c r="C14" s="14" t="n">
        <x:v>25000</x:v>
      </x:c>
      <x:c r="D14" s="14" t="n">
        <x:v>18000</x:v>
      </x:c>
      <x:c r="E14" s="17" t="n">
        <x:f>IF(AND(ISNUMBER(C14),ISNUMBER(D14),D14&gt;0),C14/D14,"n.a.")</x:f>
        <x:v>1.3888888888888888</x:v>
      </x:c>
      <x:c r="F14" s="19" t="str">
        <x:v>' COST rRAW MATERIAL'!B11:D11</x:v>
      </x:c>
      <x:c r="G14" s="12" t="str">
        <x:v>Workbook pack weight treated as grams; quotation date not supplied.</x:v>
      </x:c>
    </x:row>
    <x:row r="15" ht="28" customHeight="1">
      <x:c r="A15" s="2" t="str">
        <x:v>P12</x:v>
      </x:c>
      <x:c r="B15" s="11" t="str">
        <x:v>improver</x:v>
      </x:c>
      <x:c r="C15" s="13" t="n">
        <x:v>1400</x:v>
      </x:c>
      <x:c r="D15" s="13" t="n">
        <x:v>500</x:v>
      </x:c>
      <x:c r="E15" s="16" t="n">
        <x:f>IF(AND(ISNUMBER(C15),ISNUMBER(D15),D15&gt;0),C15/D15,"n.a.")</x:f>
        <x:v>2.8</x:v>
      </x:c>
      <x:c r="F15" s="18" t="str">
        <x:v>' COST rRAW MATERIAL'!B12:D12</x:v>
      </x:c>
      <x:c r="G15" s="11" t="str">
        <x:v>Workbook pack weight treated as grams; quotation date not supplied.</x:v>
      </x:c>
    </x:row>
    <x:row r="16" ht="28" customHeight="1">
      <x:c r="A16" s="10" t="str">
        <x:v>P13</x:v>
      </x:c>
      <x:c r="B16" s="12" t="str">
        <x:v>egg tray</x:v>
      </x:c>
      <x:c r="C16" s="14" t="n">
        <x:v>2000</x:v>
      </x:c>
      <x:c r="D16" s="14" t="n">
        <x:v>1500</x:v>
      </x:c>
      <x:c r="E16" s="17" t="n">
        <x:f>IF(AND(ISNUMBER(C16),ISNUMBER(D16),D16&gt;0),C16/D16,"n.a.")</x:f>
        <x:v>1.3333333333333333</x:v>
      </x:c>
      <x:c r="F16" s="19" t="str">
        <x:v>' COST rRAW MATERIAL'!B13:D13</x:v>
      </x:c>
      <x:c r="G16" s="12" t="str">
        <x:v>Workbook pack weight treated as grams; quotation date not supplied.</x:v>
      </x:c>
    </x:row>
    <x:row r="17" ht="28" customHeight="1">
      <x:c r="A17" s="2" t="str">
        <x:v>P14</x:v>
      </x:c>
      <x:c r="B17" s="11" t="str">
        <x:v>NUTMEG</x:v>
      </x:c>
      <x:c r="C17" s="13" t="n">
        <x:v>9000</x:v>
      </x:c>
      <x:c r="D17" s="13" t="n">
        <x:v>1000</x:v>
      </x:c>
      <x:c r="E17" s="16" t="n">
        <x:f>IF(AND(ISNUMBER(C17),ISNUMBER(D17),D17&gt;0),C17/D17,"n.a.")</x:f>
        <x:v>9</x:v>
      </x:c>
      <x:c r="F17" s="18" t="str">
        <x:v>' COST rRAW MATERIAL'!B14:D14</x:v>
      </x:c>
      <x:c r="G17" s="11" t="str">
        <x:v>Workbook pack weight treated as grams; quotation date not supplied.</x:v>
      </x:c>
    </x:row>
    <x:row r="18" ht="28" customHeight="1">
      <x:c r="A18" s="10" t="str">
        <x:v>P15</x:v>
      </x:c>
      <x:c r="B18" s="12" t="str">
        <x:v>milk</x:v>
      </x:c>
      <x:c r="C18" s="14" t="n">
        <x:v>1170</x:v>
      </x:c>
      <x:c r="D18" s="14" t="n">
        <x:v>1000</x:v>
      </x:c>
      <x:c r="E18" s="17" t="n">
        <x:f>IF(AND(ISNUMBER(C18),ISNUMBER(D18),D18&gt;0),C18/D18,"n.a.")</x:f>
        <x:v>1.17</x:v>
      </x:c>
      <x:c r="F18" s="19" t="str">
        <x:v>' COST rRAW MATERIAL'!B15:D15</x:v>
      </x:c>
      <x:c r="G18" s="12" t="str">
        <x:v>Workbook pack weight treated as grams; quotation date not supplied.</x:v>
      </x:c>
    </x:row>
    <x:row r="19" ht="28" customHeight="1">
      <x:c r="A19" s="2" t="str">
        <x:v>P16</x:v>
      </x:c>
      <x:c r="B19" s="11" t="str">
        <x:v>water</x:v>
      </x:c>
      <x:c r="C19" s="13" t="n">
        <x:v>1</x:v>
      </x:c>
      <x:c r="D19" s="13" t="n">
        <x:v>10000</x:v>
      </x:c>
      <x:c r="E19" s="16" t="n">
        <x:f>IF(AND(ISNUMBER(C19),ISNUMBER(D19),D19&gt;0),C19/D19,"n.a.")</x:f>
        <x:v>0.0001</x:v>
      </x:c>
      <x:c r="F19" s="18" t="str">
        <x:v>' COST rRAW MATERIAL'!B16:D16</x:v>
      </x:c>
      <x:c r="G19" s="11" t="str">
        <x:v>Workbook pack weight treated as grams; quotation date not supplied.</x:v>
      </x:c>
    </x:row>
    <x:row r="20" ht="28" customHeight="1">
      <x:c r="A20" s="10" t="str">
        <x:v>P17</x:v>
      </x:c>
      <x:c r="B20" s="12" t="str">
        <x:v>powder milk</x:v>
      </x:c>
      <x:c r="C20" s="14" t="n">
        <x:v>80000</x:v>
      </x:c>
      <x:c r="D20" s="14" t="n">
        <x:v>25000</x:v>
      </x:c>
      <x:c r="E20" s="17" t="n">
        <x:f>IF(AND(ISNUMBER(C20),ISNUMBER(D20),D20&gt;0),C20/D20,"n.a.")</x:f>
        <x:v>3.2</x:v>
      </x:c>
      <x:c r="F20" s="19" t="str">
        <x:v>' COST rRAW MATERIAL'!B17:D17</x:v>
      </x:c>
      <x:c r="G20" s="12" t="str">
        <x:v>Workbook pack weight treated as grams; quotation date not supplied.</x:v>
      </x:c>
    </x:row>
    <x:row r="21" ht="28" customHeight="1">
      <x:c r="A21" s="2" t="str">
        <x:v>P18</x:v>
      </x:c>
      <x:c r="B21" s="11" t="str">
        <x:v>Milk tantalizer</x:v>
      </x:c>
      <x:c r="C21" s="13" t="n">
        <x:v>45000</x:v>
      </x:c>
      <x:c r="D21" s="13" t="n">
        <x:v>4000</x:v>
      </x:c>
      <x:c r="E21" s="16" t="n">
        <x:f>IF(AND(ISNUMBER(C21),ISNUMBER(D21),D21&gt;0),C21/D21,"n.a.")</x:f>
        <x:v>11.25</x:v>
      </x:c>
      <x:c r="F21" s="18" t="str">
        <x:v>' COST rRAW MATERIAL'!B18:D18</x:v>
      </x:c>
      <x:c r="G21" s="11" t="str">
        <x:v>Workbook pack weight treated as grams; quotation date not supplied.</x:v>
      </x:c>
    </x:row>
    <x:row r="22" ht="28" customHeight="1">
      <x:c r="A22" s="10" t="str">
        <x:v>P19</x:v>
      </x:c>
      <x:c r="B22" s="12" t="str">
        <x:v>EDC</x:v>
      </x:c>
      <x:c r="C22" s="14" t="n">
        <x:v>3000</x:v>
      </x:c>
      <x:c r="D22" s="14" t="n">
        <x:v>1000</x:v>
      </x:c>
      <x:c r="E22" s="17" t="n">
        <x:f>IF(AND(ISNUMBER(C22),ISNUMBER(D22),D22&gt;0),C22/D22,"n.a.")</x:f>
        <x:v>3</x:v>
      </x:c>
      <x:c r="F22" s="19" t="str">
        <x:v>' COST rRAW MATERIAL'!B19:D19</x:v>
      </x:c>
      <x:c r="G22" s="12" t="str">
        <x:v>Workbook pack weight treated as grams; quotation date not supplied.</x:v>
      </x:c>
    </x:row>
    <x:row r="23" ht="28" customHeight="1">
      <x:c r="A23" s="2" t="str">
        <x:v>P20</x:v>
      </x:c>
      <x:c r="B23" s="11" t="str">
        <x:v>BUTTER 2</x:v>
      </x:c>
      <x:c r="C23" s="13" t="n">
        <x:v>12000</x:v>
      </x:c>
      <x:c r="D23" s="13" t="n">
        <x:v>9500</x:v>
      </x:c>
      <x:c r="E23" s="16" t="n">
        <x:f>IF(AND(ISNUMBER(C23),ISNUMBER(D23),D23&gt;0),C23/D23,"n.a.")</x:f>
        <x:v>1.263157894736842</x:v>
      </x:c>
      <x:c r="F23" s="18" t="str">
        <x:v>' COST rRAW MATERIAL'!B20:D20</x:v>
      </x:c>
      <x:c r="G23" s="11" t="str">
        <x:v>Workbook pack weight treated as grams; quotation date not supplied.</x:v>
      </x:c>
    </x:row>
    <x:row r="24" ht="28" customHeight="1">
      <x:c r="A24" s="10" t="str">
        <x:v>P21</x:v>
      </x:c>
      <x:c r="B24" s="12" t="str">
        <x:v>Chocolate</x:v>
      </x:c>
      <x:c r="C24" s="14" t="n">
        <x:v>17000</x:v>
      </x:c>
      <x:c r="D24" s="14" t="n">
        <x:v>9500</x:v>
      </x:c>
      <x:c r="E24" s="17" t="n">
        <x:f>IF(AND(ISNUMBER(C24),ISNUMBER(D24),D24&gt;0),C24/D24,"n.a.")</x:f>
        <x:v>1.7894736842105263</x:v>
      </x:c>
      <x:c r="F24" s="19" t="str">
        <x:v>' COST rRAW MATERIAL'!B21:D21</x:v>
      </x:c>
      <x:c r="G24" s="12" t="str">
        <x:v>Workbook pack weight treated as grams; quotation date not supplied.</x:v>
      </x:c>
    </x:row>
    <x:row r="25" ht="28" customHeight="1">
      <x:c r="A25" s="2" t="str">
        <x:v>P22</x:v>
      </x:c>
      <x:c r="B25" s="11" t="str">
        <x:v>fish</x:v>
      </x:c>
      <x:c r="C25" s="13" t="n">
        <x:v>24000</x:v>
      </x:c>
      <x:c r="D25" s="13" t="n">
        <x:v>20000</x:v>
      </x:c>
      <x:c r="E25" s="16" t="n">
        <x:f>IF(AND(ISNUMBER(C25),ISNUMBER(D25),D25&gt;0),C25/D25,"n.a.")</x:f>
        <x:v>1.2</x:v>
      </x:c>
      <x:c r="F25" s="18" t="str">
        <x:v>' COST rRAW MATERIAL'!B22:D22</x:v>
      </x:c>
      <x:c r="G25" s="11" t="str">
        <x:v>Workbook pack weight treated as grams; quotation date not supplied.</x:v>
      </x:c>
    </x:row>
    <x:row r="26" ht="28" customHeight="1">
      <x:c r="A26" s="10" t="str">
        <x:v>P23</x:v>
      </x:c>
      <x:c r="B26" s="12" t="str">
        <x:v>carrots</x:v>
      </x:c>
      <x:c r="C26" s="14" t="n">
        <x:v>600</x:v>
      </x:c>
      <x:c r="D26" s="14" t="n">
        <x:v>700</x:v>
      </x:c>
      <x:c r="E26" s="17" t="n">
        <x:f>IF(AND(ISNUMBER(C26),ISNUMBER(D26),D26&gt;0),C26/D26,"n.a.")</x:f>
        <x:v>0.8571428571428571</x:v>
      </x:c>
      <x:c r="F26" s="19" t="str">
        <x:v>' COST rRAW MATERIAL'!B23:D23</x:v>
      </x:c>
      <x:c r="G26" s="12" t="str">
        <x:v>Workbook pack weight treated as grams; quotation date not supplied.</x:v>
      </x:c>
    </x:row>
    <x:row r="27" ht="28" customHeight="1">
      <x:c r="A27" s="2" t="str">
        <x:v>P24</x:v>
      </x:c>
      <x:c r="B27" s="11" t="str">
        <x:v>Green beans</x:v>
      </x:c>
      <x:c r="C27" s="13" t="n">
        <x:v>200</x:v>
      </x:c>
      <x:c r="D27" s="13" t="n">
        <x:v>1000</x:v>
      </x:c>
      <x:c r="E27" s="16" t="n">
        <x:f>IF(AND(ISNUMBER(C27),ISNUMBER(D27),D27&gt;0),C27/D27,"n.a.")</x:f>
        <x:v>0.2</x:v>
      </x:c>
      <x:c r="F27" s="18" t="str">
        <x:v>' COST rRAW MATERIAL'!B24:D24</x:v>
      </x:c>
      <x:c r="G27" s="11" t="str">
        <x:v>Workbook pack weight treated as grams; quotation date not supplied.</x:v>
      </x:c>
    </x:row>
    <x:row r="28" ht="28" customHeight="1">
      <x:c r="A28" s="10" t="str">
        <x:v>P25</x:v>
      </x:c>
      <x:c r="B28" s="12" t="str">
        <x:v>peppers</x:v>
      </x:c>
      <x:c r="C28" s="14" t="n">
        <x:v>200</x:v>
      </x:c>
      <x:c r="D28" s="14" t="n">
        <x:v>500</x:v>
      </x:c>
      <x:c r="E28" s="17" t="n">
        <x:f>IF(AND(ISNUMBER(C28),ISNUMBER(D28),D28&gt;0),C28/D28,"n.a.")</x:f>
        <x:v>0.4</x:v>
      </x:c>
      <x:c r="F28" s="19" t="str">
        <x:v>' COST rRAW MATERIAL'!B25:D25</x:v>
      </x:c>
      <x:c r="G28" s="12" t="str">
        <x:v>Workbook pack weight treated as grams; quotation date not supplied.</x:v>
      </x:c>
    </x:row>
    <x:row r="29" ht="28" customHeight="1">
      <x:c r="A29" s="2" t="str">
        <x:v>P26</x:v>
      </x:c>
      <x:c r="B29" s="11" t="str">
        <x:v>onions</x:v>
      </x:c>
      <x:c r="C29" s="13" t="n">
        <x:v>100</x:v>
      </x:c>
      <x:c r="D29" s="13" t="n">
        <x:v>50</x:v>
      </x:c>
      <x:c r="E29" s="16" t="n">
        <x:f>IF(AND(ISNUMBER(C29),ISNUMBER(D29),D29&gt;0),C29/D29,"n.a.")</x:f>
        <x:v>2</x:v>
      </x:c>
      <x:c r="F29" s="18" t="str">
        <x:v>' COST rRAW MATERIAL'!B26:D26</x:v>
      </x:c>
      <x:c r="G29" s="11" t="str">
        <x:v>Workbook pack weight treated as grams; quotation date not supplied.</x:v>
      </x:c>
    </x:row>
    <x:row r="30" ht="28" customHeight="1">
      <x:c r="A30" s="10" t="str">
        <x:v>P27</x:v>
      </x:c>
      <x:c r="B30" s="12" t="str">
        <x:v>irish</x:v>
      </x:c>
      <x:c r="C30" s="14" t="n">
        <x:v>4000</x:v>
      </x:c>
      <x:c r="D30" s="14" t="n">
        <x:v>7000</x:v>
      </x:c>
      <x:c r="E30" s="17" t="n">
        <x:f>IF(AND(ISNUMBER(C30),ISNUMBER(D30),D30&gt;0),C30/D30,"n.a.")</x:f>
        <x:v>0.5714285714285714</x:v>
      </x:c>
      <x:c r="F30" s="19" t="str">
        <x:v>' COST rRAW MATERIAL'!B27:D27</x:v>
      </x:c>
      <x:c r="G30" s="12" t="str">
        <x:v>Workbook pack weight treated as grams; quotation date not supplied.</x:v>
      </x:c>
    </x:row>
    <x:row r="31" ht="28" customHeight="1">
      <x:c r="A31" s="2" t="str">
        <x:v>P29</x:v>
      </x:c>
      <x:c r="B31" s="11" t="str">
        <x:v>honey</x:v>
      </x:c>
      <x:c r="C31" s="13" t="n">
        <x:v>10000</x:v>
      </x:c>
      <x:c r="D31" s="13" t="n">
        <x:v>8000</x:v>
      </x:c>
      <x:c r="E31" s="16" t="n">
        <x:f>IF(AND(ISNUMBER(C31),ISNUMBER(D31),D31&gt;0),C31/D31,"n.a.")</x:f>
        <x:v>1.25</x:v>
      </x:c>
      <x:c r="F31" s="18" t="str">
        <x:v>' COST rRAW MATERIAL'!B29:D29</x:v>
      </x:c>
      <x:c r="G31" s="11" t="str">
        <x:v>Workbook pack weight treated as grams; quotation date not supplied.</x:v>
      </x:c>
    </x:row>
    <x:row r="32" ht="28" customHeight="1">
      <x:c r="A32" s="10" t="str">
        <x:v>P30</x:v>
      </x:c>
      <x:c r="B32" s="12" t="str">
        <x:v>Icing Sugar</x:v>
      </x:c>
      <x:c r="C32" s="14" t="n">
        <x:v>1100</x:v>
      </x:c>
      <x:c r="D32" s="14" t="n">
        <x:v>500</x:v>
      </x:c>
      <x:c r="E32" s="17" t="n">
        <x:f>IF(AND(ISNUMBER(C32),ISNUMBER(D32),D32&gt;0),C32/D32,"n.a.")</x:f>
        <x:v>2.2</x:v>
      </x:c>
      <x:c r="F32" s="19" t="str">
        <x:v>' COST rRAW MATERIAL'!B30:D30</x:v>
      </x:c>
      <x:c r="G32" s="12" t="str">
        <x:v>Workbook pack weight treated as grams; quotation date not supplied.</x:v>
      </x:c>
    </x:row>
    <x:row r="33" ht="28" customHeight="1">
      <x:c r="A33" s="2" t="str">
        <x:v>P32</x:v>
      </x:c>
      <x:c r="B33" s="11" t="str">
        <x:v>stabilizer</x:v>
      </x:c>
      <x:c r="C33" s="13" t="n">
        <x:v>3200</x:v>
      </x:c>
      <x:c r="D33" s="13" t="n">
        <x:v>250</x:v>
      </x:c>
      <x:c r="E33" s="16" t="n">
        <x:f>IF(AND(ISNUMBER(C33),ISNUMBER(D33),D33&gt;0),C33/D33,"n.a.")</x:f>
        <x:v>12.8</x:v>
      </x:c>
      <x:c r="F33" s="18" t="str">
        <x:v>' COST rRAW MATERIAL'!B32:D32</x:v>
      </x:c>
      <x:c r="G33" s="11" t="str">
        <x:v>Workbook pack weight treated as grams; quotation date not supplied.</x:v>
      </x:c>
    </x:row>
    <x:row r="34" ht="28" customHeight="1">
      <x:c r="A34" s="10" t="str">
        <x:v>P36</x:v>
      </x:c>
      <x:c r="B34" s="12" t="str">
        <x:v>flour Bir</x:v>
      </x:c>
      <x:c r="C34" s="14" t="n">
        <x:v>20000</x:v>
      </x:c>
      <x:c r="D34" s="14" t="n">
        <x:v>50000</x:v>
      </x:c>
      <x:c r="E34" s="17" t="n">
        <x:f>IF(AND(ISNUMBER(C34),ISNUMBER(D34),D34&gt;0),C34/D34,"n.a.")</x:f>
        <x:v>0.4</x:v>
      </x:c>
      <x:c r="F34" s="19" t="str">
        <x:v>' COST rRAW MATERIAL'!B36:D36</x:v>
      </x:c>
      <x:c r="G34" s="12" t="str">
        <x:v>Workbook pack weight treated as grams; quotation date not supplied.</x:v>
      </x:c>
    </x:row>
    <x:row r="35" ht="28" customHeight="1">
      <x:c r="A35" s="2" t="str">
        <x:v>P37</x:v>
      </x:c>
      <x:c r="B35" s="11" t="str">
        <x:v>meat</x:v>
      </x:c>
      <x:c r="C35" s="13" t="n">
        <x:v>2500</x:v>
      </x:c>
      <x:c r="D35" s="13" t="n">
        <x:v>1000</x:v>
      </x:c>
      <x:c r="E35" s="16" t="n">
        <x:f>IF(AND(ISNUMBER(C35),ISNUMBER(D35),D35&gt;0),C35/D35,"n.a.")</x:f>
        <x:v>2.5</x:v>
      </x:c>
      <x:c r="F35" s="18" t="str">
        <x:v>' COST rRAW MATERIAL'!B37:D37</x:v>
      </x:c>
      <x:c r="G35" s="11" t="str">
        <x:v>Workbook pack weight treated as grams; quotation date not supplied.</x:v>
      </x:c>
    </x:row>
    <x:row r="36" ht="28" customHeight="1">
      <x:c r="A36" s="10" t="str">
        <x:v>P38</x:v>
      </x:c>
      <x:c r="B36" s="12" t="str">
        <x:v>onions</x:v>
      </x:c>
      <x:c r="C36" s="14" t="n">
        <x:v>2000</x:v>
      </x:c>
      <x:c r="D36" s="14" t="n">
        <x:v>1000</x:v>
      </x:c>
      <x:c r="E36" s="17" t="n">
        <x:f>IF(AND(ISNUMBER(C36),ISNUMBER(D36),D36&gt;0),C36/D36,"n.a.")</x:f>
        <x:v>2</x:v>
      </x:c>
      <x:c r="F36" s="19" t="str">
        <x:v>' COST rRAW MATERIAL'!B38:D38</x:v>
      </x:c>
      <x:c r="G36" s="12" t="str">
        <x:v>Workbook pack weight treated as grams; quotation date not supplied.</x:v>
      </x:c>
    </x:row>
    <x:row r="37" ht="28" customHeight="1">
      <x:c r="A37" s="2" t="str">
        <x:v>P_cabbage</x:v>
      </x:c>
      <x:c r="B37" s="11" t="str">
        <x:v>Cabbage</x:v>
      </x:c>
      <x:c r="C37" s="15"/>
      <x:c r="D37" s="13" t="n">
        <x:v>1000</x:v>
      </x:c>
      <x:c r="E37" s="16" t="str">
        <x:f>IF(AND(ISNUMBER(C37),ISNUMBER(D37),D37&gt;0),C37/D37,"n.a.")</x:f>
        <x:v>n.a.</x:v>
      </x:c>
      <x:c r="F37" s="18" t="str">
        <x:v>Fish Pie!C16:K16</x:v>
      </x:c>
      <x:c r="G37" s="11" t="str">
        <x:v>No price supplied.</x:v>
      </x:c>
    </x:row>
    <x:row r="38" ht="28" customHeight="1">
      <x:c r="A38" s="10" t="str">
        <x:v>P_others</x:v>
      </x:c>
      <x:c r="B38" s="12" t="str">
        <x:v>Ice Cream others</x:v>
      </x:c>
      <x:c r="C38" s="14" t="n">
        <x:v>5000</x:v>
      </x:c>
      <x:c r="D38" s="14" t="n">
        <x:v>500</x:v>
      </x:c>
      <x:c r="E38" s="17" t="n">
        <x:f>IF(AND(ISNUMBER(C38),ISNUMBER(D38),D38&gt;0),C38/D38,"n.a.")</x:f>
        <x:v>10</x:v>
      </x:c>
      <x:c r="F38" s="19" t="str">
        <x:v>Ice Cream!J9:K9</x:v>
      </x:c>
      <x:c r="G38" s="12" t="str">
        <x:v>Recipe-specific source price retained; ingredient identity unspecified.</x:v>
      </x:c>
    </x:row>
    <x:row r="43">
      <x:c r="A43" t="str">
        <x:v>Source: Bakery recipes   melto 2026.xlsx; inspected 3 October 2026. Only bakery costing cells are reproduced.</x:v>
      </x:c>
    </x:row>
  </x:sheetData>
  <x:pageMargins left="0.7" right="0.7" top="0.75" bottom="0.75" header="0.3" footer="0.3"/>
</x:worksheet>
</file>